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ELL\Desktop\Pending PO\"/>
    </mc:Choice>
  </mc:AlternateContent>
  <bookViews>
    <workbookView xWindow="0" yWindow="0" windowWidth="20490" windowHeight="7635"/>
  </bookViews>
  <sheets>
    <sheet name="Pending_SO_Template" sheetId="1" r:id="rId1"/>
  </sheets>
  <externalReferences>
    <externalReference r:id="rId2"/>
    <externalReference r:id="rId3"/>
  </externalReferences>
  <definedNames>
    <definedName name="_xlnm._FilterDatabase" localSheetId="0" hidden="1">Pending_SO_Template!$A$1:$R$1425</definedName>
  </definedNames>
  <calcPr calcId="152511"/>
</workbook>
</file>

<file path=xl/calcChain.xml><?xml version="1.0" encoding="utf-8"?>
<calcChain xmlns="http://schemas.openxmlformats.org/spreadsheetml/2006/main">
  <c r="N1426" i="1" l="1"/>
  <c r="O1426" i="1"/>
  <c r="P1426" i="1"/>
  <c r="Q1426" i="1"/>
  <c r="R1426" i="1"/>
  <c r="N1427" i="1"/>
  <c r="O1427" i="1"/>
  <c r="P1427" i="1"/>
  <c r="Q1427" i="1"/>
  <c r="R1427" i="1"/>
  <c r="N1428" i="1"/>
  <c r="O1428" i="1"/>
  <c r="P1428" i="1"/>
  <c r="Q1428" i="1"/>
  <c r="R1428" i="1"/>
  <c r="N1429" i="1"/>
  <c r="O1429" i="1" s="1"/>
  <c r="P1429" i="1"/>
  <c r="Q1429" i="1"/>
  <c r="R1429" i="1"/>
  <c r="N1430" i="1"/>
  <c r="O1430" i="1"/>
  <c r="P1430" i="1"/>
  <c r="Q1430" i="1"/>
  <c r="R1430" i="1"/>
  <c r="N1431" i="1"/>
  <c r="O1431" i="1" s="1"/>
  <c r="P1431" i="1"/>
  <c r="Q1431" i="1"/>
  <c r="R1431" i="1"/>
  <c r="N1432" i="1"/>
  <c r="O1432" i="1"/>
  <c r="P1432" i="1"/>
  <c r="Q1432" i="1"/>
  <c r="R1432" i="1"/>
  <c r="N1433" i="1"/>
  <c r="O1433" i="1" s="1"/>
  <c r="P1433" i="1"/>
  <c r="Q1433" i="1"/>
  <c r="R1433" i="1"/>
  <c r="N1434" i="1"/>
  <c r="O1434" i="1" s="1"/>
  <c r="P1434" i="1"/>
  <c r="Q1434" i="1"/>
  <c r="R1434" i="1"/>
  <c r="N1435" i="1"/>
  <c r="O1435" i="1"/>
  <c r="P1435" i="1"/>
  <c r="Q1435" i="1"/>
  <c r="R1435" i="1"/>
  <c r="N1436" i="1"/>
  <c r="O1436" i="1"/>
  <c r="P1436" i="1"/>
  <c r="Q1436" i="1"/>
  <c r="R1436" i="1"/>
  <c r="N1437" i="1"/>
  <c r="O1437" i="1"/>
  <c r="P1437" i="1"/>
  <c r="Q1437" i="1"/>
  <c r="R1437" i="1"/>
  <c r="N1438" i="1"/>
  <c r="O1438" i="1"/>
  <c r="P1438" i="1"/>
  <c r="Q1438" i="1"/>
  <c r="R1438" i="1"/>
  <c r="N1439" i="1"/>
  <c r="O1439" i="1" s="1"/>
  <c r="P1439" i="1"/>
  <c r="Q1439" i="1"/>
  <c r="R1439" i="1"/>
  <c r="N1440" i="1"/>
  <c r="O1440" i="1"/>
  <c r="P1440" i="1"/>
  <c r="Q1440" i="1"/>
  <c r="R1440" i="1"/>
  <c r="N1441" i="1"/>
  <c r="O1441" i="1" s="1"/>
  <c r="P1441" i="1"/>
  <c r="Q1441" i="1"/>
  <c r="R1441" i="1"/>
  <c r="N1442" i="1"/>
  <c r="O1442" i="1"/>
  <c r="P1442" i="1"/>
  <c r="Q1442" i="1"/>
  <c r="R1442" i="1"/>
  <c r="N1443" i="1"/>
  <c r="O1443" i="1"/>
  <c r="P1443" i="1"/>
  <c r="Q1443" i="1"/>
  <c r="R1443" i="1"/>
  <c r="N1444" i="1"/>
  <c r="O1444" i="1" s="1"/>
  <c r="P1444" i="1"/>
  <c r="Q1444" i="1"/>
  <c r="R1444" i="1"/>
  <c r="N1445" i="1"/>
  <c r="O1445" i="1"/>
  <c r="P1445" i="1"/>
  <c r="Q1445" i="1"/>
  <c r="R1445" i="1"/>
  <c r="N1446" i="1"/>
  <c r="O1446" i="1"/>
  <c r="P1446" i="1"/>
  <c r="Q1446" i="1"/>
  <c r="R1446" i="1"/>
  <c r="N1447" i="1"/>
  <c r="O1447" i="1" s="1"/>
  <c r="P1447" i="1"/>
  <c r="Q1447" i="1"/>
  <c r="R1447" i="1"/>
  <c r="M1426" i="1"/>
  <c r="M1427" i="1"/>
  <c r="M1428" i="1"/>
  <c r="M1429" i="1"/>
  <c r="M1430" i="1"/>
  <c r="M1431" i="1"/>
  <c r="M1432" i="1"/>
  <c r="M1433" i="1"/>
  <c r="M1434" i="1"/>
  <c r="M1435" i="1"/>
  <c r="M1436" i="1"/>
  <c r="M1437" i="1"/>
  <c r="M1438" i="1"/>
  <c r="M1439" i="1"/>
  <c r="M1440" i="1"/>
  <c r="M1441" i="1"/>
  <c r="M1442" i="1"/>
  <c r="M1443" i="1"/>
  <c r="M1444" i="1"/>
  <c r="M1445" i="1"/>
  <c r="M1446" i="1"/>
  <c r="M1447" i="1"/>
  <c r="N3" i="1" l="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O253" i="1" s="1"/>
  <c r="N254" i="1"/>
  <c r="O254" i="1" s="1"/>
  <c r="N255" i="1"/>
  <c r="O255" i="1" s="1"/>
  <c r="N256" i="1"/>
  <c r="O256" i="1" s="1"/>
  <c r="N257" i="1"/>
  <c r="O257" i="1" s="1"/>
  <c r="N258" i="1"/>
  <c r="O258" i="1" s="1"/>
  <c r="N259" i="1"/>
  <c r="O259" i="1" s="1"/>
  <c r="N260" i="1"/>
  <c r="O260" i="1" s="1"/>
  <c r="N261" i="1"/>
  <c r="O261" i="1" s="1"/>
  <c r="N262" i="1"/>
  <c r="O262" i="1" s="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O398" i="1" s="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O427" i="1" s="1"/>
  <c r="N428" i="1"/>
  <c r="O428" i="1" s="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O497" i="1" s="1"/>
  <c r="N498" i="1"/>
  <c r="O498" i="1" s="1"/>
  <c r="N499" i="1"/>
  <c r="O499" i="1" s="1"/>
  <c r="N500" i="1"/>
  <c r="O500" i="1" s="1"/>
  <c r="N501" i="1"/>
  <c r="O501" i="1" s="1"/>
  <c r="N502" i="1"/>
  <c r="O502" i="1" s="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O515" i="1" s="1"/>
  <c r="N516" i="1"/>
  <c r="O516" i="1" s="1"/>
  <c r="N517" i="1"/>
  <c r="O517" i="1" s="1"/>
  <c r="N518" i="1"/>
  <c r="O518" i="1" s="1"/>
  <c r="N519" i="1"/>
  <c r="O519" i="1" s="1"/>
  <c r="N520" i="1"/>
  <c r="O520" i="1" s="1"/>
  <c r="N521" i="1"/>
  <c r="O521" i="1" s="1"/>
  <c r="N522" i="1"/>
  <c r="O522" i="1" s="1"/>
  <c r="N523" i="1"/>
  <c r="O523" i="1" s="1"/>
  <c r="N524" i="1"/>
  <c r="O524" i="1" s="1"/>
  <c r="N525" i="1"/>
  <c r="O525" i="1" s="1"/>
  <c r="N526" i="1"/>
  <c r="O526" i="1" s="1"/>
  <c r="N527" i="1"/>
  <c r="O527" i="1" s="1"/>
  <c r="N528" i="1"/>
  <c r="O528" i="1" s="1"/>
  <c r="N529" i="1"/>
  <c r="O529" i="1" s="1"/>
  <c r="N530" i="1"/>
  <c r="O530" i="1" s="1"/>
  <c r="N531" i="1"/>
  <c r="O531" i="1" s="1"/>
  <c r="N532" i="1"/>
  <c r="O532" i="1" s="1"/>
  <c r="N533" i="1"/>
  <c r="O533" i="1" s="1"/>
  <c r="N534" i="1"/>
  <c r="O534" i="1" s="1"/>
  <c r="N535" i="1"/>
  <c r="O535" i="1" s="1"/>
  <c r="N536" i="1"/>
  <c r="O536" i="1" s="1"/>
  <c r="N537" i="1"/>
  <c r="O537" i="1" s="1"/>
  <c r="N538" i="1"/>
  <c r="O538" i="1" s="1"/>
  <c r="N539" i="1"/>
  <c r="O539" i="1" s="1"/>
  <c r="N540" i="1"/>
  <c r="O540" i="1" s="1"/>
  <c r="N541" i="1"/>
  <c r="O541" i="1" s="1"/>
  <c r="N542" i="1"/>
  <c r="O542" i="1" s="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O554" i="1" s="1"/>
  <c r="N555" i="1"/>
  <c r="O555" i="1" s="1"/>
  <c r="N556" i="1"/>
  <c r="O556" i="1" s="1"/>
  <c r="N557" i="1"/>
  <c r="O557" i="1" s="1"/>
  <c r="N558" i="1"/>
  <c r="O558" i="1" s="1"/>
  <c r="N559" i="1"/>
  <c r="O559" i="1" s="1"/>
  <c r="N560" i="1"/>
  <c r="O560" i="1" s="1"/>
  <c r="N561" i="1"/>
  <c r="O561" i="1" s="1"/>
  <c r="N562" i="1"/>
  <c r="O562" i="1" s="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O575" i="1" s="1"/>
  <c r="N576" i="1"/>
  <c r="O576" i="1" s="1"/>
  <c r="N577" i="1"/>
  <c r="O577" i="1" s="1"/>
  <c r="N578" i="1"/>
  <c r="O578" i="1" s="1"/>
  <c r="N579" i="1"/>
  <c r="O579" i="1" s="1"/>
  <c r="N580" i="1"/>
  <c r="O580" i="1" s="1"/>
  <c r="N581" i="1"/>
  <c r="O581" i="1" s="1"/>
  <c r="N582" i="1"/>
  <c r="O582" i="1" s="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O594" i="1" s="1"/>
  <c r="N595" i="1"/>
  <c r="O595" i="1" s="1"/>
  <c r="N596" i="1"/>
  <c r="O596" i="1" s="1"/>
  <c r="N597" i="1"/>
  <c r="O597" i="1" s="1"/>
  <c r="N598" i="1"/>
  <c r="O598" i="1" s="1"/>
  <c r="N599" i="1"/>
  <c r="O599" i="1" s="1"/>
  <c r="N600" i="1"/>
  <c r="O600" i="1" s="1"/>
  <c r="N601" i="1"/>
  <c r="O601" i="1" s="1"/>
  <c r="N602" i="1"/>
  <c r="O602" i="1" s="1"/>
  <c r="N603" i="1"/>
  <c r="O603" i="1" s="1"/>
  <c r="N604" i="1"/>
  <c r="O604" i="1" s="1"/>
  <c r="N605" i="1"/>
  <c r="O605" i="1" s="1"/>
  <c r="N606" i="1"/>
  <c r="O606" i="1" s="1"/>
  <c r="N607" i="1"/>
  <c r="O607" i="1" s="1"/>
  <c r="N608" i="1"/>
  <c r="O608" i="1" s="1"/>
  <c r="N609" i="1"/>
  <c r="O609" i="1" s="1"/>
  <c r="N610" i="1"/>
  <c r="O610" i="1" s="1"/>
  <c r="N611" i="1"/>
  <c r="O611" i="1" s="1"/>
  <c r="N612" i="1"/>
  <c r="O612" i="1" s="1"/>
  <c r="N613" i="1"/>
  <c r="O613" i="1" s="1"/>
  <c r="N614" i="1"/>
  <c r="O614" i="1" s="1"/>
  <c r="N615" i="1"/>
  <c r="O615" i="1" s="1"/>
  <c r="N616" i="1"/>
  <c r="O616" i="1" s="1"/>
  <c r="N617" i="1"/>
  <c r="O617" i="1" s="1"/>
  <c r="N618" i="1"/>
  <c r="O618" i="1" s="1"/>
  <c r="N619" i="1"/>
  <c r="O619" i="1" s="1"/>
  <c r="N620" i="1"/>
  <c r="O620" i="1" s="1"/>
  <c r="N621" i="1"/>
  <c r="O621" i="1" s="1"/>
  <c r="N622" i="1"/>
  <c r="O622" i="1" s="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O634" i="1" s="1"/>
  <c r="N635" i="1"/>
  <c r="O635" i="1" s="1"/>
  <c r="N636" i="1"/>
  <c r="O636" i="1" s="1"/>
  <c r="N637" i="1"/>
  <c r="O637" i="1" s="1"/>
  <c r="N638" i="1"/>
  <c r="O638" i="1" s="1"/>
  <c r="N639" i="1"/>
  <c r="O639" i="1" s="1"/>
  <c r="N640" i="1"/>
  <c r="O640" i="1" s="1"/>
  <c r="N641" i="1"/>
  <c r="O641" i="1" s="1"/>
  <c r="N642" i="1"/>
  <c r="O642" i="1" s="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O661" i="1" s="1"/>
  <c r="N662" i="1"/>
  <c r="O662" i="1" s="1"/>
  <c r="N663" i="1"/>
  <c r="O663" i="1" s="1"/>
  <c r="N664" i="1"/>
  <c r="O664" i="1" s="1"/>
  <c r="N665" i="1"/>
  <c r="O665" i="1" s="1"/>
  <c r="N666" i="1"/>
  <c r="O666" i="1" s="1"/>
  <c r="N667" i="1"/>
  <c r="O667" i="1" s="1"/>
  <c r="N668" i="1"/>
  <c r="O668" i="1" s="1"/>
  <c r="N669" i="1"/>
  <c r="O669" i="1" s="1"/>
  <c r="N670" i="1"/>
  <c r="O670" i="1" s="1"/>
  <c r="N671" i="1"/>
  <c r="O671" i="1" s="1"/>
  <c r="N672" i="1"/>
  <c r="O672" i="1" s="1"/>
  <c r="N673" i="1"/>
  <c r="O673" i="1" s="1"/>
  <c r="N674" i="1"/>
  <c r="O674" i="1" s="1"/>
  <c r="N675" i="1"/>
  <c r="O675" i="1" s="1"/>
  <c r="N676" i="1"/>
  <c r="O676" i="1" s="1"/>
  <c r="N677" i="1"/>
  <c r="O677" i="1" s="1"/>
  <c r="N678" i="1"/>
  <c r="O678" i="1" s="1"/>
  <c r="N679" i="1"/>
  <c r="O679" i="1" s="1"/>
  <c r="N680" i="1"/>
  <c r="O680" i="1" s="1"/>
  <c r="N681" i="1"/>
  <c r="O681" i="1" s="1"/>
  <c r="N682" i="1"/>
  <c r="O682" i="1" s="1"/>
  <c r="N683" i="1"/>
  <c r="O683" i="1" s="1"/>
  <c r="N684" i="1"/>
  <c r="O684" i="1" s="1"/>
  <c r="N685" i="1"/>
  <c r="O685" i="1" s="1"/>
  <c r="N686" i="1"/>
  <c r="O686" i="1" s="1"/>
  <c r="N687" i="1"/>
  <c r="O687" i="1" s="1"/>
  <c r="N688" i="1"/>
  <c r="O688" i="1" s="1"/>
  <c r="N689" i="1"/>
  <c r="O689" i="1" s="1"/>
  <c r="N690" i="1"/>
  <c r="O690" i="1" s="1"/>
  <c r="N691" i="1"/>
  <c r="O691" i="1" s="1"/>
  <c r="N692" i="1"/>
  <c r="O692" i="1" s="1"/>
  <c r="N693" i="1"/>
  <c r="O693" i="1" s="1"/>
  <c r="N694" i="1"/>
  <c r="O694" i="1" s="1"/>
  <c r="N695" i="1"/>
  <c r="O695" i="1" s="1"/>
  <c r="N696" i="1"/>
  <c r="O696" i="1" s="1"/>
  <c r="N697" i="1"/>
  <c r="O697" i="1" s="1"/>
  <c r="N698" i="1"/>
  <c r="O698" i="1" s="1"/>
  <c r="N699" i="1"/>
  <c r="O699" i="1" s="1"/>
  <c r="N700" i="1"/>
  <c r="O700" i="1" s="1"/>
  <c r="N701" i="1"/>
  <c r="O701" i="1" s="1"/>
  <c r="N702" i="1"/>
  <c r="O702" i="1" s="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O721" i="1" s="1"/>
  <c r="N722" i="1"/>
  <c r="O722" i="1" s="1"/>
  <c r="N723" i="1"/>
  <c r="O723" i="1" s="1"/>
  <c r="N724" i="1"/>
  <c r="O724" i="1" s="1"/>
  <c r="N725" i="1"/>
  <c r="O725" i="1" s="1"/>
  <c r="N726" i="1"/>
  <c r="O726" i="1" s="1"/>
  <c r="N727" i="1"/>
  <c r="O727" i="1" s="1"/>
  <c r="N728" i="1"/>
  <c r="O728" i="1" s="1"/>
  <c r="N729" i="1"/>
  <c r="O729" i="1" s="1"/>
  <c r="N730" i="1"/>
  <c r="O730" i="1" s="1"/>
  <c r="N731" i="1"/>
  <c r="O731" i="1" s="1"/>
  <c r="N732" i="1"/>
  <c r="O732" i="1" s="1"/>
  <c r="N733" i="1"/>
  <c r="O733" i="1" s="1"/>
  <c r="N734" i="1"/>
  <c r="O734" i="1" s="1"/>
  <c r="N735" i="1"/>
  <c r="O735" i="1" s="1"/>
  <c r="N736" i="1"/>
  <c r="O736" i="1" s="1"/>
  <c r="N737" i="1"/>
  <c r="O737" i="1" s="1"/>
  <c r="N738" i="1"/>
  <c r="O738" i="1" s="1"/>
  <c r="N739" i="1"/>
  <c r="O739" i="1" s="1"/>
  <c r="N740" i="1"/>
  <c r="O740" i="1" s="1"/>
  <c r="N741" i="1"/>
  <c r="O741" i="1" s="1"/>
  <c r="N742" i="1"/>
  <c r="O742" i="1" s="1"/>
  <c r="N743" i="1"/>
  <c r="O743" i="1" s="1"/>
  <c r="N744" i="1"/>
  <c r="O744" i="1" s="1"/>
  <c r="N745" i="1"/>
  <c r="O745" i="1" s="1"/>
  <c r="N746" i="1"/>
  <c r="O746" i="1" s="1"/>
  <c r="N747" i="1"/>
  <c r="O747" i="1" s="1"/>
  <c r="N748" i="1"/>
  <c r="O748" i="1" s="1"/>
  <c r="N749" i="1"/>
  <c r="O749" i="1" s="1"/>
  <c r="N750" i="1"/>
  <c r="O750" i="1" s="1"/>
  <c r="N751" i="1"/>
  <c r="O751" i="1" s="1"/>
  <c r="N752" i="1"/>
  <c r="O752" i="1" s="1"/>
  <c r="N753" i="1"/>
  <c r="O753" i="1" s="1"/>
  <c r="N754" i="1"/>
  <c r="O754" i="1" s="1"/>
  <c r="N755" i="1"/>
  <c r="O755" i="1" s="1"/>
  <c r="N756" i="1"/>
  <c r="O756" i="1" s="1"/>
  <c r="N757" i="1"/>
  <c r="O757" i="1" s="1"/>
  <c r="N758" i="1"/>
  <c r="O758" i="1" s="1"/>
  <c r="N759" i="1"/>
  <c r="O759" i="1" s="1"/>
  <c r="N760" i="1"/>
  <c r="O760" i="1" s="1"/>
  <c r="N761" i="1"/>
  <c r="O761" i="1" s="1"/>
  <c r="N762" i="1"/>
  <c r="O762" i="1" s="1"/>
  <c r="N763" i="1"/>
  <c r="O763" i="1" s="1"/>
  <c r="N764" i="1"/>
  <c r="O764" i="1" s="1"/>
  <c r="N765" i="1"/>
  <c r="O765" i="1" s="1"/>
  <c r="N766" i="1"/>
  <c r="O766" i="1" s="1"/>
  <c r="N767" i="1"/>
  <c r="O767" i="1" s="1"/>
  <c r="N768" i="1"/>
  <c r="O768" i="1" s="1"/>
  <c r="N769" i="1"/>
  <c r="O769" i="1" s="1"/>
  <c r="N770" i="1"/>
  <c r="O770" i="1" s="1"/>
  <c r="N771" i="1"/>
  <c r="O771" i="1" s="1"/>
  <c r="N772" i="1"/>
  <c r="O772" i="1" s="1"/>
  <c r="N773" i="1"/>
  <c r="O773" i="1" s="1"/>
  <c r="N774" i="1"/>
  <c r="O774" i="1" s="1"/>
  <c r="N775" i="1"/>
  <c r="O775" i="1" s="1"/>
  <c r="N776" i="1"/>
  <c r="O776" i="1" s="1"/>
  <c r="N777" i="1"/>
  <c r="O777" i="1" s="1"/>
  <c r="N778" i="1"/>
  <c r="O778" i="1" s="1"/>
  <c r="N779" i="1"/>
  <c r="O779" i="1" s="1"/>
  <c r="N780" i="1"/>
  <c r="O780" i="1" s="1"/>
  <c r="N781" i="1"/>
  <c r="O781" i="1" s="1"/>
  <c r="N782" i="1"/>
  <c r="O782" i="1" s="1"/>
  <c r="N783" i="1"/>
  <c r="O783" i="1" s="1"/>
  <c r="N784" i="1"/>
  <c r="O784" i="1" s="1"/>
  <c r="N785" i="1"/>
  <c r="O785" i="1" s="1"/>
  <c r="N786" i="1"/>
  <c r="O786" i="1" s="1"/>
  <c r="N787" i="1"/>
  <c r="O787" i="1" s="1"/>
  <c r="N788" i="1"/>
  <c r="O788" i="1" s="1"/>
  <c r="N789" i="1"/>
  <c r="O789" i="1" s="1"/>
  <c r="N790" i="1"/>
  <c r="O790" i="1" s="1"/>
  <c r="N791" i="1"/>
  <c r="O791" i="1" s="1"/>
  <c r="N792" i="1"/>
  <c r="O792" i="1" s="1"/>
  <c r="N793" i="1"/>
  <c r="O793" i="1" s="1"/>
  <c r="N794" i="1"/>
  <c r="O794" i="1" s="1"/>
  <c r="N795" i="1"/>
  <c r="O795" i="1" s="1"/>
  <c r="N796" i="1"/>
  <c r="O796" i="1" s="1"/>
  <c r="N797" i="1"/>
  <c r="O797" i="1" s="1"/>
  <c r="N798" i="1"/>
  <c r="O798" i="1" s="1"/>
  <c r="N799" i="1"/>
  <c r="O799" i="1" s="1"/>
  <c r="N800" i="1"/>
  <c r="O800" i="1" s="1"/>
  <c r="N801" i="1"/>
  <c r="O801" i="1" s="1"/>
  <c r="N802" i="1"/>
  <c r="O802" i="1" s="1"/>
  <c r="N803" i="1"/>
  <c r="O803" i="1" s="1"/>
  <c r="N804" i="1"/>
  <c r="O804" i="1" s="1"/>
  <c r="N805" i="1"/>
  <c r="O805" i="1" s="1"/>
  <c r="N806" i="1"/>
  <c r="O806" i="1" s="1"/>
  <c r="N807" i="1"/>
  <c r="O807" i="1" s="1"/>
  <c r="N808" i="1"/>
  <c r="O808" i="1" s="1"/>
  <c r="N809" i="1"/>
  <c r="O809" i="1" s="1"/>
  <c r="N810" i="1"/>
  <c r="O810" i="1" s="1"/>
  <c r="N811" i="1"/>
  <c r="O811" i="1" s="1"/>
  <c r="N812" i="1"/>
  <c r="O812" i="1" s="1"/>
  <c r="N813" i="1"/>
  <c r="O813" i="1" s="1"/>
  <c r="N814" i="1"/>
  <c r="O814" i="1" s="1"/>
  <c r="N815" i="1"/>
  <c r="O815" i="1" s="1"/>
  <c r="N816" i="1"/>
  <c r="O816" i="1" s="1"/>
  <c r="N817" i="1"/>
  <c r="O817" i="1" s="1"/>
  <c r="N818" i="1"/>
  <c r="O818" i="1" s="1"/>
  <c r="N819" i="1"/>
  <c r="O819" i="1" s="1"/>
  <c r="N820" i="1"/>
  <c r="O820" i="1" s="1"/>
  <c r="N821" i="1"/>
  <c r="O821" i="1" s="1"/>
  <c r="N822" i="1"/>
  <c r="O822" i="1" s="1"/>
  <c r="N823" i="1"/>
  <c r="O823" i="1" s="1"/>
  <c r="N824" i="1"/>
  <c r="O824" i="1" s="1"/>
  <c r="N825" i="1"/>
  <c r="O825" i="1" s="1"/>
  <c r="N826" i="1"/>
  <c r="O826" i="1" s="1"/>
  <c r="N827" i="1"/>
  <c r="O827" i="1" s="1"/>
  <c r="N828" i="1"/>
  <c r="O828" i="1" s="1"/>
  <c r="N829" i="1"/>
  <c r="O829" i="1" s="1"/>
  <c r="N830" i="1"/>
  <c r="O830" i="1" s="1"/>
  <c r="N831" i="1"/>
  <c r="O831" i="1" s="1"/>
  <c r="N832" i="1"/>
  <c r="O832" i="1" s="1"/>
  <c r="N833" i="1"/>
  <c r="O833" i="1" s="1"/>
  <c r="N834" i="1"/>
  <c r="O834" i="1" s="1"/>
  <c r="N835" i="1"/>
  <c r="O835" i="1" s="1"/>
  <c r="N836" i="1"/>
  <c r="O836" i="1" s="1"/>
  <c r="N837" i="1"/>
  <c r="O837" i="1" s="1"/>
  <c r="N838" i="1"/>
  <c r="O838" i="1" s="1"/>
  <c r="N839" i="1"/>
  <c r="O839" i="1" s="1"/>
  <c r="N840" i="1"/>
  <c r="O840" i="1" s="1"/>
  <c r="N841" i="1"/>
  <c r="O841" i="1" s="1"/>
  <c r="N842" i="1"/>
  <c r="O842" i="1" s="1"/>
  <c r="N843" i="1"/>
  <c r="O843" i="1" s="1"/>
  <c r="N844" i="1"/>
  <c r="O844" i="1" s="1"/>
  <c r="N845" i="1"/>
  <c r="O845" i="1" s="1"/>
  <c r="N846" i="1"/>
  <c r="O846" i="1" s="1"/>
  <c r="N847" i="1"/>
  <c r="O847" i="1" s="1"/>
  <c r="N848" i="1"/>
  <c r="O848" i="1" s="1"/>
  <c r="N849" i="1"/>
  <c r="O849" i="1" s="1"/>
  <c r="N850" i="1"/>
  <c r="O850" i="1" s="1"/>
  <c r="N851" i="1"/>
  <c r="O851" i="1" s="1"/>
  <c r="N852" i="1"/>
  <c r="O852" i="1" s="1"/>
  <c r="N853" i="1"/>
  <c r="O853" i="1" s="1"/>
  <c r="N854" i="1"/>
  <c r="O854" i="1" s="1"/>
  <c r="N855" i="1"/>
  <c r="O855" i="1" s="1"/>
  <c r="N856" i="1"/>
  <c r="O856" i="1" s="1"/>
  <c r="N857" i="1"/>
  <c r="O857" i="1" s="1"/>
  <c r="N858" i="1"/>
  <c r="O858" i="1" s="1"/>
  <c r="N859" i="1"/>
  <c r="O859" i="1" s="1"/>
  <c r="N860" i="1"/>
  <c r="O860" i="1" s="1"/>
  <c r="N861" i="1"/>
  <c r="O861" i="1" s="1"/>
  <c r="N862" i="1"/>
  <c r="O862" i="1" s="1"/>
  <c r="N863" i="1"/>
  <c r="O863" i="1" s="1"/>
  <c r="N864" i="1"/>
  <c r="O864" i="1" s="1"/>
  <c r="N865" i="1"/>
  <c r="O865" i="1" s="1"/>
  <c r="N866" i="1"/>
  <c r="O866" i="1" s="1"/>
  <c r="N867" i="1"/>
  <c r="O867" i="1" s="1"/>
  <c r="N868" i="1"/>
  <c r="O868" i="1" s="1"/>
  <c r="N869" i="1"/>
  <c r="O869" i="1" s="1"/>
  <c r="N870" i="1"/>
  <c r="O870" i="1" s="1"/>
  <c r="N871" i="1"/>
  <c r="O871" i="1" s="1"/>
  <c r="N872" i="1"/>
  <c r="O872" i="1" s="1"/>
  <c r="N873" i="1"/>
  <c r="O873" i="1" s="1"/>
  <c r="N874" i="1"/>
  <c r="O874" i="1" s="1"/>
  <c r="N875" i="1"/>
  <c r="O875" i="1" s="1"/>
  <c r="N876" i="1"/>
  <c r="O876" i="1" s="1"/>
  <c r="N877" i="1"/>
  <c r="O877" i="1" s="1"/>
  <c r="N878" i="1"/>
  <c r="O878" i="1" s="1"/>
  <c r="N879" i="1"/>
  <c r="O879" i="1" s="1"/>
  <c r="N880" i="1"/>
  <c r="O880" i="1" s="1"/>
  <c r="N881" i="1"/>
  <c r="O881" i="1" s="1"/>
  <c r="N882" i="1"/>
  <c r="O882" i="1" s="1"/>
  <c r="N883" i="1"/>
  <c r="O883" i="1" s="1"/>
  <c r="N884" i="1"/>
  <c r="O884" i="1" s="1"/>
  <c r="N885" i="1"/>
  <c r="O885" i="1" s="1"/>
  <c r="N886" i="1"/>
  <c r="O886" i="1" s="1"/>
  <c r="N887" i="1"/>
  <c r="O887" i="1" s="1"/>
  <c r="N888" i="1"/>
  <c r="O888" i="1" s="1"/>
  <c r="N889" i="1"/>
  <c r="O889" i="1" s="1"/>
  <c r="N890" i="1"/>
  <c r="O890" i="1" s="1"/>
  <c r="N891" i="1"/>
  <c r="O891" i="1" s="1"/>
  <c r="N892" i="1"/>
  <c r="O892" i="1" s="1"/>
  <c r="N893" i="1"/>
  <c r="O893" i="1" s="1"/>
  <c r="N894" i="1"/>
  <c r="O894" i="1" s="1"/>
  <c r="N895" i="1"/>
  <c r="O895" i="1" s="1"/>
  <c r="N896" i="1"/>
  <c r="O896" i="1" s="1"/>
  <c r="N897" i="1"/>
  <c r="O897" i="1" s="1"/>
  <c r="N898" i="1"/>
  <c r="O898" i="1" s="1"/>
  <c r="N899" i="1"/>
  <c r="O899" i="1" s="1"/>
  <c r="N900" i="1"/>
  <c r="O900" i="1" s="1"/>
  <c r="N901" i="1"/>
  <c r="O901" i="1" s="1"/>
  <c r="N902" i="1"/>
  <c r="O902" i="1" s="1"/>
  <c r="N903" i="1"/>
  <c r="O903" i="1" s="1"/>
  <c r="N904" i="1"/>
  <c r="O904" i="1" s="1"/>
  <c r="N905" i="1"/>
  <c r="O905" i="1" s="1"/>
  <c r="N906" i="1"/>
  <c r="O906" i="1" s="1"/>
  <c r="N907" i="1"/>
  <c r="O907" i="1" s="1"/>
  <c r="N908" i="1"/>
  <c r="O908" i="1" s="1"/>
  <c r="N909" i="1"/>
  <c r="O909" i="1" s="1"/>
  <c r="N910" i="1"/>
  <c r="O910" i="1" s="1"/>
  <c r="N911" i="1"/>
  <c r="O911" i="1" s="1"/>
  <c r="N912" i="1"/>
  <c r="O912" i="1" s="1"/>
  <c r="N913" i="1"/>
  <c r="O913" i="1" s="1"/>
  <c r="N914" i="1"/>
  <c r="O914" i="1" s="1"/>
  <c r="N915" i="1"/>
  <c r="O915" i="1" s="1"/>
  <c r="N916" i="1"/>
  <c r="O916" i="1" s="1"/>
  <c r="N917" i="1"/>
  <c r="O917" i="1" s="1"/>
  <c r="N918" i="1"/>
  <c r="O918" i="1" s="1"/>
  <c r="N919" i="1"/>
  <c r="O919" i="1" s="1"/>
  <c r="N920" i="1"/>
  <c r="O920" i="1" s="1"/>
  <c r="N921" i="1"/>
  <c r="O921" i="1" s="1"/>
  <c r="N922" i="1"/>
  <c r="O922" i="1" s="1"/>
  <c r="N923" i="1"/>
  <c r="O923" i="1" s="1"/>
  <c r="N924" i="1"/>
  <c r="O924" i="1" s="1"/>
  <c r="N925" i="1"/>
  <c r="O925" i="1" s="1"/>
  <c r="N926" i="1"/>
  <c r="O926" i="1" s="1"/>
  <c r="N927" i="1"/>
  <c r="O927" i="1" s="1"/>
  <c r="N928" i="1"/>
  <c r="O928" i="1" s="1"/>
  <c r="N929" i="1"/>
  <c r="O929" i="1" s="1"/>
  <c r="N930" i="1"/>
  <c r="O930" i="1" s="1"/>
  <c r="N931" i="1"/>
  <c r="O931" i="1" s="1"/>
  <c r="N932" i="1"/>
  <c r="O932" i="1" s="1"/>
  <c r="N933" i="1"/>
  <c r="O933" i="1" s="1"/>
  <c r="N934" i="1"/>
  <c r="O934" i="1" s="1"/>
  <c r="N935" i="1"/>
  <c r="O935" i="1" s="1"/>
  <c r="N936" i="1"/>
  <c r="O936" i="1" s="1"/>
  <c r="N937" i="1"/>
  <c r="O937" i="1" s="1"/>
  <c r="N938" i="1"/>
  <c r="O938" i="1" s="1"/>
  <c r="N939" i="1"/>
  <c r="O939" i="1" s="1"/>
  <c r="N940" i="1"/>
  <c r="O940" i="1" s="1"/>
  <c r="N941" i="1"/>
  <c r="O941" i="1" s="1"/>
  <c r="N942" i="1"/>
  <c r="O942" i="1" s="1"/>
  <c r="N943" i="1"/>
  <c r="O943" i="1" s="1"/>
  <c r="N944" i="1"/>
  <c r="O944" i="1" s="1"/>
  <c r="N945" i="1"/>
  <c r="O945" i="1" s="1"/>
  <c r="N946" i="1"/>
  <c r="O946" i="1" s="1"/>
  <c r="N947" i="1"/>
  <c r="O947" i="1" s="1"/>
  <c r="N948" i="1"/>
  <c r="O948" i="1" s="1"/>
  <c r="N949" i="1"/>
  <c r="O949" i="1" s="1"/>
  <c r="N950" i="1"/>
  <c r="O950" i="1" s="1"/>
  <c r="N951" i="1"/>
  <c r="O951" i="1" s="1"/>
  <c r="N952" i="1"/>
  <c r="O952" i="1" s="1"/>
  <c r="N953" i="1"/>
  <c r="O953" i="1" s="1"/>
  <c r="N954" i="1"/>
  <c r="O954" i="1" s="1"/>
  <c r="N955" i="1"/>
  <c r="O955" i="1" s="1"/>
  <c r="N956" i="1"/>
  <c r="O956" i="1" s="1"/>
  <c r="N957" i="1"/>
  <c r="O957" i="1" s="1"/>
  <c r="N958" i="1"/>
  <c r="O958" i="1" s="1"/>
  <c r="N959" i="1"/>
  <c r="O959" i="1" s="1"/>
  <c r="N960" i="1"/>
  <c r="O960" i="1" s="1"/>
  <c r="N961" i="1"/>
  <c r="O961" i="1" s="1"/>
  <c r="N962" i="1"/>
  <c r="O962" i="1" s="1"/>
  <c r="N963" i="1"/>
  <c r="O963" i="1" s="1"/>
  <c r="N964" i="1"/>
  <c r="O964" i="1" s="1"/>
  <c r="N965" i="1"/>
  <c r="O965" i="1" s="1"/>
  <c r="N966" i="1"/>
  <c r="O966" i="1" s="1"/>
  <c r="N967" i="1"/>
  <c r="O967" i="1" s="1"/>
  <c r="N968" i="1"/>
  <c r="O968" i="1" s="1"/>
  <c r="N969" i="1"/>
  <c r="O969" i="1" s="1"/>
  <c r="N970" i="1"/>
  <c r="O970" i="1" s="1"/>
  <c r="N971" i="1"/>
  <c r="O971" i="1" s="1"/>
  <c r="N972" i="1"/>
  <c r="O972" i="1" s="1"/>
  <c r="N973" i="1"/>
  <c r="O973" i="1" s="1"/>
  <c r="N974" i="1"/>
  <c r="O974" i="1" s="1"/>
  <c r="N975" i="1"/>
  <c r="O975" i="1" s="1"/>
  <c r="N976" i="1"/>
  <c r="O976" i="1" s="1"/>
  <c r="N977" i="1"/>
  <c r="O977" i="1" s="1"/>
  <c r="N978" i="1"/>
  <c r="O978" i="1" s="1"/>
  <c r="N979" i="1"/>
  <c r="O979" i="1" s="1"/>
  <c r="N980" i="1"/>
  <c r="O980" i="1" s="1"/>
  <c r="N981" i="1"/>
  <c r="O981" i="1" s="1"/>
  <c r="N982" i="1"/>
  <c r="O982" i="1" s="1"/>
  <c r="N983" i="1"/>
  <c r="O983" i="1" s="1"/>
  <c r="N984" i="1"/>
  <c r="O984" i="1" s="1"/>
  <c r="N985" i="1"/>
  <c r="O985" i="1" s="1"/>
  <c r="N986" i="1"/>
  <c r="O986" i="1" s="1"/>
  <c r="N987" i="1"/>
  <c r="O987" i="1" s="1"/>
  <c r="N988" i="1"/>
  <c r="O988" i="1" s="1"/>
  <c r="N989" i="1"/>
  <c r="O989" i="1" s="1"/>
  <c r="N990" i="1"/>
  <c r="O990" i="1" s="1"/>
  <c r="N991" i="1"/>
  <c r="O991" i="1" s="1"/>
  <c r="N992" i="1"/>
  <c r="O992" i="1" s="1"/>
  <c r="N993" i="1"/>
  <c r="O993" i="1" s="1"/>
  <c r="N994" i="1"/>
  <c r="O994" i="1" s="1"/>
  <c r="N995" i="1"/>
  <c r="O995" i="1" s="1"/>
  <c r="N996" i="1"/>
  <c r="O996" i="1" s="1"/>
  <c r="N997" i="1"/>
  <c r="O997" i="1" s="1"/>
  <c r="N998" i="1"/>
  <c r="O998" i="1" s="1"/>
  <c r="N999" i="1"/>
  <c r="O999" i="1" s="1"/>
  <c r="N1000" i="1"/>
  <c r="O1000" i="1" s="1"/>
  <c r="N1001" i="1"/>
  <c r="O1001" i="1" s="1"/>
  <c r="N1002" i="1"/>
  <c r="O1002" i="1" s="1"/>
  <c r="N1003" i="1"/>
  <c r="O1003" i="1" s="1"/>
  <c r="N1004" i="1"/>
  <c r="O1004" i="1" s="1"/>
  <c r="N1005" i="1"/>
  <c r="O1005" i="1" s="1"/>
  <c r="N1006" i="1"/>
  <c r="O1006" i="1" s="1"/>
  <c r="N1007" i="1"/>
  <c r="O1007" i="1" s="1"/>
  <c r="N1008" i="1"/>
  <c r="O1008" i="1" s="1"/>
  <c r="N1009" i="1"/>
  <c r="O1009" i="1" s="1"/>
  <c r="N1010" i="1"/>
  <c r="O1010" i="1" s="1"/>
  <c r="N1011" i="1"/>
  <c r="O1011" i="1" s="1"/>
  <c r="N1012" i="1"/>
  <c r="O1012" i="1" s="1"/>
  <c r="N1013" i="1"/>
  <c r="O1013" i="1" s="1"/>
  <c r="N1014" i="1"/>
  <c r="O1014" i="1" s="1"/>
  <c r="N1015" i="1"/>
  <c r="O1015" i="1" s="1"/>
  <c r="N1016" i="1"/>
  <c r="O1016" i="1" s="1"/>
  <c r="N1017" i="1"/>
  <c r="O1017" i="1" s="1"/>
  <c r="N1018" i="1"/>
  <c r="O1018" i="1" s="1"/>
  <c r="N1019" i="1"/>
  <c r="O1019" i="1" s="1"/>
  <c r="N1020" i="1"/>
  <c r="O1020" i="1" s="1"/>
  <c r="N1021" i="1"/>
  <c r="O1021" i="1" s="1"/>
  <c r="N1022" i="1"/>
  <c r="O1022" i="1" s="1"/>
  <c r="N1023" i="1"/>
  <c r="O1023" i="1" s="1"/>
  <c r="N1024" i="1"/>
  <c r="O1024" i="1" s="1"/>
  <c r="N1025" i="1"/>
  <c r="O1025" i="1" s="1"/>
  <c r="N1026" i="1"/>
  <c r="O1026" i="1" s="1"/>
  <c r="N1027" i="1"/>
  <c r="O1027" i="1" s="1"/>
  <c r="N1028" i="1"/>
  <c r="O1028" i="1" s="1"/>
  <c r="N1029" i="1"/>
  <c r="O1029" i="1" s="1"/>
  <c r="N1030" i="1"/>
  <c r="O1030" i="1" s="1"/>
  <c r="N1031" i="1"/>
  <c r="O1031" i="1" s="1"/>
  <c r="N1032" i="1"/>
  <c r="O1032" i="1" s="1"/>
  <c r="N1033" i="1"/>
  <c r="O1033" i="1" s="1"/>
  <c r="N1034" i="1"/>
  <c r="O1034" i="1" s="1"/>
  <c r="N1035" i="1"/>
  <c r="O1035" i="1" s="1"/>
  <c r="N1036" i="1"/>
  <c r="O1036" i="1" s="1"/>
  <c r="N1037" i="1"/>
  <c r="O1037" i="1" s="1"/>
  <c r="N1038" i="1"/>
  <c r="O1038" i="1" s="1"/>
  <c r="N1039" i="1"/>
  <c r="O1039" i="1" s="1"/>
  <c r="N1040" i="1"/>
  <c r="O1040" i="1" s="1"/>
  <c r="N1041" i="1"/>
  <c r="O1041" i="1" s="1"/>
  <c r="N1042" i="1"/>
  <c r="O1042" i="1" s="1"/>
  <c r="N1043" i="1"/>
  <c r="O1043" i="1" s="1"/>
  <c r="N1044" i="1"/>
  <c r="O1044" i="1" s="1"/>
  <c r="N1045" i="1"/>
  <c r="O1045" i="1" s="1"/>
  <c r="N1046" i="1"/>
  <c r="O1046" i="1" s="1"/>
  <c r="N1047" i="1"/>
  <c r="O1047" i="1" s="1"/>
  <c r="N1048" i="1"/>
  <c r="O1048" i="1" s="1"/>
  <c r="N1049" i="1"/>
  <c r="O1049" i="1" s="1"/>
  <c r="N1050" i="1"/>
  <c r="O1050" i="1" s="1"/>
  <c r="N1051" i="1"/>
  <c r="O1051" i="1" s="1"/>
  <c r="N1052" i="1"/>
  <c r="O1052" i="1" s="1"/>
  <c r="N1053" i="1"/>
  <c r="O1053" i="1" s="1"/>
  <c r="N1054" i="1"/>
  <c r="O1054" i="1" s="1"/>
  <c r="N1055" i="1"/>
  <c r="O1055" i="1" s="1"/>
  <c r="N1056" i="1"/>
  <c r="O1056" i="1" s="1"/>
  <c r="N1057" i="1"/>
  <c r="O1057" i="1" s="1"/>
  <c r="N1058" i="1"/>
  <c r="O1058" i="1" s="1"/>
  <c r="N1059" i="1"/>
  <c r="O1059" i="1" s="1"/>
  <c r="N1060" i="1"/>
  <c r="O1060" i="1" s="1"/>
  <c r="N1061" i="1"/>
  <c r="O1061" i="1" s="1"/>
  <c r="N1062" i="1"/>
  <c r="O1062" i="1" s="1"/>
  <c r="N1063" i="1"/>
  <c r="O1063" i="1" s="1"/>
  <c r="N1064" i="1"/>
  <c r="O1064" i="1" s="1"/>
  <c r="N1065" i="1"/>
  <c r="O1065" i="1" s="1"/>
  <c r="N1066" i="1"/>
  <c r="O1066" i="1" s="1"/>
  <c r="N1067" i="1"/>
  <c r="O1067" i="1" s="1"/>
  <c r="N1068" i="1"/>
  <c r="O1068" i="1" s="1"/>
  <c r="N1069" i="1"/>
  <c r="O1069" i="1" s="1"/>
  <c r="N1070" i="1"/>
  <c r="O1070" i="1" s="1"/>
  <c r="N1071" i="1"/>
  <c r="O1071" i="1" s="1"/>
  <c r="N1072" i="1"/>
  <c r="O1072" i="1" s="1"/>
  <c r="N1073" i="1"/>
  <c r="O1073" i="1" s="1"/>
  <c r="N1074" i="1"/>
  <c r="O1074" i="1" s="1"/>
  <c r="N1075" i="1"/>
  <c r="O1075" i="1" s="1"/>
  <c r="N1076" i="1"/>
  <c r="O1076" i="1" s="1"/>
  <c r="N1077" i="1"/>
  <c r="O1077" i="1" s="1"/>
  <c r="N1078" i="1"/>
  <c r="O1078" i="1" s="1"/>
  <c r="N1079" i="1"/>
  <c r="O1079" i="1" s="1"/>
  <c r="N1080" i="1"/>
  <c r="O1080" i="1" s="1"/>
  <c r="N1081" i="1"/>
  <c r="O1081" i="1" s="1"/>
  <c r="N1082" i="1"/>
  <c r="O1082" i="1" s="1"/>
  <c r="N1083" i="1"/>
  <c r="O1083" i="1" s="1"/>
  <c r="N1084" i="1"/>
  <c r="O1084" i="1" s="1"/>
  <c r="N1085" i="1"/>
  <c r="O1085" i="1" s="1"/>
  <c r="N1086" i="1"/>
  <c r="O1086" i="1" s="1"/>
  <c r="N1087" i="1"/>
  <c r="O1087" i="1" s="1"/>
  <c r="N1088" i="1"/>
  <c r="O1088" i="1" s="1"/>
  <c r="N1089" i="1"/>
  <c r="O1089" i="1" s="1"/>
  <c r="N1090" i="1"/>
  <c r="O1090" i="1" s="1"/>
  <c r="N1091" i="1"/>
  <c r="O1091" i="1" s="1"/>
  <c r="N1092" i="1"/>
  <c r="O1092" i="1" s="1"/>
  <c r="N1093" i="1"/>
  <c r="O1093" i="1" s="1"/>
  <c r="N1094" i="1"/>
  <c r="O1094" i="1" s="1"/>
  <c r="N1095" i="1"/>
  <c r="O1095" i="1" s="1"/>
  <c r="N1096" i="1"/>
  <c r="O1096" i="1" s="1"/>
  <c r="N1097" i="1"/>
  <c r="O1097" i="1" s="1"/>
  <c r="N1098" i="1"/>
  <c r="O1098" i="1" s="1"/>
  <c r="N1099" i="1"/>
  <c r="O1099" i="1" s="1"/>
  <c r="N1100" i="1"/>
  <c r="O1100" i="1" s="1"/>
  <c r="N1101" i="1"/>
  <c r="O1101" i="1" s="1"/>
  <c r="N1102" i="1"/>
  <c r="O1102" i="1" s="1"/>
  <c r="N1103" i="1"/>
  <c r="O1103" i="1" s="1"/>
  <c r="N1104" i="1"/>
  <c r="O1104" i="1" s="1"/>
  <c r="N1105" i="1"/>
  <c r="O1105" i="1" s="1"/>
  <c r="N1106" i="1"/>
  <c r="O1106" i="1" s="1"/>
  <c r="N1107" i="1"/>
  <c r="O1107" i="1" s="1"/>
  <c r="N1108" i="1"/>
  <c r="O1108" i="1" s="1"/>
  <c r="N1109" i="1"/>
  <c r="O1109" i="1" s="1"/>
  <c r="N1110" i="1"/>
  <c r="O1110" i="1" s="1"/>
  <c r="N1111" i="1"/>
  <c r="O1111" i="1" s="1"/>
  <c r="N1112" i="1"/>
  <c r="O1112" i="1" s="1"/>
  <c r="N1113" i="1"/>
  <c r="O1113" i="1" s="1"/>
  <c r="N1114" i="1"/>
  <c r="O1114" i="1" s="1"/>
  <c r="N1115" i="1"/>
  <c r="O1115" i="1" s="1"/>
  <c r="N1116" i="1"/>
  <c r="O1116" i="1" s="1"/>
  <c r="N1117" i="1"/>
  <c r="O1117" i="1" s="1"/>
  <c r="N1118" i="1"/>
  <c r="O1118" i="1" s="1"/>
  <c r="N1119" i="1"/>
  <c r="O1119" i="1" s="1"/>
  <c r="N1120" i="1"/>
  <c r="O1120" i="1" s="1"/>
  <c r="N1121" i="1"/>
  <c r="O1121" i="1" s="1"/>
  <c r="N1122" i="1"/>
  <c r="O1122" i="1" s="1"/>
  <c r="N1123" i="1"/>
  <c r="O1123" i="1" s="1"/>
  <c r="N1124" i="1"/>
  <c r="O1124" i="1" s="1"/>
  <c r="N1125" i="1"/>
  <c r="O1125" i="1" s="1"/>
  <c r="N1126" i="1"/>
  <c r="O1126" i="1" s="1"/>
  <c r="N1127" i="1"/>
  <c r="O1127" i="1" s="1"/>
  <c r="N1128" i="1"/>
  <c r="O1128" i="1" s="1"/>
  <c r="N1129" i="1"/>
  <c r="O1129" i="1" s="1"/>
  <c r="N1130" i="1"/>
  <c r="O1130" i="1" s="1"/>
  <c r="N1131" i="1"/>
  <c r="O1131" i="1" s="1"/>
  <c r="N1132" i="1"/>
  <c r="O1132" i="1" s="1"/>
  <c r="N1133" i="1"/>
  <c r="O1133" i="1" s="1"/>
  <c r="N1134" i="1"/>
  <c r="O1134" i="1" s="1"/>
  <c r="N1135" i="1"/>
  <c r="O1135" i="1" s="1"/>
  <c r="N1136" i="1"/>
  <c r="O1136" i="1" s="1"/>
  <c r="N1137" i="1"/>
  <c r="O1137" i="1" s="1"/>
  <c r="N1138" i="1"/>
  <c r="O1138" i="1" s="1"/>
  <c r="N1139" i="1"/>
  <c r="O1139" i="1" s="1"/>
  <c r="N1140" i="1"/>
  <c r="O1140" i="1" s="1"/>
  <c r="N1141" i="1"/>
  <c r="O1141" i="1" s="1"/>
  <c r="N1142" i="1"/>
  <c r="O1142" i="1" s="1"/>
  <c r="N1143" i="1"/>
  <c r="O1143" i="1" s="1"/>
  <c r="N1144" i="1"/>
  <c r="O1144" i="1" s="1"/>
  <c r="N1145" i="1"/>
  <c r="O1145" i="1" s="1"/>
  <c r="N1146" i="1"/>
  <c r="O1146" i="1" s="1"/>
  <c r="N1147" i="1"/>
  <c r="O1147" i="1" s="1"/>
  <c r="N1148" i="1"/>
  <c r="O1148" i="1" s="1"/>
  <c r="N1149" i="1"/>
  <c r="O1149" i="1" s="1"/>
  <c r="N1150" i="1"/>
  <c r="O1150" i="1" s="1"/>
  <c r="N1151" i="1"/>
  <c r="O1151" i="1" s="1"/>
  <c r="N1152" i="1"/>
  <c r="O1152" i="1" s="1"/>
  <c r="N1153" i="1"/>
  <c r="O1153" i="1" s="1"/>
  <c r="N1154" i="1"/>
  <c r="O1154" i="1" s="1"/>
  <c r="N1155" i="1"/>
  <c r="O1155" i="1" s="1"/>
  <c r="N1156" i="1"/>
  <c r="O1156" i="1" s="1"/>
  <c r="N1157" i="1"/>
  <c r="O1157" i="1" s="1"/>
  <c r="N1158" i="1"/>
  <c r="O1158" i="1" s="1"/>
  <c r="N1159" i="1"/>
  <c r="O1159" i="1" s="1"/>
  <c r="N1160" i="1"/>
  <c r="O1160" i="1" s="1"/>
  <c r="N1161" i="1"/>
  <c r="O1161" i="1" s="1"/>
  <c r="N1162" i="1"/>
  <c r="O1162" i="1" s="1"/>
  <c r="N1163" i="1"/>
  <c r="O1163" i="1" s="1"/>
  <c r="N1164" i="1"/>
  <c r="O1164" i="1" s="1"/>
  <c r="N1165" i="1"/>
  <c r="O1165" i="1" s="1"/>
  <c r="N1166" i="1"/>
  <c r="O1166" i="1" s="1"/>
  <c r="N1167" i="1"/>
  <c r="O1167" i="1" s="1"/>
  <c r="N1168" i="1"/>
  <c r="O1168" i="1" s="1"/>
  <c r="N1169" i="1"/>
  <c r="O1169" i="1" s="1"/>
  <c r="N1170" i="1"/>
  <c r="O1170" i="1" s="1"/>
  <c r="N1171" i="1"/>
  <c r="O1171" i="1" s="1"/>
  <c r="N1172" i="1"/>
  <c r="O1172" i="1" s="1"/>
  <c r="N1173" i="1"/>
  <c r="O1173" i="1" s="1"/>
  <c r="N1174" i="1"/>
  <c r="O1174" i="1" s="1"/>
  <c r="N1175" i="1"/>
  <c r="O1175" i="1" s="1"/>
  <c r="N1176" i="1"/>
  <c r="O1176" i="1" s="1"/>
  <c r="N1177" i="1"/>
  <c r="O1177" i="1" s="1"/>
  <c r="N1178" i="1"/>
  <c r="O1178" i="1" s="1"/>
  <c r="N1179" i="1"/>
  <c r="O1179" i="1" s="1"/>
  <c r="N1180" i="1"/>
  <c r="O1180" i="1" s="1"/>
  <c r="N1181" i="1"/>
  <c r="O1181" i="1" s="1"/>
  <c r="N1182" i="1"/>
  <c r="O1182" i="1" s="1"/>
  <c r="N1183" i="1"/>
  <c r="O1183" i="1" s="1"/>
  <c r="N1184" i="1"/>
  <c r="O1184" i="1" s="1"/>
  <c r="N1185" i="1"/>
  <c r="O1185" i="1" s="1"/>
  <c r="N1186" i="1"/>
  <c r="O1186" i="1" s="1"/>
  <c r="N1187" i="1"/>
  <c r="O1187" i="1" s="1"/>
  <c r="N1188" i="1"/>
  <c r="O1188" i="1" s="1"/>
  <c r="N1189" i="1"/>
  <c r="O1189" i="1" s="1"/>
  <c r="N1190" i="1"/>
  <c r="O1190" i="1" s="1"/>
  <c r="N1191" i="1"/>
  <c r="O1191" i="1" s="1"/>
  <c r="N1192" i="1"/>
  <c r="O1192" i="1" s="1"/>
  <c r="N1193" i="1"/>
  <c r="O1193" i="1" s="1"/>
  <c r="N1194" i="1"/>
  <c r="O1194" i="1" s="1"/>
  <c r="N1195" i="1"/>
  <c r="O1195" i="1" s="1"/>
  <c r="N1196" i="1"/>
  <c r="O1196" i="1" s="1"/>
  <c r="N1197" i="1"/>
  <c r="O1197" i="1" s="1"/>
  <c r="N1198" i="1"/>
  <c r="O1198" i="1" s="1"/>
  <c r="N1199" i="1"/>
  <c r="O1199" i="1" s="1"/>
  <c r="N1200" i="1"/>
  <c r="O1200" i="1" s="1"/>
  <c r="N1201" i="1"/>
  <c r="O1201" i="1" s="1"/>
  <c r="N1202" i="1"/>
  <c r="O1202" i="1" s="1"/>
  <c r="N1203" i="1"/>
  <c r="O1203" i="1" s="1"/>
  <c r="N1204" i="1"/>
  <c r="O1204" i="1" s="1"/>
  <c r="N1205" i="1"/>
  <c r="O1205" i="1" s="1"/>
  <c r="N1206" i="1"/>
  <c r="O1206" i="1" s="1"/>
  <c r="N1207" i="1"/>
  <c r="O1207" i="1" s="1"/>
  <c r="N1208" i="1"/>
  <c r="O1208" i="1" s="1"/>
  <c r="N1209" i="1"/>
  <c r="O1209" i="1" s="1"/>
  <c r="N1210" i="1"/>
  <c r="O1210" i="1" s="1"/>
  <c r="N1211" i="1"/>
  <c r="O1211" i="1" s="1"/>
  <c r="N1212" i="1"/>
  <c r="O1212" i="1" s="1"/>
  <c r="N1213" i="1"/>
  <c r="O1213" i="1" s="1"/>
  <c r="N1214" i="1"/>
  <c r="O1214" i="1" s="1"/>
  <c r="N1215" i="1"/>
  <c r="O1215" i="1" s="1"/>
  <c r="N1216" i="1"/>
  <c r="O1216" i="1" s="1"/>
  <c r="N1217" i="1"/>
  <c r="O1217" i="1" s="1"/>
  <c r="N1218" i="1"/>
  <c r="O1218" i="1" s="1"/>
  <c r="N1219" i="1"/>
  <c r="O1219" i="1" s="1"/>
  <c r="N1220" i="1"/>
  <c r="O1220" i="1" s="1"/>
  <c r="N1221" i="1"/>
  <c r="O1221" i="1" s="1"/>
  <c r="N1222" i="1"/>
  <c r="O1222" i="1" s="1"/>
  <c r="N1223" i="1"/>
  <c r="O1223" i="1" s="1"/>
  <c r="N1224" i="1"/>
  <c r="O1224" i="1" s="1"/>
  <c r="N1225" i="1"/>
  <c r="O1225" i="1" s="1"/>
  <c r="N1226" i="1"/>
  <c r="O1226" i="1" s="1"/>
  <c r="N1227" i="1"/>
  <c r="O1227" i="1" s="1"/>
  <c r="N1228" i="1"/>
  <c r="O1228" i="1" s="1"/>
  <c r="N1229" i="1"/>
  <c r="O1229" i="1" s="1"/>
  <c r="N1230" i="1"/>
  <c r="O1230" i="1" s="1"/>
  <c r="N1231" i="1"/>
  <c r="O1231" i="1" s="1"/>
  <c r="N1232" i="1"/>
  <c r="O1232" i="1" s="1"/>
  <c r="N1233" i="1"/>
  <c r="O1233" i="1" s="1"/>
  <c r="N1234" i="1"/>
  <c r="O1234" i="1" s="1"/>
  <c r="N1235" i="1"/>
  <c r="O1235" i="1" s="1"/>
  <c r="N1236" i="1"/>
  <c r="O1236" i="1" s="1"/>
  <c r="N1237" i="1"/>
  <c r="O1237" i="1" s="1"/>
  <c r="N1238" i="1"/>
  <c r="O1238" i="1" s="1"/>
  <c r="N1239" i="1"/>
  <c r="O1239" i="1" s="1"/>
  <c r="N1240" i="1"/>
  <c r="O1240" i="1" s="1"/>
  <c r="N1241" i="1"/>
  <c r="O1241" i="1" s="1"/>
  <c r="N1242" i="1"/>
  <c r="O1242" i="1" s="1"/>
  <c r="N1243" i="1"/>
  <c r="O1243" i="1" s="1"/>
  <c r="N1244" i="1"/>
  <c r="O1244" i="1" s="1"/>
  <c r="N1245" i="1"/>
  <c r="O1245" i="1" s="1"/>
  <c r="N1246" i="1"/>
  <c r="O1246" i="1" s="1"/>
  <c r="N1247" i="1"/>
  <c r="O1247" i="1" s="1"/>
  <c r="N1248" i="1"/>
  <c r="O1248" i="1" s="1"/>
  <c r="N1249" i="1"/>
  <c r="O1249" i="1" s="1"/>
  <c r="N1250" i="1"/>
  <c r="O1250" i="1" s="1"/>
  <c r="N1251" i="1"/>
  <c r="O1251" i="1" s="1"/>
  <c r="N1252" i="1"/>
  <c r="O1252" i="1" s="1"/>
  <c r="N1253" i="1"/>
  <c r="O1253" i="1" s="1"/>
  <c r="N1254" i="1"/>
  <c r="O1254" i="1" s="1"/>
  <c r="N1255" i="1"/>
  <c r="O1255" i="1" s="1"/>
  <c r="N1256" i="1"/>
  <c r="O1256" i="1" s="1"/>
  <c r="N1257" i="1"/>
  <c r="O1257" i="1" s="1"/>
  <c r="N1258" i="1"/>
  <c r="O1258" i="1" s="1"/>
  <c r="N1259" i="1"/>
  <c r="O1259" i="1" s="1"/>
  <c r="N1260" i="1"/>
  <c r="O1260" i="1" s="1"/>
  <c r="N1261" i="1"/>
  <c r="O1261" i="1" s="1"/>
  <c r="N1262" i="1"/>
  <c r="O1262" i="1" s="1"/>
  <c r="N1263" i="1"/>
  <c r="O1263" i="1" s="1"/>
  <c r="N1264" i="1"/>
  <c r="O1264" i="1" s="1"/>
  <c r="N1265" i="1"/>
  <c r="O1265" i="1" s="1"/>
  <c r="N1266" i="1"/>
  <c r="O1266" i="1" s="1"/>
  <c r="N1267" i="1"/>
  <c r="O1267" i="1" s="1"/>
  <c r="N1268" i="1"/>
  <c r="O1268" i="1" s="1"/>
  <c r="N1269" i="1"/>
  <c r="O1269" i="1" s="1"/>
  <c r="N1270" i="1"/>
  <c r="O1270" i="1" s="1"/>
  <c r="N1271" i="1"/>
  <c r="O1271" i="1" s="1"/>
  <c r="N1272" i="1"/>
  <c r="O1272" i="1" s="1"/>
  <c r="N1273" i="1"/>
  <c r="O1273" i="1" s="1"/>
  <c r="N1274" i="1"/>
  <c r="O1274" i="1" s="1"/>
  <c r="N1275" i="1"/>
  <c r="O1275" i="1" s="1"/>
  <c r="N1276" i="1"/>
  <c r="O1276" i="1" s="1"/>
  <c r="N1277" i="1"/>
  <c r="O1277" i="1" s="1"/>
  <c r="N1278" i="1"/>
  <c r="O1278" i="1" s="1"/>
  <c r="N1279" i="1"/>
  <c r="O1279" i="1" s="1"/>
  <c r="N1280" i="1"/>
  <c r="O1280" i="1" s="1"/>
  <c r="N1281" i="1"/>
  <c r="O1281" i="1" s="1"/>
  <c r="N1282" i="1"/>
  <c r="O1282" i="1" s="1"/>
  <c r="N1283" i="1"/>
  <c r="O1283" i="1" s="1"/>
  <c r="N1284" i="1"/>
  <c r="O1284" i="1" s="1"/>
  <c r="N1285" i="1"/>
  <c r="O1285" i="1" s="1"/>
  <c r="N1286" i="1"/>
  <c r="O1286" i="1" s="1"/>
  <c r="N1287" i="1"/>
  <c r="O1287" i="1" s="1"/>
  <c r="N1288" i="1"/>
  <c r="O1288" i="1" s="1"/>
  <c r="N1289" i="1"/>
  <c r="O1289" i="1" s="1"/>
  <c r="N1290" i="1"/>
  <c r="O1290" i="1" s="1"/>
  <c r="N1291" i="1"/>
  <c r="O1291" i="1" s="1"/>
  <c r="N1292" i="1"/>
  <c r="O1292" i="1" s="1"/>
  <c r="N1293" i="1"/>
  <c r="O1293" i="1" s="1"/>
  <c r="N1294" i="1"/>
  <c r="O1294" i="1" s="1"/>
  <c r="N1295" i="1"/>
  <c r="O1295" i="1" s="1"/>
  <c r="N1296" i="1"/>
  <c r="O1296" i="1" s="1"/>
  <c r="N1297" i="1"/>
  <c r="O1297" i="1" s="1"/>
  <c r="N1298" i="1"/>
  <c r="O1298" i="1" s="1"/>
  <c r="N1299" i="1"/>
  <c r="O1299" i="1" s="1"/>
  <c r="N1300" i="1"/>
  <c r="O1300" i="1" s="1"/>
  <c r="N1301" i="1"/>
  <c r="O1301" i="1" s="1"/>
  <c r="N1302" i="1"/>
  <c r="O1302" i="1" s="1"/>
  <c r="N1303" i="1"/>
  <c r="O1303" i="1" s="1"/>
  <c r="N1304" i="1"/>
  <c r="O1304" i="1" s="1"/>
  <c r="N1305" i="1"/>
  <c r="O1305" i="1" s="1"/>
  <c r="N1306" i="1"/>
  <c r="O1306" i="1" s="1"/>
  <c r="N1307" i="1"/>
  <c r="O1307" i="1" s="1"/>
  <c r="N1308" i="1"/>
  <c r="O1308" i="1" s="1"/>
  <c r="N1309" i="1"/>
  <c r="O1309" i="1" s="1"/>
  <c r="N1310" i="1"/>
  <c r="O1310" i="1" s="1"/>
  <c r="N1311" i="1"/>
  <c r="O1311" i="1" s="1"/>
  <c r="N1312" i="1"/>
  <c r="O1312" i="1" s="1"/>
  <c r="N1313" i="1"/>
  <c r="O1313" i="1" s="1"/>
  <c r="N1314" i="1"/>
  <c r="O1314" i="1" s="1"/>
  <c r="N1315" i="1"/>
  <c r="O1315" i="1" s="1"/>
  <c r="N1316" i="1"/>
  <c r="O1316" i="1" s="1"/>
  <c r="N1317" i="1"/>
  <c r="O1317" i="1" s="1"/>
  <c r="N1318" i="1"/>
  <c r="O1318" i="1" s="1"/>
  <c r="N1319" i="1"/>
  <c r="O1319" i="1" s="1"/>
  <c r="N1320" i="1"/>
  <c r="O1320" i="1" s="1"/>
  <c r="N1321" i="1"/>
  <c r="O1321" i="1" s="1"/>
  <c r="N1322" i="1"/>
  <c r="O1322" i="1" s="1"/>
  <c r="N1323" i="1"/>
  <c r="O1323" i="1" s="1"/>
  <c r="N1324" i="1"/>
  <c r="O1324" i="1" s="1"/>
  <c r="N1325" i="1"/>
  <c r="O1325" i="1" s="1"/>
  <c r="N1326" i="1"/>
  <c r="O1326" i="1" s="1"/>
  <c r="N1327" i="1"/>
  <c r="O1327" i="1" s="1"/>
  <c r="N1328" i="1"/>
  <c r="O1328" i="1" s="1"/>
  <c r="N1329" i="1"/>
  <c r="O1329" i="1" s="1"/>
  <c r="N1330" i="1"/>
  <c r="O1330" i="1" s="1"/>
  <c r="N1331" i="1"/>
  <c r="O1331" i="1" s="1"/>
  <c r="N1332" i="1"/>
  <c r="O1332" i="1" s="1"/>
  <c r="N1333" i="1"/>
  <c r="O1333" i="1" s="1"/>
  <c r="N1334" i="1"/>
  <c r="O1334" i="1" s="1"/>
  <c r="N1335" i="1"/>
  <c r="O1335" i="1" s="1"/>
  <c r="N1336" i="1"/>
  <c r="O1336" i="1" s="1"/>
  <c r="N1337" i="1"/>
  <c r="O1337" i="1" s="1"/>
  <c r="N1338" i="1"/>
  <c r="O1338" i="1" s="1"/>
  <c r="N1339" i="1"/>
  <c r="O1339" i="1" s="1"/>
  <c r="N1340" i="1"/>
  <c r="O1340" i="1" s="1"/>
  <c r="N1341" i="1"/>
  <c r="O1341" i="1" s="1"/>
  <c r="N1342" i="1"/>
  <c r="O1342" i="1" s="1"/>
  <c r="N1343" i="1"/>
  <c r="O1343" i="1" s="1"/>
  <c r="N1344" i="1"/>
  <c r="O1344" i="1" s="1"/>
  <c r="N1345" i="1"/>
  <c r="O1345" i="1" s="1"/>
  <c r="N1346" i="1"/>
  <c r="O1346" i="1" s="1"/>
  <c r="N1347" i="1"/>
  <c r="O1347" i="1" s="1"/>
  <c r="N1348" i="1"/>
  <c r="O1348" i="1" s="1"/>
  <c r="N1349" i="1"/>
  <c r="O1349" i="1" s="1"/>
  <c r="N1350" i="1"/>
  <c r="O1350" i="1" s="1"/>
  <c r="N1351" i="1"/>
  <c r="O1351" i="1" s="1"/>
  <c r="N1352" i="1"/>
  <c r="O1352" i="1" s="1"/>
  <c r="N1353" i="1"/>
  <c r="O1353" i="1" s="1"/>
  <c r="N1354" i="1"/>
  <c r="O1354" i="1" s="1"/>
  <c r="N1355" i="1"/>
  <c r="O1355" i="1" s="1"/>
  <c r="N1356" i="1"/>
  <c r="O1356" i="1" s="1"/>
  <c r="N1357" i="1"/>
  <c r="O1357" i="1" s="1"/>
  <c r="N1358" i="1"/>
  <c r="O1358" i="1" s="1"/>
  <c r="N1359" i="1"/>
  <c r="O1359" i="1" s="1"/>
  <c r="N1360" i="1"/>
  <c r="O1360" i="1" s="1"/>
  <c r="N1361" i="1"/>
  <c r="O1361" i="1" s="1"/>
  <c r="N1362" i="1"/>
  <c r="O1362" i="1" s="1"/>
  <c r="N1363" i="1"/>
  <c r="O1363" i="1" s="1"/>
  <c r="N1364" i="1"/>
  <c r="O1364" i="1" s="1"/>
  <c r="N1365" i="1"/>
  <c r="O1365" i="1" s="1"/>
  <c r="N1366" i="1"/>
  <c r="O1366" i="1" s="1"/>
  <c r="N1367" i="1"/>
  <c r="O1367" i="1" s="1"/>
  <c r="N1368" i="1"/>
  <c r="O1368" i="1" s="1"/>
  <c r="N1369" i="1"/>
  <c r="O1369" i="1" s="1"/>
  <c r="N1370" i="1"/>
  <c r="O1370" i="1" s="1"/>
  <c r="N1371" i="1"/>
  <c r="O1371" i="1" s="1"/>
  <c r="N1372" i="1"/>
  <c r="O1372" i="1" s="1"/>
  <c r="N1373" i="1"/>
  <c r="O1373" i="1" s="1"/>
  <c r="N1374" i="1"/>
  <c r="O1374" i="1" s="1"/>
  <c r="N1375" i="1"/>
  <c r="O1375" i="1" s="1"/>
  <c r="N1376" i="1"/>
  <c r="O1376" i="1" s="1"/>
  <c r="N1377" i="1"/>
  <c r="O1377" i="1" s="1"/>
  <c r="N1378" i="1"/>
  <c r="O1378" i="1" s="1"/>
  <c r="N1379" i="1"/>
  <c r="O1379" i="1" s="1"/>
  <c r="N1380" i="1"/>
  <c r="O1380" i="1" s="1"/>
  <c r="N1381" i="1"/>
  <c r="O1381" i="1" s="1"/>
  <c r="N1382" i="1"/>
  <c r="O1382" i="1" s="1"/>
  <c r="N1383" i="1"/>
  <c r="O1383" i="1" s="1"/>
  <c r="N1384" i="1"/>
  <c r="O1384" i="1" s="1"/>
  <c r="N1385" i="1"/>
  <c r="O1385" i="1" s="1"/>
  <c r="N1386" i="1"/>
  <c r="O1386" i="1" s="1"/>
  <c r="N1387" i="1"/>
  <c r="O1387" i="1" s="1"/>
  <c r="N1388" i="1"/>
  <c r="O1388" i="1" s="1"/>
  <c r="N1389" i="1"/>
  <c r="O1389" i="1" s="1"/>
  <c r="N1390" i="1"/>
  <c r="O1390" i="1" s="1"/>
  <c r="N1391" i="1"/>
  <c r="O1391" i="1" s="1"/>
  <c r="N1392" i="1"/>
  <c r="O1392" i="1" s="1"/>
  <c r="N1393" i="1"/>
  <c r="O1393" i="1" s="1"/>
  <c r="N1394" i="1"/>
  <c r="O1394" i="1" s="1"/>
  <c r="N1395" i="1"/>
  <c r="O1395" i="1" s="1"/>
  <c r="N1396" i="1"/>
  <c r="O1396" i="1" s="1"/>
  <c r="N1397" i="1"/>
  <c r="O1397" i="1" s="1"/>
  <c r="N1398" i="1"/>
  <c r="O1398" i="1" s="1"/>
  <c r="N1399" i="1"/>
  <c r="O1399" i="1" s="1"/>
  <c r="N1400" i="1"/>
  <c r="O1400" i="1" s="1"/>
  <c r="N1401" i="1"/>
  <c r="O1401" i="1" s="1"/>
  <c r="N1402" i="1"/>
  <c r="O1402" i="1" s="1"/>
  <c r="N1403" i="1"/>
  <c r="O1403" i="1" s="1"/>
  <c r="N1404" i="1"/>
  <c r="O1404" i="1" s="1"/>
  <c r="N1405" i="1"/>
  <c r="O1405" i="1" s="1"/>
  <c r="N1406" i="1"/>
  <c r="O1406" i="1" s="1"/>
  <c r="N1407" i="1"/>
  <c r="O1407" i="1" s="1"/>
  <c r="N1408" i="1"/>
  <c r="O1408" i="1" s="1"/>
  <c r="N1409" i="1"/>
  <c r="O1409" i="1" s="1"/>
  <c r="N1410" i="1"/>
  <c r="O1410" i="1" s="1"/>
  <c r="N1411" i="1"/>
  <c r="O1411" i="1" s="1"/>
  <c r="N1412" i="1"/>
  <c r="O1412" i="1" s="1"/>
  <c r="N1413" i="1"/>
  <c r="O1413" i="1" s="1"/>
  <c r="N1414" i="1"/>
  <c r="O1414" i="1" s="1"/>
  <c r="N1415" i="1"/>
  <c r="O1415" i="1" s="1"/>
  <c r="N1416" i="1"/>
  <c r="O1416" i="1" s="1"/>
  <c r="N1417" i="1"/>
  <c r="O1417" i="1" s="1"/>
  <c r="N1418" i="1"/>
  <c r="O1418" i="1" s="1"/>
  <c r="N1419" i="1"/>
  <c r="O1419" i="1" s="1"/>
  <c r="N1420" i="1"/>
  <c r="O1420" i="1" s="1"/>
  <c r="N1421" i="1"/>
  <c r="O1421" i="1" s="1"/>
  <c r="N1422" i="1"/>
  <c r="O1422" i="1" s="1"/>
  <c r="N1423" i="1"/>
  <c r="O1423" i="1" s="1"/>
  <c r="N1424" i="1"/>
  <c r="O1424" i="1" s="1"/>
  <c r="N1425" i="1"/>
  <c r="O1425" i="1" s="1"/>
  <c r="N2" i="1"/>
  <c r="O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2" i="1"/>
  <c r="Q3" i="1"/>
  <c r="R3" i="1"/>
  <c r="Q4" i="1"/>
  <c r="R4" i="1"/>
  <c r="Q5" i="1"/>
  <c r="R5" i="1"/>
  <c r="Q6" i="1"/>
  <c r="R6" i="1"/>
  <c r="Q7" i="1"/>
  <c r="R7" i="1"/>
  <c r="Q8" i="1"/>
  <c r="R8" i="1"/>
  <c r="Q9" i="1"/>
  <c r="R9" i="1"/>
  <c r="Q10" i="1"/>
  <c r="R10" i="1"/>
  <c r="Q11" i="1"/>
  <c r="R11" i="1"/>
  <c r="Q12" i="1"/>
  <c r="R12" i="1"/>
  <c r="Q13" i="1"/>
  <c r="R13" i="1"/>
  <c r="Q14" i="1"/>
  <c r="R14" i="1"/>
  <c r="Q15" i="1"/>
  <c r="R15" i="1"/>
  <c r="Q16" i="1"/>
  <c r="R16" i="1"/>
  <c r="Q17" i="1"/>
  <c r="R17" i="1"/>
  <c r="Q18" i="1"/>
  <c r="R18" i="1"/>
  <c r="Q19" i="1"/>
  <c r="R19" i="1"/>
  <c r="Q20" i="1"/>
  <c r="R20" i="1"/>
  <c r="Q21" i="1"/>
  <c r="R21" i="1"/>
  <c r="Q22" i="1"/>
  <c r="R22" i="1"/>
  <c r="Q23" i="1"/>
  <c r="R23" i="1"/>
  <c r="Q24" i="1"/>
  <c r="R24" i="1"/>
  <c r="Q25" i="1"/>
  <c r="R25" i="1"/>
  <c r="Q26" i="1"/>
  <c r="R26" i="1"/>
  <c r="Q27" i="1"/>
  <c r="R27" i="1"/>
  <c r="Q28" i="1"/>
  <c r="R28" i="1"/>
  <c r="Q29" i="1"/>
  <c r="R29" i="1"/>
  <c r="Q30" i="1"/>
  <c r="R30" i="1"/>
  <c r="Q31" i="1"/>
  <c r="R31" i="1"/>
  <c r="Q32" i="1"/>
  <c r="R32" i="1"/>
  <c r="Q33" i="1"/>
  <c r="R33" i="1"/>
  <c r="Q34" i="1"/>
  <c r="R34" i="1"/>
  <c r="Q35" i="1"/>
  <c r="R35" i="1"/>
  <c r="Q36" i="1"/>
  <c r="R36" i="1"/>
  <c r="Q37" i="1"/>
  <c r="R37" i="1"/>
  <c r="Q38" i="1"/>
  <c r="R38" i="1"/>
  <c r="Q39" i="1"/>
  <c r="R39" i="1"/>
  <c r="Q40" i="1"/>
  <c r="R40" i="1"/>
  <c r="Q41" i="1"/>
  <c r="R41" i="1"/>
  <c r="Q42" i="1"/>
  <c r="R42" i="1"/>
  <c r="Q43" i="1"/>
  <c r="R43" i="1"/>
  <c r="Q44" i="1"/>
  <c r="R44" i="1"/>
  <c r="Q45" i="1"/>
  <c r="R45" i="1"/>
  <c r="Q46" i="1"/>
  <c r="R46" i="1"/>
  <c r="Q47" i="1"/>
  <c r="R47" i="1"/>
  <c r="Q48" i="1"/>
  <c r="R48" i="1"/>
  <c r="Q49" i="1"/>
  <c r="R49" i="1"/>
  <c r="Q50" i="1"/>
  <c r="R50" i="1"/>
  <c r="Q51" i="1"/>
  <c r="R51" i="1"/>
  <c r="Q52" i="1"/>
  <c r="R52" i="1"/>
  <c r="Q53" i="1"/>
  <c r="R53" i="1"/>
  <c r="Q54" i="1"/>
  <c r="R54" i="1"/>
  <c r="Q55" i="1"/>
  <c r="R55" i="1"/>
  <c r="Q56" i="1"/>
  <c r="R56" i="1"/>
  <c r="Q57" i="1"/>
  <c r="R57" i="1"/>
  <c r="Q58" i="1"/>
  <c r="R58" i="1"/>
  <c r="Q59" i="1"/>
  <c r="R59" i="1"/>
  <c r="Q60" i="1"/>
  <c r="R60" i="1"/>
  <c r="Q61" i="1"/>
  <c r="R61" i="1"/>
  <c r="Q62" i="1"/>
  <c r="R62" i="1"/>
  <c r="Q63" i="1"/>
  <c r="R63" i="1"/>
  <c r="Q64" i="1"/>
  <c r="R64" i="1"/>
  <c r="Q65" i="1"/>
  <c r="R65" i="1"/>
  <c r="Q66" i="1"/>
  <c r="R66" i="1"/>
  <c r="Q67" i="1"/>
  <c r="R67" i="1"/>
  <c r="Q68" i="1"/>
  <c r="R68" i="1"/>
  <c r="Q69" i="1"/>
  <c r="R69" i="1"/>
  <c r="Q70" i="1"/>
  <c r="R70" i="1"/>
  <c r="Q71" i="1"/>
  <c r="R71" i="1"/>
  <c r="Q72" i="1"/>
  <c r="R72" i="1"/>
  <c r="Q73" i="1"/>
  <c r="R73" i="1"/>
  <c r="Q74" i="1"/>
  <c r="R74" i="1"/>
  <c r="Q75" i="1"/>
  <c r="R75" i="1"/>
  <c r="Q76" i="1"/>
  <c r="R76" i="1"/>
  <c r="Q77" i="1"/>
  <c r="R77" i="1"/>
  <c r="Q78" i="1"/>
  <c r="R78" i="1"/>
  <c r="Q79" i="1"/>
  <c r="R79" i="1"/>
  <c r="Q80" i="1"/>
  <c r="R80" i="1"/>
  <c r="Q81" i="1"/>
  <c r="R81" i="1"/>
  <c r="Q82" i="1"/>
  <c r="R82" i="1"/>
  <c r="Q83" i="1"/>
  <c r="R83" i="1"/>
  <c r="Q84" i="1"/>
  <c r="R84" i="1"/>
  <c r="Q85" i="1"/>
  <c r="R85" i="1"/>
  <c r="Q86" i="1"/>
  <c r="R86" i="1"/>
  <c r="Q87" i="1"/>
  <c r="R87" i="1"/>
  <c r="Q88" i="1"/>
  <c r="R88" i="1"/>
  <c r="Q89" i="1"/>
  <c r="R89" i="1"/>
  <c r="Q90" i="1"/>
  <c r="R90" i="1"/>
  <c r="Q91" i="1"/>
  <c r="R91" i="1"/>
  <c r="Q92" i="1"/>
  <c r="R92" i="1"/>
  <c r="Q93" i="1"/>
  <c r="R93" i="1"/>
  <c r="Q94" i="1"/>
  <c r="R94" i="1"/>
  <c r="Q95" i="1"/>
  <c r="R95" i="1"/>
  <c r="Q96" i="1"/>
  <c r="R96" i="1"/>
  <c r="Q97" i="1"/>
  <c r="R97" i="1"/>
  <c r="Q98" i="1"/>
  <c r="R98" i="1"/>
  <c r="Q99" i="1"/>
  <c r="R99" i="1"/>
  <c r="Q100" i="1"/>
  <c r="R100" i="1"/>
  <c r="Q101" i="1"/>
  <c r="R101" i="1"/>
  <c r="Q102" i="1"/>
  <c r="R102" i="1"/>
  <c r="Q103" i="1"/>
  <c r="R103" i="1"/>
  <c r="Q104" i="1"/>
  <c r="R104" i="1"/>
  <c r="Q105" i="1"/>
  <c r="R105" i="1"/>
  <c r="Q106" i="1"/>
  <c r="R106" i="1"/>
  <c r="Q107" i="1"/>
  <c r="R107" i="1"/>
  <c r="Q108" i="1"/>
  <c r="R108" i="1"/>
  <c r="Q109" i="1"/>
  <c r="R109" i="1"/>
  <c r="Q110" i="1"/>
  <c r="R110" i="1"/>
  <c r="Q111" i="1"/>
  <c r="R111" i="1"/>
  <c r="Q112" i="1"/>
  <c r="R112" i="1"/>
  <c r="Q113" i="1"/>
  <c r="R113" i="1"/>
  <c r="Q114" i="1"/>
  <c r="R114" i="1"/>
  <c r="Q115" i="1"/>
  <c r="R115" i="1"/>
  <c r="Q116" i="1"/>
  <c r="R116" i="1"/>
  <c r="Q117" i="1"/>
  <c r="R117" i="1"/>
  <c r="Q118" i="1"/>
  <c r="R118" i="1"/>
  <c r="Q119" i="1"/>
  <c r="R119" i="1"/>
  <c r="Q120" i="1"/>
  <c r="R120" i="1"/>
  <c r="Q121" i="1"/>
  <c r="R121" i="1"/>
  <c r="Q122" i="1"/>
  <c r="R122" i="1"/>
  <c r="Q123" i="1"/>
  <c r="R123" i="1"/>
  <c r="Q124" i="1"/>
  <c r="R124" i="1"/>
  <c r="Q125" i="1"/>
  <c r="R125" i="1"/>
  <c r="Q126" i="1"/>
  <c r="R126" i="1"/>
  <c r="Q127" i="1"/>
  <c r="R127" i="1"/>
  <c r="Q128" i="1"/>
  <c r="R128" i="1"/>
  <c r="Q129" i="1"/>
  <c r="R129" i="1"/>
  <c r="Q130" i="1"/>
  <c r="R130" i="1"/>
  <c r="Q131" i="1"/>
  <c r="R131" i="1"/>
  <c r="Q132" i="1"/>
  <c r="R132" i="1"/>
  <c r="Q133" i="1"/>
  <c r="R133" i="1"/>
  <c r="Q134" i="1"/>
  <c r="R134" i="1"/>
  <c r="Q135" i="1"/>
  <c r="R135" i="1"/>
  <c r="Q136" i="1"/>
  <c r="R136" i="1"/>
  <c r="Q137" i="1"/>
  <c r="R137" i="1"/>
  <c r="Q138" i="1"/>
  <c r="R138" i="1"/>
  <c r="Q139" i="1"/>
  <c r="R139" i="1"/>
  <c r="Q140" i="1"/>
  <c r="R140" i="1"/>
  <c r="Q141" i="1"/>
  <c r="R141" i="1"/>
  <c r="Q142" i="1"/>
  <c r="R142" i="1"/>
  <c r="Q143" i="1"/>
  <c r="R143" i="1"/>
  <c r="Q144" i="1"/>
  <c r="R144" i="1"/>
  <c r="Q145" i="1"/>
  <c r="R145" i="1"/>
  <c r="Q146" i="1"/>
  <c r="R146" i="1"/>
  <c r="Q147" i="1"/>
  <c r="R147" i="1"/>
  <c r="Q148" i="1"/>
  <c r="R148" i="1"/>
  <c r="Q149" i="1"/>
  <c r="R149" i="1"/>
  <c r="Q150" i="1"/>
  <c r="R150" i="1"/>
  <c r="Q151" i="1"/>
  <c r="R151" i="1"/>
  <c r="Q152" i="1"/>
  <c r="R152" i="1"/>
  <c r="Q153" i="1"/>
  <c r="R153" i="1"/>
  <c r="Q154" i="1"/>
  <c r="R154" i="1"/>
  <c r="Q155" i="1"/>
  <c r="R155" i="1"/>
  <c r="Q156" i="1"/>
  <c r="R156" i="1"/>
  <c r="Q157" i="1"/>
  <c r="R157" i="1"/>
  <c r="Q158" i="1"/>
  <c r="R158" i="1"/>
  <c r="Q159" i="1"/>
  <c r="R159" i="1"/>
  <c r="Q160" i="1"/>
  <c r="R160" i="1"/>
  <c r="Q161" i="1"/>
  <c r="R161" i="1"/>
  <c r="Q162" i="1"/>
  <c r="R162" i="1"/>
  <c r="Q163" i="1"/>
  <c r="R163" i="1"/>
  <c r="Q164" i="1"/>
  <c r="R164" i="1"/>
  <c r="Q165" i="1"/>
  <c r="R165" i="1"/>
  <c r="Q166" i="1"/>
  <c r="R166" i="1"/>
  <c r="Q167" i="1"/>
  <c r="R167" i="1"/>
  <c r="Q168" i="1"/>
  <c r="R168" i="1"/>
  <c r="Q169" i="1"/>
  <c r="R169" i="1"/>
  <c r="Q170" i="1"/>
  <c r="R170" i="1"/>
  <c r="Q171" i="1"/>
  <c r="R171" i="1"/>
  <c r="Q172" i="1"/>
  <c r="R172" i="1"/>
  <c r="Q173" i="1"/>
  <c r="R173" i="1"/>
  <c r="Q174" i="1"/>
  <c r="R174" i="1"/>
  <c r="Q175" i="1"/>
  <c r="R175" i="1"/>
  <c r="Q176" i="1"/>
  <c r="R176" i="1"/>
  <c r="Q177" i="1"/>
  <c r="R177" i="1"/>
  <c r="Q178" i="1"/>
  <c r="R178" i="1"/>
  <c r="Q179" i="1"/>
  <c r="R179" i="1"/>
  <c r="Q180" i="1"/>
  <c r="R180" i="1"/>
  <c r="Q181" i="1"/>
  <c r="R181" i="1"/>
  <c r="Q182" i="1"/>
  <c r="R182" i="1"/>
  <c r="Q183" i="1"/>
  <c r="R183" i="1"/>
  <c r="Q184" i="1"/>
  <c r="R184" i="1"/>
  <c r="Q185" i="1"/>
  <c r="R185" i="1"/>
  <c r="Q186" i="1"/>
  <c r="R186" i="1"/>
  <c r="Q187" i="1"/>
  <c r="R187" i="1"/>
  <c r="Q188" i="1"/>
  <c r="R188" i="1"/>
  <c r="Q189" i="1"/>
  <c r="R189" i="1"/>
  <c r="Q190" i="1"/>
  <c r="R190" i="1"/>
  <c r="Q191" i="1"/>
  <c r="R191" i="1"/>
  <c r="Q192" i="1"/>
  <c r="R192" i="1"/>
  <c r="Q193" i="1"/>
  <c r="R193" i="1"/>
  <c r="Q194" i="1"/>
  <c r="R194" i="1"/>
  <c r="Q195" i="1"/>
  <c r="R195" i="1"/>
  <c r="Q196" i="1"/>
  <c r="R196" i="1"/>
  <c r="Q197" i="1"/>
  <c r="R197" i="1"/>
  <c r="Q198" i="1"/>
  <c r="R198" i="1"/>
  <c r="Q199" i="1"/>
  <c r="R199" i="1"/>
  <c r="Q200" i="1"/>
  <c r="R200" i="1"/>
  <c r="Q201" i="1"/>
  <c r="R201" i="1"/>
  <c r="Q202" i="1"/>
  <c r="R202" i="1"/>
  <c r="Q203" i="1"/>
  <c r="R203" i="1"/>
  <c r="Q204" i="1"/>
  <c r="R204" i="1"/>
  <c r="Q205" i="1"/>
  <c r="R205" i="1"/>
  <c r="Q206" i="1"/>
  <c r="R206" i="1"/>
  <c r="Q207" i="1"/>
  <c r="R207" i="1"/>
  <c r="Q208" i="1"/>
  <c r="R208" i="1"/>
  <c r="Q209" i="1"/>
  <c r="R209" i="1"/>
  <c r="Q210" i="1"/>
  <c r="R210" i="1"/>
  <c r="Q211" i="1"/>
  <c r="R211" i="1"/>
  <c r="Q212" i="1"/>
  <c r="R212" i="1"/>
  <c r="Q213" i="1"/>
  <c r="R213" i="1"/>
  <c r="Q214" i="1"/>
  <c r="R214" i="1"/>
  <c r="Q215" i="1"/>
  <c r="R215" i="1"/>
  <c r="Q216" i="1"/>
  <c r="R216" i="1"/>
  <c r="Q217" i="1"/>
  <c r="R217" i="1"/>
  <c r="Q218" i="1"/>
  <c r="R218" i="1"/>
  <c r="Q219" i="1"/>
  <c r="R219" i="1"/>
  <c r="Q220" i="1"/>
  <c r="R220" i="1"/>
  <c r="Q221" i="1"/>
  <c r="R221" i="1"/>
  <c r="Q222" i="1"/>
  <c r="R222" i="1"/>
  <c r="Q223" i="1"/>
  <c r="R223" i="1"/>
  <c r="Q224" i="1"/>
  <c r="R224" i="1"/>
  <c r="Q225" i="1"/>
  <c r="R225" i="1"/>
  <c r="Q226" i="1"/>
  <c r="R226" i="1"/>
  <c r="Q227" i="1"/>
  <c r="R227" i="1"/>
  <c r="Q228" i="1"/>
  <c r="R228" i="1"/>
  <c r="Q229" i="1"/>
  <c r="R229" i="1"/>
  <c r="Q230" i="1"/>
  <c r="R230" i="1"/>
  <c r="Q231" i="1"/>
  <c r="R231" i="1"/>
  <c r="Q232" i="1"/>
  <c r="R232" i="1"/>
  <c r="Q233" i="1"/>
  <c r="R233" i="1"/>
  <c r="Q234" i="1"/>
  <c r="R234" i="1"/>
  <c r="Q235" i="1"/>
  <c r="R235" i="1"/>
  <c r="Q236" i="1"/>
  <c r="R236" i="1"/>
  <c r="Q237" i="1"/>
  <c r="R237" i="1"/>
  <c r="Q238" i="1"/>
  <c r="R238" i="1"/>
  <c r="Q239" i="1"/>
  <c r="R239" i="1"/>
  <c r="Q240" i="1"/>
  <c r="R240" i="1"/>
  <c r="Q241" i="1"/>
  <c r="R241" i="1"/>
  <c r="Q242" i="1"/>
  <c r="R242" i="1"/>
  <c r="Q243" i="1"/>
  <c r="R243" i="1"/>
  <c r="Q244" i="1"/>
  <c r="R244" i="1"/>
  <c r="Q245" i="1"/>
  <c r="R245" i="1"/>
  <c r="Q246" i="1"/>
  <c r="R246" i="1"/>
  <c r="Q247" i="1"/>
  <c r="R247" i="1"/>
  <c r="Q248" i="1"/>
  <c r="R248" i="1"/>
  <c r="Q249" i="1"/>
  <c r="R249" i="1"/>
  <c r="Q250" i="1"/>
  <c r="R250" i="1"/>
  <c r="Q251" i="1"/>
  <c r="R251" i="1"/>
  <c r="Q252" i="1"/>
  <c r="R252" i="1"/>
  <c r="Q253" i="1"/>
  <c r="R253" i="1"/>
  <c r="Q254" i="1"/>
  <c r="R254" i="1"/>
  <c r="Q255" i="1"/>
  <c r="R255" i="1"/>
  <c r="Q256" i="1"/>
  <c r="R256" i="1"/>
  <c r="Q257" i="1"/>
  <c r="R257" i="1"/>
  <c r="Q258" i="1"/>
  <c r="R258" i="1"/>
  <c r="Q259" i="1"/>
  <c r="R259" i="1"/>
  <c r="Q260" i="1"/>
  <c r="R260" i="1"/>
  <c r="Q261" i="1"/>
  <c r="R261" i="1"/>
  <c r="Q262" i="1"/>
  <c r="R262" i="1"/>
  <c r="Q263" i="1"/>
  <c r="R263" i="1"/>
  <c r="Q264" i="1"/>
  <c r="R264" i="1"/>
  <c r="Q265" i="1"/>
  <c r="R265" i="1"/>
  <c r="Q266" i="1"/>
  <c r="R266" i="1"/>
  <c r="Q267" i="1"/>
  <c r="R267" i="1"/>
  <c r="Q268" i="1"/>
  <c r="R268" i="1"/>
  <c r="Q269" i="1"/>
  <c r="R269" i="1"/>
  <c r="Q270" i="1"/>
  <c r="R270" i="1"/>
  <c r="Q271" i="1"/>
  <c r="R271" i="1"/>
  <c r="Q272" i="1"/>
  <c r="R272" i="1"/>
  <c r="Q273" i="1"/>
  <c r="R273" i="1"/>
  <c r="Q274" i="1"/>
  <c r="R274" i="1"/>
  <c r="Q275" i="1"/>
  <c r="R275" i="1"/>
  <c r="Q276" i="1"/>
  <c r="R276" i="1"/>
  <c r="Q277" i="1"/>
  <c r="R277" i="1"/>
  <c r="Q278" i="1"/>
  <c r="R278" i="1"/>
  <c r="Q279" i="1"/>
  <c r="R279" i="1"/>
  <c r="Q280" i="1"/>
  <c r="R280" i="1"/>
  <c r="Q281" i="1"/>
  <c r="R281" i="1"/>
  <c r="Q282" i="1"/>
  <c r="R282" i="1"/>
  <c r="Q283" i="1"/>
  <c r="R283" i="1"/>
  <c r="Q284" i="1"/>
  <c r="R284" i="1"/>
  <c r="Q285" i="1"/>
  <c r="R285" i="1"/>
  <c r="Q286" i="1"/>
  <c r="R286" i="1"/>
  <c r="Q287" i="1"/>
  <c r="R287" i="1"/>
  <c r="Q288" i="1"/>
  <c r="R288" i="1"/>
  <c r="Q289" i="1"/>
  <c r="R289" i="1"/>
  <c r="Q290" i="1"/>
  <c r="R290" i="1"/>
  <c r="Q291" i="1"/>
  <c r="R291" i="1"/>
  <c r="Q292" i="1"/>
  <c r="R292" i="1"/>
  <c r="Q293" i="1"/>
  <c r="R293" i="1"/>
  <c r="Q294" i="1"/>
  <c r="R294" i="1"/>
  <c r="Q295" i="1"/>
  <c r="R295" i="1"/>
  <c r="Q296" i="1"/>
  <c r="R296" i="1"/>
  <c r="Q297" i="1"/>
  <c r="R297" i="1"/>
  <c r="Q298" i="1"/>
  <c r="R298" i="1"/>
  <c r="Q299" i="1"/>
  <c r="R299" i="1"/>
  <c r="Q300" i="1"/>
  <c r="R300" i="1"/>
  <c r="Q301" i="1"/>
  <c r="R301" i="1"/>
  <c r="Q302" i="1"/>
  <c r="R302" i="1"/>
  <c r="Q303" i="1"/>
  <c r="R303" i="1"/>
  <c r="Q304" i="1"/>
  <c r="R304" i="1"/>
  <c r="Q305" i="1"/>
  <c r="R305" i="1"/>
  <c r="Q306" i="1"/>
  <c r="R306" i="1"/>
  <c r="Q307" i="1"/>
  <c r="R307" i="1"/>
  <c r="Q308" i="1"/>
  <c r="R308" i="1"/>
  <c r="Q309" i="1"/>
  <c r="R309" i="1"/>
  <c r="Q310" i="1"/>
  <c r="R310" i="1"/>
  <c r="Q311" i="1"/>
  <c r="R311" i="1"/>
  <c r="Q312" i="1"/>
  <c r="R312" i="1"/>
  <c r="Q313" i="1"/>
  <c r="R313" i="1"/>
  <c r="Q314" i="1"/>
  <c r="R314" i="1"/>
  <c r="Q315" i="1"/>
  <c r="R315" i="1"/>
  <c r="Q316" i="1"/>
  <c r="R316" i="1"/>
  <c r="Q317" i="1"/>
  <c r="R317" i="1"/>
  <c r="Q318" i="1"/>
  <c r="R318" i="1"/>
  <c r="Q319" i="1"/>
  <c r="R319" i="1"/>
  <c r="Q320" i="1"/>
  <c r="R320" i="1"/>
  <c r="Q321" i="1"/>
  <c r="R321" i="1"/>
  <c r="Q322" i="1"/>
  <c r="R322" i="1"/>
  <c r="Q323" i="1"/>
  <c r="R323" i="1"/>
  <c r="Q324" i="1"/>
  <c r="R324" i="1"/>
  <c r="Q325" i="1"/>
  <c r="R325" i="1"/>
  <c r="Q326" i="1"/>
  <c r="R326" i="1"/>
  <c r="Q327" i="1"/>
  <c r="R327" i="1"/>
  <c r="Q328" i="1"/>
  <c r="R328" i="1"/>
  <c r="Q329" i="1"/>
  <c r="R329" i="1"/>
  <c r="Q330" i="1"/>
  <c r="R330" i="1"/>
  <c r="Q331" i="1"/>
  <c r="R331" i="1"/>
  <c r="Q332" i="1"/>
  <c r="R332" i="1"/>
  <c r="Q333" i="1"/>
  <c r="R333" i="1"/>
  <c r="Q334" i="1"/>
  <c r="R334" i="1"/>
  <c r="Q335" i="1"/>
  <c r="R335" i="1"/>
  <c r="Q336" i="1"/>
  <c r="R336" i="1"/>
  <c r="Q337" i="1"/>
  <c r="R337" i="1"/>
  <c r="Q338" i="1"/>
  <c r="R338" i="1"/>
  <c r="Q339" i="1"/>
  <c r="R339" i="1"/>
  <c r="Q340" i="1"/>
  <c r="R340" i="1"/>
  <c r="Q341" i="1"/>
  <c r="R341" i="1"/>
  <c r="Q342" i="1"/>
  <c r="R342" i="1"/>
  <c r="Q343" i="1"/>
  <c r="R343" i="1"/>
  <c r="Q344" i="1"/>
  <c r="R344" i="1"/>
  <c r="Q345" i="1"/>
  <c r="R345" i="1"/>
  <c r="Q346" i="1"/>
  <c r="R346" i="1"/>
  <c r="Q347" i="1"/>
  <c r="R347" i="1"/>
  <c r="Q348" i="1"/>
  <c r="R348" i="1"/>
  <c r="Q349" i="1"/>
  <c r="R349" i="1"/>
  <c r="Q350" i="1"/>
  <c r="R350" i="1"/>
  <c r="Q351" i="1"/>
  <c r="R351" i="1"/>
  <c r="Q352" i="1"/>
  <c r="R352" i="1"/>
  <c r="Q353" i="1"/>
  <c r="R353" i="1"/>
  <c r="Q354" i="1"/>
  <c r="R354" i="1"/>
  <c r="Q355" i="1"/>
  <c r="R355" i="1"/>
  <c r="Q356" i="1"/>
  <c r="R356" i="1"/>
  <c r="Q357" i="1"/>
  <c r="R357" i="1"/>
  <c r="Q358" i="1"/>
  <c r="R358" i="1"/>
  <c r="Q359" i="1"/>
  <c r="R359" i="1"/>
  <c r="Q360" i="1"/>
  <c r="R360" i="1"/>
  <c r="Q361" i="1"/>
  <c r="R361" i="1"/>
  <c r="Q362" i="1"/>
  <c r="R362" i="1"/>
  <c r="Q363" i="1"/>
  <c r="R363" i="1"/>
  <c r="Q364" i="1"/>
  <c r="R364" i="1"/>
  <c r="Q365" i="1"/>
  <c r="R365" i="1"/>
  <c r="Q366" i="1"/>
  <c r="R366" i="1"/>
  <c r="Q367" i="1"/>
  <c r="R367" i="1"/>
  <c r="Q368" i="1"/>
  <c r="R368" i="1"/>
  <c r="Q369" i="1"/>
  <c r="R369" i="1"/>
  <c r="Q370" i="1"/>
  <c r="R370" i="1"/>
  <c r="Q371" i="1"/>
  <c r="R371" i="1"/>
  <c r="Q372" i="1"/>
  <c r="R372" i="1"/>
  <c r="Q373" i="1"/>
  <c r="R373" i="1"/>
  <c r="Q374" i="1"/>
  <c r="R374" i="1"/>
  <c r="Q375" i="1"/>
  <c r="R375" i="1"/>
  <c r="Q376" i="1"/>
  <c r="R376" i="1"/>
  <c r="Q377" i="1"/>
  <c r="R377" i="1"/>
  <c r="Q378" i="1"/>
  <c r="R378" i="1"/>
  <c r="Q379" i="1"/>
  <c r="R379" i="1"/>
  <c r="Q380" i="1"/>
  <c r="R380" i="1"/>
  <c r="Q381" i="1"/>
  <c r="R381" i="1"/>
  <c r="Q382" i="1"/>
  <c r="R382" i="1"/>
  <c r="Q383" i="1"/>
  <c r="R383" i="1"/>
  <c r="Q384" i="1"/>
  <c r="R384" i="1"/>
  <c r="Q385" i="1"/>
  <c r="R385" i="1"/>
  <c r="Q386" i="1"/>
  <c r="R386" i="1"/>
  <c r="Q387" i="1"/>
  <c r="R387" i="1"/>
  <c r="Q388" i="1"/>
  <c r="R388" i="1"/>
  <c r="Q389" i="1"/>
  <c r="R389" i="1"/>
  <c r="Q390" i="1"/>
  <c r="R390" i="1"/>
  <c r="Q391" i="1"/>
  <c r="R391" i="1"/>
  <c r="Q392" i="1"/>
  <c r="R392" i="1"/>
  <c r="Q393" i="1"/>
  <c r="R393" i="1"/>
  <c r="Q394" i="1"/>
  <c r="R394" i="1"/>
  <c r="Q395" i="1"/>
  <c r="R395" i="1"/>
  <c r="Q396" i="1"/>
  <c r="R396" i="1"/>
  <c r="Q397" i="1"/>
  <c r="R397" i="1"/>
  <c r="Q398" i="1"/>
  <c r="R398" i="1"/>
  <c r="Q399" i="1"/>
  <c r="R399" i="1"/>
  <c r="Q400" i="1"/>
  <c r="R400" i="1"/>
  <c r="Q401" i="1"/>
  <c r="R401" i="1"/>
  <c r="Q402" i="1"/>
  <c r="R402" i="1"/>
  <c r="Q403" i="1"/>
  <c r="R403" i="1"/>
  <c r="Q404" i="1"/>
  <c r="R404" i="1"/>
  <c r="Q405" i="1"/>
  <c r="R405" i="1"/>
  <c r="Q406" i="1"/>
  <c r="R406" i="1"/>
  <c r="Q407" i="1"/>
  <c r="R407" i="1"/>
  <c r="Q408" i="1"/>
  <c r="R408" i="1"/>
  <c r="Q409" i="1"/>
  <c r="R409" i="1"/>
  <c r="Q410" i="1"/>
  <c r="R410" i="1"/>
  <c r="Q411" i="1"/>
  <c r="R411" i="1"/>
  <c r="Q412" i="1"/>
  <c r="R412" i="1"/>
  <c r="Q413" i="1"/>
  <c r="R413" i="1"/>
  <c r="Q414" i="1"/>
  <c r="R414" i="1"/>
  <c r="Q415" i="1"/>
  <c r="R415" i="1"/>
  <c r="Q416" i="1"/>
  <c r="R416" i="1"/>
  <c r="Q417" i="1"/>
  <c r="R417" i="1"/>
  <c r="Q418" i="1"/>
  <c r="R418" i="1"/>
  <c r="Q419" i="1"/>
  <c r="R419" i="1"/>
  <c r="Q420" i="1"/>
  <c r="R420" i="1"/>
  <c r="Q421" i="1"/>
  <c r="R421" i="1"/>
  <c r="Q422" i="1"/>
  <c r="R422" i="1"/>
  <c r="Q423" i="1"/>
  <c r="R423" i="1"/>
  <c r="Q424" i="1"/>
  <c r="R424" i="1"/>
  <c r="Q425" i="1"/>
  <c r="R425" i="1"/>
  <c r="Q426" i="1"/>
  <c r="R426" i="1"/>
  <c r="Q427" i="1"/>
  <c r="R427" i="1"/>
  <c r="Q428" i="1"/>
  <c r="R428" i="1"/>
  <c r="Q429" i="1"/>
  <c r="R429" i="1"/>
  <c r="Q430" i="1"/>
  <c r="R430" i="1"/>
  <c r="Q431" i="1"/>
  <c r="R431" i="1"/>
  <c r="Q432" i="1"/>
  <c r="R432" i="1"/>
  <c r="Q433" i="1"/>
  <c r="R433" i="1"/>
  <c r="Q434" i="1"/>
  <c r="R434" i="1"/>
  <c r="Q435" i="1"/>
  <c r="R435" i="1"/>
  <c r="Q436" i="1"/>
  <c r="R436" i="1"/>
  <c r="Q437" i="1"/>
  <c r="R437" i="1"/>
  <c r="Q438" i="1"/>
  <c r="R438" i="1"/>
  <c r="Q439" i="1"/>
  <c r="R439" i="1"/>
  <c r="Q440" i="1"/>
  <c r="R440" i="1"/>
  <c r="Q441" i="1"/>
  <c r="R441" i="1"/>
  <c r="Q442" i="1"/>
  <c r="R442" i="1"/>
  <c r="Q443" i="1"/>
  <c r="R443" i="1"/>
  <c r="Q444" i="1"/>
  <c r="R444" i="1"/>
  <c r="Q445" i="1"/>
  <c r="R445" i="1"/>
  <c r="Q446" i="1"/>
  <c r="R446" i="1"/>
  <c r="Q447" i="1"/>
  <c r="R447" i="1"/>
  <c r="Q448" i="1"/>
  <c r="R448" i="1"/>
  <c r="Q449" i="1"/>
  <c r="R449" i="1"/>
  <c r="Q450" i="1"/>
  <c r="R450" i="1"/>
  <c r="Q451" i="1"/>
  <c r="R451" i="1"/>
  <c r="Q452" i="1"/>
  <c r="R452" i="1"/>
  <c r="Q453" i="1"/>
  <c r="R453" i="1"/>
  <c r="Q454" i="1"/>
  <c r="R454" i="1"/>
  <c r="Q455" i="1"/>
  <c r="R455" i="1"/>
  <c r="Q456" i="1"/>
  <c r="R456" i="1"/>
  <c r="Q457" i="1"/>
  <c r="R457" i="1"/>
  <c r="Q458" i="1"/>
  <c r="R458" i="1"/>
  <c r="Q459" i="1"/>
  <c r="R459" i="1"/>
  <c r="Q460" i="1"/>
  <c r="R460" i="1"/>
  <c r="Q461" i="1"/>
  <c r="R461" i="1"/>
  <c r="Q462" i="1"/>
  <c r="R462" i="1"/>
  <c r="Q463" i="1"/>
  <c r="R463" i="1"/>
  <c r="Q464" i="1"/>
  <c r="R464" i="1"/>
  <c r="Q465" i="1"/>
  <c r="R465" i="1"/>
  <c r="Q466" i="1"/>
  <c r="R466" i="1"/>
  <c r="Q467" i="1"/>
  <c r="R467" i="1"/>
  <c r="Q468" i="1"/>
  <c r="R468" i="1"/>
  <c r="Q469" i="1"/>
  <c r="R469" i="1"/>
  <c r="Q470" i="1"/>
  <c r="R470" i="1"/>
  <c r="Q471" i="1"/>
  <c r="R471" i="1"/>
  <c r="Q472" i="1"/>
  <c r="R472" i="1"/>
  <c r="Q473" i="1"/>
  <c r="R473" i="1"/>
  <c r="Q474" i="1"/>
  <c r="R474" i="1"/>
  <c r="Q475" i="1"/>
  <c r="R475" i="1"/>
  <c r="Q476" i="1"/>
  <c r="R476" i="1"/>
  <c r="Q477" i="1"/>
  <c r="R477" i="1"/>
  <c r="Q478" i="1"/>
  <c r="R478" i="1"/>
  <c r="Q479" i="1"/>
  <c r="R479" i="1"/>
  <c r="Q480" i="1"/>
  <c r="R480" i="1"/>
  <c r="Q481" i="1"/>
  <c r="R481" i="1"/>
  <c r="Q482" i="1"/>
  <c r="R482" i="1"/>
  <c r="Q483" i="1"/>
  <c r="R483" i="1"/>
  <c r="Q484" i="1"/>
  <c r="R484" i="1"/>
  <c r="Q485" i="1"/>
  <c r="R485" i="1"/>
  <c r="Q486" i="1"/>
  <c r="R486" i="1"/>
  <c r="Q487" i="1"/>
  <c r="R487" i="1"/>
  <c r="Q488" i="1"/>
  <c r="R488" i="1"/>
  <c r="Q489" i="1"/>
  <c r="R489" i="1"/>
  <c r="Q490" i="1"/>
  <c r="R490" i="1"/>
  <c r="Q491" i="1"/>
  <c r="R491" i="1"/>
  <c r="Q492" i="1"/>
  <c r="R492" i="1"/>
  <c r="Q493" i="1"/>
  <c r="R493" i="1"/>
  <c r="Q494" i="1"/>
  <c r="R494" i="1"/>
  <c r="Q495" i="1"/>
  <c r="R495" i="1"/>
  <c r="Q496" i="1"/>
  <c r="R496" i="1"/>
  <c r="Q497" i="1"/>
  <c r="R497" i="1"/>
  <c r="Q498" i="1"/>
  <c r="R498" i="1"/>
  <c r="Q499" i="1"/>
  <c r="R499" i="1"/>
  <c r="Q500" i="1"/>
  <c r="R500" i="1"/>
  <c r="Q501" i="1"/>
  <c r="R501" i="1"/>
  <c r="Q502" i="1"/>
  <c r="R502" i="1"/>
  <c r="Q503" i="1"/>
  <c r="R503" i="1"/>
  <c r="Q504" i="1"/>
  <c r="R504" i="1"/>
  <c r="Q505" i="1"/>
  <c r="R505" i="1"/>
  <c r="Q506" i="1"/>
  <c r="R506" i="1"/>
  <c r="Q507" i="1"/>
  <c r="R507" i="1"/>
  <c r="Q508" i="1"/>
  <c r="R508" i="1"/>
  <c r="Q509" i="1"/>
  <c r="R509" i="1"/>
  <c r="Q510" i="1"/>
  <c r="R510" i="1"/>
  <c r="Q511" i="1"/>
  <c r="R511" i="1"/>
  <c r="Q512" i="1"/>
  <c r="R512" i="1"/>
  <c r="Q513" i="1"/>
  <c r="R513" i="1"/>
  <c r="Q514" i="1"/>
  <c r="R514" i="1"/>
  <c r="Q515" i="1"/>
  <c r="R515" i="1"/>
  <c r="Q516" i="1"/>
  <c r="R516" i="1"/>
  <c r="Q517" i="1"/>
  <c r="R517" i="1"/>
  <c r="Q518" i="1"/>
  <c r="R518" i="1"/>
  <c r="Q519" i="1"/>
  <c r="R519" i="1"/>
  <c r="Q520" i="1"/>
  <c r="R520" i="1"/>
  <c r="Q521" i="1"/>
  <c r="R521" i="1"/>
  <c r="Q522" i="1"/>
  <c r="R522" i="1"/>
  <c r="Q523" i="1"/>
  <c r="R523" i="1"/>
  <c r="Q524" i="1"/>
  <c r="R524" i="1"/>
  <c r="Q525" i="1"/>
  <c r="R525" i="1"/>
  <c r="Q526" i="1"/>
  <c r="R526" i="1"/>
  <c r="Q527" i="1"/>
  <c r="R527" i="1"/>
  <c r="Q528" i="1"/>
  <c r="R528" i="1"/>
  <c r="Q529" i="1"/>
  <c r="R529" i="1"/>
  <c r="Q530" i="1"/>
  <c r="R530" i="1"/>
  <c r="Q531" i="1"/>
  <c r="R531" i="1"/>
  <c r="Q532" i="1"/>
  <c r="R532" i="1"/>
  <c r="Q533" i="1"/>
  <c r="R533" i="1"/>
  <c r="Q534" i="1"/>
  <c r="R534" i="1"/>
  <c r="Q535" i="1"/>
  <c r="R535" i="1"/>
  <c r="Q536" i="1"/>
  <c r="R536" i="1"/>
  <c r="Q537" i="1"/>
  <c r="R537" i="1"/>
  <c r="Q538" i="1"/>
  <c r="R538" i="1"/>
  <c r="Q539" i="1"/>
  <c r="R539" i="1"/>
  <c r="Q540" i="1"/>
  <c r="R540" i="1"/>
  <c r="Q541" i="1"/>
  <c r="R541" i="1"/>
  <c r="Q542" i="1"/>
  <c r="R542" i="1"/>
  <c r="Q543" i="1"/>
  <c r="R543" i="1"/>
  <c r="Q544" i="1"/>
  <c r="R544" i="1"/>
  <c r="Q545" i="1"/>
  <c r="R545" i="1"/>
  <c r="Q546" i="1"/>
  <c r="R546" i="1"/>
  <c r="Q547" i="1"/>
  <c r="R547" i="1"/>
  <c r="Q548" i="1"/>
  <c r="R548" i="1"/>
  <c r="Q549" i="1"/>
  <c r="R549" i="1"/>
  <c r="Q550" i="1"/>
  <c r="R550" i="1"/>
  <c r="Q551" i="1"/>
  <c r="R551" i="1"/>
  <c r="Q552" i="1"/>
  <c r="R552" i="1"/>
  <c r="Q553" i="1"/>
  <c r="R553" i="1"/>
  <c r="Q554" i="1"/>
  <c r="R554" i="1"/>
  <c r="Q555" i="1"/>
  <c r="R555" i="1"/>
  <c r="Q556" i="1"/>
  <c r="R556" i="1"/>
  <c r="Q557" i="1"/>
  <c r="R557" i="1"/>
  <c r="Q558" i="1"/>
  <c r="R558" i="1"/>
  <c r="Q559" i="1"/>
  <c r="R559" i="1"/>
  <c r="Q560" i="1"/>
  <c r="R560" i="1"/>
  <c r="Q561" i="1"/>
  <c r="R561" i="1"/>
  <c r="Q562" i="1"/>
  <c r="R562" i="1"/>
  <c r="Q563" i="1"/>
  <c r="R563" i="1"/>
  <c r="Q564" i="1"/>
  <c r="R564" i="1"/>
  <c r="Q565" i="1"/>
  <c r="R565" i="1"/>
  <c r="Q566" i="1"/>
  <c r="R566" i="1"/>
  <c r="Q567" i="1"/>
  <c r="R567" i="1"/>
  <c r="Q568" i="1"/>
  <c r="R568" i="1"/>
  <c r="Q569" i="1"/>
  <c r="R569" i="1"/>
  <c r="Q570" i="1"/>
  <c r="R570" i="1"/>
  <c r="Q571" i="1"/>
  <c r="R571" i="1"/>
  <c r="Q572" i="1"/>
  <c r="R572" i="1"/>
  <c r="Q573" i="1"/>
  <c r="R573" i="1"/>
  <c r="Q574" i="1"/>
  <c r="R574" i="1"/>
  <c r="Q575" i="1"/>
  <c r="R575" i="1"/>
  <c r="Q576" i="1"/>
  <c r="R576" i="1"/>
  <c r="Q577" i="1"/>
  <c r="R577" i="1"/>
  <c r="Q578" i="1"/>
  <c r="R578" i="1"/>
  <c r="Q579" i="1"/>
  <c r="R579" i="1"/>
  <c r="Q580" i="1"/>
  <c r="R580" i="1"/>
  <c r="Q581" i="1"/>
  <c r="R581" i="1"/>
  <c r="Q582" i="1"/>
  <c r="R582" i="1"/>
  <c r="Q583" i="1"/>
  <c r="R583" i="1"/>
  <c r="Q584" i="1"/>
  <c r="R584" i="1"/>
  <c r="Q585" i="1"/>
  <c r="R585" i="1"/>
  <c r="Q586" i="1"/>
  <c r="R586" i="1"/>
  <c r="Q587" i="1"/>
  <c r="R587" i="1"/>
  <c r="Q588" i="1"/>
  <c r="R588" i="1"/>
  <c r="Q589" i="1"/>
  <c r="R589" i="1"/>
  <c r="Q590" i="1"/>
  <c r="R590" i="1"/>
  <c r="Q591" i="1"/>
  <c r="R591" i="1"/>
  <c r="Q592" i="1"/>
  <c r="R592" i="1"/>
  <c r="Q593" i="1"/>
  <c r="R593" i="1"/>
  <c r="Q594" i="1"/>
  <c r="R594" i="1"/>
  <c r="Q595" i="1"/>
  <c r="R595" i="1"/>
  <c r="Q596" i="1"/>
  <c r="R596" i="1"/>
  <c r="Q597" i="1"/>
  <c r="R597" i="1"/>
  <c r="Q598" i="1"/>
  <c r="R598" i="1"/>
  <c r="Q599" i="1"/>
  <c r="R599" i="1"/>
  <c r="Q600" i="1"/>
  <c r="R600" i="1"/>
  <c r="Q601" i="1"/>
  <c r="R601" i="1"/>
  <c r="Q602" i="1"/>
  <c r="R602" i="1"/>
  <c r="Q603" i="1"/>
  <c r="R603" i="1"/>
  <c r="Q604" i="1"/>
  <c r="R604" i="1"/>
  <c r="Q605" i="1"/>
  <c r="R605" i="1"/>
  <c r="Q606" i="1"/>
  <c r="R606" i="1"/>
  <c r="Q607" i="1"/>
  <c r="R607" i="1"/>
  <c r="Q608" i="1"/>
  <c r="R608" i="1"/>
  <c r="Q609" i="1"/>
  <c r="R609" i="1"/>
  <c r="Q610" i="1"/>
  <c r="R610" i="1"/>
  <c r="Q611" i="1"/>
  <c r="R611" i="1"/>
  <c r="Q612" i="1"/>
  <c r="R612" i="1"/>
  <c r="Q613" i="1"/>
  <c r="R613" i="1"/>
  <c r="Q614" i="1"/>
  <c r="R614" i="1"/>
  <c r="Q615" i="1"/>
  <c r="R615" i="1"/>
  <c r="Q616" i="1"/>
  <c r="R616" i="1"/>
  <c r="Q617" i="1"/>
  <c r="R617" i="1"/>
  <c r="Q618" i="1"/>
  <c r="R618" i="1"/>
  <c r="Q619" i="1"/>
  <c r="R619" i="1"/>
  <c r="Q620" i="1"/>
  <c r="R620" i="1"/>
  <c r="Q621" i="1"/>
  <c r="R621" i="1"/>
  <c r="Q622" i="1"/>
  <c r="R622" i="1"/>
  <c r="Q623" i="1"/>
  <c r="R623" i="1"/>
  <c r="Q624" i="1"/>
  <c r="R624" i="1"/>
  <c r="Q625" i="1"/>
  <c r="R625" i="1"/>
  <c r="Q626" i="1"/>
  <c r="R626" i="1"/>
  <c r="Q627" i="1"/>
  <c r="R627" i="1"/>
  <c r="Q628" i="1"/>
  <c r="R628" i="1"/>
  <c r="Q629" i="1"/>
  <c r="R629" i="1"/>
  <c r="Q630" i="1"/>
  <c r="R630" i="1"/>
  <c r="Q631" i="1"/>
  <c r="R631" i="1"/>
  <c r="Q632" i="1"/>
  <c r="R632" i="1"/>
  <c r="Q633" i="1"/>
  <c r="R633" i="1"/>
  <c r="Q634" i="1"/>
  <c r="R634" i="1"/>
  <c r="Q635" i="1"/>
  <c r="R635" i="1"/>
  <c r="Q636" i="1"/>
  <c r="R636" i="1"/>
  <c r="Q637" i="1"/>
  <c r="R637" i="1"/>
  <c r="Q638" i="1"/>
  <c r="R638" i="1"/>
  <c r="Q639" i="1"/>
  <c r="R639" i="1"/>
  <c r="Q640" i="1"/>
  <c r="R640" i="1"/>
  <c r="Q641" i="1"/>
  <c r="R641" i="1"/>
  <c r="Q642" i="1"/>
  <c r="R642" i="1"/>
  <c r="Q643" i="1"/>
  <c r="R643" i="1"/>
  <c r="Q644" i="1"/>
  <c r="R644" i="1"/>
  <c r="Q645" i="1"/>
  <c r="R645" i="1"/>
  <c r="Q646" i="1"/>
  <c r="R646" i="1"/>
  <c r="Q647" i="1"/>
  <c r="R647" i="1"/>
  <c r="Q648" i="1"/>
  <c r="R648" i="1"/>
  <c r="Q649" i="1"/>
  <c r="R649" i="1"/>
  <c r="Q650" i="1"/>
  <c r="R650" i="1"/>
  <c r="Q651" i="1"/>
  <c r="R651" i="1"/>
  <c r="Q652" i="1"/>
  <c r="R652" i="1"/>
  <c r="Q653" i="1"/>
  <c r="R653" i="1"/>
  <c r="Q654" i="1"/>
  <c r="R654" i="1"/>
  <c r="Q655" i="1"/>
  <c r="R655" i="1"/>
  <c r="Q656" i="1"/>
  <c r="R656" i="1"/>
  <c r="Q657" i="1"/>
  <c r="R657" i="1"/>
  <c r="Q658" i="1"/>
  <c r="R658" i="1"/>
  <c r="Q659" i="1"/>
  <c r="R659" i="1"/>
  <c r="Q660" i="1"/>
  <c r="R660" i="1"/>
  <c r="Q661" i="1"/>
  <c r="R661" i="1"/>
  <c r="Q662" i="1"/>
  <c r="R662" i="1"/>
  <c r="Q663" i="1"/>
  <c r="R663" i="1"/>
  <c r="Q664" i="1"/>
  <c r="R664" i="1"/>
  <c r="Q665" i="1"/>
  <c r="R665" i="1"/>
  <c r="Q666" i="1"/>
  <c r="R666" i="1"/>
  <c r="Q667" i="1"/>
  <c r="R667" i="1"/>
  <c r="Q668" i="1"/>
  <c r="R668" i="1"/>
  <c r="Q669" i="1"/>
  <c r="R669" i="1"/>
  <c r="Q670" i="1"/>
  <c r="R670" i="1"/>
  <c r="Q671" i="1"/>
  <c r="R671" i="1"/>
  <c r="Q672" i="1"/>
  <c r="R672" i="1"/>
  <c r="Q673" i="1"/>
  <c r="R673" i="1"/>
  <c r="Q674" i="1"/>
  <c r="R674" i="1"/>
  <c r="Q675" i="1"/>
  <c r="R675" i="1"/>
  <c r="Q676" i="1"/>
  <c r="R676" i="1"/>
  <c r="Q677" i="1"/>
  <c r="R677" i="1"/>
  <c r="Q678" i="1"/>
  <c r="R678" i="1"/>
  <c r="Q679" i="1"/>
  <c r="R679" i="1"/>
  <c r="Q680" i="1"/>
  <c r="R680" i="1"/>
  <c r="Q681" i="1"/>
  <c r="R681" i="1"/>
  <c r="Q682" i="1"/>
  <c r="R682" i="1"/>
  <c r="Q683" i="1"/>
  <c r="R683" i="1"/>
  <c r="Q684" i="1"/>
  <c r="R684" i="1"/>
  <c r="Q685" i="1"/>
  <c r="R685" i="1"/>
  <c r="Q686" i="1"/>
  <c r="R686" i="1"/>
  <c r="Q687" i="1"/>
  <c r="R687" i="1"/>
  <c r="Q688" i="1"/>
  <c r="R688" i="1"/>
  <c r="Q689" i="1"/>
  <c r="R689" i="1"/>
  <c r="Q690" i="1"/>
  <c r="R690" i="1"/>
  <c r="Q691" i="1"/>
  <c r="R691" i="1"/>
  <c r="Q692" i="1"/>
  <c r="R692" i="1"/>
  <c r="Q693" i="1"/>
  <c r="R693" i="1"/>
  <c r="Q694" i="1"/>
  <c r="R694" i="1"/>
  <c r="Q695" i="1"/>
  <c r="R695" i="1"/>
  <c r="Q696" i="1"/>
  <c r="R696" i="1"/>
  <c r="Q697" i="1"/>
  <c r="R697" i="1"/>
  <c r="Q698" i="1"/>
  <c r="R698" i="1"/>
  <c r="Q699" i="1"/>
  <c r="R699" i="1"/>
  <c r="Q700" i="1"/>
  <c r="R700" i="1"/>
  <c r="Q701" i="1"/>
  <c r="R701" i="1"/>
  <c r="Q702" i="1"/>
  <c r="R702" i="1"/>
  <c r="Q703" i="1"/>
  <c r="R703" i="1"/>
  <c r="Q704" i="1"/>
  <c r="R704" i="1"/>
  <c r="Q705" i="1"/>
  <c r="R705" i="1"/>
  <c r="Q706" i="1"/>
  <c r="R706" i="1"/>
  <c r="Q707" i="1"/>
  <c r="R707" i="1"/>
  <c r="Q708" i="1"/>
  <c r="R708" i="1"/>
  <c r="Q709" i="1"/>
  <c r="R709" i="1"/>
  <c r="Q710" i="1"/>
  <c r="R710" i="1"/>
  <c r="Q711" i="1"/>
  <c r="R711" i="1"/>
  <c r="Q712" i="1"/>
  <c r="R712" i="1"/>
  <c r="Q713" i="1"/>
  <c r="R713" i="1"/>
  <c r="Q714" i="1"/>
  <c r="R714" i="1"/>
  <c r="Q715" i="1"/>
  <c r="R715" i="1"/>
  <c r="Q716" i="1"/>
  <c r="R716" i="1"/>
  <c r="Q717" i="1"/>
  <c r="R717" i="1"/>
  <c r="Q718" i="1"/>
  <c r="R718" i="1"/>
  <c r="Q719" i="1"/>
  <c r="R719" i="1"/>
  <c r="Q720" i="1"/>
  <c r="R720" i="1"/>
  <c r="Q721" i="1"/>
  <c r="R721" i="1"/>
  <c r="Q722" i="1"/>
  <c r="R722" i="1"/>
  <c r="Q723" i="1"/>
  <c r="R723" i="1"/>
  <c r="Q724" i="1"/>
  <c r="R724" i="1"/>
  <c r="Q725" i="1"/>
  <c r="R725" i="1"/>
  <c r="Q726" i="1"/>
  <c r="R726" i="1"/>
  <c r="Q727" i="1"/>
  <c r="R727" i="1"/>
  <c r="Q728" i="1"/>
  <c r="R728" i="1"/>
  <c r="Q729" i="1"/>
  <c r="R729" i="1"/>
  <c r="Q730" i="1"/>
  <c r="R730" i="1"/>
  <c r="Q731" i="1"/>
  <c r="R731" i="1"/>
  <c r="Q732" i="1"/>
  <c r="R732" i="1"/>
  <c r="Q733" i="1"/>
  <c r="R733" i="1"/>
  <c r="Q734" i="1"/>
  <c r="R734" i="1"/>
  <c r="Q735" i="1"/>
  <c r="R735" i="1"/>
  <c r="Q736" i="1"/>
  <c r="R736" i="1"/>
  <c r="Q737" i="1"/>
  <c r="R737" i="1"/>
  <c r="Q738" i="1"/>
  <c r="R738" i="1"/>
  <c r="Q739" i="1"/>
  <c r="R739" i="1"/>
  <c r="Q740" i="1"/>
  <c r="R740" i="1"/>
  <c r="Q741" i="1"/>
  <c r="R741" i="1"/>
  <c r="Q742" i="1"/>
  <c r="R742" i="1"/>
  <c r="Q743" i="1"/>
  <c r="R743" i="1"/>
  <c r="Q744" i="1"/>
  <c r="R744" i="1"/>
  <c r="Q745" i="1"/>
  <c r="R745" i="1"/>
  <c r="Q746" i="1"/>
  <c r="R746" i="1"/>
  <c r="Q747" i="1"/>
  <c r="R747" i="1"/>
  <c r="Q748" i="1"/>
  <c r="R748" i="1"/>
  <c r="Q749" i="1"/>
  <c r="R749" i="1"/>
  <c r="Q750" i="1"/>
  <c r="R750" i="1"/>
  <c r="Q751" i="1"/>
  <c r="R751" i="1"/>
  <c r="Q752" i="1"/>
  <c r="R752" i="1"/>
  <c r="Q753" i="1"/>
  <c r="R753" i="1"/>
  <c r="Q754" i="1"/>
  <c r="R754" i="1"/>
  <c r="Q755" i="1"/>
  <c r="R755" i="1"/>
  <c r="Q756" i="1"/>
  <c r="R756" i="1"/>
  <c r="Q757" i="1"/>
  <c r="R757" i="1"/>
  <c r="Q758" i="1"/>
  <c r="R758" i="1"/>
  <c r="Q759" i="1"/>
  <c r="R759" i="1"/>
  <c r="Q760" i="1"/>
  <c r="R760" i="1"/>
  <c r="Q761" i="1"/>
  <c r="R761" i="1"/>
  <c r="Q762" i="1"/>
  <c r="R762" i="1"/>
  <c r="Q763" i="1"/>
  <c r="R763" i="1"/>
  <c r="Q764" i="1"/>
  <c r="R764" i="1"/>
  <c r="Q765" i="1"/>
  <c r="R765" i="1"/>
  <c r="Q766" i="1"/>
  <c r="R766" i="1"/>
  <c r="Q767" i="1"/>
  <c r="R767" i="1"/>
  <c r="Q768" i="1"/>
  <c r="R768" i="1"/>
  <c r="Q769" i="1"/>
  <c r="R769" i="1"/>
  <c r="Q770" i="1"/>
  <c r="R770" i="1"/>
  <c r="Q771" i="1"/>
  <c r="R771" i="1"/>
  <c r="Q772" i="1"/>
  <c r="R772" i="1"/>
  <c r="Q773" i="1"/>
  <c r="R773" i="1"/>
  <c r="Q774" i="1"/>
  <c r="R774" i="1"/>
  <c r="Q775" i="1"/>
  <c r="R775" i="1"/>
  <c r="Q776" i="1"/>
  <c r="R776" i="1"/>
  <c r="Q777" i="1"/>
  <c r="R777" i="1"/>
  <c r="Q778" i="1"/>
  <c r="R778" i="1"/>
  <c r="Q779" i="1"/>
  <c r="R779" i="1"/>
  <c r="Q780" i="1"/>
  <c r="R780" i="1"/>
  <c r="Q781" i="1"/>
  <c r="R781" i="1"/>
  <c r="Q782" i="1"/>
  <c r="R782" i="1"/>
  <c r="Q783" i="1"/>
  <c r="R783" i="1"/>
  <c r="Q784" i="1"/>
  <c r="R784" i="1"/>
  <c r="Q785" i="1"/>
  <c r="R785" i="1"/>
  <c r="Q786" i="1"/>
  <c r="R786" i="1"/>
  <c r="Q787" i="1"/>
  <c r="R787" i="1"/>
  <c r="Q788" i="1"/>
  <c r="R788" i="1"/>
  <c r="Q789" i="1"/>
  <c r="R789" i="1"/>
  <c r="Q790" i="1"/>
  <c r="R790" i="1"/>
  <c r="Q791" i="1"/>
  <c r="R791" i="1"/>
  <c r="Q792" i="1"/>
  <c r="R792" i="1"/>
  <c r="Q793" i="1"/>
  <c r="R793" i="1"/>
  <c r="Q794" i="1"/>
  <c r="R794" i="1"/>
  <c r="Q795" i="1"/>
  <c r="R795" i="1"/>
  <c r="Q796" i="1"/>
  <c r="R796" i="1"/>
  <c r="Q797" i="1"/>
  <c r="R797" i="1"/>
  <c r="Q798" i="1"/>
  <c r="R798" i="1"/>
  <c r="Q799" i="1"/>
  <c r="R799" i="1"/>
  <c r="Q800" i="1"/>
  <c r="R800" i="1"/>
  <c r="Q801" i="1"/>
  <c r="R801" i="1"/>
  <c r="Q802" i="1"/>
  <c r="R802" i="1"/>
  <c r="Q803" i="1"/>
  <c r="R803" i="1"/>
  <c r="Q804" i="1"/>
  <c r="R804" i="1"/>
  <c r="Q805" i="1"/>
  <c r="R805" i="1"/>
  <c r="Q806" i="1"/>
  <c r="R806" i="1"/>
  <c r="Q807" i="1"/>
  <c r="R807" i="1"/>
  <c r="Q808" i="1"/>
  <c r="R808" i="1"/>
  <c r="Q809" i="1"/>
  <c r="R809" i="1"/>
  <c r="Q810" i="1"/>
  <c r="R810" i="1"/>
  <c r="Q811" i="1"/>
  <c r="R811" i="1"/>
  <c r="Q812" i="1"/>
  <c r="R812" i="1"/>
  <c r="Q813" i="1"/>
  <c r="R813" i="1"/>
  <c r="Q814" i="1"/>
  <c r="R814" i="1"/>
  <c r="Q815" i="1"/>
  <c r="R815" i="1"/>
  <c r="Q816" i="1"/>
  <c r="R816" i="1"/>
  <c r="Q817" i="1"/>
  <c r="R817" i="1"/>
  <c r="Q818" i="1"/>
  <c r="R818" i="1"/>
  <c r="Q819" i="1"/>
  <c r="R819" i="1"/>
  <c r="Q820" i="1"/>
  <c r="R820" i="1"/>
  <c r="Q821" i="1"/>
  <c r="R821" i="1"/>
  <c r="Q822" i="1"/>
  <c r="R822" i="1"/>
  <c r="Q823" i="1"/>
  <c r="R823" i="1"/>
  <c r="Q824" i="1"/>
  <c r="R824" i="1"/>
  <c r="Q825" i="1"/>
  <c r="R825" i="1"/>
  <c r="Q826" i="1"/>
  <c r="R826" i="1"/>
  <c r="Q827" i="1"/>
  <c r="R827" i="1"/>
  <c r="Q828" i="1"/>
  <c r="R828" i="1"/>
  <c r="Q829" i="1"/>
  <c r="R829" i="1"/>
  <c r="Q830" i="1"/>
  <c r="R830" i="1"/>
  <c r="Q831" i="1"/>
  <c r="R831" i="1"/>
  <c r="Q832" i="1"/>
  <c r="R832" i="1"/>
  <c r="Q833" i="1"/>
  <c r="R833" i="1"/>
  <c r="Q834" i="1"/>
  <c r="R834" i="1"/>
  <c r="Q835" i="1"/>
  <c r="R835" i="1"/>
  <c r="Q836" i="1"/>
  <c r="R836" i="1"/>
  <c r="Q837" i="1"/>
  <c r="R837" i="1"/>
  <c r="Q838" i="1"/>
  <c r="R838" i="1"/>
  <c r="Q839" i="1"/>
  <c r="R839" i="1"/>
  <c r="Q840" i="1"/>
  <c r="R840" i="1"/>
  <c r="Q841" i="1"/>
  <c r="R841" i="1"/>
  <c r="Q842" i="1"/>
  <c r="R842" i="1"/>
  <c r="Q843" i="1"/>
  <c r="R843" i="1"/>
  <c r="Q844" i="1"/>
  <c r="R844" i="1"/>
  <c r="Q845" i="1"/>
  <c r="R845" i="1"/>
  <c r="Q846" i="1"/>
  <c r="R846" i="1"/>
  <c r="Q847" i="1"/>
  <c r="R847" i="1"/>
  <c r="Q848" i="1"/>
  <c r="R848" i="1"/>
  <c r="Q849" i="1"/>
  <c r="R849" i="1"/>
  <c r="Q850" i="1"/>
  <c r="R850" i="1"/>
  <c r="Q851" i="1"/>
  <c r="R851" i="1"/>
  <c r="Q852" i="1"/>
  <c r="R852" i="1"/>
  <c r="Q853" i="1"/>
  <c r="R853" i="1"/>
  <c r="Q854" i="1"/>
  <c r="R854" i="1"/>
  <c r="Q855" i="1"/>
  <c r="R855" i="1"/>
  <c r="Q856" i="1"/>
  <c r="R856" i="1"/>
  <c r="Q857" i="1"/>
  <c r="R857" i="1"/>
  <c r="Q858" i="1"/>
  <c r="R858" i="1"/>
  <c r="Q859" i="1"/>
  <c r="R859" i="1"/>
  <c r="Q860" i="1"/>
  <c r="R860" i="1"/>
  <c r="Q861" i="1"/>
  <c r="R861" i="1"/>
  <c r="Q862" i="1"/>
  <c r="R862" i="1"/>
  <c r="Q863" i="1"/>
  <c r="R863" i="1"/>
  <c r="Q864" i="1"/>
  <c r="R864" i="1"/>
  <c r="Q865" i="1"/>
  <c r="R865" i="1"/>
  <c r="Q866" i="1"/>
  <c r="R866" i="1"/>
  <c r="Q867" i="1"/>
  <c r="R867" i="1"/>
  <c r="Q868" i="1"/>
  <c r="R868" i="1"/>
  <c r="Q869" i="1"/>
  <c r="R869" i="1"/>
  <c r="Q870" i="1"/>
  <c r="R870" i="1"/>
  <c r="Q871" i="1"/>
  <c r="R871" i="1"/>
  <c r="Q872" i="1"/>
  <c r="R872" i="1"/>
  <c r="Q873" i="1"/>
  <c r="R873" i="1"/>
  <c r="Q874" i="1"/>
  <c r="R874" i="1"/>
  <c r="Q875" i="1"/>
  <c r="R875" i="1"/>
  <c r="Q876" i="1"/>
  <c r="R876" i="1"/>
  <c r="Q877" i="1"/>
  <c r="R877" i="1"/>
  <c r="Q878" i="1"/>
  <c r="R878" i="1"/>
  <c r="Q879" i="1"/>
  <c r="R879" i="1"/>
  <c r="Q880" i="1"/>
  <c r="R880" i="1"/>
  <c r="Q881" i="1"/>
  <c r="R881" i="1"/>
  <c r="Q882" i="1"/>
  <c r="R882" i="1"/>
  <c r="Q883" i="1"/>
  <c r="R883" i="1"/>
  <c r="Q884" i="1"/>
  <c r="R884" i="1"/>
  <c r="Q885" i="1"/>
  <c r="R885" i="1"/>
  <c r="Q886" i="1"/>
  <c r="R886" i="1"/>
  <c r="Q887" i="1"/>
  <c r="R887" i="1"/>
  <c r="Q888" i="1"/>
  <c r="R888" i="1"/>
  <c r="Q889" i="1"/>
  <c r="R889" i="1"/>
  <c r="Q890" i="1"/>
  <c r="R890" i="1"/>
  <c r="Q891" i="1"/>
  <c r="R891" i="1"/>
  <c r="Q892" i="1"/>
  <c r="R892" i="1"/>
  <c r="Q893" i="1"/>
  <c r="R893" i="1"/>
  <c r="Q894" i="1"/>
  <c r="R894" i="1"/>
  <c r="Q895" i="1"/>
  <c r="R895" i="1"/>
  <c r="Q896" i="1"/>
  <c r="R896" i="1"/>
  <c r="Q897" i="1"/>
  <c r="R897" i="1"/>
  <c r="Q898" i="1"/>
  <c r="R898" i="1"/>
  <c r="Q899" i="1"/>
  <c r="R899" i="1"/>
  <c r="Q900" i="1"/>
  <c r="R900" i="1"/>
  <c r="Q901" i="1"/>
  <c r="R901" i="1"/>
  <c r="Q902" i="1"/>
  <c r="R902" i="1"/>
  <c r="Q903" i="1"/>
  <c r="R903" i="1"/>
  <c r="Q904" i="1"/>
  <c r="R904" i="1"/>
  <c r="Q905" i="1"/>
  <c r="R905" i="1"/>
  <c r="Q906" i="1"/>
  <c r="R906" i="1"/>
  <c r="Q907" i="1"/>
  <c r="R907" i="1"/>
  <c r="Q908" i="1"/>
  <c r="R908" i="1"/>
  <c r="Q909" i="1"/>
  <c r="R909" i="1"/>
  <c r="Q910" i="1"/>
  <c r="R910" i="1"/>
  <c r="Q911" i="1"/>
  <c r="R911" i="1"/>
  <c r="Q912" i="1"/>
  <c r="R912" i="1"/>
  <c r="Q913" i="1"/>
  <c r="R913" i="1"/>
  <c r="Q914" i="1"/>
  <c r="R914" i="1"/>
  <c r="Q915" i="1"/>
  <c r="R915" i="1"/>
  <c r="Q916" i="1"/>
  <c r="R916" i="1"/>
  <c r="Q917" i="1"/>
  <c r="R917" i="1"/>
  <c r="Q918" i="1"/>
  <c r="R918" i="1"/>
  <c r="Q919" i="1"/>
  <c r="R919" i="1"/>
  <c r="Q920" i="1"/>
  <c r="R920" i="1"/>
  <c r="Q921" i="1"/>
  <c r="R921" i="1"/>
  <c r="Q922" i="1"/>
  <c r="R922" i="1"/>
  <c r="Q923" i="1"/>
  <c r="R923" i="1"/>
  <c r="Q924" i="1"/>
  <c r="R924" i="1"/>
  <c r="Q925" i="1"/>
  <c r="R925" i="1"/>
  <c r="Q926" i="1"/>
  <c r="R926" i="1"/>
  <c r="Q927" i="1"/>
  <c r="R927" i="1"/>
  <c r="Q928" i="1"/>
  <c r="R928" i="1"/>
  <c r="Q929" i="1"/>
  <c r="R929" i="1"/>
  <c r="Q930" i="1"/>
  <c r="R930" i="1"/>
  <c r="Q931" i="1"/>
  <c r="R931" i="1"/>
  <c r="Q932" i="1"/>
  <c r="R932" i="1"/>
  <c r="Q933" i="1"/>
  <c r="R933" i="1"/>
  <c r="Q934" i="1"/>
  <c r="R934" i="1"/>
  <c r="Q935" i="1"/>
  <c r="R935" i="1"/>
  <c r="Q936" i="1"/>
  <c r="R936" i="1"/>
  <c r="Q937" i="1"/>
  <c r="R937" i="1"/>
  <c r="Q938" i="1"/>
  <c r="R938" i="1"/>
  <c r="Q939" i="1"/>
  <c r="R939" i="1"/>
  <c r="Q940" i="1"/>
  <c r="R940" i="1"/>
  <c r="Q941" i="1"/>
  <c r="R941" i="1"/>
  <c r="Q942" i="1"/>
  <c r="R942" i="1"/>
  <c r="Q943" i="1"/>
  <c r="R943" i="1"/>
  <c r="Q944" i="1"/>
  <c r="R944" i="1"/>
  <c r="Q945" i="1"/>
  <c r="R945" i="1"/>
  <c r="Q946" i="1"/>
  <c r="R946" i="1"/>
  <c r="Q947" i="1"/>
  <c r="R947" i="1"/>
  <c r="Q948" i="1"/>
  <c r="R948" i="1"/>
  <c r="Q949" i="1"/>
  <c r="R949" i="1"/>
  <c r="Q950" i="1"/>
  <c r="R950" i="1"/>
  <c r="Q951" i="1"/>
  <c r="R951" i="1"/>
  <c r="Q952" i="1"/>
  <c r="R952" i="1"/>
  <c r="Q953" i="1"/>
  <c r="R953" i="1"/>
  <c r="Q954" i="1"/>
  <c r="R954" i="1"/>
  <c r="Q955" i="1"/>
  <c r="R955" i="1"/>
  <c r="Q956" i="1"/>
  <c r="R956" i="1"/>
  <c r="Q957" i="1"/>
  <c r="R957" i="1"/>
  <c r="Q958" i="1"/>
  <c r="R958" i="1"/>
  <c r="Q959" i="1"/>
  <c r="R959" i="1"/>
  <c r="Q960" i="1"/>
  <c r="R960" i="1"/>
  <c r="Q961" i="1"/>
  <c r="R961" i="1"/>
  <c r="Q962" i="1"/>
  <c r="R962" i="1"/>
  <c r="Q963" i="1"/>
  <c r="R963" i="1"/>
  <c r="Q964" i="1"/>
  <c r="R964" i="1"/>
  <c r="Q965" i="1"/>
  <c r="R965" i="1"/>
  <c r="Q966" i="1"/>
  <c r="R966" i="1"/>
  <c r="Q967" i="1"/>
  <c r="R967" i="1"/>
  <c r="Q968" i="1"/>
  <c r="R968" i="1"/>
  <c r="Q969" i="1"/>
  <c r="R969" i="1"/>
  <c r="Q970" i="1"/>
  <c r="R970" i="1"/>
  <c r="Q971" i="1"/>
  <c r="R971" i="1"/>
  <c r="Q972" i="1"/>
  <c r="R972" i="1"/>
  <c r="Q973" i="1"/>
  <c r="R973" i="1"/>
  <c r="Q974" i="1"/>
  <c r="R974" i="1"/>
  <c r="Q975" i="1"/>
  <c r="R975" i="1"/>
  <c r="Q976" i="1"/>
  <c r="R976" i="1"/>
  <c r="Q977" i="1"/>
  <c r="R977" i="1"/>
  <c r="Q978" i="1"/>
  <c r="R978" i="1"/>
  <c r="Q979" i="1"/>
  <c r="R979" i="1"/>
  <c r="Q980" i="1"/>
  <c r="R980" i="1"/>
  <c r="Q981" i="1"/>
  <c r="R981" i="1"/>
  <c r="Q982" i="1"/>
  <c r="R982" i="1"/>
  <c r="Q983" i="1"/>
  <c r="R983" i="1"/>
  <c r="Q984" i="1"/>
  <c r="R984" i="1"/>
  <c r="Q985" i="1"/>
  <c r="R985" i="1"/>
  <c r="Q986" i="1"/>
  <c r="R986" i="1"/>
  <c r="Q987" i="1"/>
  <c r="R987" i="1"/>
  <c r="Q988" i="1"/>
  <c r="R988" i="1"/>
  <c r="Q989" i="1"/>
  <c r="R989" i="1"/>
  <c r="Q990" i="1"/>
  <c r="R990" i="1"/>
  <c r="Q991" i="1"/>
  <c r="R991" i="1"/>
  <c r="Q992" i="1"/>
  <c r="R992" i="1"/>
  <c r="Q993" i="1"/>
  <c r="R993" i="1"/>
  <c r="Q994" i="1"/>
  <c r="R994" i="1"/>
  <c r="Q995" i="1"/>
  <c r="R995" i="1"/>
  <c r="Q996" i="1"/>
  <c r="R996" i="1"/>
  <c r="Q997" i="1"/>
  <c r="R997" i="1"/>
  <c r="Q998" i="1"/>
  <c r="R998" i="1"/>
  <c r="Q999" i="1"/>
  <c r="R999" i="1"/>
  <c r="Q1000" i="1"/>
  <c r="R1000" i="1"/>
  <c r="Q1001" i="1"/>
  <c r="R1001" i="1"/>
  <c r="Q1002" i="1"/>
  <c r="R1002" i="1"/>
  <c r="Q1003" i="1"/>
  <c r="R1003" i="1"/>
  <c r="Q1004" i="1"/>
  <c r="R1004" i="1"/>
  <c r="Q1005" i="1"/>
  <c r="R1005" i="1"/>
  <c r="Q1006" i="1"/>
  <c r="R1006" i="1"/>
  <c r="Q1007" i="1"/>
  <c r="R1007" i="1"/>
  <c r="Q1008" i="1"/>
  <c r="R1008" i="1"/>
  <c r="Q1009" i="1"/>
  <c r="R1009" i="1"/>
  <c r="Q1010" i="1"/>
  <c r="R1010" i="1"/>
  <c r="Q1011" i="1"/>
  <c r="R1011" i="1"/>
  <c r="Q1012" i="1"/>
  <c r="R1012" i="1"/>
  <c r="Q1013" i="1"/>
  <c r="R1013" i="1"/>
  <c r="Q1014" i="1"/>
  <c r="R1014" i="1"/>
  <c r="Q1015" i="1"/>
  <c r="R1015" i="1"/>
  <c r="Q1016" i="1"/>
  <c r="R1016" i="1"/>
  <c r="Q1017" i="1"/>
  <c r="R1017" i="1"/>
  <c r="Q1018" i="1"/>
  <c r="R1018" i="1"/>
  <c r="Q1019" i="1"/>
  <c r="R1019" i="1"/>
  <c r="Q1020" i="1"/>
  <c r="R1020" i="1"/>
  <c r="Q1021" i="1"/>
  <c r="R1021" i="1"/>
  <c r="Q1022" i="1"/>
  <c r="R1022" i="1"/>
  <c r="Q1023" i="1"/>
  <c r="R1023" i="1"/>
  <c r="Q1024" i="1"/>
  <c r="R1024" i="1"/>
  <c r="Q1025" i="1"/>
  <c r="R1025" i="1"/>
  <c r="Q1026" i="1"/>
  <c r="R1026" i="1"/>
  <c r="Q1027" i="1"/>
  <c r="R1027" i="1"/>
  <c r="Q1028" i="1"/>
  <c r="R1028" i="1"/>
  <c r="Q1029" i="1"/>
  <c r="R1029" i="1"/>
  <c r="Q1030" i="1"/>
  <c r="R1030" i="1"/>
  <c r="Q1031" i="1"/>
  <c r="R1031" i="1"/>
  <c r="Q1032" i="1"/>
  <c r="R1032" i="1"/>
  <c r="Q1033" i="1"/>
  <c r="R1033" i="1"/>
  <c r="Q1034" i="1"/>
  <c r="R1034" i="1"/>
  <c r="Q1035" i="1"/>
  <c r="R1035" i="1"/>
  <c r="Q1036" i="1"/>
  <c r="R1036" i="1"/>
  <c r="Q1037" i="1"/>
  <c r="R1037" i="1"/>
  <c r="Q1038" i="1"/>
  <c r="R1038" i="1"/>
  <c r="Q1039" i="1"/>
  <c r="R1039" i="1"/>
  <c r="Q1040" i="1"/>
  <c r="R1040" i="1"/>
  <c r="Q1041" i="1"/>
  <c r="R1041" i="1"/>
  <c r="Q1042" i="1"/>
  <c r="R1042" i="1"/>
  <c r="Q1043" i="1"/>
  <c r="R1043" i="1"/>
  <c r="Q1044" i="1"/>
  <c r="R1044" i="1"/>
  <c r="Q1045" i="1"/>
  <c r="R1045" i="1"/>
  <c r="Q1046" i="1"/>
  <c r="R1046" i="1"/>
  <c r="Q1047" i="1"/>
  <c r="R1047" i="1"/>
  <c r="Q1048" i="1"/>
  <c r="R1048" i="1"/>
  <c r="Q1049" i="1"/>
  <c r="R1049" i="1"/>
  <c r="Q1050" i="1"/>
  <c r="R1050" i="1"/>
  <c r="Q1051" i="1"/>
  <c r="R1051" i="1"/>
  <c r="Q1052" i="1"/>
  <c r="R1052" i="1"/>
  <c r="Q1053" i="1"/>
  <c r="R1053" i="1"/>
  <c r="Q1054" i="1"/>
  <c r="R1054" i="1"/>
  <c r="Q1055" i="1"/>
  <c r="R1055" i="1"/>
  <c r="Q1056" i="1"/>
  <c r="R1056" i="1"/>
  <c r="Q1057" i="1"/>
  <c r="R1057" i="1"/>
  <c r="Q1058" i="1"/>
  <c r="R1058" i="1"/>
  <c r="Q1059" i="1"/>
  <c r="R1059" i="1"/>
  <c r="Q1060" i="1"/>
  <c r="R1060" i="1"/>
  <c r="Q1061" i="1"/>
  <c r="R1061" i="1"/>
  <c r="Q1062" i="1"/>
  <c r="R1062" i="1"/>
  <c r="Q1063" i="1"/>
  <c r="R1063" i="1"/>
  <c r="Q1064" i="1"/>
  <c r="R1064" i="1"/>
  <c r="Q1065" i="1"/>
  <c r="R1065" i="1"/>
  <c r="Q1066" i="1"/>
  <c r="R1066" i="1"/>
  <c r="Q1067" i="1"/>
  <c r="R1067" i="1"/>
  <c r="Q1068" i="1"/>
  <c r="R1068" i="1"/>
  <c r="Q1069" i="1"/>
  <c r="R1069" i="1"/>
  <c r="Q1070" i="1"/>
  <c r="R1070" i="1"/>
  <c r="Q1071" i="1"/>
  <c r="R1071" i="1"/>
  <c r="Q1072" i="1"/>
  <c r="R1072" i="1"/>
  <c r="Q1073" i="1"/>
  <c r="R1073" i="1"/>
  <c r="Q1074" i="1"/>
  <c r="R1074" i="1"/>
  <c r="Q1075" i="1"/>
  <c r="R1075" i="1"/>
  <c r="Q1076" i="1"/>
  <c r="R1076" i="1"/>
  <c r="Q1077" i="1"/>
  <c r="R1077" i="1"/>
  <c r="Q1078" i="1"/>
  <c r="R1078" i="1"/>
  <c r="Q1079" i="1"/>
  <c r="R1079" i="1"/>
  <c r="Q1080" i="1"/>
  <c r="R1080" i="1"/>
  <c r="Q1081" i="1"/>
  <c r="R1081" i="1"/>
  <c r="Q1082" i="1"/>
  <c r="R1082" i="1"/>
  <c r="Q1083" i="1"/>
  <c r="R1083" i="1"/>
  <c r="Q1084" i="1"/>
  <c r="R1084" i="1"/>
  <c r="Q1085" i="1"/>
  <c r="R1085" i="1"/>
  <c r="Q1086" i="1"/>
  <c r="R1086" i="1"/>
  <c r="Q1087" i="1"/>
  <c r="R1087" i="1"/>
  <c r="Q1088" i="1"/>
  <c r="R1088" i="1"/>
  <c r="Q1089" i="1"/>
  <c r="R1089" i="1"/>
  <c r="Q1090" i="1"/>
  <c r="R1090" i="1"/>
  <c r="Q1091" i="1"/>
  <c r="R1091" i="1"/>
  <c r="Q1092" i="1"/>
  <c r="R1092" i="1"/>
  <c r="Q1093" i="1"/>
  <c r="R1093" i="1"/>
  <c r="Q1094" i="1"/>
  <c r="R1094" i="1"/>
  <c r="Q1095" i="1"/>
  <c r="R1095" i="1"/>
  <c r="Q1096" i="1"/>
  <c r="R1096" i="1"/>
  <c r="Q1097" i="1"/>
  <c r="R1097" i="1"/>
  <c r="Q1098" i="1"/>
  <c r="R1098" i="1"/>
  <c r="Q1099" i="1"/>
  <c r="R1099" i="1"/>
  <c r="Q1100" i="1"/>
  <c r="R1100" i="1"/>
  <c r="Q1101" i="1"/>
  <c r="R1101" i="1"/>
  <c r="Q1102" i="1"/>
  <c r="R1102" i="1"/>
  <c r="Q1103" i="1"/>
  <c r="R1103" i="1"/>
  <c r="Q1104" i="1"/>
  <c r="R1104" i="1"/>
  <c r="Q1105" i="1"/>
  <c r="R1105" i="1"/>
  <c r="Q1106" i="1"/>
  <c r="R1106" i="1"/>
  <c r="Q1107" i="1"/>
  <c r="R1107" i="1"/>
  <c r="Q1108" i="1"/>
  <c r="R1108" i="1"/>
  <c r="Q1109" i="1"/>
  <c r="R1109" i="1"/>
  <c r="Q1110" i="1"/>
  <c r="R1110" i="1"/>
  <c r="Q1111" i="1"/>
  <c r="R1111" i="1"/>
  <c r="Q1112" i="1"/>
  <c r="R1112" i="1"/>
  <c r="Q1113" i="1"/>
  <c r="R1113" i="1"/>
  <c r="Q1114" i="1"/>
  <c r="R1114" i="1"/>
  <c r="Q1115" i="1"/>
  <c r="R1115" i="1"/>
  <c r="Q1116" i="1"/>
  <c r="R1116" i="1"/>
  <c r="Q1117" i="1"/>
  <c r="R1117" i="1"/>
  <c r="Q1118" i="1"/>
  <c r="R1118" i="1"/>
  <c r="Q1119" i="1"/>
  <c r="R1119" i="1"/>
  <c r="Q1120" i="1"/>
  <c r="R1120" i="1"/>
  <c r="Q1121" i="1"/>
  <c r="R1121" i="1"/>
  <c r="Q1122" i="1"/>
  <c r="R1122" i="1"/>
  <c r="Q1123" i="1"/>
  <c r="R1123" i="1"/>
  <c r="Q1124" i="1"/>
  <c r="R1124" i="1"/>
  <c r="Q1125" i="1"/>
  <c r="R1125" i="1"/>
  <c r="Q1126" i="1"/>
  <c r="R1126" i="1"/>
  <c r="Q1127" i="1"/>
  <c r="R1127" i="1"/>
  <c r="Q1128" i="1"/>
  <c r="R1128" i="1"/>
  <c r="Q1129" i="1"/>
  <c r="R1129" i="1"/>
  <c r="Q1130" i="1"/>
  <c r="R1130" i="1"/>
  <c r="Q1131" i="1"/>
  <c r="R1131" i="1"/>
  <c r="Q1132" i="1"/>
  <c r="R1132" i="1"/>
  <c r="Q1133" i="1"/>
  <c r="R1133" i="1"/>
  <c r="Q1134" i="1"/>
  <c r="R1134" i="1"/>
  <c r="Q1135" i="1"/>
  <c r="R1135" i="1"/>
  <c r="Q1136" i="1"/>
  <c r="R1136" i="1"/>
  <c r="Q1137" i="1"/>
  <c r="R1137" i="1"/>
  <c r="Q1138" i="1"/>
  <c r="R1138" i="1"/>
  <c r="Q1139" i="1"/>
  <c r="R1139" i="1"/>
  <c r="Q1140" i="1"/>
  <c r="R1140" i="1"/>
  <c r="Q1141" i="1"/>
  <c r="R1141" i="1"/>
  <c r="Q1142" i="1"/>
  <c r="R1142" i="1"/>
  <c r="Q1143" i="1"/>
  <c r="R1143" i="1"/>
  <c r="Q1144" i="1"/>
  <c r="R1144" i="1"/>
  <c r="Q1145" i="1"/>
  <c r="R1145" i="1"/>
  <c r="Q1146" i="1"/>
  <c r="R1146" i="1"/>
  <c r="Q1147" i="1"/>
  <c r="R1147" i="1"/>
  <c r="Q1148" i="1"/>
  <c r="R1148" i="1"/>
  <c r="Q1149" i="1"/>
  <c r="R1149" i="1"/>
  <c r="Q1150" i="1"/>
  <c r="R1150" i="1"/>
  <c r="Q1151" i="1"/>
  <c r="R1151" i="1"/>
  <c r="Q1152" i="1"/>
  <c r="R1152" i="1"/>
  <c r="Q1153" i="1"/>
  <c r="R1153" i="1"/>
  <c r="Q1154" i="1"/>
  <c r="R1154" i="1"/>
  <c r="Q1155" i="1"/>
  <c r="R1155" i="1"/>
  <c r="Q1156" i="1"/>
  <c r="R1156" i="1"/>
  <c r="Q1157" i="1"/>
  <c r="R1157" i="1"/>
  <c r="Q1158" i="1"/>
  <c r="R1158" i="1"/>
  <c r="Q1159" i="1"/>
  <c r="R1159" i="1"/>
  <c r="Q1160" i="1"/>
  <c r="R1160" i="1"/>
  <c r="Q1161" i="1"/>
  <c r="R1161" i="1"/>
  <c r="Q1162" i="1"/>
  <c r="R1162" i="1"/>
  <c r="Q1163" i="1"/>
  <c r="R1163" i="1"/>
  <c r="Q1164" i="1"/>
  <c r="R1164" i="1"/>
  <c r="Q1165" i="1"/>
  <c r="R1165" i="1"/>
  <c r="Q1166" i="1"/>
  <c r="R1166" i="1"/>
  <c r="Q1167" i="1"/>
  <c r="R1167" i="1"/>
  <c r="Q1168" i="1"/>
  <c r="R1168" i="1"/>
  <c r="Q1169" i="1"/>
  <c r="R1169" i="1"/>
  <c r="Q1170" i="1"/>
  <c r="R1170" i="1"/>
  <c r="Q1171" i="1"/>
  <c r="R1171" i="1"/>
  <c r="Q1172" i="1"/>
  <c r="R1172" i="1"/>
  <c r="Q1173" i="1"/>
  <c r="R1173" i="1"/>
  <c r="Q1174" i="1"/>
  <c r="R1174" i="1"/>
  <c r="Q1175" i="1"/>
  <c r="R1175" i="1"/>
  <c r="Q1176" i="1"/>
  <c r="R1176" i="1"/>
  <c r="Q1177" i="1"/>
  <c r="R1177" i="1"/>
  <c r="Q1178" i="1"/>
  <c r="R1178" i="1"/>
  <c r="Q1179" i="1"/>
  <c r="R1179" i="1"/>
  <c r="Q1180" i="1"/>
  <c r="R1180" i="1"/>
  <c r="Q1181" i="1"/>
  <c r="R1181" i="1"/>
  <c r="Q1182" i="1"/>
  <c r="R1182" i="1"/>
  <c r="Q1183" i="1"/>
  <c r="R1183" i="1"/>
  <c r="Q1184" i="1"/>
  <c r="R1184" i="1"/>
  <c r="Q1185" i="1"/>
  <c r="R1185" i="1"/>
  <c r="Q1186" i="1"/>
  <c r="R1186" i="1"/>
  <c r="Q1187" i="1"/>
  <c r="R1187" i="1"/>
  <c r="Q1188" i="1"/>
  <c r="R1188" i="1"/>
  <c r="Q1189" i="1"/>
  <c r="R1189" i="1"/>
  <c r="Q1190" i="1"/>
  <c r="R1190" i="1"/>
  <c r="Q1191" i="1"/>
  <c r="R1191" i="1"/>
  <c r="Q1192" i="1"/>
  <c r="R1192" i="1"/>
  <c r="Q1193" i="1"/>
  <c r="R1193" i="1"/>
  <c r="Q1194" i="1"/>
  <c r="R1194" i="1"/>
  <c r="Q1195" i="1"/>
  <c r="R1195" i="1"/>
  <c r="Q1196" i="1"/>
  <c r="R1196" i="1"/>
  <c r="Q1197" i="1"/>
  <c r="R1197" i="1"/>
  <c r="Q1198" i="1"/>
  <c r="R1198" i="1"/>
  <c r="Q1199" i="1"/>
  <c r="R1199" i="1"/>
  <c r="Q1200" i="1"/>
  <c r="R1200" i="1"/>
  <c r="Q1201" i="1"/>
  <c r="R1201" i="1"/>
  <c r="Q1202" i="1"/>
  <c r="R1202" i="1"/>
  <c r="Q1203" i="1"/>
  <c r="R1203" i="1"/>
  <c r="Q1204" i="1"/>
  <c r="R1204" i="1"/>
  <c r="Q1205" i="1"/>
  <c r="R1205" i="1"/>
  <c r="Q1206" i="1"/>
  <c r="R1206" i="1"/>
  <c r="Q1207" i="1"/>
  <c r="R1207" i="1"/>
  <c r="Q1208" i="1"/>
  <c r="R1208" i="1"/>
  <c r="Q1209" i="1"/>
  <c r="R1209" i="1"/>
  <c r="Q1210" i="1"/>
  <c r="R1210" i="1"/>
  <c r="Q1211" i="1"/>
  <c r="R1211" i="1"/>
  <c r="Q1212" i="1"/>
  <c r="R1212" i="1"/>
  <c r="Q1213" i="1"/>
  <c r="R1213" i="1"/>
  <c r="Q1214" i="1"/>
  <c r="R1214" i="1"/>
  <c r="Q1215" i="1"/>
  <c r="R1215" i="1"/>
  <c r="Q1216" i="1"/>
  <c r="R1216" i="1"/>
  <c r="Q1217" i="1"/>
  <c r="R1217" i="1"/>
  <c r="Q1218" i="1"/>
  <c r="R1218" i="1"/>
  <c r="Q1219" i="1"/>
  <c r="R1219" i="1"/>
  <c r="Q1220" i="1"/>
  <c r="R1220" i="1"/>
  <c r="Q1221" i="1"/>
  <c r="R1221" i="1"/>
  <c r="Q1222" i="1"/>
  <c r="R1222" i="1"/>
  <c r="Q1223" i="1"/>
  <c r="R1223" i="1"/>
  <c r="Q1224" i="1"/>
  <c r="R1224" i="1"/>
  <c r="Q1225" i="1"/>
  <c r="R1225" i="1"/>
  <c r="Q1226" i="1"/>
  <c r="R1226" i="1"/>
  <c r="Q1227" i="1"/>
  <c r="R1227" i="1"/>
  <c r="Q1228" i="1"/>
  <c r="R1228" i="1"/>
  <c r="Q1229" i="1"/>
  <c r="R1229" i="1"/>
  <c r="Q1230" i="1"/>
  <c r="R1230" i="1"/>
  <c r="Q1231" i="1"/>
  <c r="R1231" i="1"/>
  <c r="Q1232" i="1"/>
  <c r="R1232" i="1"/>
  <c r="Q1233" i="1"/>
  <c r="R1233" i="1"/>
  <c r="Q1234" i="1"/>
  <c r="R1234" i="1"/>
  <c r="Q1235" i="1"/>
  <c r="R1235" i="1"/>
  <c r="Q1236" i="1"/>
  <c r="R1236" i="1"/>
  <c r="Q1237" i="1"/>
  <c r="R1237" i="1"/>
  <c r="Q1238" i="1"/>
  <c r="R1238" i="1"/>
  <c r="Q1239" i="1"/>
  <c r="R1239" i="1"/>
  <c r="Q1240" i="1"/>
  <c r="R1240" i="1"/>
  <c r="Q1241" i="1"/>
  <c r="R1241" i="1"/>
  <c r="Q1242" i="1"/>
  <c r="R1242" i="1"/>
  <c r="Q1243" i="1"/>
  <c r="R1243" i="1"/>
  <c r="Q1244" i="1"/>
  <c r="R1244" i="1"/>
  <c r="Q1245" i="1"/>
  <c r="R1245" i="1"/>
  <c r="Q1246" i="1"/>
  <c r="R1246" i="1"/>
  <c r="Q1247" i="1"/>
  <c r="R1247" i="1"/>
  <c r="Q1248" i="1"/>
  <c r="R1248" i="1"/>
  <c r="Q1249" i="1"/>
  <c r="R1249" i="1"/>
  <c r="Q1250" i="1"/>
  <c r="R1250" i="1"/>
  <c r="Q1251" i="1"/>
  <c r="R1251" i="1"/>
  <c r="Q1252" i="1"/>
  <c r="R1252" i="1"/>
  <c r="Q1253" i="1"/>
  <c r="R1253" i="1"/>
  <c r="Q1254" i="1"/>
  <c r="R1254" i="1"/>
  <c r="Q1255" i="1"/>
  <c r="R1255" i="1"/>
  <c r="Q1256" i="1"/>
  <c r="R1256" i="1"/>
  <c r="Q1257" i="1"/>
  <c r="R1257" i="1"/>
  <c r="Q1258" i="1"/>
  <c r="R1258" i="1"/>
  <c r="Q1259" i="1"/>
  <c r="R1259" i="1"/>
  <c r="Q1260" i="1"/>
  <c r="R1260" i="1"/>
  <c r="Q1261" i="1"/>
  <c r="R1261" i="1"/>
  <c r="Q1262" i="1"/>
  <c r="R1262" i="1"/>
  <c r="Q1263" i="1"/>
  <c r="R1263" i="1"/>
  <c r="Q1264" i="1"/>
  <c r="R1264" i="1"/>
  <c r="Q1265" i="1"/>
  <c r="R1265" i="1"/>
  <c r="Q1266" i="1"/>
  <c r="R1266" i="1"/>
  <c r="Q1267" i="1"/>
  <c r="R1267" i="1"/>
  <c r="Q1268" i="1"/>
  <c r="R1268" i="1"/>
  <c r="Q1269" i="1"/>
  <c r="R1269" i="1"/>
  <c r="Q1270" i="1"/>
  <c r="R1270" i="1"/>
  <c r="Q1271" i="1"/>
  <c r="R1271" i="1"/>
  <c r="Q1272" i="1"/>
  <c r="R1272" i="1"/>
  <c r="Q1273" i="1"/>
  <c r="R1273" i="1"/>
  <c r="Q1274" i="1"/>
  <c r="R1274" i="1"/>
  <c r="Q1275" i="1"/>
  <c r="R1275" i="1"/>
  <c r="Q1276" i="1"/>
  <c r="R1276" i="1"/>
  <c r="Q1277" i="1"/>
  <c r="R1277" i="1"/>
  <c r="Q1278" i="1"/>
  <c r="R1278" i="1"/>
  <c r="Q1279" i="1"/>
  <c r="R1279" i="1"/>
  <c r="Q1280" i="1"/>
  <c r="R1280" i="1"/>
  <c r="Q1281" i="1"/>
  <c r="R1281" i="1"/>
  <c r="Q1282" i="1"/>
  <c r="R1282" i="1"/>
  <c r="Q1283" i="1"/>
  <c r="R1283" i="1"/>
  <c r="Q1284" i="1"/>
  <c r="R1284" i="1"/>
  <c r="Q1285" i="1"/>
  <c r="R1285" i="1"/>
  <c r="Q1286" i="1"/>
  <c r="R1286" i="1"/>
  <c r="Q1287" i="1"/>
  <c r="R1287" i="1"/>
  <c r="Q1288" i="1"/>
  <c r="R1288" i="1"/>
  <c r="Q1289" i="1"/>
  <c r="R1289" i="1"/>
  <c r="Q1290" i="1"/>
  <c r="R1290" i="1"/>
  <c r="Q1291" i="1"/>
  <c r="R1291" i="1"/>
  <c r="Q1292" i="1"/>
  <c r="R1292" i="1"/>
  <c r="Q1293" i="1"/>
  <c r="R1293" i="1"/>
  <c r="Q1294" i="1"/>
  <c r="R1294" i="1"/>
  <c r="Q1295" i="1"/>
  <c r="R1295" i="1"/>
  <c r="Q1296" i="1"/>
  <c r="R1296" i="1"/>
  <c r="Q1297" i="1"/>
  <c r="R1297" i="1"/>
  <c r="Q1298" i="1"/>
  <c r="R1298" i="1"/>
  <c r="Q1299" i="1"/>
  <c r="R1299" i="1"/>
  <c r="Q1300" i="1"/>
  <c r="R1300" i="1"/>
  <c r="Q1301" i="1"/>
  <c r="R1301" i="1"/>
  <c r="Q1302" i="1"/>
  <c r="R1302" i="1"/>
  <c r="Q1303" i="1"/>
  <c r="R1303" i="1"/>
  <c r="Q1304" i="1"/>
  <c r="R1304" i="1"/>
  <c r="Q1305" i="1"/>
  <c r="R1305" i="1"/>
  <c r="Q1306" i="1"/>
  <c r="R1306" i="1"/>
  <c r="Q1307" i="1"/>
  <c r="R1307" i="1"/>
  <c r="Q1308" i="1"/>
  <c r="R1308" i="1"/>
  <c r="Q1309" i="1"/>
  <c r="R1309" i="1"/>
  <c r="Q1310" i="1"/>
  <c r="R1310" i="1"/>
  <c r="Q1311" i="1"/>
  <c r="R1311" i="1"/>
  <c r="Q1312" i="1"/>
  <c r="R1312" i="1"/>
  <c r="Q1313" i="1"/>
  <c r="R1313" i="1"/>
  <c r="Q1314" i="1"/>
  <c r="R1314" i="1"/>
  <c r="Q1315" i="1"/>
  <c r="R1315" i="1"/>
  <c r="Q1316" i="1"/>
  <c r="R1316" i="1"/>
  <c r="Q1317" i="1"/>
  <c r="R1317" i="1"/>
  <c r="Q1318" i="1"/>
  <c r="R1318" i="1"/>
  <c r="Q1319" i="1"/>
  <c r="R1319" i="1"/>
  <c r="Q1320" i="1"/>
  <c r="R1320" i="1"/>
  <c r="Q1321" i="1"/>
  <c r="R1321" i="1"/>
  <c r="Q1322" i="1"/>
  <c r="R1322" i="1"/>
  <c r="Q1323" i="1"/>
  <c r="R1323" i="1"/>
  <c r="Q1324" i="1"/>
  <c r="R1324" i="1"/>
  <c r="Q1325" i="1"/>
  <c r="R1325" i="1"/>
  <c r="Q1326" i="1"/>
  <c r="R1326" i="1"/>
  <c r="Q1327" i="1"/>
  <c r="R1327" i="1"/>
  <c r="Q1328" i="1"/>
  <c r="R1328" i="1"/>
  <c r="Q1329" i="1"/>
  <c r="R1329" i="1"/>
  <c r="Q1330" i="1"/>
  <c r="R1330" i="1"/>
  <c r="Q1331" i="1"/>
  <c r="R1331" i="1"/>
  <c r="Q1332" i="1"/>
  <c r="R1332" i="1"/>
  <c r="Q1333" i="1"/>
  <c r="R1333" i="1"/>
  <c r="Q1334" i="1"/>
  <c r="R1334" i="1"/>
  <c r="Q1335" i="1"/>
  <c r="R1335" i="1"/>
  <c r="Q1336" i="1"/>
  <c r="R1336" i="1"/>
  <c r="Q1337" i="1"/>
  <c r="R1337" i="1"/>
  <c r="Q1338" i="1"/>
  <c r="R1338" i="1"/>
  <c r="Q1339" i="1"/>
  <c r="R1339" i="1"/>
  <c r="Q1340" i="1"/>
  <c r="R1340" i="1"/>
  <c r="Q1341" i="1"/>
  <c r="R1341" i="1"/>
  <c r="Q1342" i="1"/>
  <c r="R1342" i="1"/>
  <c r="Q1343" i="1"/>
  <c r="R1343" i="1"/>
  <c r="Q1344" i="1"/>
  <c r="R1344" i="1"/>
  <c r="Q1345" i="1"/>
  <c r="R1345" i="1"/>
  <c r="Q1346" i="1"/>
  <c r="R1346" i="1"/>
  <c r="Q1347" i="1"/>
  <c r="R1347" i="1"/>
  <c r="Q1348" i="1"/>
  <c r="R1348" i="1"/>
  <c r="Q1349" i="1"/>
  <c r="R1349" i="1"/>
  <c r="Q1350" i="1"/>
  <c r="R1350" i="1"/>
  <c r="Q1351" i="1"/>
  <c r="R1351" i="1"/>
  <c r="Q1352" i="1"/>
  <c r="R1352" i="1"/>
  <c r="Q1353" i="1"/>
  <c r="R1353" i="1"/>
  <c r="Q1354" i="1"/>
  <c r="R1354" i="1"/>
  <c r="Q1355" i="1"/>
  <c r="R1355" i="1"/>
  <c r="Q1356" i="1"/>
  <c r="R1356" i="1"/>
  <c r="Q1357" i="1"/>
  <c r="R1357" i="1"/>
  <c r="Q1358" i="1"/>
  <c r="R1358" i="1"/>
  <c r="Q1359" i="1"/>
  <c r="R1359" i="1"/>
  <c r="Q1360" i="1"/>
  <c r="R1360" i="1"/>
  <c r="Q1361" i="1"/>
  <c r="R1361" i="1"/>
  <c r="Q1362" i="1"/>
  <c r="R1362" i="1"/>
  <c r="Q1363" i="1"/>
  <c r="R1363" i="1"/>
  <c r="Q1364" i="1"/>
  <c r="R1364" i="1"/>
  <c r="Q1365" i="1"/>
  <c r="R1365" i="1"/>
  <c r="Q1366" i="1"/>
  <c r="R1366" i="1"/>
  <c r="Q1367" i="1"/>
  <c r="R1367" i="1"/>
  <c r="Q1368" i="1"/>
  <c r="R1368" i="1"/>
  <c r="Q1369" i="1"/>
  <c r="R1369" i="1"/>
  <c r="Q1370" i="1"/>
  <c r="R1370" i="1"/>
  <c r="Q1371" i="1"/>
  <c r="R1371" i="1"/>
  <c r="Q1372" i="1"/>
  <c r="R1372" i="1"/>
  <c r="Q1373" i="1"/>
  <c r="R1373" i="1"/>
  <c r="Q1374" i="1"/>
  <c r="R1374" i="1"/>
  <c r="Q1375" i="1"/>
  <c r="R1375" i="1"/>
  <c r="Q1376" i="1"/>
  <c r="R1376" i="1"/>
  <c r="Q1377" i="1"/>
  <c r="R1377" i="1"/>
  <c r="Q1378" i="1"/>
  <c r="R1378" i="1"/>
  <c r="Q1379" i="1"/>
  <c r="R1379" i="1"/>
  <c r="Q1380" i="1"/>
  <c r="R1380" i="1"/>
  <c r="Q1381" i="1"/>
  <c r="R1381" i="1"/>
  <c r="Q1382" i="1"/>
  <c r="R1382" i="1"/>
  <c r="Q1383" i="1"/>
  <c r="R1383" i="1"/>
  <c r="Q1384" i="1"/>
  <c r="R1384" i="1"/>
  <c r="Q1385" i="1"/>
  <c r="R1385" i="1"/>
  <c r="Q1386" i="1"/>
  <c r="R1386" i="1"/>
  <c r="Q1387" i="1"/>
  <c r="R1387" i="1"/>
  <c r="Q1388" i="1"/>
  <c r="R1388" i="1"/>
  <c r="Q1389" i="1"/>
  <c r="R1389" i="1"/>
  <c r="Q1390" i="1"/>
  <c r="R1390" i="1"/>
  <c r="Q1391" i="1"/>
  <c r="R1391" i="1"/>
  <c r="Q1392" i="1"/>
  <c r="R1392" i="1"/>
  <c r="Q1393" i="1"/>
  <c r="R1393" i="1"/>
  <c r="Q1394" i="1"/>
  <c r="R1394" i="1"/>
  <c r="Q1395" i="1"/>
  <c r="R1395" i="1"/>
  <c r="Q1396" i="1"/>
  <c r="R1396" i="1"/>
  <c r="Q1397" i="1"/>
  <c r="R1397" i="1"/>
  <c r="Q1398" i="1"/>
  <c r="R1398" i="1"/>
  <c r="Q1399" i="1"/>
  <c r="R1399" i="1"/>
  <c r="Q1400" i="1"/>
  <c r="R1400" i="1"/>
  <c r="Q1401" i="1"/>
  <c r="R1401" i="1"/>
  <c r="Q1402" i="1"/>
  <c r="R1402" i="1"/>
  <c r="Q1403" i="1"/>
  <c r="R1403" i="1"/>
  <c r="Q1404" i="1"/>
  <c r="R1404" i="1"/>
  <c r="Q1405" i="1"/>
  <c r="R1405" i="1"/>
  <c r="Q1406" i="1"/>
  <c r="R1406" i="1"/>
  <c r="Q1407" i="1"/>
  <c r="R1407" i="1"/>
  <c r="Q1408" i="1"/>
  <c r="R1408" i="1"/>
  <c r="Q1409" i="1"/>
  <c r="R1409" i="1"/>
  <c r="Q1410" i="1"/>
  <c r="R1410" i="1"/>
  <c r="Q1411" i="1"/>
  <c r="R1411" i="1"/>
  <c r="Q1412" i="1"/>
  <c r="R1412" i="1"/>
  <c r="Q1413" i="1"/>
  <c r="R1413" i="1"/>
  <c r="Q1414" i="1"/>
  <c r="R1414" i="1"/>
  <c r="Q1415" i="1"/>
  <c r="R1415" i="1"/>
  <c r="Q1416" i="1"/>
  <c r="R1416" i="1"/>
  <c r="Q1417" i="1"/>
  <c r="R1417" i="1"/>
  <c r="Q1418" i="1"/>
  <c r="R1418" i="1"/>
  <c r="Q1419" i="1"/>
  <c r="R1419" i="1"/>
  <c r="Q1420" i="1"/>
  <c r="R1420" i="1"/>
  <c r="Q1421" i="1"/>
  <c r="R1421" i="1"/>
  <c r="Q1422" i="1"/>
  <c r="R1422" i="1"/>
  <c r="Q1423" i="1"/>
  <c r="R1423" i="1"/>
  <c r="Q1424" i="1"/>
  <c r="R1424" i="1"/>
  <c r="Q1425" i="1"/>
  <c r="R1425" i="1"/>
  <c r="R2" i="1"/>
  <c r="Q2"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alcChain>
</file>

<file path=xl/sharedStrings.xml><?xml version="1.0" encoding="utf-8"?>
<sst xmlns="http://schemas.openxmlformats.org/spreadsheetml/2006/main" count="7248" uniqueCount="1779">
  <si>
    <t>Date</t>
  </si>
  <si>
    <t>Order</t>
  </si>
  <si>
    <t>Party's Name</t>
  </si>
  <si>
    <t>Name of Item</t>
  </si>
  <si>
    <t>Material Code</t>
  </si>
  <si>
    <t>Part No</t>
  </si>
  <si>
    <t>Ordered</t>
  </si>
  <si>
    <t>Balance</t>
  </si>
  <si>
    <t>Rate</t>
  </si>
  <si>
    <t>Discount</t>
  </si>
  <si>
    <t>Value</t>
  </si>
  <si>
    <t>Due on</t>
  </si>
  <si>
    <t>OverDue</t>
  </si>
  <si>
    <t>Faiveley Transport Rail Technologies India Pvt. Ltd (H)</t>
  </si>
  <si>
    <t>1058927</t>
  </si>
  <si>
    <t>88527+203948+201854(7.5/10)</t>
  </si>
  <si>
    <t>1066671</t>
  </si>
  <si>
    <t xml:space="preserve">FT0051877-100_x000D_
</t>
  </si>
  <si>
    <t>087792+203948 (0.4/0.6)</t>
  </si>
  <si>
    <t>1068154</t>
  </si>
  <si>
    <t xml:space="preserve">FT0020043-103_x000D_
</t>
  </si>
  <si>
    <t>Y7-87793+203948+201855 (6.0/7.0)</t>
  </si>
  <si>
    <t xml:space="preserve">FT0051877-102_x000D_
</t>
  </si>
  <si>
    <t>Y7-87793+203948 (3.5/5.0)</t>
  </si>
  <si>
    <t>1084312</t>
  </si>
  <si>
    <t xml:space="preserve">FT0054544-200_x000D_
</t>
  </si>
  <si>
    <t>88527+203948+201854 (3.5/5.0)</t>
  </si>
  <si>
    <t xml:space="preserve">FT0051023-003_x000D_
</t>
  </si>
  <si>
    <t>88527 + 203948 (3.9/4.9)</t>
  </si>
  <si>
    <t xml:space="preserve">FT0051023-002_x000D_
</t>
  </si>
  <si>
    <t>88527 + 203948 (2.9/4.1)</t>
  </si>
  <si>
    <t>Td Power Systems Limited</t>
  </si>
  <si>
    <t>0034410</t>
  </si>
  <si>
    <t>0028325</t>
  </si>
  <si>
    <t>Divya Enterprises</t>
  </si>
  <si>
    <t>1098452</t>
  </si>
  <si>
    <t xml:space="preserve">FT0051023-001_x000D_
</t>
  </si>
  <si>
    <t>88527 + 203948 (1.5/2)</t>
  </si>
  <si>
    <t xml:space="preserve">FT0051023-005_x000D_
</t>
  </si>
  <si>
    <t>Y7-88527+203948 (4.9/5.5)</t>
  </si>
  <si>
    <t xml:space="preserve">FT0051023-007_x000D_
</t>
  </si>
  <si>
    <t>88527 + 203948 (6.9/7.9)</t>
  </si>
  <si>
    <t xml:space="preserve">FT0020046-113_x000D_
</t>
  </si>
  <si>
    <t>Y7-58692 (8.5/9.5)</t>
  </si>
  <si>
    <t xml:space="preserve">FT0051023-004_x000D_
</t>
  </si>
  <si>
    <t>88527 + 203948 (4.4/5.4)</t>
  </si>
  <si>
    <t xml:space="preserve">FT0051023-000_x000D_
</t>
  </si>
  <si>
    <t xml:space="preserve">058693 + 203948_x000D_
</t>
  </si>
  <si>
    <t>1098456</t>
  </si>
  <si>
    <t xml:space="preserve">FT0051023-006_x000D_
</t>
  </si>
  <si>
    <t>Y7-88527+203948 (5.5/6.3)</t>
  </si>
  <si>
    <t xml:space="preserve">FT0051023-008_x000D_
</t>
  </si>
  <si>
    <t>88527 + 203948 (7.8/9.8)</t>
  </si>
  <si>
    <t>4520001U</t>
  </si>
  <si>
    <t>RINAC INDIA LIMITED</t>
  </si>
  <si>
    <t>1117476</t>
  </si>
  <si>
    <t xml:space="preserve">FT0020046-112_x000D_
</t>
  </si>
  <si>
    <t>Y7-58692+203948+201854 (7.5/9.5)</t>
  </si>
  <si>
    <t>STEER ENGINEERING (P) LTD</t>
  </si>
  <si>
    <t>BSR Power Systems</t>
  </si>
  <si>
    <t>Kennametal India Ltd (Spm)</t>
  </si>
  <si>
    <t>Engineered Customised Control Panel Solutions and Systems Pvt.Ltd.</t>
  </si>
  <si>
    <t>Td Power Systems Limited Unit-2</t>
  </si>
  <si>
    <t xml:space="preserve">0065108_x000D_
</t>
  </si>
  <si>
    <t xml:space="preserve">FT0020046-119_x000D_
</t>
  </si>
  <si>
    <t>Y7-58692 (8.5/10.0)</t>
  </si>
  <si>
    <t>52024854</t>
  </si>
  <si>
    <t>Yashasvi Enterprises</t>
  </si>
  <si>
    <t>0034404</t>
  </si>
  <si>
    <t>4520006U</t>
  </si>
  <si>
    <t>Schneider Electric India Pvt Ltd</t>
  </si>
  <si>
    <t>4510021U</t>
  </si>
  <si>
    <t xml:space="preserve">4160305_x000D_
</t>
  </si>
  <si>
    <t xml:space="preserve">4160501_x000D_
</t>
  </si>
  <si>
    <t>0046604</t>
  </si>
  <si>
    <t>3D Concept Analysis and Development India Pvt Ltd</t>
  </si>
  <si>
    <t>BIESSE INDIA PRIVATE LIMITED</t>
  </si>
  <si>
    <t>216571</t>
  </si>
  <si>
    <t>087792+203948+201855(0.4/0.6)+S6MCS</t>
  </si>
  <si>
    <t>FAIVELEY TRANSPORT RAIL TECHNOLOGIES INDIA PRIVATE LTD (R)</t>
  </si>
  <si>
    <t>88527 + 203948 (1.4/1.7)</t>
  </si>
  <si>
    <t>Y7-147543</t>
  </si>
  <si>
    <t>182975</t>
  </si>
  <si>
    <t>M2NXT Solutions Pvt. Ltd.,</t>
  </si>
  <si>
    <t xml:space="preserve">11191181_x000D_
</t>
  </si>
  <si>
    <t>1136280</t>
  </si>
  <si>
    <t>Y7-88527+203948+2018542.3/2.6)</t>
  </si>
  <si>
    <t>4520012U</t>
  </si>
  <si>
    <t>216569.0</t>
  </si>
  <si>
    <t xml:space="preserve">0065106_x000D_
</t>
  </si>
  <si>
    <t xml:space="preserve">4160500_x000D_
</t>
  </si>
  <si>
    <t>AMPHENOL FCI INDIA PRIVATE LIMITED</t>
  </si>
  <si>
    <t>55484</t>
  </si>
  <si>
    <t>19626</t>
  </si>
  <si>
    <t>Minebea Intec India Pvt. Ltd.</t>
  </si>
  <si>
    <t>11193041</t>
  </si>
  <si>
    <t>ROSSELL TECHSYS LIMITED</t>
  </si>
  <si>
    <t>1144156</t>
  </si>
  <si>
    <t>ENRX Private Limited</t>
  </si>
  <si>
    <t>1146411</t>
  </si>
  <si>
    <t>216927</t>
  </si>
  <si>
    <t>216876</t>
  </si>
  <si>
    <t>216538</t>
  </si>
  <si>
    <t>Y7-218061</t>
  </si>
  <si>
    <t>216713</t>
  </si>
  <si>
    <t>187068</t>
  </si>
  <si>
    <t>Y7-180471</t>
  </si>
  <si>
    <t>218295</t>
  </si>
  <si>
    <t>Y7-218154</t>
  </si>
  <si>
    <t>286052</t>
  </si>
  <si>
    <t>216443</t>
  </si>
  <si>
    <t>197202</t>
  </si>
  <si>
    <t>50738</t>
  </si>
  <si>
    <t>216867</t>
  </si>
  <si>
    <t>11194041</t>
  </si>
  <si>
    <t>11195041</t>
  </si>
  <si>
    <t>DiFACTO Robotics &amp; Automation Pvt. Ltd(B)</t>
  </si>
  <si>
    <t>Micromatic Grinding Technologies Pvt. Ltd.,</t>
  </si>
  <si>
    <t>11197521</t>
  </si>
  <si>
    <t>4520013U</t>
  </si>
  <si>
    <t>38007043</t>
  </si>
  <si>
    <t>11190181</t>
  </si>
  <si>
    <t>4520002U</t>
  </si>
  <si>
    <t>4520021U</t>
  </si>
  <si>
    <t>4520011U</t>
  </si>
  <si>
    <t>4520014U</t>
  </si>
  <si>
    <t>52005950</t>
  </si>
  <si>
    <t>Delta Interconnect</t>
  </si>
  <si>
    <t>Y7-216887</t>
  </si>
  <si>
    <t>197203</t>
  </si>
  <si>
    <t>216772</t>
  </si>
  <si>
    <t>U2-3012508184</t>
  </si>
  <si>
    <t xml:space="preserve">4160701_x000D_
</t>
  </si>
  <si>
    <t>216823.0</t>
  </si>
  <si>
    <t>4520005U</t>
  </si>
  <si>
    <t>4510042U</t>
  </si>
  <si>
    <t>4520022U</t>
  </si>
  <si>
    <t>0026171</t>
  </si>
  <si>
    <t>0026134</t>
  </si>
  <si>
    <t>Qlar Technology India Private Limited</t>
  </si>
  <si>
    <t>Cs Aerotherm Pvt  Ltd</t>
  </si>
  <si>
    <t>4520004U</t>
  </si>
  <si>
    <t>CMD00693</t>
  </si>
  <si>
    <t>SIDDESHWARA CONTROLS</t>
  </si>
  <si>
    <t>0027860</t>
  </si>
  <si>
    <t>11191041</t>
  </si>
  <si>
    <t>216774</t>
  </si>
  <si>
    <t>3012505833</t>
  </si>
  <si>
    <t>4510053U</t>
  </si>
  <si>
    <t>1249604</t>
  </si>
  <si>
    <t xml:space="preserve">0015804_x000D_
</t>
  </si>
  <si>
    <t xml:space="preserve">4160504_x000D_
</t>
  </si>
  <si>
    <t xml:space="preserve">4160700_x000D_
</t>
  </si>
  <si>
    <t>4161400</t>
  </si>
  <si>
    <t xml:space="preserve">4160601_x000D_
</t>
  </si>
  <si>
    <t>0046616</t>
  </si>
  <si>
    <t>216931</t>
  </si>
  <si>
    <t>9100062367</t>
  </si>
  <si>
    <t>820120004637</t>
  </si>
  <si>
    <t>820120004638</t>
  </si>
  <si>
    <t>820120004639</t>
  </si>
  <si>
    <t>820120004419</t>
  </si>
  <si>
    <t>820120004474</t>
  </si>
  <si>
    <t>820120004475</t>
  </si>
  <si>
    <t>820120004477</t>
  </si>
  <si>
    <t>820120004478</t>
  </si>
  <si>
    <t>820120004480</t>
  </si>
  <si>
    <t>820120004490</t>
  </si>
  <si>
    <t>820120004492</t>
  </si>
  <si>
    <t>820120004493</t>
  </si>
  <si>
    <t>820120004496</t>
  </si>
  <si>
    <t>820120004447</t>
  </si>
  <si>
    <t>820120004446</t>
  </si>
  <si>
    <t>820120004403</t>
  </si>
  <si>
    <t>9100062410</t>
  </si>
  <si>
    <t xml:space="preserve">FT0020043-117_x000D_
</t>
  </si>
  <si>
    <t>Y7-87793+203948+201855 (6.5/7.0)</t>
  </si>
  <si>
    <t>U2-3012509291</t>
  </si>
  <si>
    <t>1024407</t>
  </si>
  <si>
    <t>1024309</t>
  </si>
  <si>
    <t>1024319</t>
  </si>
  <si>
    <t>1234001</t>
  </si>
  <si>
    <t xml:space="preserve">52103020_x000D_
</t>
  </si>
  <si>
    <t>11193031</t>
  </si>
  <si>
    <t>4510013U</t>
  </si>
  <si>
    <t>3012506237</t>
  </si>
  <si>
    <t>CMD00505</t>
  </si>
  <si>
    <t>CMD00692</t>
  </si>
  <si>
    <t>1163208</t>
  </si>
  <si>
    <t xml:space="preserve">Spinac_23_x000D_
</t>
  </si>
  <si>
    <t>087793+203948(1.8/2,7)</t>
  </si>
  <si>
    <t>1163209</t>
  </si>
  <si>
    <t>SPINAC/11 (35006900)</t>
  </si>
  <si>
    <t>Y7-88527+203948(1.0/3.9)</t>
  </si>
  <si>
    <t>Homag India Private Limited</t>
  </si>
  <si>
    <t>11192031</t>
  </si>
  <si>
    <t>383301390H</t>
  </si>
  <si>
    <t xml:space="preserve">FT0020043-108_x000D_
</t>
  </si>
  <si>
    <t>087793+203948+201855 (8/9.5)</t>
  </si>
  <si>
    <t>1165051</t>
  </si>
  <si>
    <t>1165052</t>
  </si>
  <si>
    <t>1165053</t>
  </si>
  <si>
    <t>4520112U</t>
  </si>
  <si>
    <t>0028146</t>
  </si>
  <si>
    <t>U2-3012510004</t>
  </si>
  <si>
    <t>4160900</t>
  </si>
  <si>
    <t>U2-3012510005</t>
  </si>
  <si>
    <t>53019060</t>
  </si>
  <si>
    <t>1168091</t>
  </si>
  <si>
    <t>Ambit Power Solutions Pvt Ltd</t>
  </si>
  <si>
    <t>1180000079-899</t>
  </si>
  <si>
    <t>1169354</t>
  </si>
  <si>
    <t>1169355</t>
  </si>
  <si>
    <t>1169356</t>
  </si>
  <si>
    <t>1169357</t>
  </si>
  <si>
    <t>1169359</t>
  </si>
  <si>
    <t>1169361</t>
  </si>
  <si>
    <t>1169362</t>
  </si>
  <si>
    <t>1169363</t>
  </si>
  <si>
    <t>1169364</t>
  </si>
  <si>
    <t>1169365</t>
  </si>
  <si>
    <t>1169366</t>
  </si>
  <si>
    <t>1169368</t>
  </si>
  <si>
    <t>Shriya Control Solutions</t>
  </si>
  <si>
    <t>3012506960</t>
  </si>
  <si>
    <t>U2-3012510320</t>
  </si>
  <si>
    <t>4520124U</t>
  </si>
  <si>
    <t>U2-3012510501</t>
  </si>
  <si>
    <t>P/2025-26/02457</t>
  </si>
  <si>
    <t>38007078</t>
  </si>
  <si>
    <t>1171284</t>
  </si>
  <si>
    <t>4500037185</t>
  </si>
  <si>
    <t>11194071</t>
  </si>
  <si>
    <t>CMD00537</t>
  </si>
  <si>
    <t>CMD00651</t>
  </si>
  <si>
    <t>3012507468</t>
  </si>
  <si>
    <t>ETA Technology Pvt Ltd</t>
  </si>
  <si>
    <t>53111010</t>
  </si>
  <si>
    <t>4500037490</t>
  </si>
  <si>
    <t>CMD00696</t>
  </si>
  <si>
    <t>MS/GEN/250717</t>
  </si>
  <si>
    <t>SAN ENGINEERING &amp; LOCOMOTIVE COMPANY LIMITED</t>
  </si>
  <si>
    <t>Freight Charges-Sales</t>
  </si>
  <si>
    <t>NAGEL SPECIAL MACHINE PVT.LTD</t>
  </si>
  <si>
    <t>4510051U</t>
  </si>
  <si>
    <t>1180000079-905</t>
  </si>
  <si>
    <t>216922</t>
  </si>
  <si>
    <t>24250384</t>
  </si>
  <si>
    <t>SKYTECH INFINITE PLATFORM LIMITED</t>
  </si>
  <si>
    <t>4520143U</t>
  </si>
  <si>
    <t xml:space="preserve">11195071_x000D_
</t>
  </si>
  <si>
    <t>216537.0</t>
  </si>
  <si>
    <t>1176488</t>
  </si>
  <si>
    <t>1176489</t>
  </si>
  <si>
    <t>381140719</t>
  </si>
  <si>
    <t>MCS/PO/25-26/021</t>
  </si>
  <si>
    <t>MULTICONNECT SYSTEMS</t>
  </si>
  <si>
    <t>4510123U</t>
  </si>
  <si>
    <t>9100064719</t>
  </si>
  <si>
    <t>82382311657</t>
  </si>
  <si>
    <t>82382311658</t>
  </si>
  <si>
    <t>82382311659</t>
  </si>
  <si>
    <t>82382311660</t>
  </si>
  <si>
    <t>82382311662</t>
  </si>
  <si>
    <t>824830304408</t>
  </si>
  <si>
    <t>824830304480</t>
  </si>
  <si>
    <t>824830304504</t>
  </si>
  <si>
    <t>82382311664</t>
  </si>
  <si>
    <t>82382311665</t>
  </si>
  <si>
    <t>824830305260</t>
  </si>
  <si>
    <t>82382311663</t>
  </si>
  <si>
    <t>82382311656</t>
  </si>
  <si>
    <t>824830304492</t>
  </si>
  <si>
    <t>824830304516</t>
  </si>
  <si>
    <t>82382311661</t>
  </si>
  <si>
    <t>82382311666</t>
  </si>
  <si>
    <t>DI/25-26/627</t>
  </si>
  <si>
    <t xml:space="preserve">53111200_x000D_
</t>
  </si>
  <si>
    <t>11190071</t>
  </si>
  <si>
    <t>Merck Life Science Pvt  Ltd</t>
  </si>
  <si>
    <t>9400005408</t>
  </si>
  <si>
    <t>2170936</t>
  </si>
  <si>
    <t>1180000079-911</t>
  </si>
  <si>
    <t>EVERLLENCE INDIA PRIVATE LIMITED</t>
  </si>
  <si>
    <t>216524</t>
  </si>
  <si>
    <t>SAIFEE INDUSTRIAL STORES</t>
  </si>
  <si>
    <t>3012508376</t>
  </si>
  <si>
    <t>0046613</t>
  </si>
  <si>
    <t>0046020</t>
  </si>
  <si>
    <t>1024483</t>
  </si>
  <si>
    <t>1024310</t>
  </si>
  <si>
    <t>0046019</t>
  </si>
  <si>
    <t>4521123U</t>
  </si>
  <si>
    <t>DRAPL/25-26/45968</t>
  </si>
  <si>
    <t>0028407</t>
  </si>
  <si>
    <t>53320250</t>
  </si>
  <si>
    <t>88527+203948+201854(7.5/10) (MCS11+PMIN(7.5)/PMAX(10)+S3-MCS)</t>
  </si>
  <si>
    <t>087792+203948 (0.4/0.6) (MCS4-SOND 910-G+PMIN(0.4)/PMAX(0.6))</t>
  </si>
  <si>
    <t>Y7-87793+203948 (3.5/5.0) (MCS11-SOND 910-G+PMIN(3.5)/PMAX(5.0))</t>
  </si>
  <si>
    <t>Y7-87793+203948+201855 (6.0/7.0) (MCS11-SOND 910-G+PMIN(6.0)/PMAX(7.0)+S6-MCS_x000D_
)</t>
  </si>
  <si>
    <t>88527+203948+201854 (3.5/5.0) (MCS11+PMIN(3.5)/PMAX(5.0)+S3-MCS)</t>
  </si>
  <si>
    <t>88527 + 203948 (3.9/4.9) (MCS-11+PMIN(3.9)/Pmax(4.9))</t>
  </si>
  <si>
    <t>88527 + 203948 (2.9/4.1) (MCS-11+PMIN(2.9)/Pmax(4.1))</t>
  </si>
  <si>
    <t>88527 + 203948 (1.5/2) (MCS-11+PMIN(1.5)/Pmax(2))</t>
  </si>
  <si>
    <t>Y7-88527+203948 (4.9/5.5) (MCS-11+PMIN(4.9)/Pmax(5.5))</t>
  </si>
  <si>
    <t>88527 + 203948 (6.9/7.9) (MCS-11+PMIN(6.9)/Pmax(7.9))</t>
  </si>
  <si>
    <t>Y7-58692 (8.5/9.5) (MCS11-G+PMIN(8.5)/PMAX(9.5)+S3-MCS)</t>
  </si>
  <si>
    <t>88527 + 203948 (4.4/5.4) (MCS-11+PMIN(4.4)/Pmax(5.4))</t>
  </si>
  <si>
    <t>058693 + 203948_x000D_
 (MCS4-G+PMIN(0.2)/Pmax(0.6)_x000D_
)</t>
  </si>
  <si>
    <t>Y7-88527+203948 (5.5/6.3) (MCS-11+PMIN(5.5)/Pmax(6.3))</t>
  </si>
  <si>
    <t>88527 + 203948 (7.8/9.8) (MCS-11+PMIN(7.8)/Pmax(9.8))</t>
  </si>
  <si>
    <t>52024854 (SKINDICHT BLK-GL PG29 RAL 7035 LGY_x000D_
)</t>
  </si>
  <si>
    <t>Y7-58692+203948+201854 (7.5/9.5) (MCS11-G+PMIN(7.5)/PMAX(9.5)+S3-MCS)</t>
  </si>
  <si>
    <t>Y7-58692 (8.5/10.0) (MCS11-G + S3MCS Pmin (8.5) / Pmax (10.0))</t>
  </si>
  <si>
    <t>382301463 (LAPP KABEL® 7x0.5 sqmm 300/500V GREY_x000D_
)</t>
  </si>
  <si>
    <t>0034404 (UNITRONIC LiYCY  4x0,25)</t>
  </si>
  <si>
    <t>0034410 (UNITRONIC LiYCY  10x0,25)</t>
  </si>
  <si>
    <t>4510021U (ÖLFLEX® UNIPLUS 1X0.5 BU)</t>
  </si>
  <si>
    <t>11196041 (Ölflex® 110  4 G 6.0 Mm²)</t>
  </si>
  <si>
    <t>4160305_x000D_
 (UL(MTW)-CSA-HAR Style 1015 18AWG WH_x000D_
)</t>
  </si>
  <si>
    <t>4160501_x000D_
 (UL(MTW)-CSA-HAR Style 1015 14AWG BK_x000D_
)</t>
  </si>
  <si>
    <t>0046604 (ÖLFLEX HEAT 180 UL/CSA 7G0,5/20 AWG_x000D_
)</t>
  </si>
  <si>
    <t>087792+203948+201855(0.4/0.6)+S6MCS (MCS4-SOND 910-G+PMIN(0.4)/PMAX(0.6)+S6 MCS)</t>
  </si>
  <si>
    <t>Y7-88527+203948+2018542.3/2.6) (MCS11+Pmin(2.3)/Pmax(2.6)+S3MCS)</t>
  </si>
  <si>
    <t>88527 + 203948 (1.4/1.7) (MCS-11+PMIN(1.4)/Pmax(1.7))</t>
  </si>
  <si>
    <t>216571 (M22-CLED-G)</t>
  </si>
  <si>
    <t>11193041 (Olflex® 110 4G1.5)</t>
  </si>
  <si>
    <t>Y7-147543 (M22-USB-SA-150)</t>
  </si>
  <si>
    <t>182975 (C22-PV-K02-P1)</t>
  </si>
  <si>
    <t>286052 (ZP-IHK)</t>
  </si>
  <si>
    <t>216443 (M22-XDL-G)</t>
  </si>
  <si>
    <t>11195041 (Ölflex® 110  4 G 4.0 Mm²)</t>
  </si>
  <si>
    <t>187068 (M30C-FWS)</t>
  </si>
  <si>
    <t>38007043 (ÖLFLEX® 100 I  3 G 0.75)</t>
  </si>
  <si>
    <t>4520012U (ÖLFLEX® UNIPLUS 1X2.5 BK)</t>
  </si>
  <si>
    <t>4520002U (ÖLFLEX® UNIPLUS 1X2.5 GNYE)</t>
  </si>
  <si>
    <t>4520013U (ÖLFLEX® UNIPLUS 1X4 BK)</t>
  </si>
  <si>
    <t>11197521 (Ölflex® 110  2 x 0.5 mm²)</t>
  </si>
  <si>
    <t>4520021U (ÖLFLEX® UNIPLUS 1X1.5 BU)</t>
  </si>
  <si>
    <t>4520011U (ÖLFLEX® UNIPLUS 1X1.5 BK)</t>
  </si>
  <si>
    <t>52005950 (SKINDICHT BLK PG 9 RAL 7035 LGY)</t>
  </si>
  <si>
    <t>11190181 (Ölflex® 110  18 G 0.5 mm²)</t>
  </si>
  <si>
    <t>4520014U (ÖLFLEX® UNIPLUS 1X6 BK)</t>
  </si>
  <si>
    <t>197202 (M22-XDL-W-X100)</t>
  </si>
  <si>
    <t>218295 (M22-XDL-G-X1)</t>
  </si>
  <si>
    <t>Y7-218154 (M22-XD-S-X0)</t>
  </si>
  <si>
    <t>197203 (M22-XD-GR-X66)</t>
  </si>
  <si>
    <t>0065106_x000D_
 ("SILFLEX SiF/GL 1X2,5"_x000D_
)</t>
  </si>
  <si>
    <t>0065108_x000D_
 (ÖLFLEX HEAT 180 SiF/GL 1X6_x000D_
)</t>
  </si>
  <si>
    <t>216569.0 (M22-CLED-W)</t>
  </si>
  <si>
    <t>216927 (M22-DL-G)</t>
  </si>
  <si>
    <t>216876 (M22-PV)</t>
  </si>
  <si>
    <t>50738 (P1-25/V/SVB-SW)</t>
  </si>
  <si>
    <t>55484 (P1-32/V/SVB-SW)</t>
  </si>
  <si>
    <t>4520005U (ÖLFLEX® UNIPLUS 1X10 GNYE)</t>
  </si>
  <si>
    <t>4510042U (ÖLFLEX® UNIPLUS 1X0.75 RD)</t>
  </si>
  <si>
    <t>4520022U (ÖLFLEX® UNIPLUS 1X2.5 BU)</t>
  </si>
  <si>
    <t>4520001U (ÖLFLEX® UNIPLUS 1X1.5 GNYE)</t>
  </si>
  <si>
    <t>216867 (M22-WRK)</t>
  </si>
  <si>
    <t>19626 (H-P14)</t>
  </si>
  <si>
    <t>4520004U (ÖLFLEX® UNIPLUS 1X6 GNYE)</t>
  </si>
  <si>
    <t>4520006U (ÖLFLEX® UNIPLUS 1X16 GNYE)</t>
  </si>
  <si>
    <t>11191041 (Ölflex® 110  4 G 0.75 mm²)</t>
  </si>
  <si>
    <t>11194041 (Ölflex® 110  4 G 2.5 Mm²)</t>
  </si>
  <si>
    <t>216538 (M22-I3)</t>
  </si>
  <si>
    <t>Y7-218061 (M22-CLED-B)</t>
  </si>
  <si>
    <t>216713 (M22S-DP-S)</t>
  </si>
  <si>
    <t>Y7-180471 (M22-XYK-ESS)</t>
  </si>
  <si>
    <t>Y7-216887 (M22-WRS)</t>
  </si>
  <si>
    <t>4160500_x000D_
 (UL(MTW)-CSA-HAR Style 1015 14AWG GNYE_x000D_
)</t>
  </si>
  <si>
    <t>820120004637 (OLFLEX®  POWER 1100V 2XA FRLSH 2X2.5 W 140)</t>
  </si>
  <si>
    <t>820120004638 (OLFLEX®  POWER 1100V 2XA FRLSH 3X2.5 W 150)</t>
  </si>
  <si>
    <t>820120004639 (OLFLEX®  POWER 1100V 2XA FRLSH 4X2.5 W 160)</t>
  </si>
  <si>
    <t>820120004419 (OLFLEX®  POWER AL 1100V 2XA FRLSH 2X10 W 20)</t>
  </si>
  <si>
    <t>820120004474 (OLFLEX®  POWER AL 1100V 2XA FRLSH 3X16 F50)</t>
  </si>
  <si>
    <t>820120004475 (OLFLEX®  POWER AL 1100V 2XA FRLSH 3X25 F 60)</t>
  </si>
  <si>
    <t>820120004477 (OLFLEX®  POWER AL 1100V 2XA FRLSH 3X50 F 70)</t>
  </si>
  <si>
    <t>820120004478 (OLFLEX®  POWER AL 1100V 2XA FRLSH 3X70 F 80)</t>
  </si>
  <si>
    <t>820120004480 (OLFLEX®  POWER AL 1100V 2XA FRLSH 3X120 F 90)</t>
  </si>
  <si>
    <t>820120004490 (OLFLEX®  POWER AL 1100V 2XA FRLSH 3.5X50F 100)</t>
  </si>
  <si>
    <t>820120004492 (OLFLEX®  POWER AL 1100V 2XA FRLSH 3.5X95 110)</t>
  </si>
  <si>
    <t>820120004493 (OLFLEX®  POWER AL 1100V 2XA FRLSH 3.5X120 120)</t>
  </si>
  <si>
    <t>820120004496 (OLFLEX®  POWER AL 1100V 2XA FRLSH 3.5X240 130)</t>
  </si>
  <si>
    <t>820120004447 (OLFLEX®  POWER AL 1100V 2XA FRLSH 4X16 W 40)</t>
  </si>
  <si>
    <t>820120004446 (OLFLEX®  POWER AL 1100V 2XA FRLSH 4X10 W 30)</t>
  </si>
  <si>
    <t>820120004403 (OLFLEX®  POWER AL 1100V 2XA FRLSH 2X10 W 10)</t>
  </si>
  <si>
    <t>Y7-87793+203948+201855 (6.5/7.0) (MCS11-SOND 910-G+PMIN(6.5)/PMAX(7.0)+S6-MCS)</t>
  </si>
  <si>
    <t>4160700_x000D_
 (UL(MTW)-CSA-HAR Style 1015 10AWG GNYE_x000D_
)</t>
  </si>
  <si>
    <t>4161400 (Multi-Standard SC 2.1 1X95 GNYE)</t>
  </si>
  <si>
    <t>1024407 (ÖLFLEX® HEAT 125 C MC 2X0,75_x000D_
)</t>
  </si>
  <si>
    <t>1024319 (ÖLFLEX® HEAT 125 MC 7G1)</t>
  </si>
  <si>
    <t>52103020_x000D_
 (SKINDICHT SM-M 20x1,5 Gegenmutter_x000D_
)</t>
  </si>
  <si>
    <t>4510013U (ÖLFLEX® UNIPLUS 1X1 BK)</t>
  </si>
  <si>
    <t>4160504_x000D_
 (UL(MTW)-CSA-HAR Style 1015 14AWG RD_x000D_
)</t>
  </si>
  <si>
    <t>4160601_x000D_
 (UL(MTW)-CSA-HAR Style 1015 12AWG BK_x000D_
)</t>
  </si>
  <si>
    <t>087793+203948(1.8/2,7) (MCS11-SOND 910-G+PMIN(1.8)/PMAX(2.7)_x000D_
)</t>
  </si>
  <si>
    <t>Y7-88527+203948(1.0/3.9) (MCS-11+PMIN(1.0)/Pmax(3.9))</t>
  </si>
  <si>
    <t>216772 (M22-L-R)</t>
  </si>
  <si>
    <t>383301390H (LAPP KABEL® 18X1 F2XY2 1.1KV BK)</t>
  </si>
  <si>
    <t>087793+203948+201855 (8/9.5) (MCS11-SOND 910-G+PMIN(8.0)/PMAX(9.5)+S6-MCS)</t>
  </si>
  <si>
    <t>CMD00693 (XTOD18-2.5)</t>
  </si>
  <si>
    <t>4160900 (Multi-Standard SC 2.1 1X16 GNYE_x000D_
)</t>
  </si>
  <si>
    <t>4160701_x000D_
 (UL(MTW)-CSA-(HAR) Style 1015 10AWG BK_x000D_
)</t>
  </si>
  <si>
    <t>4510053U (ÖLFLEX® UNIPLUS 1X1 WH)</t>
  </si>
  <si>
    <t>0028325 (UNITRONIC LiYY 25x0,25)</t>
  </si>
  <si>
    <t>0027860 (UNITRONIC FD 10x0,25_x000D_
)</t>
  </si>
  <si>
    <t>216823.0 (M22-WRLK-W)</t>
  </si>
  <si>
    <t>1249604 (ÖLFLEX® HEAT 180 SiF A 1x1 WH)</t>
  </si>
  <si>
    <t>0015804_x000D_
 (ÖLFLEX 150 CY QUATTRO 4G1,5/16AWG_x000D_
)</t>
  </si>
  <si>
    <t>0046616 (ÖLFLEX® HEAT 180 MS 7G1)</t>
  </si>
  <si>
    <t>4520124U (ÖLFLEX® UNIPLUS 1X6 GN)</t>
  </si>
  <si>
    <t>38007078 (ÖLFLEX® 100 I BLACK 3 G 2.5)</t>
  </si>
  <si>
    <t>216774 (M22-L-Y)</t>
  </si>
  <si>
    <t>CMD00537 (XTCD25-11)</t>
  </si>
  <si>
    <t>CMD00651 (XTCD170-XH122)</t>
  </si>
  <si>
    <t>11194071 (Ölflex® 110 7G2.5)</t>
  </si>
  <si>
    <t>0028146 (ÖLFLEX® ROBOT 900 P 25G0,5)</t>
  </si>
  <si>
    <t>11192031 (Ölflex® 110  3 G 1.0 mm²)</t>
  </si>
  <si>
    <t>53111010 (SKINTOP ST-M 16x1,5 RAL 7001 SGY)</t>
  </si>
  <si>
    <t>53019060 (SKINTOP GMP-GL PG 29 RAL 7001 SGY)</t>
  </si>
  <si>
    <t>CMD00505 (XTCD007B10AOI)</t>
  </si>
  <si>
    <t>CMD00692 (XTOD18-1.6)</t>
  </si>
  <si>
    <t>CMD00696 (XTOD18-8)</t>
  </si>
  <si>
    <t>216922 (M22-DL-W)</t>
  </si>
  <si>
    <t>4520143U (ÖLFLEX® UNIPLUS 1X4 DBU)</t>
  </si>
  <si>
    <t>11195071_x000D_
 (Ölflex® 110  7 G 4.0 Mm²_x000D_
)</t>
  </si>
  <si>
    <t>216537.0 (M22-I2)</t>
  </si>
  <si>
    <t>381140719 (ÖLFLEX® CONTROL 110 7 G 2.5 1100 V BK)</t>
  </si>
  <si>
    <t>4510123U (ÖLFLEX® UNIPLUS 1X1 GN)</t>
  </si>
  <si>
    <t>82382311657 (LAPP® POWER 1100V YA FRLSH 3X1.5 HR W)</t>
  </si>
  <si>
    <t>82382311658 (LAPP® POWER 1100V YA FRLSH 5X1.5 HR W)</t>
  </si>
  <si>
    <t>82382311659 (LAPP® POWER 1100V YA FRLSH 7X1.5 HR W)</t>
  </si>
  <si>
    <t>82382311660 (LAPP® POWER 1100V YA FRLSH 10X1.5 HR W)</t>
  </si>
  <si>
    <t>82382311662 (LAPP® POWER 1100V YA FRLSH 19X1.5 HR W)</t>
  </si>
  <si>
    <t>824830304408 (ÖLFLEX®INSTRUM1P1RENY3OSY2SWAYC2UVA)</t>
  </si>
  <si>
    <t>824830304480 (ÖLFLEX®INSTRUM2P1RENY3ISOSY2SWAYC2U)</t>
  </si>
  <si>
    <t>824830304504 (ÖLFLEX® INSTRUM 6x2x1 RENY3ISOSY2SWAYC2U)</t>
  </si>
  <si>
    <t>82382311664 (LAPP®1T1R Y3 OS Y2 SWA YC2 UVAR 05OG)</t>
  </si>
  <si>
    <t>82382311665 (LAPP®5T1 RY3 ISOS Y2 SWA YC2 UVAR05OG)</t>
  </si>
  <si>
    <t>824830305260 (ÖLFLEX® INSTRUM 6x0.75 RENY3OSY2SWAYC2UV)</t>
  </si>
  <si>
    <t>82382311663 (LAPP® POWER 1100V YA FRLSH 24X1.5 HR W)</t>
  </si>
  <si>
    <t>82382311656 (LAPP® POWER 1100V YA FRLSH 37X1.5 HR W)</t>
  </si>
  <si>
    <t>824830304492 (ÖLFLEX®INSTRUM4P1RENY3ISOSY2SWAYC2U)</t>
  </si>
  <si>
    <t>824830304516 (ÖLFLEX®INSTRUM10P1RENY3ISOSY2SSAYC2)</t>
  </si>
  <si>
    <t>82382311661 (LAPP® POWER 1100V YA FRLSH 14X1.5 HR W)</t>
  </si>
  <si>
    <t>82382311666 (LAPP®10T1 R Y3 ISOS Y2SWA YC2 UVAR05)</t>
  </si>
  <si>
    <t>216931 (M22-DL-B)</t>
  </si>
  <si>
    <t>53111200_x000D_
 (SKINTOP ST-M 12x1,5 RAL 9005 BK_x000D_
)</t>
  </si>
  <si>
    <t>11193031 (Ölflex® 110 3G1.5)</t>
  </si>
  <si>
    <t>4520112U (ÖLFLEX® UNIPLUS 1X2.5 YE)</t>
  </si>
  <si>
    <t>0026171 (ÖLFLEX FD CLASSIC 810 4G2,5")</t>
  </si>
  <si>
    <t>0026134 (ÖLFLEX FD CLASSIC 810 7G1)</t>
  </si>
  <si>
    <t>11190071 (ÖLFLEX® 110 7G0.5)</t>
  </si>
  <si>
    <t>2170936 (Etherline FESTOON PN Cat.5e/)</t>
  </si>
  <si>
    <t>4510051U (ÖLFLEX® UNIPLUS 1X0.5 WH)</t>
  </si>
  <si>
    <t>11191181_x000D_
 (Ölflex® 110  18 G 0.75 Mm²_x000D_
)</t>
  </si>
  <si>
    <t>216524 (M22-PV/KC02/IY)</t>
  </si>
  <si>
    <t>0046613 (ÖLFLEX® HEAT 180 MS 3G1)</t>
  </si>
  <si>
    <t>1234001 (ÖLFLEX HEAT 125 SC 1X1 BK_x000D_
)</t>
  </si>
  <si>
    <t>0046020 (ÖLFLEX HEAT 180 SiHF 3G2.5_x000D_
)</t>
  </si>
  <si>
    <t>1024483 (ÖLFLEX® HEAT 125 C MC 7x0,75 (bk cores))</t>
  </si>
  <si>
    <t>1024310 (ÖLFLEX HEAT 125 MC 5G0.75)</t>
  </si>
  <si>
    <t>1024309 (ÖLFLEX HEAT 125 MC 4G0.75)</t>
  </si>
  <si>
    <t>0046019 (ÖLFLEX® HEAT 180 SiHF 2X2,5)</t>
  </si>
  <si>
    <t>4521123U (ÖLFLEX® UNIPLUS 1X50 GN)</t>
  </si>
  <si>
    <t>0028407 (UNITRONIC LiYY 7x0,34)</t>
  </si>
  <si>
    <t>53320250 (SKINTOP DIX-M 20250_x000D_
)</t>
  </si>
  <si>
    <t>U2-3012512216</t>
  </si>
  <si>
    <t>1236001_x000D_
 (ÖLFLEX HEAT 125 SC 1X2.5 BK_x000D_
)</t>
  </si>
  <si>
    <t xml:space="preserve">1236001_x000D_
</t>
  </si>
  <si>
    <t>11190101 (Ölflex® 110 10G0.5)</t>
  </si>
  <si>
    <t>11190101</t>
  </si>
  <si>
    <t>11198521 (Ölflex® 110  2 x 1.0 mm²)</t>
  </si>
  <si>
    <t>11198521</t>
  </si>
  <si>
    <t>53015030 (SKINTOP ST PG 13,5 RAL 7001 SGY)</t>
  </si>
  <si>
    <t>53015030</t>
  </si>
  <si>
    <t>1180000079-913</t>
  </si>
  <si>
    <t>4521011U (OLFLEX UNIPLUS 1X25 BK)</t>
  </si>
  <si>
    <t>4521011U</t>
  </si>
  <si>
    <t>4510061U (ÖLFLEX® UNIPLUS 1X0.5 GY)</t>
  </si>
  <si>
    <t>4510061U</t>
  </si>
  <si>
    <t>53119120 (SKINTOP GMP-GL-M 20x1,5 RAL 9005 BK)</t>
  </si>
  <si>
    <t>53119120</t>
  </si>
  <si>
    <t>52005949 (SKINDICHT BLK PG 7 RAL 7035 LGY)</t>
  </si>
  <si>
    <t>52005949</t>
  </si>
  <si>
    <t>SK2526SO- 4455</t>
  </si>
  <si>
    <t>53015010 (SKINTOP ST PG 9 RAL 7001 SGY)</t>
  </si>
  <si>
    <t>53015010</t>
  </si>
  <si>
    <t>4520024U (ÖLFLEX® UNIPLUS 1X6 BU)</t>
  </si>
  <si>
    <t>4520024U</t>
  </si>
  <si>
    <t>1180000079-916</t>
  </si>
  <si>
    <t>1182963</t>
  </si>
  <si>
    <t>Y7-58692+203948 (2.0/2.5) (MCS11-G+PMIN(2.0)/PMAX(2.5)_x000D_
)</t>
  </si>
  <si>
    <t xml:space="preserve">FT0051877-106_x000D_
</t>
  </si>
  <si>
    <t>Y7-58692+203948 (2.0/2.5)</t>
  </si>
  <si>
    <t>4520016U (ÖLFLEX® UNIPLUS 1X16 BK)</t>
  </si>
  <si>
    <t>4520016U</t>
  </si>
  <si>
    <t>EKZ-AF11 (EKZ Aux Contact 1NO +1NC Front Mounted)</t>
  </si>
  <si>
    <t>EKZ-AF11</t>
  </si>
  <si>
    <t>382308113 (LAPPR 110 2X0.5 BU/BN F Y Y 05 GY)</t>
  </si>
  <si>
    <t>382308113</t>
  </si>
  <si>
    <t>4520025U (ÖLFLEX® UNIPLUS 1X10 BU)</t>
  </si>
  <si>
    <t>4520025U</t>
  </si>
  <si>
    <t>4500038162</t>
  </si>
  <si>
    <t>CMD00703 (XTOD95- 32)</t>
  </si>
  <si>
    <t>CMD00703</t>
  </si>
  <si>
    <t>4500038170</t>
  </si>
  <si>
    <t>4510062U (ÖLFLEX® UNIPLUS 1X0.75 GY)</t>
  </si>
  <si>
    <t>4510062U</t>
  </si>
  <si>
    <t>4520041U (ÖLFLEX® UNIPLUS 1X1.5 RD)</t>
  </si>
  <si>
    <t>4520041U</t>
  </si>
  <si>
    <t>CRAFTECH</t>
  </si>
  <si>
    <t>0028310 (UNITRONIC LiYY  10x0,25)</t>
  </si>
  <si>
    <t>0028310</t>
  </si>
  <si>
    <t>0028350 (UNITRONIC LiYY 50x0,25)</t>
  </si>
  <si>
    <t>0028350</t>
  </si>
  <si>
    <t>1180000079-919</t>
  </si>
  <si>
    <t>4500038211</t>
  </si>
  <si>
    <t>11192041 (Ölflex® 110  - 4 G 1.0 mm²)</t>
  </si>
  <si>
    <t>11192041</t>
  </si>
  <si>
    <t>11192061 (Ölflex® 110 6G1)</t>
  </si>
  <si>
    <t>11192061</t>
  </si>
  <si>
    <t>11196241 (ÖLFLEX 110 4G16)</t>
  </si>
  <si>
    <t>11196241</t>
  </si>
  <si>
    <t>11194031 (Ölflex® 110  3 G 2.5 mm²)</t>
  </si>
  <si>
    <t>11194031</t>
  </si>
  <si>
    <t>4520111U (ÖLFLEX® UNIPLUS 1X1.5 YE)</t>
  </si>
  <si>
    <t>4520111U</t>
  </si>
  <si>
    <t>FESTO INDIA PRIVATE LIMITED</t>
  </si>
  <si>
    <t>4520042U (ÖLFLEX® UNIPLUS 1X2.5 RD)</t>
  </si>
  <si>
    <t>4520042U</t>
  </si>
  <si>
    <t>4510003U (ÖLFLEX® UNIPLUS 1X1 GNYE)</t>
  </si>
  <si>
    <t>4510003U</t>
  </si>
  <si>
    <t>4520043U (ÖLFLEX® UNIPLUS 1X4 RD)</t>
  </si>
  <si>
    <t>4520043U</t>
  </si>
  <si>
    <t>4520113U (ÖLFLEX® UNIPLUS 1X4 YE)</t>
  </si>
  <si>
    <t>4520113U</t>
  </si>
  <si>
    <t>4520023U (ÖLFLEX® UNIPLUS 1X4 BU)</t>
  </si>
  <si>
    <t>4520023U</t>
  </si>
  <si>
    <t>4520044U (ÖLFLEX® UNIPLUS 1X6 RD)</t>
  </si>
  <si>
    <t>4520044U</t>
  </si>
  <si>
    <t>4520114U (ÖLFLEX® UNIPLUS 1X6 YE)</t>
  </si>
  <si>
    <t>4520114U</t>
  </si>
  <si>
    <t>4520045U (ÖLFLEX® UNIPLUS 1X10 RD)</t>
  </si>
  <si>
    <t>4520045U</t>
  </si>
  <si>
    <t>4520115U (ÖLFLEX® UNIPLUS 1X10 YE)</t>
  </si>
  <si>
    <t>4520115U</t>
  </si>
  <si>
    <t>4520046U (ÖLFLEX® UNIPLUS 1X16 RD)</t>
  </si>
  <si>
    <t>4520046U</t>
  </si>
  <si>
    <t>4520116U (ÖLFLEX® UNIPLUS 1X16 YE)</t>
  </si>
  <si>
    <t>4520116U</t>
  </si>
  <si>
    <t>4520026U (ÖLFLEX® UNIPLUS 1X16 BU)</t>
  </si>
  <si>
    <t>4520026U</t>
  </si>
  <si>
    <t>1180000079-920</t>
  </si>
  <si>
    <t>4501314070</t>
  </si>
  <si>
    <t>DRAPL/25-26/47203</t>
  </si>
  <si>
    <t>00101173_x000D_
 (OLFLEX CLASSIC 100 4G35 NCC_x000D_
)</t>
  </si>
  <si>
    <t xml:space="preserve">00101173_x000D_
</t>
  </si>
  <si>
    <t>38007034 (ÖLFLEX® 100 I  2 x 0.50)</t>
  </si>
  <si>
    <t>38007034</t>
  </si>
  <si>
    <t>PO/IPS/25-26/00900</t>
  </si>
  <si>
    <t>1185807</t>
  </si>
  <si>
    <t>1260001202</t>
  </si>
  <si>
    <t>199317 (DILA-XHI40)</t>
  </si>
  <si>
    <t>199317</t>
  </si>
  <si>
    <t>13129/RM/LOC</t>
  </si>
  <si>
    <t>2212050 (ÖLFLEX® TRAY II CY 5G4)</t>
  </si>
  <si>
    <t>2212050</t>
  </si>
  <si>
    <t>53112677 (SKINTOP MS-SC-M BRUSH 32x1,5)</t>
  </si>
  <si>
    <t>53112677</t>
  </si>
  <si>
    <t>52104456 (SKINDICHT ME-M 25x1,5/32x1,5)</t>
  </si>
  <si>
    <t>52104456</t>
  </si>
  <si>
    <t>53112250 (SKINTOP® MS-SC PG 21)</t>
  </si>
  <si>
    <t>53112250</t>
  </si>
  <si>
    <t>13265/RM/LOC</t>
  </si>
  <si>
    <t>API/AA2601148/015/25-26</t>
  </si>
  <si>
    <t>Apicom Automation Pvt Ltd</t>
  </si>
  <si>
    <t>4510071U (ÖLFLEX® UNIPLUS 1X0.5 VT)</t>
  </si>
  <si>
    <t>4510071U</t>
  </si>
  <si>
    <t>DI/25-26/717</t>
  </si>
  <si>
    <t>DRAPL/25-26/47452</t>
  </si>
  <si>
    <t>Disa India Ltd (Tumkur)</t>
  </si>
  <si>
    <t>U2-3012512437</t>
  </si>
  <si>
    <t>216384 (M22-CK10)</t>
  </si>
  <si>
    <t>216384</t>
  </si>
  <si>
    <t>Saint-Gobain India Pvt Ltd-Gyproc</t>
  </si>
  <si>
    <t>Koodal Engineers</t>
  </si>
  <si>
    <t>PO0293017 Rev 2</t>
  </si>
  <si>
    <t>PO/IPS/25-26/00920</t>
  </si>
  <si>
    <t>216480 (M22-XST)</t>
  </si>
  <si>
    <t>216480</t>
  </si>
  <si>
    <t>11193071 (Ölflex® 110 7G1.5)</t>
  </si>
  <si>
    <t>11193071</t>
  </si>
  <si>
    <t>1187353</t>
  </si>
  <si>
    <t>9100065766</t>
  </si>
  <si>
    <t>4510043U (ÖLFLEX® UNIPLUS 1X1 RD)</t>
  </si>
  <si>
    <t>4510043U</t>
  </si>
  <si>
    <t>PO/IHM/25-26/03833</t>
  </si>
  <si>
    <t>216392 (M22S-ST-X)</t>
  </si>
  <si>
    <t>216392</t>
  </si>
  <si>
    <t>6230098545</t>
  </si>
  <si>
    <t>4160344_x000D_
 (UL(MTW)-CSA-(HAR) Style 1015 18AWG WHBU_x000D_
)</t>
  </si>
  <si>
    <t xml:space="preserve">4160344_x000D_
</t>
  </si>
  <si>
    <t>53111430 (SKINTOP ST-M 25x1,5 RAL 7035 LGY)</t>
  </si>
  <si>
    <t>53111430</t>
  </si>
  <si>
    <t>53119033 (SKINTOP GMP-GL-M 25x1,5 RAL 7035 LGY)</t>
  </si>
  <si>
    <t>53119033</t>
  </si>
  <si>
    <t>4160309 (UL(MTW)-CSA-HAR Style 1015 18AWG OG_x000D_
)</t>
  </si>
  <si>
    <t>4160309</t>
  </si>
  <si>
    <t>4160514 (UL(MTW)-CSA-HAR Style 1015 14AWG DBU)</t>
  </si>
  <si>
    <t>4160514</t>
  </si>
  <si>
    <t>140/25-26</t>
  </si>
  <si>
    <t>OORJA UDYOG ENTERPRISES</t>
  </si>
  <si>
    <t>53019000 (SKINTOP GMP-GL PG 7 RAL 7001 SGY)</t>
  </si>
  <si>
    <t>53019000</t>
  </si>
  <si>
    <t>6230098730</t>
  </si>
  <si>
    <t>VEAS (INDIA) PRIVATE LIMITED</t>
  </si>
  <si>
    <t>ITW India Private Limited - BISS Division</t>
  </si>
  <si>
    <t>1040681</t>
  </si>
  <si>
    <t>Y7-88527+203948+201854 (6.0/7.0) (MCS11+PMIN(6.0)/PMAX (7.0)+S3-MCS)</t>
  </si>
  <si>
    <t xml:space="preserve">FT0051181-114_x000D_
</t>
  </si>
  <si>
    <t>Y7-88527+203948+201854 (6.0/7.0)</t>
  </si>
  <si>
    <t>4520013 (H07V-K 1X4 BK)</t>
  </si>
  <si>
    <t>4520013</t>
  </si>
  <si>
    <t>0035803 (UNITRONIC LiYCY (TP) 6x2x0,25)</t>
  </si>
  <si>
    <t>0035803</t>
  </si>
  <si>
    <t>13366/RM/LOC</t>
  </si>
  <si>
    <t>52104454 (SKINDICHT ME-M 20x1,5/25x1,5)</t>
  </si>
  <si>
    <t>52104454</t>
  </si>
  <si>
    <t>11197571 (ÖLFLEX 110 7X0.5)</t>
  </si>
  <si>
    <t>11197571</t>
  </si>
  <si>
    <t>61746980 (SILVYN RILL PA6 29/29x34,5 GY)</t>
  </si>
  <si>
    <t>61746980</t>
  </si>
  <si>
    <t>216385.0 (M22-CK01)</t>
  </si>
  <si>
    <t>216385.0</t>
  </si>
  <si>
    <t>TUDI/2526/013871-1</t>
  </si>
  <si>
    <t>INDO MIM PRIVATE LIMITED (U 6)</t>
  </si>
  <si>
    <t>1189948</t>
  </si>
  <si>
    <t>CSPUR/26/05779</t>
  </si>
  <si>
    <t>0050001 (SILFLEX SiF 1X1 BK)</t>
  </si>
  <si>
    <t>0050001</t>
  </si>
  <si>
    <t>1180000079-924</t>
  </si>
  <si>
    <t>38007035 (ÖLFLEX® 100 I  3 G 0.50)</t>
  </si>
  <si>
    <t>38007035</t>
  </si>
  <si>
    <t>DMIM/25-26/021771-1</t>
  </si>
  <si>
    <t>INDO MIM PRIVATE LIMITED (U 1)</t>
  </si>
  <si>
    <t>Prima Systec</t>
  </si>
  <si>
    <t>KE/LAPP/844/2025-26</t>
  </si>
  <si>
    <t>4510012U (ÖLFLEX® UNIPLUS 1X0.75 BK)</t>
  </si>
  <si>
    <t>4510012U</t>
  </si>
  <si>
    <t>4520015U (ÖLFLEX® UNIPLUS 1X10 BK)</t>
  </si>
  <si>
    <t>4520015U</t>
  </si>
  <si>
    <t>4520003U (ÖLFLEX® UNIPLUS 1X4 GNYE)</t>
  </si>
  <si>
    <t>4520003U</t>
  </si>
  <si>
    <t>11190031 (Ölflex® 110  3 G 0.5 mm²)</t>
  </si>
  <si>
    <t>11190031</t>
  </si>
  <si>
    <t>00101224 (ÖLFLEX CLASSIC 100 3X0.5)</t>
  </si>
  <si>
    <t>00101224</t>
  </si>
  <si>
    <t>11198041 (Ölflex® 110  4 x 0.75 mm²)</t>
  </si>
  <si>
    <t>11198041</t>
  </si>
  <si>
    <t>61800930 (SILVYN KLICK-GP PG 48 GY)</t>
  </si>
  <si>
    <t>61800930</t>
  </si>
  <si>
    <t>53019090 (SKINTOP GMP-GL PG 48 RAL 7001 SGY)</t>
  </si>
  <si>
    <t>53019090</t>
  </si>
  <si>
    <t>61800910 (SILVYN KLICK-GP PG 29 GY)</t>
  </si>
  <si>
    <t>61800910</t>
  </si>
  <si>
    <t>61747000 (SILVYN RILL PA6 48/48x54,5 GY)</t>
  </si>
  <si>
    <t>61747000</t>
  </si>
  <si>
    <t>1180000079-926</t>
  </si>
  <si>
    <t>1250065276</t>
  </si>
  <si>
    <t>73220239_x000D_
 (UNITRONIC SPIRAL 18X0,14/500_x000D_
)</t>
  </si>
  <si>
    <t xml:space="preserve">73220239_x000D_
</t>
  </si>
  <si>
    <t>4507586328/I13</t>
  </si>
  <si>
    <t>11197531 (Ölflex® 110-O  3 x 0.5 mm²)</t>
  </si>
  <si>
    <t>48905882000</t>
  </si>
  <si>
    <t>11197531</t>
  </si>
  <si>
    <t>EtoE Interconnections Pvt. Ltd.,</t>
  </si>
  <si>
    <t>9100065767</t>
  </si>
  <si>
    <t>M/25-26/PO64</t>
  </si>
  <si>
    <t>MARS TECHNOLOGIES INC</t>
  </si>
  <si>
    <t>0033207 (UNITRONIC® LiYD11Y 7x0,14)</t>
  </si>
  <si>
    <t>0033207</t>
  </si>
  <si>
    <t>PPO20252601525</t>
  </si>
  <si>
    <t>Prognosys Medical Systems Pvt Ltd</t>
  </si>
  <si>
    <t>0034603 (UNITRONIC LiYCY 3x0,5)</t>
  </si>
  <si>
    <t>0034603</t>
  </si>
  <si>
    <t>0034905 (UNITRONIC LIYCY 5X1,5_x000D_
)</t>
  </si>
  <si>
    <t>0034905</t>
  </si>
  <si>
    <t>0034408 (UNITRONIC LiYCY  8x0,25)</t>
  </si>
  <si>
    <t>0034408</t>
  </si>
  <si>
    <t>Cable Cutting Charges</t>
  </si>
  <si>
    <t>DCA/PO-1189/JN-131&amp;133/2K25</t>
  </si>
  <si>
    <t>DIGITECH CONTROLS AUTOMATIONS (INDIA) PRIVATE LIMITED</t>
  </si>
  <si>
    <t>824830074413 (ÖLFLEX® INSTRUM 1x2x1 RTENY3OSY2SYC2 1 GY)</t>
  </si>
  <si>
    <t>824830074413</t>
  </si>
  <si>
    <t>824830100687 (ÖLFLEX® INSTRUM 1x3x1.5 RTENY3OSYC2SYC2 1 GY)</t>
  </si>
  <si>
    <t>824830100687</t>
  </si>
  <si>
    <t>Grindwell Norton Ltd</t>
  </si>
  <si>
    <t>0015303_x000D_
 (ÖLFLEX 150 QUATTRO 3G1,5/16AWG_x000D_
)</t>
  </si>
  <si>
    <t xml:space="preserve">0015303_x000D_
</t>
  </si>
  <si>
    <t>11198541 (Ölflex® 110  - 4 x 1.0 mm²_x000D_
)</t>
  </si>
  <si>
    <t>11198541</t>
  </si>
  <si>
    <t>4510002U (ÖLFLEX® UNIPLUS 1X0.75 GNYE)</t>
  </si>
  <si>
    <t>4510002U</t>
  </si>
  <si>
    <t>Krushi Solutions</t>
  </si>
  <si>
    <t>U01-25/251331397</t>
  </si>
  <si>
    <t>Werner Finley Pvt Ltd (Unit 1)</t>
  </si>
  <si>
    <t>382306244 (LAPP KABEL® 3G1.5 FY ROHS 1 GY)</t>
  </si>
  <si>
    <t>382306244</t>
  </si>
  <si>
    <t>4500038724</t>
  </si>
  <si>
    <t>Y7-222355 (PKZM4-50)</t>
  </si>
  <si>
    <t>Y7-222355</t>
  </si>
  <si>
    <t>0034416 (UNITRONIC LiYCY 16x0,25)</t>
  </si>
  <si>
    <t>0034416</t>
  </si>
  <si>
    <t>PO/25003854</t>
  </si>
  <si>
    <t>11196051 (Ölflex® 110  - 5 G 6.0 mm²)</t>
  </si>
  <si>
    <t>11196051</t>
  </si>
  <si>
    <t>PS-0224/SKC/25-26</t>
  </si>
  <si>
    <t>2216030 (ÖLFLEX® TRAY II CY 3G1.5 16/3C)</t>
  </si>
  <si>
    <t>2216030</t>
  </si>
  <si>
    <t>13711/RM/LOC</t>
  </si>
  <si>
    <t>25263498</t>
  </si>
  <si>
    <t>11354031 (Ölflex® 110 CY  - 3 G 2.5 mm²)</t>
  </si>
  <si>
    <t>11354031</t>
  </si>
  <si>
    <t>1135405 (ÖLFLEX CLASSIC 110 CY 5G2,5_x000D_
)</t>
  </si>
  <si>
    <t>1135405</t>
  </si>
  <si>
    <t>4500042652</t>
  </si>
  <si>
    <t>EMMVEE ENERGY PRIVATE LIMITED</t>
  </si>
  <si>
    <t>6230099458</t>
  </si>
  <si>
    <t>53018000 (SKINTOP ST PG 7 RAL 7035 LGY)</t>
  </si>
  <si>
    <t>53018000</t>
  </si>
  <si>
    <t>DI/25-26/798</t>
  </si>
  <si>
    <t>53111220_x000D_
 (SKINTOP ST-M 20x1,5 RAL 9005 BK_x000D_
)</t>
  </si>
  <si>
    <t xml:space="preserve">53111220_x000D_
</t>
  </si>
  <si>
    <t>4501316314</t>
  </si>
  <si>
    <t>53119020 (SKINTOP GMP-GL-M 20x1,5 RAL 7001 SGY)</t>
  </si>
  <si>
    <t>53119020</t>
  </si>
  <si>
    <t>LCI/1414/25-26</t>
  </si>
  <si>
    <t>Lakshmi Controls &amp; Instruments</t>
  </si>
  <si>
    <t>11190121 (Ölflex® 110  12 G 0.5 mm²)</t>
  </si>
  <si>
    <t>11190121</t>
  </si>
  <si>
    <t>11196141 (Ölflex® 110 4G10)</t>
  </si>
  <si>
    <t>11196141</t>
  </si>
  <si>
    <t>1000141573</t>
  </si>
  <si>
    <t>Ace Designers Limited (533)</t>
  </si>
  <si>
    <t>1119035 (ÖLFLEX CLASSIC 110 35G0,5)</t>
  </si>
  <si>
    <t>1119035</t>
  </si>
  <si>
    <t>VINAYAKA CONTROLS</t>
  </si>
  <si>
    <t>TITAN ENGINEERING &amp; AUTOMATION LIMITED (D)</t>
  </si>
  <si>
    <t>8000020581</t>
  </si>
  <si>
    <t xml:space="preserve">L&amp;T CONSTRUCTION EQUIPMENT LIMITED_x000D_
</t>
  </si>
  <si>
    <t>53112125 (SKINTOP® MSR-M-XL 20x1,5)</t>
  </si>
  <si>
    <t>53112125</t>
  </si>
  <si>
    <t>9100066186</t>
  </si>
  <si>
    <t>SK2526SO- 5106</t>
  </si>
  <si>
    <t>COEMTEK BUSINESS SOLUTIONS PRIVATE LIMITED</t>
  </si>
  <si>
    <t>1000122414</t>
  </si>
  <si>
    <t>4012051505</t>
  </si>
  <si>
    <t>Adarsha Control Systems Pvt Ltd</t>
  </si>
  <si>
    <t>11199041 (Ölflex® 110  - 4 x 1.5 mm²)</t>
  </si>
  <si>
    <t>11199041</t>
  </si>
  <si>
    <t>25260468</t>
  </si>
  <si>
    <t>Infi/PO/7776/RSB</t>
  </si>
  <si>
    <t>Infion Advanced Laser Systems Pvt Ltd</t>
  </si>
  <si>
    <t>0028305 (UNITRONIC LiYY 5x0,25)</t>
  </si>
  <si>
    <t>0028305</t>
  </si>
  <si>
    <t>38007067 (ÖLFLEX® 100 I  5 x 1.50)</t>
  </si>
  <si>
    <t>38007067</t>
  </si>
  <si>
    <t>1192567</t>
  </si>
  <si>
    <t>1192568</t>
  </si>
  <si>
    <t>4502922224</t>
  </si>
  <si>
    <t>216611 (M22-D-W-X1)</t>
  </si>
  <si>
    <t>216611</t>
  </si>
  <si>
    <t>260191 (NZM 1/2-XV6)</t>
  </si>
  <si>
    <t>260191</t>
  </si>
  <si>
    <t>1180000079-929</t>
  </si>
  <si>
    <t>1180000079-930</t>
  </si>
  <si>
    <t>2000022445</t>
  </si>
  <si>
    <t>Hical Technologies Pvt Ltd</t>
  </si>
  <si>
    <t>4510033U (ÖLFLEX® UNIPLUS 1X1 BN)</t>
  </si>
  <si>
    <t>4510033U</t>
  </si>
  <si>
    <t>1193909</t>
  </si>
  <si>
    <t>38007053 (ÖLFLEX® 100 I  2 x 1.00)</t>
  </si>
  <si>
    <t>38007053</t>
  </si>
  <si>
    <t>1225/25-26</t>
  </si>
  <si>
    <t>38007065 (ÖLFLEX® 100 I  3 G 1.50)</t>
  </si>
  <si>
    <t>38007065</t>
  </si>
  <si>
    <t>1226/25-26</t>
  </si>
  <si>
    <t>1233/25-26</t>
  </si>
  <si>
    <t>1234/25-26</t>
  </si>
  <si>
    <t>0034702 (UNITRONIC LiYCY 2x0,75)</t>
  </si>
  <si>
    <t>0034702</t>
  </si>
  <si>
    <t>4500038947</t>
  </si>
  <si>
    <t>DRAPL/25-26/49220</t>
  </si>
  <si>
    <t>0028145 (ÖLFLEX® ROBOT 900 P 18G0,5)</t>
  </si>
  <si>
    <t>0028145</t>
  </si>
  <si>
    <t>50200590</t>
  </si>
  <si>
    <t>11351031 (ÖLFLEX CLASSIC 110 CY 3G0,75_x000D_
)</t>
  </si>
  <si>
    <t>11351031</t>
  </si>
  <si>
    <t>4522262S (X07V-K 1X2,5 BUWH_x000D_
)</t>
  </si>
  <si>
    <t>4522262S</t>
  </si>
  <si>
    <t>820120004494 (ÖLFLEX® POWER AL 1100V 2XA FRLSH 3.5X150 F)</t>
  </si>
  <si>
    <t>820120004494</t>
  </si>
  <si>
    <t>820120004488 (ÖLFLEX® POWER AL 1100V 2XA FRLSH 3.5X25 F)</t>
  </si>
  <si>
    <t>820120004488</t>
  </si>
  <si>
    <t>TITAN ENGINEERING &amp; AUTOMATION LIMITED (Plant  L-6)</t>
  </si>
  <si>
    <t>1195456</t>
  </si>
  <si>
    <t>4503989710</t>
  </si>
  <si>
    <t>11199021 (Ölflex® 110  2 x 1.5 mm²)</t>
  </si>
  <si>
    <t>11199021</t>
  </si>
  <si>
    <t>918/25-26</t>
  </si>
  <si>
    <t>Contacteknics</t>
  </si>
  <si>
    <t>11191051 (Ölflex® 110  5 G 0.75 mm²)</t>
  </si>
  <si>
    <t>11191051</t>
  </si>
  <si>
    <t>ARANPO/0218/25-26</t>
  </si>
  <si>
    <t>ARAN TECHNOCRAFTS PRIVATE LIMITED</t>
  </si>
  <si>
    <t>11351041 (Ölflex® 110 CY 4G0.75)</t>
  </si>
  <si>
    <t>11351041</t>
  </si>
  <si>
    <t>Radius Engineering Solutions Pvt Ltd</t>
  </si>
  <si>
    <t>PO-RINS-03454-MAR-2026-RINS-S</t>
  </si>
  <si>
    <t>RENNOVA SOLUTIONS</t>
  </si>
  <si>
    <t>380400205 (ÖLFLEX® 100 I CY 2 X 0.5 GY)</t>
  </si>
  <si>
    <t>380400205</t>
  </si>
  <si>
    <t>SC/PO/25-26/039</t>
  </si>
  <si>
    <t>SNEHA CONTROLS</t>
  </si>
  <si>
    <t>NZM3-XKVI (MCCB Spreader 400A)</t>
  </si>
  <si>
    <t>NZM3-XKVI</t>
  </si>
  <si>
    <t>Y7-102082 (FAZ-C4/1-NA_x000D_
)</t>
  </si>
  <si>
    <t>Y7-102082</t>
  </si>
  <si>
    <t>1000139098</t>
  </si>
  <si>
    <t>61721260 (SILVYN® BRAID PA6 NW 06 4,0-10,0 / 20M)</t>
  </si>
  <si>
    <t>61721260</t>
  </si>
  <si>
    <t>38007075 (ÖLFLEX® 100 I  3 G 2.50)</t>
  </si>
  <si>
    <t>38007075</t>
  </si>
  <si>
    <t>4500039038</t>
  </si>
  <si>
    <t>EKZ-AS11 (EKZ Aux Contact 1NO+1NC_Left Mounted)</t>
  </si>
  <si>
    <t>EKZ-AS11</t>
  </si>
  <si>
    <t>53112676 (SKINTOP® MS-M BRUSH 25x1,5)</t>
  </si>
  <si>
    <t>53112676</t>
  </si>
  <si>
    <t>52003540 (SKINDICHT SM PG 21 counter nut_x000D_
)</t>
  </si>
  <si>
    <t>52003540</t>
  </si>
  <si>
    <t>52003560 (SKINDICHT SM PG 36 counter nut)</t>
  </si>
  <si>
    <t>PO-APL/2025-26/700</t>
  </si>
  <si>
    <t>AUTOHIV PRIVATE LIMITED</t>
  </si>
  <si>
    <t>PO/IPS/25-26/00954</t>
  </si>
  <si>
    <t>216378+216881+216374 (M22-K01+ M22-WS+ M22-A)</t>
  </si>
  <si>
    <t>216378+216881+216374</t>
  </si>
  <si>
    <t>216700 (M22-DDL-GR-X1/X0)</t>
  </si>
  <si>
    <t>216700</t>
  </si>
  <si>
    <t>216598 (M22-D-Y)</t>
  </si>
  <si>
    <t>216598</t>
  </si>
  <si>
    <t>216378 (M22-K01)</t>
  </si>
  <si>
    <t>216378</t>
  </si>
  <si>
    <t>NIKETANAM CONSTRUCTIONS</t>
  </si>
  <si>
    <t>1125404 (ÖLFLEX CLASSIC 110 SY 4G2,5)</t>
  </si>
  <si>
    <t>1125404</t>
  </si>
  <si>
    <t>1125304 (ÖLFLEX CLASSIC 110 SY 4G1,5)</t>
  </si>
  <si>
    <t>1125304</t>
  </si>
  <si>
    <t>4100009284</t>
  </si>
  <si>
    <t>Titan Engineering &amp; Automation Ltd (Unit1)</t>
  </si>
  <si>
    <t>APSPL/PO/0749/25-26</t>
  </si>
  <si>
    <t>1135125 (ÖLFLEX CLASSIC 110 CY 25G0,75_x000D_
)</t>
  </si>
  <si>
    <t>1135125</t>
  </si>
  <si>
    <t>4160600_x000D_
 (UL(MTW)-CSA-HAR Style 1015 12AWG GNYE_x000D_
)</t>
  </si>
  <si>
    <t xml:space="preserve">4160600_x000D_
</t>
  </si>
  <si>
    <t>PO-00111</t>
  </si>
  <si>
    <t>CAJO TECHNOLOGIES INDIA PRIVATE LIMITED</t>
  </si>
  <si>
    <t>19426000 (H-A 3 TGV M20 N.GEW. HOOD)</t>
  </si>
  <si>
    <t>19426000</t>
  </si>
  <si>
    <t>10423000 (H-A 3 TGV 11 N.GEW. HOOD)</t>
  </si>
  <si>
    <t>10423000</t>
  </si>
  <si>
    <t>61721867 (END SLEEVES AHI L 0,25/ 8 LBU_x000D_
)</t>
  </si>
  <si>
    <t>61721867</t>
  </si>
  <si>
    <t>PO/PCON/25-26/185</t>
  </si>
  <si>
    <t>52003490 (SKINDICHT SM PG 7 counter nut)</t>
  </si>
  <si>
    <t>52003490</t>
  </si>
  <si>
    <t>3WINGS INDUSTRIAL SOLUTIONS</t>
  </si>
  <si>
    <t>DMIM/25-26/023570-1</t>
  </si>
  <si>
    <t>4510091U (ÖLFLEX® UNIPLUS 1X0.5 OG)</t>
  </si>
  <si>
    <t>4510091U</t>
  </si>
  <si>
    <t>2170960 (ETHERLINE LAN Cat.6A S/FTP 4x2xAWG23)</t>
  </si>
  <si>
    <t>2170960</t>
  </si>
  <si>
    <t>0035220 (ÖLFLEX® CLASSIC 100 CY 300/500V 2X1)</t>
  </si>
  <si>
    <t>0035220</t>
  </si>
  <si>
    <t>8220011180 (ÖLFLEX® INFRA FRLSH 1X1.5 BK 180)</t>
  </si>
  <si>
    <t>8220011180</t>
  </si>
  <si>
    <t>11190041 (Ölflex® 110  4 G 0.5 mm²)</t>
  </si>
  <si>
    <t>11192121 (Ölflex® 110 12G1)</t>
  </si>
  <si>
    <t>11192121</t>
  </si>
  <si>
    <t>11193181 (Ölflex® 110 18G1.5)</t>
  </si>
  <si>
    <t>11193181</t>
  </si>
  <si>
    <t>1119225 (ÖLFLEX CLASSIC 110 25G1)</t>
  </si>
  <si>
    <t>1119225</t>
  </si>
  <si>
    <t>4126104S_x000D_
 (LiY 1x0,25 RD)</t>
  </si>
  <si>
    <t xml:space="preserve">4126104S_x000D_
</t>
  </si>
  <si>
    <t>4126005S_x000D_
 (LiY 1x0,25 YE_x000D_
)</t>
  </si>
  <si>
    <t xml:space="preserve">4126005S_x000D_
</t>
  </si>
  <si>
    <t>61746975 (SILVYN RILL PA6 28 / 23x28,5 BK)</t>
  </si>
  <si>
    <t>61746975</t>
  </si>
  <si>
    <t>61746965 (SILVYN RILL PA 6  PG 16 BLACK_x000D_
)</t>
  </si>
  <si>
    <t>61746965</t>
  </si>
  <si>
    <t>SCS T-CO-25022</t>
  </si>
  <si>
    <t>S C S Technologies</t>
  </si>
  <si>
    <t>11192051 (Ölflex® 110  5 G 1.0 mm²)</t>
  </si>
  <si>
    <t>11192051</t>
  </si>
  <si>
    <t>11192101 (Ölflex® 110 10G1)</t>
  </si>
  <si>
    <t>11192101</t>
  </si>
  <si>
    <t>PO25-26/126</t>
  </si>
  <si>
    <t>Macsafe India Solutions Private Limited</t>
  </si>
  <si>
    <t>4521014U (OLFLEX UNIPLUS 1X70 BK)</t>
  </si>
  <si>
    <t>4521014U</t>
  </si>
  <si>
    <t>1180000079-933</t>
  </si>
  <si>
    <t>1180000079-934</t>
  </si>
  <si>
    <t>0028525 (UNITRONIC LiYY 25x0,5)</t>
  </si>
  <si>
    <t>0028525</t>
  </si>
  <si>
    <t>ACAPL/PO/2323/25-26</t>
  </si>
  <si>
    <t>Adarsha Control &amp; Automation Pvt Ltd</t>
  </si>
  <si>
    <t>4522401S (X07V-K 2CHELIX 1X1,5 RDBK)</t>
  </si>
  <si>
    <t>4522401S</t>
  </si>
  <si>
    <t>4522261S (X07V-K 1X1,5 BUWH_x000D_
)</t>
  </si>
  <si>
    <t>4522261S</t>
  </si>
  <si>
    <t>11194051 (Ölflex® 110  5 G 2.5 mm²)</t>
  </si>
  <si>
    <t>11194051</t>
  </si>
  <si>
    <t>1180000079-928</t>
  </si>
  <si>
    <t>4510023U (ÖLFLEX® UNIPLUS 1X1 BU)</t>
  </si>
  <si>
    <t>4510023U</t>
  </si>
  <si>
    <t>1196214</t>
  </si>
  <si>
    <t>88527+203948(1.8/2.7) (MCS-11+PMIN(1.8)Pmax(2.7))</t>
  </si>
  <si>
    <t xml:space="preserve">SPINAC/10_x000D_
</t>
  </si>
  <si>
    <t>88527+203948(1.8/2.7)</t>
  </si>
  <si>
    <t>058692+203948 (1.5/2.0) (MCS11-G+PMIN(1.5)/PMAX(2.0))</t>
  </si>
  <si>
    <t xml:space="preserve">FT0051877-101_x000D_
</t>
  </si>
  <si>
    <t>058692+203948 (1.5/2.0)</t>
  </si>
  <si>
    <t>73220234 (SPIREX DATA 12x0,14/500)</t>
  </si>
  <si>
    <t>73220234</t>
  </si>
  <si>
    <t>RSPL1406-IN-25-26</t>
  </si>
  <si>
    <t>Raad Systems Private Limited</t>
  </si>
  <si>
    <t>53015070 (SKINTOP ST PG 36 RAL 7001 SGY)</t>
  </si>
  <si>
    <t>53015070</t>
  </si>
  <si>
    <t>53015040 (SKINTOP ST PG 16 RAL 7001 SGY)</t>
  </si>
  <si>
    <t>53015040</t>
  </si>
  <si>
    <t>382305562 (LAPP®  4G0.5 F Y Y  05 GY)</t>
  </si>
  <si>
    <t>382305562</t>
  </si>
  <si>
    <t>1250060775</t>
  </si>
  <si>
    <t>Sansera Engineering Limited., Plant 12</t>
  </si>
  <si>
    <t>0034314 (UNITRONIC LiYCY 14x0,14)</t>
  </si>
  <si>
    <t>0034314</t>
  </si>
  <si>
    <t>1119125 (ÖLFLEX CLASSIC 110 25G0,75)</t>
  </si>
  <si>
    <t>1119125</t>
  </si>
  <si>
    <t>53119023 (SKINTOP GMP-GL-M 20x1,5 RAL 7035 LGY)</t>
  </si>
  <si>
    <t>53119023</t>
  </si>
  <si>
    <t>PO0297191 Rev 2</t>
  </si>
  <si>
    <t>53111400 (SKINTOP ST-M 12x1,5 RAL 7035 LGY)</t>
  </si>
  <si>
    <t>53111400</t>
  </si>
  <si>
    <t>13996/RM/LOC</t>
  </si>
  <si>
    <t>52104400 (SKINDICHT ZS-M 25x1,5/21)</t>
  </si>
  <si>
    <t>52104400</t>
  </si>
  <si>
    <t>4503995517</t>
  </si>
  <si>
    <t>1119234 (OLFLEX CLASSIC 110 34G1)</t>
  </si>
  <si>
    <t>1119234</t>
  </si>
  <si>
    <t>11193161 (Ölflex® 110  16 G 1.5 mm²)</t>
  </si>
  <si>
    <t>11193161</t>
  </si>
  <si>
    <t>11191341_x000D_
 ("ÖLFLEX  110 34G0,75"_x000D_
)</t>
  </si>
  <si>
    <t xml:space="preserve">11191341_x000D_
</t>
  </si>
  <si>
    <t>70002667 (ÖLFLEX® SPIRAL 400 P 7G1/1000)</t>
  </si>
  <si>
    <t>70002667</t>
  </si>
  <si>
    <t>1135107_x000D_
 ("ÖLFLEX CLASSIC 110 CY 7G0,75"_x000D_
)</t>
  </si>
  <si>
    <t xml:space="preserve">1135107_x000D_
</t>
  </si>
  <si>
    <t>1119241 (ÖLFLEX® CLASSIC 110 41G1)</t>
  </si>
  <si>
    <t>1119241</t>
  </si>
  <si>
    <t>11191121 (Ölflex® 110  12 G 0.75 mm²)</t>
  </si>
  <si>
    <t>11191121</t>
  </si>
  <si>
    <t>1121309 (ÖLFLEX CLASSIC110 CY BK 0,6/1kV 4G1,5_x000D_
)</t>
  </si>
  <si>
    <t>1121309</t>
  </si>
  <si>
    <t>00100664 (ÖLFLEX CLASSIC 100 300/500V 5G1,5)</t>
  </si>
  <si>
    <t>00100664</t>
  </si>
  <si>
    <t>0011175 (ÖLFLEX® 191 4G25)</t>
  </si>
  <si>
    <t>0011175</t>
  </si>
  <si>
    <t>1119250_x000D_
 (ÖLFLEX CLASSIC 110 50G1_x000D_
)</t>
  </si>
  <si>
    <t xml:space="preserve">1119250_x000D_
</t>
  </si>
  <si>
    <t>11192181 (OLFLEX CLASSIC 110 18G1)</t>
  </si>
  <si>
    <t>11192181</t>
  </si>
  <si>
    <t>11192071 (Ölflex® 110  7 G 1.0 mm²)</t>
  </si>
  <si>
    <t>11192071</t>
  </si>
  <si>
    <t>0015112 (ÖLFLEX 150 QUATTRO 12G0,75/19AWG_x000D_
)</t>
  </si>
  <si>
    <t>0015112</t>
  </si>
  <si>
    <t>0015403_x000D_
 (ÖLFLEX 150 QUATTRO 3G2,5/14AWG_x000D_
)</t>
  </si>
  <si>
    <t xml:space="preserve">0015403_x000D_
</t>
  </si>
  <si>
    <t>4510141U (ÖLFLEX® UNIPLUS 1X0.5 DBU)</t>
  </si>
  <si>
    <t>4510141U</t>
  </si>
  <si>
    <t>6230100387</t>
  </si>
  <si>
    <t>KS/2025-26/PO-170</t>
  </si>
  <si>
    <t>0034525_x000D_
 (UNITRONIC LiYCY 25x0,34_x000D_
)</t>
  </si>
  <si>
    <t xml:space="preserve">0034525_x000D_
</t>
  </si>
  <si>
    <t>0034518_x000D_
 (UNITRONIC LiYCY 18x0,34_x000D_
)</t>
  </si>
  <si>
    <t xml:space="preserve">0034518_x000D_
</t>
  </si>
  <si>
    <t>0034506 (UNITRONIC LiYCY 6x0,34)</t>
  </si>
  <si>
    <t>0034506</t>
  </si>
  <si>
    <t>0034907 (UNITRONIC LIYCY 7X1,5)</t>
  </si>
  <si>
    <t>0034907</t>
  </si>
  <si>
    <t>2210704 (H01N2-D 1x70 welding cable)</t>
  </si>
  <si>
    <t>2210704</t>
  </si>
  <si>
    <t>61802150 (SILVYN AS 36/40x45)</t>
  </si>
  <si>
    <t>61802150</t>
  </si>
  <si>
    <t>61802170 (SILVYN® AS 56 / 51x56)</t>
  </si>
  <si>
    <t>61802170</t>
  </si>
  <si>
    <t>PMK/SIDDI/1886</t>
  </si>
  <si>
    <t>Precision Machinekraft Pvt Ltd</t>
  </si>
  <si>
    <t>SK2526SO- 5315</t>
  </si>
  <si>
    <t>LMTSP10 (FUOCO MAGNETIC SPOT TRACK LIGHT 10W)</t>
  </si>
  <si>
    <t>LMTSP10</t>
  </si>
  <si>
    <t>LMTLN06 (FUOCO MAGNETIC LENS Type Track Light 6W)</t>
  </si>
  <si>
    <t>LMTLN06</t>
  </si>
  <si>
    <t>SSEPO25-0350</t>
  </si>
  <si>
    <t>SAI SAM ELECTRICALS &amp; AUTOMATION SOLUTIONS</t>
  </si>
  <si>
    <t>0027857_x000D_
 (UNITRONIC FD 4x0,25_x000D_
)</t>
  </si>
  <si>
    <t xml:space="preserve">0027857_x000D_
</t>
  </si>
  <si>
    <t>0027859 (UNITRONIC FD 7x0,25_x000D_
)</t>
  </si>
  <si>
    <t>0027859</t>
  </si>
  <si>
    <t>SK2526SO- 5347</t>
  </si>
  <si>
    <t>1180000079-935</t>
  </si>
  <si>
    <t>216374.0 (M22-A)</t>
  </si>
  <si>
    <t>216374.0</t>
  </si>
  <si>
    <t>216390 (M22S-B)</t>
  </si>
  <si>
    <t>216390</t>
  </si>
  <si>
    <t>1180000079-938</t>
  </si>
  <si>
    <t>1180000079-939</t>
  </si>
  <si>
    <t>26271019</t>
  </si>
  <si>
    <t>4500039228</t>
  </si>
  <si>
    <t>4500039260</t>
  </si>
  <si>
    <t>EIN-810140 (PLSI-C6-GI)</t>
  </si>
  <si>
    <t>EIN-810140</t>
  </si>
  <si>
    <t>6300158062</t>
  </si>
  <si>
    <t>381141819 (ÖLFLEX® CONTROL 110 18 G 2.5 1100 V BK)</t>
  </si>
  <si>
    <t>381141819</t>
  </si>
  <si>
    <t>380430410 (ÖLFLEX® 100 I CY 4 G  1.5 TRAN)</t>
  </si>
  <si>
    <t>380430410</t>
  </si>
  <si>
    <t>38000997 (ÖLFLEX® 100 I  5 X 4.0_x000D_
)</t>
  </si>
  <si>
    <t>38000997</t>
  </si>
  <si>
    <t>4126002S (LiY 1x0,25 BU)</t>
  </si>
  <si>
    <t>4126002S</t>
  </si>
  <si>
    <t>DI/26-27/006</t>
  </si>
  <si>
    <t>LCI/6/26-27</t>
  </si>
  <si>
    <t>P/2026-27/00020</t>
  </si>
  <si>
    <t>53119013 (SKINTOP GMP-GL-M 16x1,5 RAL 7035 LGY)</t>
  </si>
  <si>
    <t>14121/RM/LOC</t>
  </si>
  <si>
    <t>3W-2526-MAR-08-PO3</t>
  </si>
  <si>
    <t>1119061 (ÖLFLEX® CLASSIC 110 61G0,5)</t>
  </si>
  <si>
    <t>382301464 (LAPP® 3G0.75 SQMM 300/500 V GREY)</t>
  </si>
  <si>
    <t>CSPUR/26/00028</t>
  </si>
  <si>
    <t>DB129417</t>
  </si>
  <si>
    <t>53112270 (SKINTOP® MS-SC PG 36)</t>
  </si>
  <si>
    <t>53112679 (SKINTOP® MS-M BRUSH 50x1,5)</t>
  </si>
  <si>
    <t>PO-2514100/25-26</t>
  </si>
  <si>
    <t>CMIM/2627/00105-1</t>
  </si>
  <si>
    <t>INDO-MIM LIMITED (TN)</t>
  </si>
  <si>
    <t>24441316 (ETHERLINE® LAN Cat.6A 0,25 BK)</t>
  </si>
  <si>
    <t>24441317 (ETHERLINE® LAN Cat.6A 0,5 BK)</t>
  </si>
  <si>
    <t>24441318 (ETHERLINE® LAN Cat.6A 1,0 BK_x000D_
)</t>
  </si>
  <si>
    <t>24441324 (ETHERLINE® LAN Cat.6A 10,0 BK)</t>
  </si>
  <si>
    <t>24441322 (ETHERLINE® LAN Cat.6A 5,0 BK)</t>
  </si>
  <si>
    <t>PO-85002907SD</t>
  </si>
  <si>
    <t>Bastian Solution India Pvt  Ltd (Ko)</t>
  </si>
  <si>
    <t>SK2627SO-   84</t>
  </si>
  <si>
    <t>EUROTECH TECHNOLOGIES PVT LTD</t>
  </si>
  <si>
    <t>0031320_x000D_
 ("UNITRONIC Li2YCY (TP) 2x2x0,22"_x000D_
)</t>
  </si>
  <si>
    <t xml:space="preserve">0031320_x000D_
</t>
  </si>
  <si>
    <t>Sales Group</t>
  </si>
  <si>
    <t>Product Make</t>
  </si>
  <si>
    <t>Product group</t>
  </si>
  <si>
    <t>Due orders</t>
  </si>
  <si>
    <t>Due by</t>
  </si>
  <si>
    <t/>
  </si>
  <si>
    <t>Y7-182688 (PLSM-C6-EI)</t>
  </si>
  <si>
    <t>Y7-182688</t>
  </si>
  <si>
    <t>53119013</t>
  </si>
  <si>
    <t>1199801</t>
  </si>
  <si>
    <t>1119061</t>
  </si>
  <si>
    <t>9100063319</t>
  </si>
  <si>
    <t>4520031U (ÖLFLEX® UNIPLUS 1X1.5 BN)</t>
  </si>
  <si>
    <t>4520031U</t>
  </si>
  <si>
    <t>382301464</t>
  </si>
  <si>
    <t>382301463</t>
  </si>
  <si>
    <t>11196041</t>
  </si>
  <si>
    <t>53112270</t>
  </si>
  <si>
    <t>53112679</t>
  </si>
  <si>
    <t>52003560</t>
  </si>
  <si>
    <t>24441316</t>
  </si>
  <si>
    <t>24441317</t>
  </si>
  <si>
    <t>24441318</t>
  </si>
  <si>
    <t>24441324</t>
  </si>
  <si>
    <t>24441322</t>
  </si>
  <si>
    <t>4501318819</t>
  </si>
  <si>
    <t>SK2627SO-   91</t>
  </si>
  <si>
    <t>Quantum Engineering</t>
  </si>
  <si>
    <t>51730090 (SKINDICHT KUK PG 21/16_x000D_
)</t>
  </si>
  <si>
    <t>51730090</t>
  </si>
  <si>
    <t>1180000079-940</t>
  </si>
  <si>
    <t>4100009447</t>
  </si>
  <si>
    <t>00354303 (ÖLFLEX® CLASSIC 100 CY 450/750V 4G120)</t>
  </si>
  <si>
    <t>00354303</t>
  </si>
  <si>
    <t>4502942753</t>
  </si>
  <si>
    <t>229491 (M22-R10K_x000D_
)</t>
  </si>
  <si>
    <t>229491</t>
  </si>
  <si>
    <t>60103726</t>
  </si>
  <si>
    <t>7418</t>
  </si>
  <si>
    <t>2243 (Industrial Power Plug Cable Mount 16A 500V IP44, 3P+N+E, Red)</t>
  </si>
  <si>
    <t>2243</t>
  </si>
  <si>
    <t>11190041</t>
  </si>
  <si>
    <t>API/AA2535118/004/25-26</t>
  </si>
  <si>
    <t>4610021U (ÖLFLEX® UNIPLUS FR-LSH 1X0.5 BU)</t>
  </si>
  <si>
    <t>4610021U</t>
  </si>
  <si>
    <t>4610051U (ÖLFLEX® UNIPLUS FR-LSH 1X0.5 WH)</t>
  </si>
  <si>
    <t>4610051U</t>
  </si>
  <si>
    <t>4620041U (ÖLFLEX® UNIPLUS FR-LSH 1X1.5 RD_x000D_
)</t>
  </si>
  <si>
    <t>4620041U</t>
  </si>
  <si>
    <t>4620111U (ÖLFLEX® UNIPLUS FRLS 1X1.5 YE)</t>
  </si>
  <si>
    <t>4620111U</t>
  </si>
  <si>
    <t>4620021U (ÖLFLEX® UNIPLUS FR-LSH 1X1.5 BU)</t>
  </si>
  <si>
    <t>4620021U</t>
  </si>
  <si>
    <t>4620011U (ÖLFLEX® UNIPLUS FR-LSH 1X1.5 BK_x000D_
)</t>
  </si>
  <si>
    <t>4620011U</t>
  </si>
  <si>
    <t>4620001U (ÖLFLEX® UNIPLUS FR-LSH 1X1.5 GNYE)</t>
  </si>
  <si>
    <t>4620001U</t>
  </si>
  <si>
    <t>4620042U (ÖLFLEX® UNIPLUS FR-LSH 1X2.5 RD)</t>
  </si>
  <si>
    <t>4620042U</t>
  </si>
  <si>
    <t>4620112U (ÖLFLEX® UNIPLUS FR-LSH 1X2.5 YE)</t>
  </si>
  <si>
    <t>4620112U</t>
  </si>
  <si>
    <t>4620022U (ÖLFLEX® UNIPLUS FR-LSH 1X2.5 BU)</t>
  </si>
  <si>
    <t>4620022U</t>
  </si>
  <si>
    <t>4620002U (ÖLFLEX® UNIPLUS FR-LSH 1X2.5 GNYE)</t>
  </si>
  <si>
    <t>4620002U</t>
  </si>
  <si>
    <t>4620043U (ÖLFLEX® UNIPLUS FR-LSH 1X4 RD_x000D_
)</t>
  </si>
  <si>
    <t>4620043U</t>
  </si>
  <si>
    <t>4620023U (ÖLFLEX® UNIPLUS FR-LSH 1X4 BU)</t>
  </si>
  <si>
    <t>4620023U</t>
  </si>
  <si>
    <t>4620113U (ÖLFLEX® UNIPLUS FR-LSH 1X4 YE)</t>
  </si>
  <si>
    <t>4620113U</t>
  </si>
  <si>
    <t>4620003U (ÖLFLEX® UNIPLUS FR-LSH 1X4 GNYE)</t>
  </si>
  <si>
    <t>4620003U</t>
  </si>
  <si>
    <t>PO0297604 Rev 1</t>
  </si>
  <si>
    <t>1119325 (ÖLFLEX CLASSIC 110 25G1,5)</t>
  </si>
  <si>
    <t>1119325</t>
  </si>
  <si>
    <t>PO0297605 Rev 1</t>
  </si>
  <si>
    <t>11193121 (ÖLFLEX 110 12G1.5)</t>
  </si>
  <si>
    <t>11193121</t>
  </si>
  <si>
    <t>S2627-0003</t>
  </si>
  <si>
    <t>4500039381</t>
  </si>
  <si>
    <t>4500039384</t>
  </si>
  <si>
    <t>CMD00513 (XTCD009B10AOI)</t>
  </si>
  <si>
    <t>CMD00513</t>
  </si>
  <si>
    <t>EIN-810170 (PLSI-C40/4-GI)</t>
  </si>
  <si>
    <t>EIN-810170</t>
  </si>
  <si>
    <t>EKZM0-16 (E-Line Rotary MPCB Fr-1, 10-16A, TM)</t>
  </si>
  <si>
    <t>EKZM0-16</t>
  </si>
  <si>
    <t>EKZM0-6.3 (E-Line Rotary MPCB Fr-1, 4.0-6.3A, TM)</t>
  </si>
  <si>
    <t>EKZM0-6.3</t>
  </si>
  <si>
    <t>APSPL/PO/0017/26-27</t>
  </si>
  <si>
    <t>1600300 (NSGAFÖU 1,8/3kV 1X1,5_x000D_
)</t>
  </si>
  <si>
    <t>1600300</t>
  </si>
  <si>
    <t>1600311 (NSGAFÖU 1,8/3kV 1X120)</t>
  </si>
  <si>
    <t>1600311</t>
  </si>
  <si>
    <t>4521006U (ÖLFLEX® UNIPLUS 1X120 GNYE_x000D_
)</t>
  </si>
  <si>
    <t>4521006U</t>
  </si>
  <si>
    <t>4521001U (OLFLEX UNIPLUS 1X25 GNYE)</t>
  </si>
  <si>
    <t>4521001U</t>
  </si>
  <si>
    <t>11198571 (Ölflex® 110  - 7 x 1.0 mm²)</t>
  </si>
  <si>
    <t>11198571</t>
  </si>
  <si>
    <t>11192161 (Olflex 110 16G1)</t>
  </si>
  <si>
    <t>11192161</t>
  </si>
  <si>
    <t>1119870 (ÖLFLEX CLASSIC 110 20X1_x000D_
)</t>
  </si>
  <si>
    <t>1119870</t>
  </si>
  <si>
    <t>1119226 (ÖLFLEX CLASSIC 110 26G1_x000D_
)</t>
  </si>
  <si>
    <t>1119226</t>
  </si>
  <si>
    <t>1120342 (ÖLFLEX CLASSIC 110 Black 0,6/1kV 4G2,5_x000D_
)</t>
  </si>
  <si>
    <t>1120342</t>
  </si>
  <si>
    <t>1135225 (ÖLFLEX CLASSIC 110 CY 25G1_x000D_
)</t>
  </si>
  <si>
    <t>1135225</t>
  </si>
  <si>
    <t>1135212 (ÖLFLEX CLASSIC 110 CY 12G1_x000D_
)</t>
  </si>
  <si>
    <t>1135212</t>
  </si>
  <si>
    <t>DB129470</t>
  </si>
  <si>
    <t>4510143U (ÖLFLEX® UNIPLUS 1X1 DBU)</t>
  </si>
  <si>
    <t>4510143U</t>
  </si>
  <si>
    <t>PO-APL/2026-27/018</t>
  </si>
  <si>
    <t>1201352</t>
  </si>
  <si>
    <t>1201353</t>
  </si>
  <si>
    <t>Y7-88527+203948(1.5/5.0) (MCS-11+PMIN(1.5)/Pmax(5.0))</t>
  </si>
  <si>
    <t>SPINAC/10 (35006800)</t>
  </si>
  <si>
    <t>Y7-88527+203948(1.5/5.0)</t>
  </si>
  <si>
    <t>1201354</t>
  </si>
  <si>
    <t>1201355</t>
  </si>
  <si>
    <t>14209/RM/LOC</t>
  </si>
  <si>
    <t>60103859</t>
  </si>
  <si>
    <t>1119805 (Ölflex® 110  - 5 x 0.75 mm²_x000D_
)</t>
  </si>
  <si>
    <t>1119805</t>
  </si>
  <si>
    <t>60103910</t>
  </si>
  <si>
    <t>RP2526-222498</t>
  </si>
  <si>
    <t>Panacea Medical Technologies Pvt  Ltd  (M)</t>
  </si>
  <si>
    <t>380863415 (ÖLFLEX® 100 I FR-LSH 4 G 25 GY)</t>
  </si>
  <si>
    <t>380863415</t>
  </si>
  <si>
    <t>202627-002</t>
  </si>
  <si>
    <t>SHREYAS CONTROL SYSTEM</t>
  </si>
  <si>
    <t>61803840 (SILVYN® COMPACT 90° NPT 1/2 NPB)</t>
  </si>
  <si>
    <t>61803840</t>
  </si>
  <si>
    <t>61803853 (SILVYN® COMPACT 45° M25x1,5 NPB)</t>
  </si>
  <si>
    <t>61803853</t>
  </si>
  <si>
    <t>61803841 (SILVYN® COMPACT 90° NPT 3/4 NPB)</t>
  </si>
  <si>
    <t>61803841</t>
  </si>
  <si>
    <t>61803803 (SILVYN® COMPACT M25X1,5 NPB)</t>
  </si>
  <si>
    <t>61803803</t>
  </si>
  <si>
    <t>61803802 (SILVYN® COMPACT M20X1,5/2 NPB)</t>
  </si>
  <si>
    <t>61803802</t>
  </si>
  <si>
    <t>61803809 (SILVYN® COMPACT 90° M20X1,5/1 NPB)</t>
  </si>
  <si>
    <t>61803809</t>
  </si>
  <si>
    <t>61803833 (SILVYN® COMPACT NPT 1/2 NPB)</t>
  </si>
  <si>
    <t>61803833</t>
  </si>
  <si>
    <t>52103540 (SKINDICHT SM NPT 1/2'')</t>
  </si>
  <si>
    <t>52103540</t>
  </si>
  <si>
    <t>61803834 (SILVYN® COMPACT NPT 3/4 NPB)</t>
  </si>
  <si>
    <t>61803834</t>
  </si>
  <si>
    <t>52103550 (SKINDICHT SM NPT 3/4'')</t>
  </si>
  <si>
    <t>52103550</t>
  </si>
  <si>
    <t>61803852 (SILVYN® COMPACT 45° M20x1,5/2 NPB)</t>
  </si>
  <si>
    <t>61803852</t>
  </si>
  <si>
    <t>4502946380</t>
  </si>
  <si>
    <t>382309477 (LAPP®   4G1.5 FYYCY 05 OG 10)</t>
  </si>
  <si>
    <t>382309477</t>
  </si>
  <si>
    <t>8202808</t>
  </si>
  <si>
    <t>DRAPL/26-27/50151</t>
  </si>
  <si>
    <t>1120470 (ÖLFLEX® CLASSIC 100 BK 0,6/1 kV 4G2,5)</t>
  </si>
  <si>
    <t>1120470</t>
  </si>
  <si>
    <t>DRAPL/26-27/50403</t>
  </si>
  <si>
    <t>0035810 (UNITRONIC LiYCY (TP) 2x2x0,5)</t>
  </si>
  <si>
    <t>0035810</t>
  </si>
  <si>
    <t>2170346 (UNITRONIC FDY DeviceNet THICK PVC UL CMG_x000D_
)</t>
  </si>
  <si>
    <t>2170346</t>
  </si>
  <si>
    <t>1120314_x000D_
 (ÖLFLEX CLASSIC 110 Black 0,6/1kV 7G1,5_x000D_
)</t>
  </si>
  <si>
    <t xml:space="preserve">1120314_x000D_
</t>
  </si>
  <si>
    <t>1119121 (ÖLFLEX CLASSIC 110 21G0,75_x000D_
)</t>
  </si>
  <si>
    <t>1119121</t>
  </si>
  <si>
    <t>DRAPL/26-27/50518</t>
  </si>
  <si>
    <t>2170342 (UNITRONIC DeviceNet THICK PVC UL (CMG)_x000D_
)</t>
  </si>
  <si>
    <t>2170342</t>
  </si>
  <si>
    <t>DRAPL/26-27/50522</t>
  </si>
  <si>
    <t>38007084_x000D_
 (ÖLFLEX 100 I  4 G 35_x000D_
)</t>
  </si>
  <si>
    <t xml:space="preserve">38007084_x000D_
</t>
  </si>
  <si>
    <t>DRAPL/26-27/50524</t>
  </si>
  <si>
    <t>823900002013 (SKINTOP® SMART M 25X1.5 LGY)</t>
  </si>
  <si>
    <t>823900002013</t>
  </si>
  <si>
    <t>ZBS/A/7035/1309/25-26</t>
  </si>
  <si>
    <t>ZETA BIOSYSTEM PRIVATE LIMITED</t>
  </si>
  <si>
    <t>1180000079-942</t>
  </si>
  <si>
    <t>1200128</t>
  </si>
  <si>
    <t>1200129</t>
  </si>
  <si>
    <t>4501319645</t>
  </si>
  <si>
    <t>2170205 (UNITRONIC® BUS LD 3x2x0,22)</t>
  </si>
  <si>
    <t>2170205</t>
  </si>
  <si>
    <t>4507612273/I13</t>
  </si>
  <si>
    <t>48905705800</t>
  </si>
  <si>
    <t>48905706000</t>
  </si>
  <si>
    <t>48905706400</t>
  </si>
  <si>
    <t>48905706500</t>
  </si>
  <si>
    <t>48905706800</t>
  </si>
  <si>
    <t>60104316</t>
  </si>
  <si>
    <t>4520144U (ÖLFLEX® UNIPLUS 1X6 DBU)</t>
  </si>
  <si>
    <t>4520144U</t>
  </si>
  <si>
    <t>API/AA2535119/004/26-27</t>
  </si>
  <si>
    <t>API/AA2544102/087/26-27</t>
  </si>
  <si>
    <t>11197551 (Ölflex® 110-O  5 x 0.5 mm²)</t>
  </si>
  <si>
    <t>11197551</t>
  </si>
  <si>
    <t>API/AA2636106/085/26-27</t>
  </si>
  <si>
    <t>P262700039</t>
  </si>
  <si>
    <t>4512263S (X05V-K 1X1 BUWH_x000D_
)</t>
  </si>
  <si>
    <t>4512263S</t>
  </si>
  <si>
    <t>PO/024</t>
  </si>
  <si>
    <t>PO0297898 Rev 1</t>
  </si>
  <si>
    <t>11199051 (Ölflex® 110  5 x 1.5 mm²)</t>
  </si>
  <si>
    <t>11199051</t>
  </si>
  <si>
    <t>PO/IHM/26-27/00284</t>
  </si>
  <si>
    <t>52015700 (SKINTOP MS PG 7)</t>
  </si>
  <si>
    <t>52015700</t>
  </si>
  <si>
    <t>SSEPO26-0030</t>
  </si>
  <si>
    <t>0224/26-27</t>
  </si>
  <si>
    <t>54113030_x000D_
 (SKINTOP DV-M 25_x000D_
)</t>
  </si>
  <si>
    <t xml:space="preserve">54113030_x000D_
</t>
  </si>
  <si>
    <t>3W-2526-MAR-10-PO3</t>
  </si>
  <si>
    <t>4500039501</t>
  </si>
  <si>
    <t>CMD00521 (XTCD012B10AOI)</t>
  </si>
  <si>
    <t>CMD00521</t>
  </si>
  <si>
    <t>EIN-810167 (PLSI-C20/4-GI)</t>
  </si>
  <si>
    <t>EIN-810167</t>
  </si>
  <si>
    <t>810168 (PLSI-C25/4-GI)</t>
  </si>
  <si>
    <t>810168</t>
  </si>
  <si>
    <t>EIN-810166 (PLSM-C16/4-GI)</t>
  </si>
  <si>
    <t>EIN-810166</t>
  </si>
  <si>
    <t>EIN-810165 (PLSI-C10/4-GI)</t>
  </si>
  <si>
    <t>EIN-810165</t>
  </si>
  <si>
    <t>4500039502</t>
  </si>
  <si>
    <t>4500165972</t>
  </si>
  <si>
    <t>Lincoln-Helios India Limited</t>
  </si>
  <si>
    <t>380830305 (ÖLFLEX® 100 I FR-LSH  3 x 1.5  GY)</t>
  </si>
  <si>
    <t>380830305</t>
  </si>
  <si>
    <t>4500166384</t>
  </si>
  <si>
    <t>API/AA2636106/091/26-27</t>
  </si>
  <si>
    <t>4510022U (ÖLFLEX® UNIPLUS 1X0.75 BU)</t>
  </si>
  <si>
    <t>4510022U</t>
  </si>
  <si>
    <t>38007095 (ÖLFLEX® 100 I  4 G 10.00)</t>
  </si>
  <si>
    <t>38007095</t>
  </si>
  <si>
    <t>PO0298352 Rev 2</t>
  </si>
  <si>
    <t>52104486 (SKINDICHT KU-M 50x1,5/40x1,5)</t>
  </si>
  <si>
    <t>52104486</t>
  </si>
  <si>
    <t>PO-2610174/26-27</t>
  </si>
  <si>
    <t>1188174</t>
  </si>
  <si>
    <t>2000022704</t>
  </si>
  <si>
    <t>865/25-26</t>
  </si>
  <si>
    <t>21590 (21590 Neptune Make 63A 5Pin Plug)</t>
  </si>
  <si>
    <t>21590</t>
  </si>
  <si>
    <t>1124 SM (1124 SM Socket NB 63A 5Pin IP44)</t>
  </si>
  <si>
    <t>1124 SM</t>
  </si>
  <si>
    <t>1107266389</t>
  </si>
  <si>
    <t>0034625_x000D_
 (UNITRONIC LiYCY 25x0,5_x000D_
)</t>
  </si>
  <si>
    <t xml:space="preserve">0034625_x000D_
</t>
  </si>
  <si>
    <t>1180000079-944</t>
  </si>
  <si>
    <t>1260002897</t>
  </si>
  <si>
    <t>APSPL/PO/0041/26-27</t>
  </si>
  <si>
    <t>1135802 (ÖLFLEX 110 CY 2X0.75)</t>
  </si>
  <si>
    <t>1135802</t>
  </si>
  <si>
    <t>1119209 (Ölflex® 110 9G1)</t>
  </si>
  <si>
    <t>1119209</t>
  </si>
  <si>
    <t>1119214 (ÖLFLEX CLASSIC 110 14G1_x000D_
)</t>
  </si>
  <si>
    <t>1119214</t>
  </si>
  <si>
    <t>Po/26000105</t>
  </si>
  <si>
    <t>SCPO/26-27/002</t>
  </si>
  <si>
    <t>102164 (FAZ-C6/2-NA_x000D_
)</t>
  </si>
  <si>
    <t>102164</t>
  </si>
  <si>
    <t>Y7-102167 (FAZ-C10/2-NA_x000D_
)</t>
  </si>
  <si>
    <t>Y7-102167</t>
  </si>
  <si>
    <t>277946 (DILM150-XHI11)</t>
  </si>
  <si>
    <t>277946</t>
  </si>
  <si>
    <t>Y7-102092 (FAZ-C25/1-NA)</t>
  </si>
  <si>
    <t>Y7-102092</t>
  </si>
  <si>
    <t>U2-3012600752</t>
  </si>
  <si>
    <t>1249526 (ÖLFLEX HEAT 180 SiF A 1x2,5 BK_x000D_
)</t>
  </si>
  <si>
    <t>1249526</t>
  </si>
  <si>
    <t>1000667065/0</t>
  </si>
  <si>
    <t>1312025 (ÖLFLEX® CLASSIC 400 P 25G0,5)</t>
  </si>
  <si>
    <t>1312025</t>
  </si>
  <si>
    <t>25/LOC/03147</t>
  </si>
  <si>
    <t>25/LOC/03148</t>
  </si>
  <si>
    <t>34/26-27</t>
  </si>
  <si>
    <t>4126003S_x000D_
 (LiY 1x0,25 BN_x000D_
)</t>
  </si>
  <si>
    <t xml:space="preserve">4126003S_x000D_
</t>
  </si>
  <si>
    <t>4126001S_x000D_
 (LiY 1x0,25 BK)</t>
  </si>
  <si>
    <t xml:space="preserve">4126001S_x000D_
</t>
  </si>
  <si>
    <t>4126006S_x000D_
 (LiY 1x0,25 GN_x000D_
)</t>
  </si>
  <si>
    <t xml:space="preserve">4126006S_x000D_
</t>
  </si>
  <si>
    <t>4500039598</t>
  </si>
  <si>
    <t>RINAC INDIA LIMITED (CJ)</t>
  </si>
  <si>
    <t>DRAPL/26-27/50950</t>
  </si>
  <si>
    <t>PO/26000126</t>
  </si>
  <si>
    <t>PO/26005</t>
  </si>
  <si>
    <t>SR ENTERPRISES (H)</t>
  </si>
  <si>
    <t>SK2627SO-  326</t>
  </si>
  <si>
    <t>Shree A.V Enterprises</t>
  </si>
  <si>
    <t>1180000079-937</t>
  </si>
  <si>
    <t>4501320037</t>
  </si>
  <si>
    <t>0044721 (UNITRONIC® LiYCY A 21XAWG22/7)</t>
  </si>
  <si>
    <t>0044721</t>
  </si>
  <si>
    <t>4502955289</t>
  </si>
  <si>
    <t>Y7-260166 (NZM1-XTVD_x000D_
)</t>
  </si>
  <si>
    <t>Y7-260166</t>
  </si>
  <si>
    <t>9500012230</t>
  </si>
  <si>
    <t>AVIRATA DEFENCE SYSTEMS LIMITED</t>
  </si>
  <si>
    <t>61746945 (SILVYN® RILL PA6 13 / 10x13 BK_x000D_
)</t>
  </si>
  <si>
    <t>61746945</t>
  </si>
  <si>
    <t>PO/26000140</t>
  </si>
  <si>
    <t>PO/GE/26-27/0171</t>
  </si>
  <si>
    <t>4150102 (Multi-Standard SC 2.2 1X0,5 BU)</t>
  </si>
  <si>
    <t>4150102</t>
  </si>
  <si>
    <t>4150101 (Multi-Standard SC 2.2 1X0,5 BK)</t>
  </si>
  <si>
    <t>4150101</t>
  </si>
  <si>
    <t>4150104 (Multi-Standard SC 2.2 1X0,5 RD)</t>
  </si>
  <si>
    <t>4150104</t>
  </si>
  <si>
    <t>221807 (ÖLFLEX TRAY II 7G1 18/7C)</t>
  </si>
  <si>
    <t>221807</t>
  </si>
  <si>
    <t>266875 (Z-SD/230)</t>
  </si>
  <si>
    <t>266875</t>
  </si>
  <si>
    <t>Y7-248433 (Z-AHK)</t>
  </si>
  <si>
    <t>Y7-248433</t>
  </si>
  <si>
    <t>191761 (DILMS7-23(24VDC))</t>
  </si>
  <si>
    <t>191761</t>
  </si>
  <si>
    <t>Y7-216873 (M22S-WRK3)</t>
  </si>
  <si>
    <t>Y7-216873</t>
  </si>
  <si>
    <t>EE-2627-00026</t>
  </si>
  <si>
    <t>Glastronix LLP</t>
  </si>
  <si>
    <t>4160402 (UL(MTW)-CSA-HAR Style 1015 16AWG BU)</t>
  </si>
  <si>
    <t>4160402</t>
  </si>
  <si>
    <t>4160403 (UL(MTW) -Csa-Har Style 1015 16 Awg Bn)</t>
  </si>
  <si>
    <t>4160403</t>
  </si>
  <si>
    <t>4160400_x000D_
 (UL(MTW)-CSA-HAR Style 1015 16AWG GNYE_x000D_
)</t>
  </si>
  <si>
    <t xml:space="preserve">4160400_x000D_
</t>
  </si>
  <si>
    <t>LCI/86/25-26</t>
  </si>
  <si>
    <t>0034704 (UNITRONIC LIYCY 4X0,75)</t>
  </si>
  <si>
    <t>0034704</t>
  </si>
  <si>
    <t>PO-APL/2026-27/041</t>
  </si>
  <si>
    <t>SK2627SO-  363</t>
  </si>
  <si>
    <t>ARUN POWER SOLUTIONS (N)</t>
  </si>
  <si>
    <t>277298 (DILM32-01(110V50/60HZ))</t>
  </si>
  <si>
    <t>277298</t>
  </si>
  <si>
    <t>0098/GPS2401001/26-27/11/C4</t>
  </si>
  <si>
    <t>Central Manufacturing Technology Institute</t>
  </si>
  <si>
    <t>1125007 (ÖLFLEX CLASSIC 110 SY 7G0,5_x000D_
)</t>
  </si>
  <si>
    <t>1125007</t>
  </si>
  <si>
    <t>1000150977</t>
  </si>
  <si>
    <t>Ace Designers Limited</t>
  </si>
  <si>
    <t>61800870 (SILVYN KLICK-GP PG 9 GY)</t>
  </si>
  <si>
    <t xml:space="preserve">EACCONC012_x000D_
</t>
  </si>
  <si>
    <t>61800870</t>
  </si>
  <si>
    <t>Sri Parijatha Machinery Works Pvt Ltd</t>
  </si>
  <si>
    <t>283</t>
  </si>
  <si>
    <t>11354041 (Ölflex® 110 CY  4 G 2.5 Mm²)</t>
  </si>
  <si>
    <t>11354041</t>
  </si>
  <si>
    <t>4521015U (ÖLFLEX® UNIPLUS 1X95 BK)</t>
  </si>
  <si>
    <t>4521015U</t>
  </si>
  <si>
    <t>APSPL/PO/0049/26-27</t>
  </si>
  <si>
    <t>4512442S (X05V-K 1X0,75 WHBU_x000D_
)</t>
  </si>
  <si>
    <t>4512442S</t>
  </si>
  <si>
    <t>4512443S (X05V-K 1X1 WHBU_x000D_
)</t>
  </si>
  <si>
    <t>4512443S</t>
  </si>
  <si>
    <t>APSPL/PO/0060/26-27</t>
  </si>
  <si>
    <t>1120360 (ÖLFLEX® CLASSIC 110 Black 0,6/1kV 4G4)</t>
  </si>
  <si>
    <t>1120360</t>
  </si>
  <si>
    <t>1120366 (ÖLFLEX® CLASSIC 110 Black 0,6/1kV 4G6)</t>
  </si>
  <si>
    <t>1120366</t>
  </si>
  <si>
    <t>DB129285</t>
  </si>
  <si>
    <t>DRAPL/26-27/51091</t>
  </si>
  <si>
    <t>DRAPL/26-27/51126</t>
  </si>
  <si>
    <t>0029615 (ÖLFLEX® ROBOT F1 12G1,0)</t>
  </si>
  <si>
    <t>0029615</t>
  </si>
  <si>
    <t>1120463 (ÖLFLEX® CLASSIC 100 BK 0,6/1 KV 3G1,5)</t>
  </si>
  <si>
    <t>1120463</t>
  </si>
  <si>
    <t>Po-017403</t>
  </si>
  <si>
    <t>53111410 (SKINTOP ST-M 16x1,5 RAL 7035 LGY)</t>
  </si>
  <si>
    <t>53111410</t>
  </si>
  <si>
    <t>53111420 (SKINTOP ST-M 20x1,5 RAL 7035 LGY)</t>
  </si>
  <si>
    <t>53111420</t>
  </si>
  <si>
    <t>53111440 (SKINTOP ST-M 32x1,5 RAL 7035 LGY)</t>
  </si>
  <si>
    <t>53111440</t>
  </si>
  <si>
    <t>53119003 (SKINTOP GMP-GL-M 12x1,5 RAL 7035 LGY)</t>
  </si>
  <si>
    <t>53119003</t>
  </si>
  <si>
    <t>53119053 (SKINTOP GMP-GL-M 40x1,5 RAL 7035 LGY)</t>
  </si>
  <si>
    <t>53119053</t>
  </si>
  <si>
    <t>U2-3012600599</t>
  </si>
  <si>
    <t>52100326 (SKINDICHT A-PG/M11/20x1,5 HIGH_x000D_
)</t>
  </si>
  <si>
    <t>52100326</t>
  </si>
  <si>
    <t>1000150532</t>
  </si>
  <si>
    <t>0034412 (UNITRONIC LiYCY 12x0,25)</t>
  </si>
  <si>
    <t>0034412</t>
  </si>
  <si>
    <t>270426-03</t>
  </si>
  <si>
    <t>3012600808</t>
  </si>
  <si>
    <t>66/26-27</t>
  </si>
  <si>
    <t>67/26-27</t>
  </si>
  <si>
    <t>DRAPL/26-27/51114</t>
  </si>
  <si>
    <t>PO0298743 Rev 2</t>
  </si>
  <si>
    <t>63204215 (CABLE LUGS KB6-10R DIN 46234_x000D_
)</t>
  </si>
  <si>
    <t>63204215</t>
  </si>
  <si>
    <t>PO0298892 Rev 1</t>
  </si>
  <si>
    <t>SK/23426</t>
  </si>
  <si>
    <t>SHRI SAI CONNECTRONICS</t>
  </si>
  <si>
    <t>4521042U (ÖLFLEX® UNIPLUS 1X35 RD)</t>
  </si>
  <si>
    <t>4521042U</t>
  </si>
  <si>
    <t>U2-3012600935</t>
  </si>
  <si>
    <t>U2-3012600996</t>
  </si>
  <si>
    <t>1107287043</t>
  </si>
  <si>
    <t>4521013U (ÖLFLEX® UNIPLUS 1X50 BK)</t>
  </si>
  <si>
    <t>4521013U</t>
  </si>
  <si>
    <t>0035811 (UNITRONIC LiYCY (TP) 3x2x0,5)</t>
  </si>
  <si>
    <t>0035811</t>
  </si>
  <si>
    <t>6230101855</t>
  </si>
  <si>
    <t>0014151 (ÖLFLEX CLASSIC 100 H 3G1,5_x000D_
)</t>
  </si>
  <si>
    <t>0014151</t>
  </si>
  <si>
    <t>APSPL/PO/0065/26-27</t>
  </si>
  <si>
    <t>0026661 (ÖLFLEX® FD 90 CY 1X70)</t>
  </si>
  <si>
    <t>0026661</t>
  </si>
  <si>
    <t>NAPL/PO/89/26-27</t>
  </si>
  <si>
    <t>Nandi Powertronics Pvt  Ltd</t>
  </si>
  <si>
    <t>0028216 (UNITRONIC LiYY 16x0,14_x000D_
)</t>
  </si>
  <si>
    <t>0028216</t>
  </si>
  <si>
    <t>0028602 (UNITRONIC LiYY 2x0,75)</t>
  </si>
  <si>
    <t>0028602</t>
  </si>
  <si>
    <t>38007076 (ÖLFLEX® 100 I  4 G 2.50)</t>
  </si>
  <si>
    <t>38007076</t>
  </si>
  <si>
    <t>78/26-27</t>
  </si>
  <si>
    <t>79/26-27</t>
  </si>
  <si>
    <t>KE/LAPP/096/2026-27</t>
  </si>
  <si>
    <t>PO/26000264</t>
  </si>
  <si>
    <t>0152040 (KN91L NiCr/Ni KCA 2x0,5 DIN_x000D_
)</t>
  </si>
  <si>
    <t>0152040</t>
  </si>
  <si>
    <t>SC/PO/0030/25-26 R1</t>
  </si>
  <si>
    <t>SC/PO/1035/25-26 R1</t>
  </si>
  <si>
    <t>SK2627SO-  433</t>
  </si>
  <si>
    <t>KENASKA</t>
  </si>
  <si>
    <t>38001016_x000D_
 (ÖLFLEX® 100 I 5 X 10 GY_x000D_
)</t>
  </si>
  <si>
    <t xml:space="preserve">38001016_x000D_
</t>
  </si>
  <si>
    <t>1206185</t>
  </si>
  <si>
    <t>87792+203948 (MCS4-SOND 910-G+PMIN(0.4)/PMAX(1.3))</t>
  </si>
  <si>
    <t>87792+203948</t>
  </si>
  <si>
    <t>22000154/PPC/PPC</t>
  </si>
  <si>
    <t>POOJAPOWER CONTROL &amp; AUTOMATION LLP</t>
  </si>
  <si>
    <t>22000155/PPC/PPC</t>
  </si>
  <si>
    <t>30</t>
  </si>
  <si>
    <t>PENTAGON SYSTEMS &amp; AUTOMATION</t>
  </si>
  <si>
    <t>4512261S_x000D_
 (X05V-K 0.5 BU/WH_x000D_
)</t>
  </si>
  <si>
    <t xml:space="preserve">4512261S_x000D_
</t>
  </si>
  <si>
    <t>ABM/01/26-27/72-ECAB</t>
  </si>
  <si>
    <t>AMS Bhargava Machining Pvt.Ltd.,</t>
  </si>
  <si>
    <t>BSR-007 2026-2027</t>
  </si>
  <si>
    <t>IN4/1053473373</t>
  </si>
  <si>
    <t>53119100_x000D_
 (SKINTOP GMP-GL-M 12x1,5 RAL 9005 BK_x000D_
)</t>
  </si>
  <si>
    <t xml:space="preserve">53119100_x000D_
</t>
  </si>
  <si>
    <t>MB0103/26-27</t>
  </si>
  <si>
    <t>AMACE SOLUTIONS PRIVATE LIMITED</t>
  </si>
  <si>
    <t>PO0299087 Rev 2</t>
  </si>
  <si>
    <t>53119043 (SKINTOP GMP-GL-M 32x1,5 RAL 7035 LGY)</t>
  </si>
  <si>
    <t>53119043</t>
  </si>
  <si>
    <t>PO/032</t>
  </si>
  <si>
    <t>SK2627SO-  455</t>
  </si>
  <si>
    <t>51730080 (SKINDICHT KUS PG 16/13,5)</t>
  </si>
  <si>
    <t>51730080</t>
  </si>
  <si>
    <t>1107305736</t>
  </si>
  <si>
    <t>38001015 (ÖLFLEX® 100 I 5 X 6 GY)</t>
  </si>
  <si>
    <t>38001015</t>
  </si>
  <si>
    <t>1180000079-947</t>
  </si>
  <si>
    <t>1195/066/069</t>
  </si>
  <si>
    <t>JAYSEN ENGINEERING PVT LTD</t>
  </si>
  <si>
    <t>0028303 (UNITRONIC LiYY  3x0,25)</t>
  </si>
  <si>
    <t>0028303</t>
  </si>
  <si>
    <t>0028308 (UNITRONIC LiYY  8x0,25)</t>
  </si>
  <si>
    <t>0028308</t>
  </si>
  <si>
    <t>1196/070</t>
  </si>
  <si>
    <t>11191101 (Ölflex® 110  10 G 0.75 mm²_x000D_
)</t>
  </si>
  <si>
    <t>11191101</t>
  </si>
  <si>
    <t>13/26-27</t>
  </si>
  <si>
    <t>53015000 (SKINTOP ST PG 7 RAL 7001 SGY)</t>
  </si>
  <si>
    <t>53015000</t>
  </si>
  <si>
    <t>53015020 (SKINTOP ST PG 11 RAL 7001 SGY)</t>
  </si>
  <si>
    <t>53015020</t>
  </si>
  <si>
    <t>53019020 (SKINTOP GMP-GL PG 11 RAL 7001 SGY)</t>
  </si>
  <si>
    <t>53019020</t>
  </si>
  <si>
    <t>53019011 (SKINTOP GMP-GL PG  9    GREY  RAL 7035)</t>
  </si>
  <si>
    <t>53019011</t>
  </si>
  <si>
    <t>15/26-27</t>
  </si>
  <si>
    <t>53019040 (SKINTOP GMP-GL PG 16 RAL 7001 SGY)</t>
  </si>
  <si>
    <t>53019040</t>
  </si>
  <si>
    <t>20260130</t>
  </si>
  <si>
    <t>Nextfirst Engineering Technologies Pvt Ltd</t>
  </si>
  <si>
    <t>20442416</t>
  </si>
  <si>
    <t>DB129802</t>
  </si>
  <si>
    <t>DI/26-27/080</t>
  </si>
  <si>
    <t>DI/26-27/093</t>
  </si>
  <si>
    <t>DRAPL/26-27/51515</t>
  </si>
  <si>
    <t>IN4/1053476022</t>
  </si>
  <si>
    <t>55501050 (SILVYN KLICK-GM 20x1,5/2 GY)</t>
  </si>
  <si>
    <t>55501050</t>
  </si>
  <si>
    <t>1180000079-945</t>
  </si>
  <si>
    <t>Y7-652_x000D_
 (N-P1Z_x000D_
)</t>
  </si>
  <si>
    <t xml:space="preserve">Y7-652_x000D_
</t>
  </si>
  <si>
    <t>1180000079-949</t>
  </si>
  <si>
    <t>2026-48</t>
  </si>
  <si>
    <t>SRI BALAJI SOLUTIONS</t>
  </si>
  <si>
    <t>336</t>
  </si>
  <si>
    <t>ECI SYSTEMS PRIVATE LIMITED</t>
  </si>
  <si>
    <t>53015050 (SKINTOP ST PG 21 RAL 7001 SGY)</t>
  </si>
  <si>
    <t>53015050</t>
  </si>
  <si>
    <t>53015060 (SKINTOP ST PG 29 RAL 7001 SGY)</t>
  </si>
  <si>
    <t>53015060</t>
  </si>
  <si>
    <t>53015080_x000D_
 (SKINTOP ST PG 42 RAL 7001 SGY_x000D_
)</t>
  </si>
  <si>
    <t xml:space="preserve">53015080_x000D_
</t>
  </si>
  <si>
    <t>53019080_x000D_
 (SKINTOP GMP-GL PG 42 RAL 7001 SGY_x000D_
)</t>
  </si>
  <si>
    <t xml:space="preserve">53019080_x000D_
</t>
  </si>
  <si>
    <t>53/26-27</t>
  </si>
  <si>
    <t>38007077 (Olflex 100I 5G2,5)</t>
  </si>
  <si>
    <t>38007077</t>
  </si>
  <si>
    <t>380830319 (ÖLFLEX® 100 I FR-LSH 3G 1.5 BK)</t>
  </si>
  <si>
    <t>380830319</t>
  </si>
  <si>
    <t>380840319 (ÖLFLEX® 100 I FR-LSH 3G 2.5 BK_x000D_
)</t>
  </si>
  <si>
    <t>380840319</t>
  </si>
  <si>
    <t>38001020 (ÖLFLEX® 100 I 3 G 35.00)</t>
  </si>
  <si>
    <t>38001020</t>
  </si>
  <si>
    <t>38007092 (ÖLFLEX® 100 I  3 G 6.00_x000D_
)</t>
  </si>
  <si>
    <t>38007092</t>
  </si>
  <si>
    <t>38007083 (ÖLFLEX® 100 I  4 G 4.00)</t>
  </si>
  <si>
    <t>38007083</t>
  </si>
  <si>
    <t>6230101782</t>
  </si>
  <si>
    <t>APSPL/PO/0083/26-27</t>
  </si>
  <si>
    <t>1600305 (NSGAFÖU 1,8/3kV 1X16_x000D_
)</t>
  </si>
  <si>
    <t>1600305</t>
  </si>
  <si>
    <t>DRAPL/26-27/51568</t>
  </si>
  <si>
    <t>0026133 (ÖLFLEX CLASSIC FD 810 5G1)</t>
  </si>
  <si>
    <t>0026133</t>
  </si>
  <si>
    <t>DRAPL/26-27/51594</t>
  </si>
  <si>
    <t>IN4/1053479153</t>
  </si>
  <si>
    <t>PO/26000347</t>
  </si>
  <si>
    <t>PO NO.32.DT.24.04.26</t>
  </si>
  <si>
    <t>NS ENGINEERS AND MANAGEMENT CONSULTANTS</t>
  </si>
  <si>
    <t>0034503 (UNITRONIC LiYCY 3x0,34)</t>
  </si>
  <si>
    <t>0034503</t>
  </si>
  <si>
    <t>YCA/PO/2627/09</t>
  </si>
  <si>
    <t>Yantech Controls and Automation</t>
  </si>
  <si>
    <t>Y7-207149_x000D_
 (T0-2-15679/I1/SVB_x000D_
)</t>
  </si>
  <si>
    <t xml:space="preserve">Y7-207149_x000D_
</t>
  </si>
  <si>
    <t>216525 (M22-PV/KC11/IY)</t>
  </si>
  <si>
    <t>216525</t>
  </si>
  <si>
    <t>7100000130</t>
  </si>
  <si>
    <t>Ace Designers Limited (Minnapura Plant)</t>
  </si>
  <si>
    <t>61746950 (SILVYN RILL PA6 11/12x15,8 GY)</t>
  </si>
  <si>
    <t xml:space="preserve">EACCON1020_x000D_
</t>
  </si>
  <si>
    <t>61746950</t>
  </si>
  <si>
    <t>7100000108</t>
  </si>
  <si>
    <t xml:space="preserve">EWCPVC0006_x000D_
</t>
  </si>
  <si>
    <t xml:space="preserve">EWCPVCC011_x000D_
</t>
  </si>
  <si>
    <t xml:space="preserve">EWCPVCC052_x000D_
</t>
  </si>
  <si>
    <t xml:space="preserve">EWCPVC0020_x000D_
</t>
  </si>
  <si>
    <t xml:space="preserve">EWCPVC0010_x000D_
</t>
  </si>
  <si>
    <t>Sansera Engineering Ltd., Plant-10(Old)</t>
  </si>
  <si>
    <t>1200934</t>
  </si>
  <si>
    <t>IN4/1053429428</t>
  </si>
  <si>
    <t>53019050 (SKINTOP GMP-GL PG 21 RAL 7001 SGY)</t>
  </si>
  <si>
    <t>53019050</t>
  </si>
  <si>
    <t>3845000 (ÖLFLEX CLASSIC 110 2X0.5 blue cores)</t>
  </si>
  <si>
    <t>3845000</t>
  </si>
  <si>
    <t>11</t>
  </si>
  <si>
    <t>CHANDAN INDUSTRIES</t>
  </si>
  <si>
    <t>0026131 (ÖLFLEX FD CLASSIC 810 3G1)</t>
  </si>
  <si>
    <t>0026131</t>
  </si>
  <si>
    <t>1209028</t>
  </si>
  <si>
    <t>13</t>
  </si>
  <si>
    <t>60105395</t>
  </si>
  <si>
    <t>DRAPL/26-27/51522</t>
  </si>
  <si>
    <t>0028182_x000D_
 (ÖLFLEX ROBOT 900 P 4G2,5_x000D_
)</t>
  </si>
  <si>
    <t xml:space="preserve">0028182_x000D_
</t>
  </si>
  <si>
    <t>0034610_x000D_
 (UNITRONIC LiYCY 10x0,5_x000D_
)</t>
  </si>
  <si>
    <t xml:space="preserve">0034610_x000D_
</t>
  </si>
  <si>
    <t>11198031 (Ölflex® 110  3 x 0.75 mm²)</t>
  </si>
  <si>
    <t>11198031</t>
  </si>
  <si>
    <t>1119412 (ÖLFLEX CLASSIC 110 12G2,5_x000D_
)</t>
  </si>
  <si>
    <t>1119412</t>
  </si>
  <si>
    <t>2170143 (UNITRONIC LAN STP/S 500 MHz 4x2xAWG23_x000D_
)</t>
  </si>
  <si>
    <t>2170143</t>
  </si>
  <si>
    <t>DRAPL/26-27/51610</t>
  </si>
  <si>
    <t>IN4/1053495818</t>
  </si>
  <si>
    <t>54115210 (SKINTOP K-M EExe II ATEX 16x1,5 BK)</t>
  </si>
  <si>
    <t>54115210</t>
  </si>
  <si>
    <t>54115220 (SKINTOP K-M EExe II ATEX 20x1,5 BK_x000D_
)</t>
  </si>
  <si>
    <t>54115220</t>
  </si>
  <si>
    <t>PO 12</t>
  </si>
  <si>
    <t>PO/26-27/00285</t>
  </si>
  <si>
    <t>Sushma Industries Private Limited</t>
  </si>
  <si>
    <t>0034308_x000D_
 ("UNITRONIC LiYCY 8x0,14"_x000D_
)</t>
  </si>
  <si>
    <t xml:space="preserve">0034308_x000D_
</t>
  </si>
  <si>
    <t>PO-26-27-24</t>
  </si>
  <si>
    <t>Motion Fluid Technology Private Limited</t>
  </si>
  <si>
    <t>87793+203948(5.0/6.0) (MCS11-SOND910-G++PMIN(5.0)/PMAX(6.0))</t>
  </si>
  <si>
    <t>87793+203948(5.0/6.0)</t>
  </si>
  <si>
    <t>87793+203948(2.7/3.0) (MCS11-SOND910-G++PMIN(2.7)/PMAX(3.0))</t>
  </si>
  <si>
    <t>87793+203948(2.7/3.0)</t>
  </si>
  <si>
    <t>PO-PA005/25-26</t>
  </si>
  <si>
    <t>PRIYA AUTOMATION</t>
  </si>
  <si>
    <t>4126009S_x000D_
 (LiY 1x0,25 OG_x000D_
)</t>
  </si>
  <si>
    <t xml:space="preserve">4126009S_x000D_
</t>
  </si>
  <si>
    <t>SSS/DOM/OPEX/26-27/0090</t>
  </si>
  <si>
    <t>SINAR SHEETMETAL SOLUTIONS PRIVATE LIMITED</t>
  </si>
  <si>
    <t>U2-3012510021</t>
  </si>
  <si>
    <t>53112070 (SKINTOP MS-M 63x1,5)</t>
  </si>
  <si>
    <t>53112070</t>
  </si>
  <si>
    <t>52103070 (SKINDICHT SM-M 63x1,5 Gegenmutter)</t>
  </si>
  <si>
    <t>52103070</t>
  </si>
  <si>
    <t>1180000079-950</t>
  </si>
  <si>
    <t>Y7-197200 (M22-XDL-Y-X162)</t>
  </si>
  <si>
    <t>Y7-197200</t>
  </si>
  <si>
    <t>4501321077</t>
  </si>
  <si>
    <t>53119010 (SKINTOP GMP-GL-M 16x1,5 RAL 7001 SGY)</t>
  </si>
  <si>
    <t>53119010</t>
  </si>
  <si>
    <t>APSPL/PO/0089/26-27</t>
  </si>
  <si>
    <t>11352041 (Ölflex® 110 CY 4G1)</t>
  </si>
  <si>
    <t>11352041</t>
  </si>
  <si>
    <t>1135018_x000D_
 (ÖLFLEX CLASSIC 110 CY 18G0,5)</t>
  </si>
  <si>
    <t xml:space="preserve">1135018_x000D_
</t>
  </si>
  <si>
    <t>1135218 (ÖLFLEX CLASSIC 110 CY 18G1_x000D_
)</t>
  </si>
  <si>
    <t>1135218</t>
  </si>
  <si>
    <t>0122/GPS2401001/26-27/18/R5</t>
  </si>
  <si>
    <t>53112720 (SKINTOP® MS-M 20x1,5 ATEX)</t>
  </si>
  <si>
    <t>53112720</t>
  </si>
  <si>
    <t>53112740 (SKINTOP® MS-M 32x1,5 ATEX)</t>
  </si>
  <si>
    <t>53112740</t>
  </si>
  <si>
    <t>52103040 (SKINDICHT SM-M 32x1,5 Gegenmutter)</t>
  </si>
  <si>
    <t>52103040</t>
  </si>
  <si>
    <t>25-07-010-CAS-SBSTC-NDA-L-321</t>
  </si>
  <si>
    <t>SAFRAN DATA SYSTEMS INDIA PRIVATE LIMITED</t>
  </si>
  <si>
    <t>4510041U (ÖLFLEX® UNIPLUS 1X0.5 RD)</t>
  </si>
  <si>
    <t>4510041U</t>
  </si>
  <si>
    <t>4510011U (ÖLFLEX® UNIPLUS 1X0.5 BK)</t>
  </si>
  <si>
    <t>4510011U</t>
  </si>
  <si>
    <t>4510001U (ÖLFLEX® UNIPLUS 1X0.5 GNYE)</t>
  </si>
  <si>
    <t>4510001U</t>
  </si>
  <si>
    <t>38007094 (ÖLFLEX® 100 I  3 G 10.00)</t>
  </si>
  <si>
    <t>38007094</t>
  </si>
  <si>
    <t>45</t>
  </si>
  <si>
    <t>9500012357</t>
  </si>
  <si>
    <t>1600252 (H05RN-F 3G0,75)</t>
  </si>
  <si>
    <t>1600252</t>
  </si>
  <si>
    <t>61799815 (SILVYN® UI 511 5/16 9,5x12,5)</t>
  </si>
  <si>
    <t>61799815</t>
  </si>
  <si>
    <t>53806740 (SKINTOP® INOX M16x1,5)</t>
  </si>
  <si>
    <t>53806740</t>
  </si>
  <si>
    <t>DRAPL/26-27/51743</t>
  </si>
  <si>
    <t>LESL/PO/26-27/0098</t>
  </si>
  <si>
    <t>Leapfrog Engineering Services Limited</t>
  </si>
  <si>
    <t>1125203 (ÖLFLEX CLASSIC 110 SY 3G1)</t>
  </si>
  <si>
    <t>1125203</t>
  </si>
  <si>
    <t>02-052026SK EP</t>
  </si>
  <si>
    <t>SN Associates</t>
  </si>
  <si>
    <t>2170893_x000D_
 (ETHERLINE Y FC UL/CSA Cat.5 2x2x22/1AWG_x000D_
)</t>
  </si>
  <si>
    <t xml:space="preserve">2170893_x000D_
</t>
  </si>
  <si>
    <t>03-052026SK EP</t>
  </si>
  <si>
    <t>61721900 (END SLEEVES AHI N 1,5/8 RD)</t>
  </si>
  <si>
    <t>61721900</t>
  </si>
  <si>
    <t>61801810 (END SLEEVES AHI DIN N 6/12 YE)</t>
  </si>
  <si>
    <t>61801810</t>
  </si>
  <si>
    <t>61802030_x000D_
 (TWIN-END SLEEVES AHI 2x2,50 BU_x000D_
)</t>
  </si>
  <si>
    <t xml:space="preserve">61802030_x000D_
</t>
  </si>
  <si>
    <t>61801830 (End Sleeves AHI DIN N 10/12 RD)</t>
  </si>
  <si>
    <t>61801830</t>
  </si>
  <si>
    <t>14284/RM/LOC</t>
  </si>
  <si>
    <t>2218030 (ÖLFLEX TRAY II CY 3G1)</t>
  </si>
  <si>
    <t>2218030</t>
  </si>
  <si>
    <t>DI/26-27/116</t>
  </si>
  <si>
    <t>0028404 (UNITRONIC LiYY 4x0,34)</t>
  </si>
  <si>
    <t>0028404</t>
  </si>
  <si>
    <t>0034508 (UNITRONIC LiYCY 8x0,34)</t>
  </si>
  <si>
    <t>0034508</t>
  </si>
  <si>
    <t>IN4/1053500748</t>
  </si>
  <si>
    <t>61801999 (TWIN-END SLEEVES AHI-TWIN 2x0,5 WH)</t>
  </si>
  <si>
    <t>61801999</t>
  </si>
  <si>
    <t>53800641 (SKINTOP DV PG 9_x000D_
)</t>
  </si>
  <si>
    <t>53800641</t>
  </si>
  <si>
    <t>MB0157/26-27</t>
  </si>
  <si>
    <t>PO0299518 Rev 2</t>
  </si>
  <si>
    <t>PO0299527 Rev 1</t>
  </si>
  <si>
    <t>2206040 (ÖLFLEX® TRAY II CY 4G16 6/4C)</t>
  </si>
  <si>
    <t>2206040</t>
  </si>
  <si>
    <t>PO0299624 Rev 1</t>
  </si>
  <si>
    <t>PO/15294/SIDDI/6/2026</t>
  </si>
  <si>
    <t>PO/526/27</t>
  </si>
  <si>
    <t>PO/PCON/26-27/013</t>
  </si>
  <si>
    <t>52003500 (SKINDICHT SM PG 9 counter nut)</t>
  </si>
  <si>
    <t>52003500</t>
  </si>
  <si>
    <t>52015750 (SKINTOP MS PG 21)</t>
  </si>
  <si>
    <t>52015750</t>
  </si>
  <si>
    <t>52015710 (SKINTOP MS PG 9)</t>
  </si>
  <si>
    <t>52015710</t>
  </si>
  <si>
    <t>SK2627SO-  576</t>
  </si>
  <si>
    <t>G K TECHNOLOGIES</t>
  </si>
  <si>
    <t>1000156069</t>
  </si>
  <si>
    <t xml:space="preserve">EWCPVC0021_x000D_
</t>
  </si>
  <si>
    <t>1000156132</t>
  </si>
  <si>
    <t>Ace Designers Ltd.- Machining Centre Division</t>
  </si>
  <si>
    <t>61746955 (SILVYN RILL PA 6  PG 11 SCHWARZ_x000D_
)</t>
  </si>
  <si>
    <t>61746955</t>
  </si>
  <si>
    <t>61747015 (SILVYN RILL PA 6  PG 13,5 BLACK_x000D_
)</t>
  </si>
  <si>
    <t>61747015</t>
  </si>
  <si>
    <t>61746985 (SILVYN RILL PA 6  PG 29 BLACK_x000D_
)</t>
  </si>
  <si>
    <t>61746985</t>
  </si>
  <si>
    <t>61746995_x000D_
 (SILVYN RILL PA6 36/36x42,5 BK_x000D_
)</t>
  </si>
  <si>
    <t xml:space="preserve">61746995_x000D_
</t>
  </si>
  <si>
    <t>PO-017649-A1</t>
  </si>
  <si>
    <t>PO/038</t>
  </si>
  <si>
    <t>TSPL/PO/202627079</t>
  </si>
  <si>
    <t>Tekcel Automation (P) Ltd</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</si>
</sst>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 #,##0.00_ ;_ * \-#,##0.00_ ;_ * &quot;-&quot;??_ ;_ @_ "/>
    <numFmt numFmtId="164" formatCode="&quot;&quot;0&quot; M&quot;"/>
    <numFmt numFmtId="165" formatCode="&quot;&quot;0&quot; N&quot;"/>
    <numFmt numFmtId="166" formatCode="&quot;&quot;0&quot; ST&quot;"/>
    <numFmt numFmtId="167" formatCode="&quot;&quot;0"/>
    <numFmt numFmtId="168" formatCode="&quot;&quot;0.00"/>
    <numFmt numFmtId="169" formatCode="&quot;&quot;0&quot; %&quot;"/>
    <numFmt numFmtId="170" formatCode="&quot;&quot;0&quot; PC&quot;"/>
    <numFmt numFmtId="171" formatCode="_ * #,##0_ ;_ * \-#,##0_ ;_ * &quot;-&quot;??_ ;_ @_ "/>
  </numFmts>
  <fonts count="27"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mbria"/>
      <family val="1"/>
      <scheme val="major"/>
    </font>
    <font>
      <i/>
      <sz val="10"/>
      <color theme="1"/>
      <name val="Cambria"/>
      <family val="1"/>
      <scheme val="major"/>
    </font>
    <font>
      <sz val="12"/>
      <color theme="1"/>
      <name val="Calibri"/>
      <family val="2"/>
      <scheme val="minor"/>
    </font>
    <font>
      <sz val="10"/>
      <color theme="1"/>
      <name val="Arial"/>
      <family val="2"/>
    </font>
    <font>
      <sz val="9"/>
      <color theme="1"/>
      <name val="Arial"/>
      <family val="2"/>
    </font>
    <font>
      <b/>
      <sz val="10"/>
      <color theme="1"/>
      <name val="Arial"/>
      <family val="2"/>
    </font>
    <font>
      <b/>
      <sz val="10"/>
      <color rgb="FF0000FF"/>
      <name val="Arial"/>
      <family val="2"/>
    </font>
    <font>
      <i/>
      <sz val="10"/>
      <color theme="1"/>
      <name val="Arial"/>
      <family val="2"/>
    </font>
  </fonts>
  <fills count="2">
    <fill>
      <patternFill patternType="none"/>
    </fill>
    <fill>
      <patternFill patternType="gray125"/>
    </fill>
  </fills>
  <borders count="1">
    <border>
      <left/>
      <right/>
      <top/>
      <bottom/>
      <diagonal/>
    </border>
  </borders>
  <cellStyleXfs count="20">
    <xf numFmtId="0" fontId="0"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43" fontId="21" fillId="0" borderId="0" applyFont="0" applyFill="0" applyBorder="0" applyAlignment="0" applyProtection="0"/>
    <xf numFmtId="0" fontId="3" fillId="0" borderId="0"/>
    <xf numFmtId="0" fontId="2" fillId="0" borderId="0"/>
    <xf numFmtId="0" fontId="1" fillId="0" borderId="0"/>
  </cellStyleXfs>
  <cellXfs count="29">
    <xf numFmtId="0" fontId="0" fillId="0" borderId="0" xfId="0" applyNumberFormat="1"/>
    <xf numFmtId="15" fontId="19" fillId="0" borderId="0" xfId="0" applyNumberFormat="1" applyFont="1"/>
    <xf numFmtId="0" fontId="19" fillId="0" borderId="0" xfId="0" applyNumberFormat="1" applyFont="1"/>
    <xf numFmtId="0" fontId="19" fillId="0" borderId="0" xfId="0" applyNumberFormat="1" applyFont="1" applyAlignment="1">
      <alignment wrapText="1"/>
    </xf>
    <xf numFmtId="0" fontId="0" fillId="0" borderId="0" xfId="0" applyNumberFormat="1" applyAlignment="1"/>
    <xf numFmtId="0" fontId="19" fillId="0" borderId="0" xfId="0" applyNumberFormat="1" applyFont="1" applyAlignment="1"/>
    <xf numFmtId="43" fontId="20" fillId="0" borderId="0" xfId="16" applyFont="1" applyAlignment="1">
      <alignment horizontal="right" vertical="top"/>
    </xf>
    <xf numFmtId="171" fontId="0" fillId="0" borderId="0" xfId="16" applyNumberFormat="1" applyFont="1"/>
    <xf numFmtId="171" fontId="19" fillId="0" borderId="0" xfId="16" applyNumberFormat="1" applyFont="1" applyAlignment="1">
      <alignment horizontal="right" vertical="top"/>
    </xf>
    <xf numFmtId="15" fontId="22" fillId="0" borderId="0" xfId="19" applyNumberFormat="1" applyFont="1" applyAlignment="1">
      <alignment horizontal="right" vertical="top"/>
    </xf>
    <xf numFmtId="49" fontId="24" fillId="0" borderId="0" xfId="19" applyNumberFormat="1" applyFont="1" applyAlignment="1">
      <alignment vertical="top"/>
    </xf>
    <xf numFmtId="49" fontId="23" fillId="0" borderId="0" xfId="19" applyNumberFormat="1" applyFont="1" applyAlignment="1">
      <alignment vertical="top"/>
    </xf>
    <xf numFmtId="49" fontId="25" fillId="0" borderId="0" xfId="19" applyNumberFormat="1" applyFont="1" applyAlignment="1">
      <alignment vertical="top"/>
    </xf>
    <xf numFmtId="164" fontId="22" fillId="0" borderId="0" xfId="19" applyNumberFormat="1" applyFont="1" applyAlignment="1">
      <alignment horizontal="right" vertical="top"/>
    </xf>
    <xf numFmtId="164" fontId="24" fillId="0" borderId="0" xfId="19" applyNumberFormat="1" applyFont="1" applyAlignment="1">
      <alignment horizontal="right" vertical="top"/>
    </xf>
    <xf numFmtId="168" fontId="22" fillId="0" borderId="0" xfId="19" applyNumberFormat="1" applyFont="1" applyAlignment="1">
      <alignment horizontal="right" vertical="top"/>
    </xf>
    <xf numFmtId="167" fontId="24" fillId="0" borderId="0" xfId="19" applyNumberFormat="1" applyFont="1" applyAlignment="1">
      <alignment horizontal="right" vertical="top"/>
    </xf>
    <xf numFmtId="168" fontId="24" fillId="0" borderId="0" xfId="19" applyNumberFormat="1" applyFont="1" applyAlignment="1">
      <alignment horizontal="right" vertical="top"/>
    </xf>
    <xf numFmtId="15" fontId="26" fillId="0" borderId="0" xfId="19" applyNumberFormat="1" applyFont="1" applyAlignment="1">
      <alignment horizontal="right" vertical="top"/>
    </xf>
    <xf numFmtId="165" fontId="22" fillId="0" borderId="0" xfId="19" applyNumberFormat="1" applyFont="1" applyAlignment="1">
      <alignment horizontal="right" vertical="top"/>
    </xf>
    <xf numFmtId="165" fontId="24" fillId="0" borderId="0" xfId="19" applyNumberFormat="1" applyFont="1" applyAlignment="1">
      <alignment horizontal="right" vertical="top"/>
    </xf>
    <xf numFmtId="169" fontId="24" fillId="0" borderId="0" xfId="19" applyNumberFormat="1" applyFont="1" applyAlignment="1">
      <alignment horizontal="right" vertical="top"/>
    </xf>
    <xf numFmtId="166" fontId="22" fillId="0" borderId="0" xfId="19" applyNumberFormat="1" applyFont="1" applyAlignment="1">
      <alignment horizontal="right" vertical="top"/>
    </xf>
    <xf numFmtId="166" fontId="24" fillId="0" borderId="0" xfId="19" applyNumberFormat="1" applyFont="1" applyAlignment="1">
      <alignment horizontal="right" vertical="top"/>
    </xf>
    <xf numFmtId="170" fontId="22" fillId="0" borderId="0" xfId="19" applyNumberFormat="1" applyFont="1" applyAlignment="1">
      <alignment horizontal="right" vertical="top"/>
    </xf>
    <xf numFmtId="170" fontId="24" fillId="0" borderId="0" xfId="19" applyNumberFormat="1" applyFont="1" applyAlignment="1">
      <alignment horizontal="right" vertical="top"/>
    </xf>
    <xf numFmtId="49" fontId="25" fillId="0" borderId="0" xfId="19" applyNumberFormat="1" applyFont="1" applyAlignment="1">
      <alignment vertical="top" wrapText="1"/>
    </xf>
    <xf numFmtId="49" fontId="24" fillId="0" borderId="0" xfId="19" applyNumberFormat="1" applyFont="1" applyAlignment="1">
      <alignment vertical="top" wrapText="1"/>
    </xf>
    <xf numFmtId="49" fontId="23" fillId="0" borderId="0" xfId="19" applyNumberFormat="1" applyFont="1" applyAlignment="1">
      <alignment vertical="top" wrapText="1"/>
    </xf>
  </cellXfs>
  <cellStyles count="20">
    <cellStyle name="Comma" xfId="16" builtinId="3"/>
    <cellStyle name="Normal" xfId="0" builtinId="0"/>
    <cellStyle name="Normal 10" xfId="9"/>
    <cellStyle name="Normal 11" xfId="10"/>
    <cellStyle name="Normal 12" xfId="11"/>
    <cellStyle name="Normal 13" xfId="12"/>
    <cellStyle name="Normal 14" xfId="13"/>
    <cellStyle name="Normal 15" xfId="14"/>
    <cellStyle name="Normal 16" xfId="15"/>
    <cellStyle name="Normal 17" xfId="17"/>
    <cellStyle name="Normal 18" xfId="18"/>
    <cellStyle name="Normal 19" xfId="19"/>
    <cellStyle name="Normal 2" xfId="1"/>
    <cellStyle name="Normal 3" xfId="2"/>
    <cellStyle name="Normal 4" xfId="3"/>
    <cellStyle name="Normal 5" xfId="4"/>
    <cellStyle name="Normal 6" xfId="5"/>
    <cellStyle name="Normal 7" xfId="6"/>
    <cellStyle name="Normal 8" xfId="7"/>
    <cellStyle name="Normal 9" xf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esktop/Web%20Report/Customer_Master_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ELL/Desktop/Web%20Report/Material_Master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_Master"/>
      <sheetName val="Sheet4"/>
      <sheetName val="Sheet2"/>
      <sheetName val="Sheet1"/>
      <sheetName val="Sheet3"/>
    </sheetNames>
    <sheetDataSet>
      <sheetData sheetId="0">
        <row r="1">
          <cell r="A1" t="str">
            <v>Customer Name</v>
          </cell>
          <cell r="B1" t="str">
            <v>Group</v>
          </cell>
        </row>
        <row r="2">
          <cell r="A2" t="str">
            <v>****1</v>
          </cell>
          <cell r="B2" t="str">
            <v>Group-4 ( Office Account)</v>
          </cell>
        </row>
        <row r="3">
          <cell r="A3" t="str">
            <v>1STARSPM</v>
          </cell>
          <cell r="B3" t="str">
            <v>Group-2 (Veeresh- Bomsdr+Hosur)</v>
          </cell>
        </row>
        <row r="4">
          <cell r="A4" t="str">
            <v>2D TECHNOLOGIES</v>
          </cell>
          <cell r="B4" t="str">
            <v>Group-4 ( Office Account)</v>
          </cell>
        </row>
        <row r="5">
          <cell r="A5" t="str">
            <v>3 Dot'S Electro Controls</v>
          </cell>
          <cell r="B5" t="str">
            <v>Group 1-Giridhar-Peenya</v>
          </cell>
        </row>
        <row r="6">
          <cell r="A6" t="str">
            <v>3D Concept Analysis and Development India Pvt Ltd</v>
          </cell>
          <cell r="B6" t="str">
            <v>Group 1-Giridhar-Peenya</v>
          </cell>
        </row>
        <row r="7">
          <cell r="A7" t="str">
            <v>3D Concept Analysis and Development India Pvt Ltd (P)</v>
          </cell>
          <cell r="B7" t="str">
            <v>Group 1-Giridhar-Peenya</v>
          </cell>
        </row>
        <row r="8">
          <cell r="A8" t="str">
            <v>3M INDIA LTD</v>
          </cell>
          <cell r="B8" t="str">
            <v>Group-4 ( Office Account)</v>
          </cell>
        </row>
        <row r="9">
          <cell r="A9" t="str">
            <v>3S POWER SYSTEM PVT.LTD</v>
          </cell>
          <cell r="B9" t="str">
            <v>Group 1-Giridhar-Peenya</v>
          </cell>
        </row>
        <row r="10">
          <cell r="A10" t="str">
            <v>3STAR SWITCHGEARS</v>
          </cell>
          <cell r="B10" t="str">
            <v>Group-4 ( Office Account)</v>
          </cell>
        </row>
        <row r="11">
          <cell r="A11" t="str">
            <v>3WINGS INDUSTRIAL SOLUTIONS</v>
          </cell>
          <cell r="B11" t="str">
            <v>Group 1-Giridhar-Peenya</v>
          </cell>
        </row>
        <row r="12">
          <cell r="A12" t="str">
            <v>5G Communication</v>
          </cell>
          <cell r="B12" t="str">
            <v>Group 1-Giridhar-Peenya</v>
          </cell>
        </row>
        <row r="13">
          <cell r="A13" t="str">
            <v>5X CART PRIVATE LIMITED</v>
          </cell>
          <cell r="B13" t="str">
            <v>Group 1-Giridhar-Peenya</v>
          </cell>
        </row>
        <row r="14">
          <cell r="A14" t="str">
            <v>A &amp; S Electricals</v>
          </cell>
          <cell r="B14" t="str">
            <v>Group 1-Giridhar-Peenya</v>
          </cell>
        </row>
        <row r="15">
          <cell r="A15" t="str">
            <v>A .S .NAGARAJAN</v>
          </cell>
          <cell r="B15" t="str">
            <v>Group-4 ( Office Account)</v>
          </cell>
        </row>
        <row r="16">
          <cell r="A16" t="str">
            <v>A B ENTERPRISES</v>
          </cell>
          <cell r="B16" t="str">
            <v>Group-4 ( Office Account)</v>
          </cell>
        </row>
        <row r="17">
          <cell r="A17" t="str">
            <v>A B TRADERS</v>
          </cell>
          <cell r="B17" t="str">
            <v>Online Business</v>
          </cell>
        </row>
        <row r="18">
          <cell r="A18" t="str">
            <v>A G ELECTRONICS</v>
          </cell>
          <cell r="B18" t="str">
            <v>Group-4 ( Office Account)</v>
          </cell>
        </row>
        <row r="19">
          <cell r="A19" t="str">
            <v>A J ENTERPRISES</v>
          </cell>
          <cell r="B19" t="str">
            <v>Group 1-Giridhar-Peenya</v>
          </cell>
        </row>
        <row r="20">
          <cell r="A20" t="str">
            <v>A K Automation Systems</v>
          </cell>
          <cell r="B20" t="str">
            <v>Group-4 ( Office Account)</v>
          </cell>
        </row>
        <row r="21">
          <cell r="A21" t="str">
            <v>A L M Electric Co Pvt Ltd</v>
          </cell>
          <cell r="B21" t="str">
            <v>Group-4 ( Office Account)</v>
          </cell>
        </row>
        <row r="22">
          <cell r="A22" t="str">
            <v>A R  Brother Industrial Suppliers</v>
          </cell>
          <cell r="B22" t="str">
            <v>Group-4 ( Office Account)</v>
          </cell>
        </row>
        <row r="23">
          <cell r="A23" t="str">
            <v>A S G  Electronics</v>
          </cell>
          <cell r="B23" t="str">
            <v>Group 1-Giridhar-Peenya</v>
          </cell>
        </row>
        <row r="24">
          <cell r="A24" t="str">
            <v>A S M TECHNOLOGIES LIMITED</v>
          </cell>
          <cell r="B24" t="str">
            <v>Group-2 (Veeresh- Bomsdr+Hosur)</v>
          </cell>
        </row>
        <row r="25">
          <cell r="A25" t="str">
            <v>AADITYA MECHATRONICS</v>
          </cell>
          <cell r="B25" t="str">
            <v>Group 1-Giridhar-Peenya</v>
          </cell>
        </row>
        <row r="26">
          <cell r="A26" t="str">
            <v>AAMS POWER SOLUTIONS</v>
          </cell>
          <cell r="B26" t="str">
            <v>Online Business</v>
          </cell>
        </row>
        <row r="27">
          <cell r="A27" t="str">
            <v>AARJAY INTERNATIONAL PVT.LTD.</v>
          </cell>
          <cell r="B27" t="str">
            <v>Group-2 (Veeresh- Bomsdr+Hosur)</v>
          </cell>
        </row>
        <row r="28">
          <cell r="A28" t="str">
            <v>AASHRITA ENERGY SERVICES (Cust)</v>
          </cell>
          <cell r="B28" t="str">
            <v>Group-4 ( Office Account)</v>
          </cell>
        </row>
        <row r="29">
          <cell r="A29" t="str">
            <v>AAVIZA ELECTRONICS PRIVATE LIMITED</v>
          </cell>
          <cell r="B29" t="str">
            <v>Group - 5 (Ananthapadmanabha)</v>
          </cell>
        </row>
        <row r="30">
          <cell r="A30" t="str">
            <v>AAVIZA ELECTRONICS PRIVATE LIMITED (C)</v>
          </cell>
          <cell r="B30" t="str">
            <v>Group - 5 (Ananthapadmanabha)</v>
          </cell>
        </row>
        <row r="31">
          <cell r="A31" t="str">
            <v>Abba Enterprises</v>
          </cell>
          <cell r="B31" t="str">
            <v>Group-4 ( Office Account)</v>
          </cell>
        </row>
        <row r="32">
          <cell r="A32" t="str">
            <v>Abcon Tech &amp; Build Aids Pvt Ltd</v>
          </cell>
          <cell r="B32" t="str">
            <v>Group-4 ( Office Account)</v>
          </cell>
        </row>
        <row r="33">
          <cell r="A33" t="str">
            <v>ABHIDHEYA EMBEDDED</v>
          </cell>
          <cell r="B33" t="str">
            <v>Group 1-Giridhar-Peenya</v>
          </cell>
        </row>
        <row r="34">
          <cell r="A34" t="str">
            <v>Abhidheya Embedded Solutions</v>
          </cell>
          <cell r="B34" t="str">
            <v>Group 1-Giridhar-Peenya</v>
          </cell>
        </row>
        <row r="35">
          <cell r="A35" t="str">
            <v>ABHILASH ENTERPRISES</v>
          </cell>
          <cell r="B35" t="str">
            <v>Group-4 ( Office Account)</v>
          </cell>
        </row>
        <row r="36">
          <cell r="A36" t="str">
            <v>ABHISHEK ENTERPRISE</v>
          </cell>
          <cell r="B36" t="str">
            <v>Group-4 ( Office Account)</v>
          </cell>
        </row>
        <row r="37">
          <cell r="A37" t="str">
            <v>Abhiyant Technologies Pvt  Ltd</v>
          </cell>
          <cell r="B37" t="str">
            <v>Group 1-Giridhar-Peenya</v>
          </cell>
        </row>
        <row r="38">
          <cell r="A38" t="str">
            <v>ABS INDIA LIMITED</v>
          </cell>
          <cell r="B38" t="str">
            <v>Group 1-Giridhar-Peenya</v>
          </cell>
        </row>
        <row r="39">
          <cell r="A39" t="str">
            <v>ABS POWER CONTROLS &amp; SERVICES</v>
          </cell>
          <cell r="B39" t="str">
            <v>Group 1-Giridhar-Peenya</v>
          </cell>
        </row>
        <row r="40">
          <cell r="A40" t="str">
            <v>ABV ENGINEERS &amp; CONSULTANTS PVT. LTD.</v>
          </cell>
          <cell r="B40" t="str">
            <v>Group-2 (Veeresh- Bomsdr+Hosur)</v>
          </cell>
        </row>
        <row r="41">
          <cell r="A41" t="str">
            <v>Acciona Energy India Pvt. Ltd.,</v>
          </cell>
          <cell r="B41" t="str">
            <v>Group-4 ( Office Account)</v>
          </cell>
        </row>
        <row r="42">
          <cell r="A42" t="str">
            <v>Accor Engineering Solutions</v>
          </cell>
          <cell r="B42" t="str">
            <v>Group-4 ( Office Account)</v>
          </cell>
        </row>
        <row r="43">
          <cell r="A43" t="str">
            <v>ACCURA TECHNOLOGIES</v>
          </cell>
          <cell r="B43" t="str">
            <v>Group-4 ( Office Account)</v>
          </cell>
        </row>
        <row r="44">
          <cell r="A44" t="str">
            <v>Accurate Enterprises</v>
          </cell>
          <cell r="B44" t="str">
            <v>Group-4 ( Office Account)</v>
          </cell>
        </row>
        <row r="45">
          <cell r="A45" t="str">
            <v>Ace Designers Limited</v>
          </cell>
          <cell r="B45" t="str">
            <v>Group 1-Giridhar-Peenya</v>
          </cell>
        </row>
        <row r="46">
          <cell r="A46" t="str">
            <v>Ace Designers Limited (532)</v>
          </cell>
          <cell r="B46" t="str">
            <v>Group 1-Giridhar-Peenya</v>
          </cell>
        </row>
        <row r="47">
          <cell r="A47" t="str">
            <v>Ace Designers Limited (533)</v>
          </cell>
          <cell r="B47" t="str">
            <v>Group 1-Giridhar-Peenya</v>
          </cell>
        </row>
        <row r="48">
          <cell r="A48" t="str">
            <v>Ace Designers Limited (Minnapura Plant)</v>
          </cell>
          <cell r="B48" t="str">
            <v>Group 1-Giridhar-Peenya</v>
          </cell>
        </row>
        <row r="49">
          <cell r="A49" t="str">
            <v>ACE DESIGNERS LIMITED (OLD)</v>
          </cell>
          <cell r="B49" t="str">
            <v>Group 1-Giridhar-Peenya</v>
          </cell>
        </row>
        <row r="50">
          <cell r="A50" t="str">
            <v>ACE DESIGNERS LIMITED FOUNDRY DIVISION</v>
          </cell>
          <cell r="B50" t="str">
            <v>Group 1-Giridhar-Peenya</v>
          </cell>
        </row>
        <row r="51">
          <cell r="A51" t="str">
            <v>ACE Designers Ltd (HVM Division II)</v>
          </cell>
          <cell r="B51" t="str">
            <v>Group 1-Giridhar-Peenya</v>
          </cell>
        </row>
        <row r="52">
          <cell r="A52" t="str">
            <v>Ace Designers Ltd.- Machining Centre Division</v>
          </cell>
          <cell r="B52" t="str">
            <v>Group 1-Giridhar-Peenya</v>
          </cell>
        </row>
        <row r="53">
          <cell r="A53" t="str">
            <v>Ace Electro Control</v>
          </cell>
          <cell r="B53" t="str">
            <v>Group-4 ( Office Account)</v>
          </cell>
        </row>
        <row r="54">
          <cell r="A54" t="str">
            <v>Ace Electrotrend Panels Pvt  Ltd</v>
          </cell>
          <cell r="B54" t="str">
            <v>Group-4 ( Office Account)</v>
          </cell>
        </row>
        <row r="55">
          <cell r="A55" t="str">
            <v>Ace Engineers &amp; Traders</v>
          </cell>
          <cell r="B55" t="str">
            <v>Group-4 ( Office Account)</v>
          </cell>
        </row>
        <row r="56">
          <cell r="A56" t="str">
            <v>Ace Manufacturing Systems Ltd</v>
          </cell>
          <cell r="B56" t="str">
            <v>Group 1-Giridhar-Peenya</v>
          </cell>
        </row>
        <row r="57">
          <cell r="A57" t="str">
            <v>ACER ENGINEER PRIVATE LIMITED</v>
          </cell>
          <cell r="B57" t="str">
            <v>Group-2 (Veeresh- Bomsdr+Hosur)</v>
          </cell>
        </row>
        <row r="58">
          <cell r="A58" t="str">
            <v>Achintyo Engineering LLP (OLD)</v>
          </cell>
          <cell r="B58" t="str">
            <v>Group-2 (Veeresh- Bomsdr+Hosur)</v>
          </cell>
        </row>
        <row r="59">
          <cell r="A59" t="str">
            <v>ACHINTYO ENGINEERING LLP (Oold)</v>
          </cell>
          <cell r="B59" t="str">
            <v>Group - 5 (Ananthapadmanabha)</v>
          </cell>
        </row>
        <row r="60">
          <cell r="A60" t="str">
            <v>ACHINTYO ENGINEERING PRIVATE LIMITED</v>
          </cell>
          <cell r="B60" t="str">
            <v>Group - 5 (Ananthapadmanabha)</v>
          </cell>
        </row>
        <row r="61">
          <cell r="A61" t="str">
            <v>ACPAR TECHNOLOGIES</v>
          </cell>
          <cell r="B61" t="str">
            <v>Online Business</v>
          </cell>
        </row>
        <row r="62">
          <cell r="A62" t="str">
            <v>Active Power</v>
          </cell>
          <cell r="B62" t="str">
            <v>Group-4 ( Office Account)</v>
          </cell>
        </row>
        <row r="63">
          <cell r="A63" t="str">
            <v>Active Solutions</v>
          </cell>
          <cell r="B63" t="str">
            <v>Group-4 ( Office Account)</v>
          </cell>
        </row>
        <row r="64">
          <cell r="A64" t="str">
            <v>Active Trading Company</v>
          </cell>
          <cell r="B64" t="str">
            <v>Group 1-Giridhar-Peenya</v>
          </cell>
        </row>
        <row r="65">
          <cell r="A65" t="str">
            <v>Acton Cables</v>
          </cell>
          <cell r="B65" t="str">
            <v>Group 1-Giridhar-Peenya</v>
          </cell>
        </row>
        <row r="66">
          <cell r="A66" t="str">
            <v>Acumac Export Pvt Ltd</v>
          </cell>
          <cell r="B66" t="str">
            <v>Group 1-Giridhar-Peenya</v>
          </cell>
        </row>
        <row r="67">
          <cell r="A67" t="str">
            <v>Acumac Machine Tools P Ltd</v>
          </cell>
          <cell r="B67" t="str">
            <v>Group 1-Giridhar-Peenya</v>
          </cell>
        </row>
        <row r="68">
          <cell r="A68" t="str">
            <v>ADARSH DEVELOPERS</v>
          </cell>
          <cell r="B68" t="str">
            <v>Group - 5 (Ananthapadmanabha)</v>
          </cell>
        </row>
        <row r="69">
          <cell r="A69" t="str">
            <v>Adarsh Nivaas Pvt Ltd</v>
          </cell>
          <cell r="B69" t="str">
            <v>Group-4 ( Office Account)</v>
          </cell>
        </row>
        <row r="70">
          <cell r="A70" t="str">
            <v>Adarsh Primia Phase 2</v>
          </cell>
          <cell r="B70" t="str">
            <v>Group - 5 (Ananthapadmanabha)</v>
          </cell>
        </row>
        <row r="71">
          <cell r="A71" t="str">
            <v>Adarsh Work Shop (OLD)</v>
          </cell>
          <cell r="B71" t="str">
            <v>Group-2 (Veeresh- Bomsdr+Hosur)</v>
          </cell>
        </row>
        <row r="72">
          <cell r="A72" t="str">
            <v>Adarsha Control &amp; Automation Pvt Ltd</v>
          </cell>
          <cell r="B72" t="str">
            <v>Group 1-Giridhar-Peenya</v>
          </cell>
        </row>
        <row r="73">
          <cell r="A73" t="str">
            <v>Adarsha Control Systems Pvt Ltd</v>
          </cell>
          <cell r="B73" t="str">
            <v>Group 1-Giridhar-Peenya</v>
          </cell>
        </row>
        <row r="74">
          <cell r="A74" t="str">
            <v>ADARSHA WORKSHOP</v>
          </cell>
          <cell r="B74" t="str">
            <v>Group-2 (Veeresh- Bomsdr+Hosur)</v>
          </cell>
        </row>
        <row r="75">
          <cell r="A75" t="str">
            <v>Addler Engineering Solution Pvt Ltd</v>
          </cell>
          <cell r="B75" t="str">
            <v>Group-2 (Veeresh- Bomsdr+Hosur)</v>
          </cell>
        </row>
        <row r="76">
          <cell r="A76" t="str">
            <v>Addverb Technologies Private Limited</v>
          </cell>
          <cell r="B76" t="str">
            <v>Group-4 ( Office Account)</v>
          </cell>
        </row>
        <row r="77">
          <cell r="A77" t="str">
            <v>ADESHWAR ELECTRICALS PRIVATE LIMITED</v>
          </cell>
          <cell r="B77" t="str">
            <v>Group-4 ( Office Account)</v>
          </cell>
        </row>
        <row r="78">
          <cell r="A78" t="str">
            <v>ADHITHIYA COATINGS</v>
          </cell>
          <cell r="B78" t="str">
            <v>Group-2 (Veeresh- Bomsdr+Hosur)</v>
          </cell>
        </row>
        <row r="79">
          <cell r="A79" t="str">
            <v>ADHITI CONSTRUCTION</v>
          </cell>
          <cell r="B79" t="str">
            <v>Online Business</v>
          </cell>
        </row>
        <row r="80">
          <cell r="A80" t="str">
            <v>ADITI SOLUTIONS</v>
          </cell>
          <cell r="B80" t="str">
            <v>Group 1-Giridhar-Peenya</v>
          </cell>
        </row>
        <row r="81">
          <cell r="A81" t="str">
            <v>Aditya Birla Insulators</v>
          </cell>
          <cell r="B81" t="str">
            <v>Group-4 ( Office Account)</v>
          </cell>
        </row>
        <row r="82">
          <cell r="A82" t="str">
            <v>Adler Enserv</v>
          </cell>
          <cell r="B82" t="str">
            <v>Group 1-Giridhar-Peenya</v>
          </cell>
        </row>
        <row r="83">
          <cell r="A83" t="str">
            <v>Admiral Trading Company</v>
          </cell>
          <cell r="B83" t="str">
            <v>Group - 5 (Ananthapadmanabha)</v>
          </cell>
        </row>
        <row r="84">
          <cell r="A84" t="str">
            <v>Adobe Metal Products</v>
          </cell>
          <cell r="B84" t="str">
            <v>Group 1-Giridhar-Peenya</v>
          </cell>
        </row>
        <row r="85">
          <cell r="A85" t="str">
            <v>Ador Fontech Limited</v>
          </cell>
          <cell r="B85" t="str">
            <v>Group 1-Giridhar-Peenya</v>
          </cell>
        </row>
        <row r="86">
          <cell r="A86" t="str">
            <v>ADR CONTROLS LLP</v>
          </cell>
          <cell r="B86" t="str">
            <v>Group 1-Giridhar-Peenya</v>
          </cell>
        </row>
        <row r="87">
          <cell r="A87" t="str">
            <v>ADRI INFRA</v>
          </cell>
          <cell r="B87" t="str">
            <v>Group-4 ( Office Account)</v>
          </cell>
        </row>
        <row r="88">
          <cell r="A88" t="str">
            <v>ADVAITH CONTROLS AND ENGINEERING LLP</v>
          </cell>
          <cell r="B88" t="str">
            <v>Online Business</v>
          </cell>
        </row>
        <row r="89">
          <cell r="A89" t="str">
            <v>Advaith Enterprises</v>
          </cell>
          <cell r="B89" t="str">
            <v>Group-4 ( Office Account)</v>
          </cell>
        </row>
        <row r="90">
          <cell r="A90" t="str">
            <v>ADVAITH PLYWOOD AND HARDWARE</v>
          </cell>
          <cell r="B90" t="str">
            <v>Group-4 ( Office Account)</v>
          </cell>
        </row>
        <row r="91">
          <cell r="A91" t="str">
            <v>Advance Engineering Solutions</v>
          </cell>
          <cell r="B91" t="str">
            <v>Group 1-Giridhar-Peenya</v>
          </cell>
        </row>
        <row r="92">
          <cell r="A92" t="str">
            <v>Advanced Electronic Systems</v>
          </cell>
          <cell r="B92" t="str">
            <v>Group 1-Giridhar-Peenya</v>
          </cell>
        </row>
        <row r="93">
          <cell r="A93" t="str">
            <v>ADVANCED MICRO SERVICES (P) LTD</v>
          </cell>
          <cell r="B93" t="str">
            <v>Online Business</v>
          </cell>
        </row>
        <row r="94">
          <cell r="A94" t="str">
            <v>Advanced Rail Controls Private Limited (BEL Rd )</v>
          </cell>
          <cell r="B94" t="str">
            <v>Group - 5 (Ananthapadmanabha)</v>
          </cell>
        </row>
        <row r="95">
          <cell r="A95" t="str">
            <v>Advanced Rail Controls Pvt Ltd   (Sahakara Nagar )</v>
          </cell>
          <cell r="B95" t="str">
            <v>Group - 5 (Ananthapadmanabha)</v>
          </cell>
        </row>
        <row r="96">
          <cell r="A96" t="str">
            <v>Adwitiya Projects (I) Pvt. Ltd.,</v>
          </cell>
          <cell r="B96" t="str">
            <v>Group - 5 (Ananthapadmanabha)</v>
          </cell>
        </row>
        <row r="97">
          <cell r="A97" t="str">
            <v>Aeg Power Solutions ( India ) Pvt Ltd</v>
          </cell>
          <cell r="B97" t="str">
            <v>Group-4 ( Office Account)</v>
          </cell>
        </row>
        <row r="98">
          <cell r="A98" t="str">
            <v>AEGIS MANUFACTURING SYSTEMS</v>
          </cell>
          <cell r="B98" t="str">
            <v>Group 1-Giridhar-Peenya</v>
          </cell>
        </row>
        <row r="99">
          <cell r="A99" t="str">
            <v>Aeromech Technologies Pvt Ltd</v>
          </cell>
          <cell r="B99" t="str">
            <v>Group 1-Giridhar-Peenya</v>
          </cell>
        </row>
        <row r="100">
          <cell r="A100" t="str">
            <v>AGI Glaspac</v>
          </cell>
          <cell r="B100" t="str">
            <v>Group-4 ( Office Account)</v>
          </cell>
        </row>
        <row r="101">
          <cell r="A101" t="str">
            <v>Agrawal Enterprises</v>
          </cell>
          <cell r="B101" t="str">
            <v>Group-4 ( Office Account)</v>
          </cell>
        </row>
        <row r="102">
          <cell r="A102" t="str">
            <v>AGRIMIRAI LLP</v>
          </cell>
          <cell r="B102" t="str">
            <v>Group-4 ( Office Account)</v>
          </cell>
        </row>
        <row r="103">
          <cell r="A103" t="str">
            <v>AGX RETAIL SOLUTIONS PRIVATE LIMITED</v>
          </cell>
          <cell r="B103" t="str">
            <v>Group-2 (Veeresh- Bomsdr+Hosur)</v>
          </cell>
        </row>
        <row r="104">
          <cell r="A104" t="str">
            <v>AHMEDABAD DISTRICT CO-OPERATIVE MILK PRODUCERS UNION LIMITED</v>
          </cell>
          <cell r="B104" t="str">
            <v>Group-4 ( Office Account)</v>
          </cell>
        </row>
        <row r="105">
          <cell r="A105" t="str">
            <v>AHS Associates</v>
          </cell>
          <cell r="B105" t="str">
            <v>Group 1-Giridhar-Peenya</v>
          </cell>
        </row>
        <row r="106">
          <cell r="A106" t="str">
            <v>Ai Tec Electricals</v>
          </cell>
          <cell r="B106" t="str">
            <v>Group-2 (Veeresh- Bomsdr+Hosur)</v>
          </cell>
        </row>
        <row r="107">
          <cell r="A107" t="str">
            <v>Aim Electricals</v>
          </cell>
          <cell r="B107" t="str">
            <v>Group-2 (Veeresh- Bomsdr+Hosur)</v>
          </cell>
        </row>
        <row r="108">
          <cell r="A108" t="str">
            <v>Aimone Industries</v>
          </cell>
          <cell r="B108" t="str">
            <v>Group 1-Giridhar-Peenya</v>
          </cell>
        </row>
        <row r="109">
          <cell r="A109" t="str">
            <v>Aimtech</v>
          </cell>
          <cell r="B109" t="str">
            <v>Group-4 ( Office Account)</v>
          </cell>
        </row>
        <row r="110">
          <cell r="A110" t="str">
            <v>Aimtron Electronics Limited</v>
          </cell>
          <cell r="B110" t="str">
            <v>Group-2 (Veeresh- Bomsdr+Hosur)</v>
          </cell>
        </row>
        <row r="111">
          <cell r="A111" t="str">
            <v>Air Rotor Technologies Pvt Ltd</v>
          </cell>
          <cell r="B111" t="str">
            <v>Group-4 ( Office Account)</v>
          </cell>
        </row>
        <row r="112">
          <cell r="A112" t="str">
            <v>AIR WATER INDIA PRIVATE LIMITED</v>
          </cell>
          <cell r="B112" t="str">
            <v>Online Business</v>
          </cell>
        </row>
        <row r="113">
          <cell r="A113" t="str">
            <v>Aira Trex Solutions India Pvt Ltd</v>
          </cell>
          <cell r="B113" t="str">
            <v>Group - 5 (Ananthapadmanabha)</v>
          </cell>
        </row>
        <row r="114">
          <cell r="A114" t="str">
            <v>Aircon Refrigeration Co</v>
          </cell>
          <cell r="B114" t="str">
            <v>Group-4 ( Office Account)</v>
          </cell>
        </row>
        <row r="115">
          <cell r="A115" t="str">
            <v>Airprax Pneumatics LLP</v>
          </cell>
          <cell r="B115" t="str">
            <v>Group-4 ( Office Account)</v>
          </cell>
        </row>
        <row r="116">
          <cell r="A116" t="str">
            <v>AIRTIFICIAL IR INDIA PRIVATE LIMITED</v>
          </cell>
          <cell r="B116" t="str">
            <v>Group-4 ( Office Account)</v>
          </cell>
        </row>
        <row r="117">
          <cell r="A117" t="str">
            <v>AJAX ENGINEERING LIMITED</v>
          </cell>
          <cell r="B117" t="str">
            <v>Group - 5 (Ananthapadmanabha)</v>
          </cell>
        </row>
        <row r="118">
          <cell r="A118" t="str">
            <v>Ajax Engineering Limited (Gow)</v>
          </cell>
          <cell r="B118" t="str">
            <v>Group - 5 (Ananthapadmanabha)</v>
          </cell>
        </row>
        <row r="119">
          <cell r="A119" t="str">
            <v>Ajax Engineering Private Limited (Do)</v>
          </cell>
          <cell r="B119" t="str">
            <v>Group - 5 (Ananthapadmanabha)</v>
          </cell>
        </row>
        <row r="120">
          <cell r="A120" t="str">
            <v>Ajit B Pachore</v>
          </cell>
          <cell r="B120" t="str">
            <v>Group-4 ( Office Account)</v>
          </cell>
        </row>
        <row r="121">
          <cell r="A121" t="str">
            <v>AJS Enterprises</v>
          </cell>
          <cell r="B121" t="str">
            <v>Group-4 ( Office Account)</v>
          </cell>
        </row>
        <row r="122">
          <cell r="A122" t="str">
            <v>AKARAM ELECTRICALS</v>
          </cell>
          <cell r="B122" t="str">
            <v>Group-4 ( Office Account)</v>
          </cell>
        </row>
        <row r="123">
          <cell r="A123" t="str">
            <v>AKARSH RESIDENCE PRIVATE LIMITED</v>
          </cell>
          <cell r="B123" t="str">
            <v>Online Business</v>
          </cell>
        </row>
        <row r="124">
          <cell r="A124" t="str">
            <v>Akash Alpros</v>
          </cell>
          <cell r="B124" t="str">
            <v>Group 1-Giridhar-Peenya</v>
          </cell>
        </row>
        <row r="125">
          <cell r="A125" t="str">
            <v>Akash Automation</v>
          </cell>
          <cell r="B125" t="str">
            <v>Group 1-Giridhar-Peenya</v>
          </cell>
        </row>
        <row r="126">
          <cell r="A126" t="str">
            <v>Akash Cable Corporation</v>
          </cell>
          <cell r="B126" t="str">
            <v>Online Business</v>
          </cell>
        </row>
        <row r="127">
          <cell r="A127" t="str">
            <v>Akash Enterprises</v>
          </cell>
          <cell r="B127" t="str">
            <v>Group-2 (Veeresh- Bomsdr+Hosur)</v>
          </cell>
        </row>
        <row r="128">
          <cell r="A128" t="str">
            <v>Akash Enterprises Automation Pvt. Ltd.,</v>
          </cell>
          <cell r="B128" t="str">
            <v>Group-2 (Veeresh- Bomsdr+Hosur)</v>
          </cell>
        </row>
        <row r="129">
          <cell r="A129" t="str">
            <v>Akash Industries</v>
          </cell>
          <cell r="B129" t="str">
            <v>Group-4 ( Office Account)</v>
          </cell>
        </row>
        <row r="130">
          <cell r="A130" t="str">
            <v>AKSHAY CARGO &amp; CRANE SERVICES</v>
          </cell>
          <cell r="B130" t="str">
            <v>Group-4 ( Office Account)</v>
          </cell>
        </row>
        <row r="131">
          <cell r="A131" t="str">
            <v>AKSHAY ELECTRICALS</v>
          </cell>
          <cell r="B131" t="str">
            <v>Group-2 (Veeresh- Bomsdr+Hosur)</v>
          </cell>
        </row>
        <row r="132">
          <cell r="A132" t="str">
            <v>AKSHAYA ENTERPRISES</v>
          </cell>
          <cell r="B132" t="str">
            <v>Group-4 ( Office Account)</v>
          </cell>
        </row>
        <row r="133">
          <cell r="A133" t="str">
            <v>Akshaya Special M/c Pvt. Ltd.</v>
          </cell>
          <cell r="B133" t="str">
            <v>Group 1-Giridhar-Peenya</v>
          </cell>
        </row>
        <row r="134">
          <cell r="A134" t="str">
            <v>Aksheya Projects &amp; Systems Pvt Ltd</v>
          </cell>
          <cell r="B134" t="str">
            <v>Group 1-Giridhar-Peenya</v>
          </cell>
        </row>
        <row r="135">
          <cell r="A135" t="str">
            <v>AKTIS ENGINEERING SOLUTIONS PVT.LTD.</v>
          </cell>
          <cell r="B135" t="str">
            <v>Group-2 (Veeresh- Bomsdr+Hosur)</v>
          </cell>
        </row>
        <row r="136">
          <cell r="A136" t="str">
            <v>Akzo Nobel  India Ltd</v>
          </cell>
          <cell r="B136" t="str">
            <v>Group - 5 (Ananthapadmanabha)</v>
          </cell>
        </row>
        <row r="137">
          <cell r="A137" t="str">
            <v>Alacrity</v>
          </cell>
          <cell r="B137" t="str">
            <v>Group 1-Giridhar-Peenya</v>
          </cell>
        </row>
        <row r="138">
          <cell r="A138" t="str">
            <v>ALANWAR ENTERPRISES</v>
          </cell>
          <cell r="B138" t="str">
            <v>Group-4 ( Office Account)</v>
          </cell>
        </row>
        <row r="139">
          <cell r="A139" t="str">
            <v>ALLIANCE ONE INDUSTRIES INDIA PVT. LTD.,</v>
          </cell>
          <cell r="B139" t="str">
            <v>Online Business</v>
          </cell>
        </row>
        <row r="140">
          <cell r="A140" t="str">
            <v>Allied Electrical &amp; Co</v>
          </cell>
          <cell r="B140" t="str">
            <v>Group-4 ( Office Account)</v>
          </cell>
        </row>
        <row r="141">
          <cell r="A141" t="str">
            <v>Allied Electronics Corporation</v>
          </cell>
          <cell r="B141" t="str">
            <v>Group-4 ( Office Account)</v>
          </cell>
        </row>
        <row r="142">
          <cell r="A142" t="str">
            <v>Allied Moulded Enclosure Products(India)Pvt  Ltd</v>
          </cell>
          <cell r="B142" t="str">
            <v>Group-2 (Veeresh- Bomsdr+Hosur)</v>
          </cell>
        </row>
        <row r="143">
          <cell r="A143" t="str">
            <v>ALLROUND (INDIA) VEGETABLE PROCESSING MACHINES PVT. LTD.</v>
          </cell>
          <cell r="B143" t="str">
            <v>Online Business</v>
          </cell>
        </row>
        <row r="144">
          <cell r="A144" t="str">
            <v>All-Tech Power Solutions</v>
          </cell>
          <cell r="B144" t="str">
            <v>Group-4 ( Office Account)</v>
          </cell>
        </row>
        <row r="145">
          <cell r="A145" t="str">
            <v>Alltronix (Cus)</v>
          </cell>
          <cell r="B145" t="str">
            <v>Group 1-Giridhar-Peenya</v>
          </cell>
        </row>
        <row r="146">
          <cell r="A146" t="str">
            <v>ALMAR COMMUNICATION AND SERVICES</v>
          </cell>
          <cell r="B146" t="str">
            <v>Group-2 (Veeresh- Bomsdr+Hosur)</v>
          </cell>
        </row>
        <row r="147">
          <cell r="A147" t="str">
            <v>Alp Technologies</v>
          </cell>
          <cell r="B147" t="str">
            <v>Group-4 ( Office Account)</v>
          </cell>
        </row>
        <row r="148">
          <cell r="A148" t="str">
            <v>ALPHA LINER</v>
          </cell>
          <cell r="B148" t="str">
            <v>Group 1-Giridhar-Peenya</v>
          </cell>
        </row>
        <row r="149">
          <cell r="A149" t="str">
            <v>ALPHA POWER SOLUTIONS</v>
          </cell>
          <cell r="B149" t="str">
            <v>Group-4 ( Office Account)</v>
          </cell>
        </row>
        <row r="150">
          <cell r="A150" t="str">
            <v>Alptech Controls Pvt  Ltd</v>
          </cell>
          <cell r="B150" t="str">
            <v>Group 1-Giridhar-Peenya</v>
          </cell>
        </row>
        <row r="151">
          <cell r="A151" t="str">
            <v>Altek Circuits And Systems</v>
          </cell>
          <cell r="B151" t="str">
            <v>Group 1-Giridhar-Peenya</v>
          </cell>
        </row>
        <row r="152">
          <cell r="A152" t="str">
            <v>AM Electricals</v>
          </cell>
          <cell r="B152" t="str">
            <v>Group-4 ( Office Account)</v>
          </cell>
        </row>
        <row r="153">
          <cell r="A153" t="str">
            <v>AMACE SOLUTIONS PRIVATE LIMITED</v>
          </cell>
          <cell r="B153" t="str">
            <v>Group 1-Giridhar-Peenya</v>
          </cell>
        </row>
        <row r="154">
          <cell r="A154" t="str">
            <v>Amada (India) Pvt  Ltd</v>
          </cell>
          <cell r="B154" t="str">
            <v>Group-2 (Veeresh- Bomsdr+Hosur)</v>
          </cell>
        </row>
        <row r="155">
          <cell r="A155" t="str">
            <v>Amado Tools</v>
          </cell>
          <cell r="B155" t="str">
            <v>Group-4 ( Office Account)</v>
          </cell>
        </row>
        <row r="156">
          <cell r="A156" t="str">
            <v>Amala Engineering Company Pvt  Ltd</v>
          </cell>
          <cell r="B156" t="str">
            <v>Group - 5 (Ananthapadmanabha)</v>
          </cell>
        </row>
        <row r="157">
          <cell r="A157" t="str">
            <v>Amalgamated Bean Coffee Trading Co Ltd</v>
          </cell>
          <cell r="B157" t="str">
            <v>Group-4 ( Office Account)</v>
          </cell>
        </row>
        <row r="158">
          <cell r="A158" t="str">
            <v>Amar Electricals Suppliers</v>
          </cell>
          <cell r="B158" t="str">
            <v>Group-4 ( Office Account)</v>
          </cell>
        </row>
        <row r="159">
          <cell r="A159" t="str">
            <v>Amar Radio Corporation</v>
          </cell>
          <cell r="B159" t="str">
            <v>Group-4 ( Office Account)</v>
          </cell>
        </row>
        <row r="160">
          <cell r="A160" t="str">
            <v>Amay Technologies</v>
          </cell>
          <cell r="B160" t="str">
            <v>Group 1-Giridhar-Peenya</v>
          </cell>
        </row>
        <row r="161">
          <cell r="A161" t="str">
            <v>Amaze India</v>
          </cell>
          <cell r="B161" t="str">
            <v>Group - 5 (Ananthapadmanabha)</v>
          </cell>
        </row>
        <row r="162">
          <cell r="A162" t="str">
            <v>Amba Industries</v>
          </cell>
          <cell r="B162" t="str">
            <v>Group 1-Giridhar-Peenya</v>
          </cell>
        </row>
        <row r="163">
          <cell r="A163" t="str">
            <v>AMBICA ENTERPRISE</v>
          </cell>
          <cell r="B163" t="str">
            <v>Online Business</v>
          </cell>
        </row>
        <row r="164">
          <cell r="A164" t="str">
            <v>Ambit Power Solutions Pvt Ltd</v>
          </cell>
          <cell r="B164" t="str">
            <v>Group 1-Giridhar-Peenya</v>
          </cell>
        </row>
        <row r="165">
          <cell r="A165" t="str">
            <v>America Fujikura India Private Limited</v>
          </cell>
          <cell r="B165" t="str">
            <v>Group-4 ( Office Account)</v>
          </cell>
        </row>
        <row r="166">
          <cell r="A166" t="str">
            <v>Amilite</v>
          </cell>
          <cell r="B166" t="str">
            <v>Group-4 ( Office Account)</v>
          </cell>
        </row>
        <row r="167">
          <cell r="A167" t="str">
            <v>Ampere Power &amp; Automation</v>
          </cell>
          <cell r="B167" t="str">
            <v>Group 1-Giridhar-Peenya</v>
          </cell>
        </row>
        <row r="168">
          <cell r="A168" t="str">
            <v>AMPHENOL FCI INDIA PRIVATE LIMITED</v>
          </cell>
          <cell r="B168" t="str">
            <v>Group-2 (Veeresh- Bomsdr+Hosur)</v>
          </cell>
        </row>
        <row r="169">
          <cell r="A169" t="str">
            <v>AMPHENOL INTERCONNECT</v>
          </cell>
          <cell r="B169" t="str">
            <v>Group-2 (Veeresh- Bomsdr+Hosur)</v>
          </cell>
        </row>
        <row r="170">
          <cell r="A170" t="str">
            <v>AMPHENOL INTRCONNECT INDIA PVT LTD</v>
          </cell>
          <cell r="B170" t="str">
            <v>Group-2 (Veeresh- Bomsdr+Hosur)</v>
          </cell>
        </row>
        <row r="171">
          <cell r="A171" t="str">
            <v>Amphenol Omniconnect India Pvt.Ltd.,</v>
          </cell>
          <cell r="B171" t="str">
            <v>Group-4 ( Office Account)</v>
          </cell>
        </row>
        <row r="172">
          <cell r="A172" t="str">
            <v>AMRITHA COOLING SYSTEM</v>
          </cell>
          <cell r="B172" t="str">
            <v>Group-4 ( Office Account)</v>
          </cell>
        </row>
        <row r="173">
          <cell r="A173" t="str">
            <v>Amrutha Electricals</v>
          </cell>
          <cell r="B173" t="str">
            <v>Online Business</v>
          </cell>
        </row>
        <row r="174">
          <cell r="A174" t="str">
            <v>AMS Bhargava Machining Pvt.Ltd.,</v>
          </cell>
          <cell r="B174" t="str">
            <v>Group 1-Giridhar-Peenya</v>
          </cell>
        </row>
        <row r="175">
          <cell r="A175" t="str">
            <v>Amsree Marketing</v>
          </cell>
          <cell r="B175" t="str">
            <v>Group-2 (Veeresh- Bomsdr+Hosur)</v>
          </cell>
        </row>
        <row r="176">
          <cell r="A176" t="str">
            <v>ANAGHA ENGINEERING</v>
          </cell>
          <cell r="B176" t="str">
            <v>Group 1-Giridhar-Peenya</v>
          </cell>
        </row>
        <row r="177">
          <cell r="A177" t="str">
            <v>ANAND ENTERPRISES</v>
          </cell>
          <cell r="B177" t="str">
            <v>Group-4 ( Office Account)</v>
          </cell>
        </row>
        <row r="178">
          <cell r="A178" t="str">
            <v>ANAND ENTERPRISES (Cust)</v>
          </cell>
          <cell r="B178" t="str">
            <v>Group-4 ( Office Account)</v>
          </cell>
        </row>
        <row r="179">
          <cell r="A179" t="str">
            <v>Anand Pandhari</v>
          </cell>
          <cell r="B179" t="str">
            <v>Group-4 ( Office Account)</v>
          </cell>
        </row>
        <row r="180">
          <cell r="A180" t="str">
            <v>Ananda Enterprises</v>
          </cell>
          <cell r="B180" t="str">
            <v>Group-4 ( Office Account)</v>
          </cell>
        </row>
        <row r="181">
          <cell r="A181" t="str">
            <v>ANANDA TECHNOLOGIES</v>
          </cell>
          <cell r="B181" t="str">
            <v>Group-4 ( Office Account)</v>
          </cell>
        </row>
        <row r="182">
          <cell r="A182" t="str">
            <v>Ananth Technologies Limited</v>
          </cell>
          <cell r="B182" t="str">
            <v>Group - 5 (Ananthapadmanabha)</v>
          </cell>
        </row>
        <row r="183">
          <cell r="A183" t="str">
            <v>Ananya Automation</v>
          </cell>
          <cell r="B183" t="str">
            <v>Group 1-Giridhar-Peenya</v>
          </cell>
        </row>
        <row r="184">
          <cell r="A184" t="str">
            <v>Ananya Cable Tech Pvt  Ltd</v>
          </cell>
          <cell r="B184" t="str">
            <v>Group 1-Giridhar-Peenya</v>
          </cell>
        </row>
        <row r="185">
          <cell r="A185" t="str">
            <v>Ananya Technologies Pvt Ltd</v>
          </cell>
          <cell r="B185" t="str">
            <v>Group 1-Giridhar-Peenya</v>
          </cell>
        </row>
        <row r="186">
          <cell r="A186" t="str">
            <v>Anchor Electricals Private Limited</v>
          </cell>
          <cell r="B186" t="str">
            <v>Group - 5 (Ananthapadmanabha)</v>
          </cell>
        </row>
        <row r="187">
          <cell r="A187" t="str">
            <v>Anchor Electricals Pvt. Ltd.,</v>
          </cell>
          <cell r="B187" t="str">
            <v>Group - 5 (Ananthapadmanabha)</v>
          </cell>
        </row>
        <row r="188">
          <cell r="A188" t="str">
            <v>Andritz Technologies Pvt. Ltd.,</v>
          </cell>
          <cell r="B188" t="str">
            <v>Group 1-Giridhar-Peenya</v>
          </cell>
        </row>
        <row r="189">
          <cell r="A189" t="str">
            <v>ANGELS ENGINEERING</v>
          </cell>
          <cell r="B189" t="str">
            <v>Group-4 ( Office Account)</v>
          </cell>
        </row>
        <row r="190">
          <cell r="A190" t="str">
            <v>ANJANEYA PRIME REALITY PRIVATE LIMITED</v>
          </cell>
          <cell r="B190" t="str">
            <v>Group - 5 (Ananthapadmanabha)</v>
          </cell>
        </row>
        <row r="191">
          <cell r="A191" t="str">
            <v>ANKAMADE GOWDA, CONTRACTOR</v>
          </cell>
          <cell r="B191" t="str">
            <v>Group-4 ( Office Account)</v>
          </cell>
        </row>
        <row r="192">
          <cell r="A192" t="str">
            <v>ANNAI ELECTRICALS</v>
          </cell>
          <cell r="B192" t="str">
            <v>Group-2 (Veeresh- Bomsdr+Hosur)</v>
          </cell>
        </row>
        <row r="193">
          <cell r="A193" t="str">
            <v>Annai Trading Corporation</v>
          </cell>
          <cell r="B193" t="str">
            <v>Group-4 ( Office Account)</v>
          </cell>
        </row>
        <row r="194">
          <cell r="A194" t="str">
            <v>ANNAPOORNA MARKETING</v>
          </cell>
          <cell r="B194" t="str">
            <v>Group-4 ( Office Account)</v>
          </cell>
        </row>
        <row r="195">
          <cell r="A195" t="str">
            <v>Ansaldo STS Transportation Systems India P Ltd</v>
          </cell>
          <cell r="B195" t="str">
            <v>Group-4 ( Office Account)</v>
          </cell>
        </row>
        <row r="196">
          <cell r="A196" t="str">
            <v>ANSH ELECTRICALS</v>
          </cell>
          <cell r="B196" t="str">
            <v>Group-2 (Veeresh- Bomsdr+Hosur)</v>
          </cell>
        </row>
        <row r="197">
          <cell r="A197" t="str">
            <v>ANSHUMAN ELECTRICALS- Cust</v>
          </cell>
          <cell r="B197" t="str">
            <v>Group-4 ( Office Account)</v>
          </cell>
        </row>
        <row r="198">
          <cell r="A198" t="str">
            <v>Anthem Biosciences Pvt  Ltd</v>
          </cell>
          <cell r="B198" t="str">
            <v>Group-2 (Veeresh- Bomsdr+Hosur)</v>
          </cell>
        </row>
        <row r="199">
          <cell r="A199" t="str">
            <v>Anu Controls</v>
          </cell>
          <cell r="B199" t="str">
            <v>Group 1-Giridhar-Peenya</v>
          </cell>
        </row>
        <row r="200">
          <cell r="A200" t="str">
            <v>ANUBHAVI AUTOMATION PRIVATE LIMITED</v>
          </cell>
          <cell r="B200" t="str">
            <v>Group - 5 (Ananthapadmanabha)</v>
          </cell>
        </row>
        <row r="201">
          <cell r="A201" t="str">
            <v>ANUNAG ENTERPRISES</v>
          </cell>
          <cell r="B201" t="str">
            <v>Group-4 ( Office Account)</v>
          </cell>
        </row>
        <row r="202">
          <cell r="A202" t="str">
            <v>Anurag Enterprises</v>
          </cell>
          <cell r="B202" t="str">
            <v>Group-4 ( Office Account)</v>
          </cell>
        </row>
        <row r="203">
          <cell r="A203" t="str">
            <v>Anvin Electronics Pvt  Ltd</v>
          </cell>
          <cell r="B203" t="str">
            <v>Group-4 ( Office Account)</v>
          </cell>
        </row>
        <row r="204">
          <cell r="A204" t="str">
            <v>ANZEN PROJECTS PRIVATE LIMITED</v>
          </cell>
          <cell r="B204" t="str">
            <v>Group-4 ( Office Account)</v>
          </cell>
        </row>
        <row r="205">
          <cell r="A205" t="str">
            <v>A-One Technologies</v>
          </cell>
          <cell r="B205" t="str">
            <v>Group 1-Giridhar-Peenya</v>
          </cell>
        </row>
        <row r="206">
          <cell r="A206" t="str">
            <v>AP Controls</v>
          </cell>
          <cell r="B206" t="str">
            <v>Group-4 ( Office Account)</v>
          </cell>
        </row>
        <row r="207">
          <cell r="A207" t="str">
            <v>Apa Automation</v>
          </cell>
          <cell r="B207" t="str">
            <v>Group-4 ( Office Account)</v>
          </cell>
        </row>
        <row r="208">
          <cell r="A208" t="str">
            <v>Apcon Equipments Pvt. Ltd.,</v>
          </cell>
          <cell r="B208" t="str">
            <v>Group 1-Giridhar-Peenya</v>
          </cell>
        </row>
        <row r="209">
          <cell r="A209" t="str">
            <v>Apex Luminaires Pvt. Ltd.,</v>
          </cell>
          <cell r="B209" t="str">
            <v>Group-4 ( Office Account)</v>
          </cell>
        </row>
        <row r="210">
          <cell r="A210" t="str">
            <v>APHS ENTERPRISES LLP</v>
          </cell>
          <cell r="B210" t="str">
            <v>Group-2 (Veeresh- Bomsdr+Hosur)</v>
          </cell>
        </row>
        <row r="211">
          <cell r="A211" t="str">
            <v>Apicom Automation Pvt Ltd</v>
          </cell>
          <cell r="B211" t="str">
            <v>Group-2 (Veeresh- Bomsdr+Hosur)</v>
          </cell>
        </row>
        <row r="212">
          <cell r="A212" t="str">
            <v>APIT AUTOMATION PRIVATE LIMITED</v>
          </cell>
          <cell r="B212" t="str">
            <v>Group - 5 (Ananthapadmanabha)</v>
          </cell>
        </row>
        <row r="213">
          <cell r="A213" t="str">
            <v>APIT MACHINERY PRIVATE LIMITED</v>
          </cell>
          <cell r="B213" t="str">
            <v>Group - 5 (Ananthapadmanabha)</v>
          </cell>
        </row>
        <row r="214">
          <cell r="A214" t="str">
            <v>Apna Instrumentation Solutions Pvt Ltd</v>
          </cell>
          <cell r="B214" t="str">
            <v>Group 1-Giridhar-Peenya</v>
          </cell>
        </row>
        <row r="215">
          <cell r="A215" t="str">
            <v>APNA TECHNOLOGIES SOLUTIONS PVT LTD</v>
          </cell>
          <cell r="B215" t="str">
            <v>Online Business</v>
          </cell>
        </row>
        <row r="216">
          <cell r="A216" t="str">
            <v>Apotex Research Private Limited</v>
          </cell>
          <cell r="B216" t="str">
            <v>Group-2 (Veeresh- Bomsdr+Hosur)</v>
          </cell>
        </row>
        <row r="217">
          <cell r="A217" t="str">
            <v>Applicomp (India) Ltd</v>
          </cell>
          <cell r="B217" t="str">
            <v>Group-2 (Veeresh- Bomsdr+Hosur)</v>
          </cell>
        </row>
        <row r="218">
          <cell r="A218" t="str">
            <v>APPLIED ELECTROSTATICS AND CONTROLS PVT LTD</v>
          </cell>
          <cell r="B218" t="str">
            <v>Group-4 ( Office Account)</v>
          </cell>
        </row>
        <row r="219">
          <cell r="A219" t="str">
            <v>Applied Fiction</v>
          </cell>
          <cell r="B219" t="str">
            <v>Group-4 ( Office Account)</v>
          </cell>
        </row>
        <row r="220">
          <cell r="A220" t="str">
            <v>APS-TECH ENTERPRISES</v>
          </cell>
          <cell r="B220" t="str">
            <v>Online Business</v>
          </cell>
        </row>
        <row r="221">
          <cell r="A221" t="str">
            <v>APTEC</v>
          </cell>
          <cell r="B221" t="str">
            <v>Group-4 ( Office Account)</v>
          </cell>
        </row>
        <row r="222">
          <cell r="A222" t="str">
            <v>APTITUDE SOLUTIONS</v>
          </cell>
          <cell r="B222" t="str">
            <v>Group 1-Giridhar-Peenya</v>
          </cell>
        </row>
        <row r="223">
          <cell r="A223" t="str">
            <v>APTITUDE SOLUTIONS (Old)</v>
          </cell>
          <cell r="B223" t="str">
            <v>Group 1-Giridhar-Peenya</v>
          </cell>
        </row>
        <row r="224">
          <cell r="A224" t="str">
            <v>AQTRONICS TECHNOLOGIES PRIVATE LIMITED</v>
          </cell>
          <cell r="B224" t="str">
            <v>Group-4 ( Office Account)</v>
          </cell>
        </row>
        <row r="225">
          <cell r="A225" t="str">
            <v>Aquamatix.Inc</v>
          </cell>
          <cell r="B225" t="str">
            <v>Group-2 (Veeresh- Bomsdr+Hosur)</v>
          </cell>
        </row>
        <row r="226">
          <cell r="A226" t="str">
            <v>AQUATECH REFRIGERATION AND  TECHNOLOGY</v>
          </cell>
          <cell r="B226" t="str">
            <v>Group-4 ( Office Account)</v>
          </cell>
        </row>
        <row r="227">
          <cell r="A227" t="str">
            <v>Aqumall Water Solutions Limited</v>
          </cell>
          <cell r="B227" t="str">
            <v>Group-4 ( Office Account)</v>
          </cell>
        </row>
        <row r="228">
          <cell r="A228" t="str">
            <v>Aradhya Steel Private Limited</v>
          </cell>
          <cell r="B228" t="str">
            <v>Group-4 ( Office Account)</v>
          </cell>
        </row>
        <row r="229">
          <cell r="A229" t="str">
            <v>ARAN TECHNO CRAFTS (OLD)</v>
          </cell>
          <cell r="B229" t="str">
            <v>Group 1-Giridhar-Peenya</v>
          </cell>
        </row>
        <row r="230">
          <cell r="A230" t="str">
            <v>ARAN TECHNOCRAFTS PRIVATE LIMITED</v>
          </cell>
          <cell r="B230" t="str">
            <v>Group 1-Giridhar-Peenya</v>
          </cell>
        </row>
        <row r="231">
          <cell r="A231" t="str">
            <v>ARBS POWER SOLUTIONS PRIVATE LIMITED</v>
          </cell>
          <cell r="B231" t="str">
            <v>Group-4 ( Office Account)</v>
          </cell>
        </row>
        <row r="232">
          <cell r="A232" t="str">
            <v>Archana BBB Architect Arundhati</v>
          </cell>
          <cell r="B232" t="str">
            <v>Group-4 ( Office Account)</v>
          </cell>
        </row>
        <row r="233">
          <cell r="A233" t="str">
            <v>ARCHON AIRCOMFORT SOLUTION PRIVATE LIMITED</v>
          </cell>
          <cell r="B233" t="str">
            <v>Group-2 (Veeresh- Bomsdr+Hosur)</v>
          </cell>
        </row>
        <row r="234">
          <cell r="A234" t="str">
            <v>Arien Electrical Enterprises</v>
          </cell>
          <cell r="B234" t="str">
            <v>Group 1-Giridhar-Peenya</v>
          </cell>
        </row>
        <row r="235">
          <cell r="A235" t="str">
            <v>Aries Tanks &amp; Vessels Pvt  Ltd</v>
          </cell>
          <cell r="B235" t="str">
            <v>Group 1-Giridhar-Peenya</v>
          </cell>
        </row>
        <row r="236">
          <cell r="A236" t="str">
            <v>ARIHANT CABLEZ CORPORATION</v>
          </cell>
          <cell r="B236" t="str">
            <v>Group-4 ( Office Account)</v>
          </cell>
        </row>
        <row r="237">
          <cell r="A237" t="str">
            <v>Arihanth Cable Corporation</v>
          </cell>
          <cell r="B237" t="str">
            <v>Group-4 ( Office Account)</v>
          </cell>
        </row>
        <row r="238">
          <cell r="A238" t="str">
            <v>Arihanth Electricals</v>
          </cell>
          <cell r="B238" t="str">
            <v>Group-4 ( Office Account)</v>
          </cell>
        </row>
        <row r="239">
          <cell r="A239" t="str">
            <v>Arihanth Industrial Suppliers</v>
          </cell>
          <cell r="B239" t="str">
            <v>Group-4 ( Office Account)</v>
          </cell>
        </row>
        <row r="240">
          <cell r="A240" t="str">
            <v>Arken Solutions Pvt Ltd</v>
          </cell>
          <cell r="B240" t="str">
            <v>Group-4 ( Office Account)</v>
          </cell>
        </row>
        <row r="241">
          <cell r="A241" t="str">
            <v>Armatic Engineeering Pvt  Ltd</v>
          </cell>
          <cell r="B241" t="str">
            <v>Group-4 ( Office Account)</v>
          </cell>
        </row>
        <row r="242">
          <cell r="A242" t="str">
            <v>Armax Automation Pvt Ltd</v>
          </cell>
          <cell r="B242" t="str">
            <v>Group 1-Giridhar-Peenya</v>
          </cell>
        </row>
        <row r="243">
          <cell r="A243" t="str">
            <v>ARMIX CONSTRUCTION MACHINERY PRIVATE LIMITED</v>
          </cell>
          <cell r="B243" t="str">
            <v>Group-2 (Veeresh- Bomsdr+Hosur)</v>
          </cell>
        </row>
        <row r="244">
          <cell r="A244" t="str">
            <v>ARO GRANITE INDUSTRIES LIMITED</v>
          </cell>
          <cell r="B244" t="str">
            <v>Group-2 (Veeresh- Bomsdr+Hosur)</v>
          </cell>
        </row>
        <row r="245">
          <cell r="A245" t="str">
            <v>ARON UNIVERSAL LIMITED</v>
          </cell>
          <cell r="B245" t="str">
            <v>Group-2 (Veeresh- Bomsdr+Hosur)</v>
          </cell>
        </row>
        <row r="246">
          <cell r="A246" t="str">
            <v>Artila Robotics Private Limited</v>
          </cell>
          <cell r="B246" t="str">
            <v>Online Business</v>
          </cell>
        </row>
        <row r="247">
          <cell r="A247" t="str">
            <v>Artisane Projects LLP</v>
          </cell>
          <cell r="B247" t="str">
            <v>Group-4 ( Office Account)</v>
          </cell>
        </row>
        <row r="248">
          <cell r="A248" t="str">
            <v>Arun Power Solutions</v>
          </cell>
          <cell r="B248" t="str">
            <v>Group-4 ( Office Account)</v>
          </cell>
        </row>
        <row r="249">
          <cell r="A249" t="str">
            <v>ARUN POWER SOLUTIONS (OLD)</v>
          </cell>
          <cell r="B249" t="str">
            <v>Group 1-Giridhar-Peenya</v>
          </cell>
        </row>
        <row r="250">
          <cell r="A250" t="str">
            <v>Arunoday Metal Contours</v>
          </cell>
          <cell r="B250" t="str">
            <v>Group-4 ( Office Account)</v>
          </cell>
        </row>
        <row r="251">
          <cell r="A251" t="str">
            <v>ARUNODAYA ENGINEERING</v>
          </cell>
          <cell r="B251" t="str">
            <v>Group-4 ( Office Account)</v>
          </cell>
        </row>
        <row r="252">
          <cell r="A252" t="str">
            <v>ARVAT SUPPLY AGENCIES</v>
          </cell>
          <cell r="B252" t="str">
            <v>Group-2 (Veeresh- Bomsdr+Hosur)</v>
          </cell>
        </row>
        <row r="253">
          <cell r="A253" t="str">
            <v>Arvind Filters Pvt.Ltd.</v>
          </cell>
          <cell r="B253" t="str">
            <v>Group-2 (Veeresh- Bomsdr+Hosur)</v>
          </cell>
        </row>
        <row r="254">
          <cell r="A254" t="str">
            <v>Aryan Granites &amp; Monuments Pvt  Ltd (100% EOU)</v>
          </cell>
          <cell r="B254" t="str">
            <v>Group-4 ( Office Account)</v>
          </cell>
        </row>
        <row r="255">
          <cell r="A255" t="str">
            <v>ARYAS ENTERPRISES</v>
          </cell>
          <cell r="B255" t="str">
            <v>Group-4 ( Office Account)</v>
          </cell>
        </row>
        <row r="256">
          <cell r="A256" t="str">
            <v>AS Crane Services</v>
          </cell>
          <cell r="B256" t="str">
            <v>Group-4 ( Office Account)</v>
          </cell>
        </row>
        <row r="257">
          <cell r="A257" t="str">
            <v>Asap Automation India Private Limited</v>
          </cell>
          <cell r="B257" t="str">
            <v>Group-2 (Veeresh- Bomsdr+Hosur)</v>
          </cell>
        </row>
        <row r="258">
          <cell r="A258" t="str">
            <v>ASCENTECH ENGINEERING SOLUTIONS PRIVATE LIMITED</v>
          </cell>
          <cell r="B258" t="str">
            <v>Group-4 ( Office Account)</v>
          </cell>
        </row>
        <row r="259">
          <cell r="A259" t="str">
            <v>ASD CONTROL SYSTEMS</v>
          </cell>
          <cell r="B259" t="str">
            <v>Group 1-Giridhar-Peenya</v>
          </cell>
        </row>
        <row r="260">
          <cell r="A260" t="str">
            <v>ASEC SOLUTIONS PRIVATE LIMITED</v>
          </cell>
          <cell r="B260" t="str">
            <v>Group-2 (Veeresh- Bomsdr+Hosur)</v>
          </cell>
        </row>
        <row r="261">
          <cell r="A261" t="str">
            <v>Asha Trading Co</v>
          </cell>
          <cell r="B261" t="str">
            <v>Group-4 ( Office Account)</v>
          </cell>
        </row>
        <row r="262">
          <cell r="A262" t="str">
            <v>Ashok Iron Works Pvt Ltd</v>
          </cell>
          <cell r="B262" t="str">
            <v>Group-4 ( Office Account)</v>
          </cell>
        </row>
        <row r="263">
          <cell r="A263" t="str">
            <v>ASHWINI ELECTRICAL SERVICES</v>
          </cell>
          <cell r="B263" t="str">
            <v>Group-2 (Veeresh- Bomsdr+Hosur)</v>
          </cell>
        </row>
        <row r="264">
          <cell r="A264" t="str">
            <v>ASHWINI UDYOG</v>
          </cell>
          <cell r="B264" t="str">
            <v>Group-4 ( Office Account)</v>
          </cell>
        </row>
        <row r="265">
          <cell r="A265" t="str">
            <v>ASIAN CNC SOLUTIONS</v>
          </cell>
          <cell r="B265" t="str">
            <v>Group-2 (Veeresh- Bomsdr+Hosur)</v>
          </cell>
        </row>
        <row r="266">
          <cell r="A266" t="str">
            <v>Asirix Infotech Pvt Ltd</v>
          </cell>
          <cell r="B266" t="str">
            <v>Group-4 ( Office Account)</v>
          </cell>
        </row>
        <row r="267">
          <cell r="A267" t="str">
            <v>ASKAR MICRONS (P) LTD</v>
          </cell>
          <cell r="B267" t="str">
            <v>Group-4 ( Office Account)</v>
          </cell>
        </row>
        <row r="268">
          <cell r="A268" t="str">
            <v>Asmi Control Systems Pvt Ltd</v>
          </cell>
          <cell r="B268" t="str">
            <v>Group 1-Giridhar-Peenya</v>
          </cell>
        </row>
        <row r="269">
          <cell r="A269" t="str">
            <v>ASPIRE AUTOMATION AND CONTROLS</v>
          </cell>
          <cell r="B269" t="str">
            <v>Group 1-Giridhar-Peenya</v>
          </cell>
        </row>
        <row r="270">
          <cell r="A270" t="str">
            <v>Aspire Business Solutions</v>
          </cell>
          <cell r="B270" t="str">
            <v>Group - 5 (Ananthapadmanabha)</v>
          </cell>
        </row>
        <row r="271">
          <cell r="A271" t="str">
            <v>Aspire Professional Service</v>
          </cell>
          <cell r="B271" t="str">
            <v>Group-4 ( Office Account)</v>
          </cell>
        </row>
        <row r="272">
          <cell r="A272" t="str">
            <v>ASR Control Tech</v>
          </cell>
          <cell r="B272" t="str">
            <v>Group 1-Giridhar-Peenya</v>
          </cell>
        </row>
        <row r="273">
          <cell r="A273" t="str">
            <v>ASR Enterprises (Cus)</v>
          </cell>
          <cell r="B273" t="str">
            <v>Group-4 ( Office Account)</v>
          </cell>
        </row>
        <row r="274">
          <cell r="A274" t="str">
            <v>Associated Electricals</v>
          </cell>
          <cell r="B274" t="str">
            <v>Group-4 ( Office Account)</v>
          </cell>
        </row>
        <row r="275">
          <cell r="A275" t="str">
            <v>Associated Industrial Enterprises</v>
          </cell>
          <cell r="B275" t="str">
            <v>Group-4 ( Office Account)</v>
          </cell>
        </row>
        <row r="276">
          <cell r="A276" t="str">
            <v>Astek Electric Co  P  Ltd</v>
          </cell>
          <cell r="B276" t="str">
            <v>Group 1-Giridhar-Peenya</v>
          </cell>
        </row>
        <row r="277">
          <cell r="A277" t="str">
            <v>Asterix Energy</v>
          </cell>
          <cell r="B277" t="str">
            <v>Group-4 ( Office Account)</v>
          </cell>
        </row>
        <row r="278">
          <cell r="A278" t="str">
            <v>Astra Tel  (100% EOU)</v>
          </cell>
          <cell r="B278" t="str">
            <v>Group-4 ( Office Account)</v>
          </cell>
        </row>
        <row r="279">
          <cell r="A279" t="str">
            <v>ATC Limited</v>
          </cell>
          <cell r="B279" t="str">
            <v>Group-4 ( Office Account)</v>
          </cell>
        </row>
        <row r="280">
          <cell r="A280" t="str">
            <v>ATHARV ENTERPRISES (Mnj)</v>
          </cell>
          <cell r="B280" t="str">
            <v>Group-4 ( Office Account)</v>
          </cell>
        </row>
        <row r="281">
          <cell r="A281" t="str">
            <v>ATHARV ENTERPRISES(Bel)</v>
          </cell>
          <cell r="B281" t="str">
            <v>Group-4 ( Office Account)</v>
          </cell>
        </row>
        <row r="282">
          <cell r="A282" t="str">
            <v>ATHARVA ENTERPRISES</v>
          </cell>
          <cell r="B282" t="str">
            <v>Group-4 ( Office Account)</v>
          </cell>
        </row>
        <row r="283">
          <cell r="A283" t="str">
            <v>ATLAS TRANSTAB PVT LTD</v>
          </cell>
          <cell r="B283" t="str">
            <v>Online Business</v>
          </cell>
        </row>
        <row r="284">
          <cell r="A284" t="str">
            <v>ATOM HEART TEC PRIVATE LIMITED</v>
          </cell>
          <cell r="B284" t="str">
            <v>Online Business</v>
          </cell>
        </row>
        <row r="285">
          <cell r="A285" t="str">
            <v>ATOTZ CONNECTS PRIVATE LIMITED</v>
          </cell>
          <cell r="B285" t="str">
            <v>Online Business</v>
          </cell>
        </row>
        <row r="286">
          <cell r="A286" t="str">
            <v>ATOZ Consultancy</v>
          </cell>
          <cell r="B286" t="str">
            <v>Group-2 (Veeresh- Bomsdr+Hosur)</v>
          </cell>
        </row>
        <row r="287">
          <cell r="A287" t="str">
            <v>ATPRO SYSTEMS AND CONTROLS PRIVATE LIMITED</v>
          </cell>
          <cell r="B287" t="str">
            <v>Group-4 ( Office Account)</v>
          </cell>
        </row>
        <row r="288">
          <cell r="A288" t="str">
            <v>ATS Power Solutions</v>
          </cell>
          <cell r="B288" t="str">
            <v>Group 1-Giridhar-Peenya</v>
          </cell>
        </row>
        <row r="289">
          <cell r="A289" t="str">
            <v>ATSPOWER SOLUTIONS PRIVATE LIMITED</v>
          </cell>
          <cell r="B289" t="str">
            <v>Group-4 ( Office Account)</v>
          </cell>
        </row>
        <row r="290">
          <cell r="A290" t="str">
            <v>Auma India Private Limited</v>
          </cell>
          <cell r="B290" t="str">
            <v>Group 1-Giridhar-Peenya</v>
          </cell>
        </row>
        <row r="291">
          <cell r="A291" t="str">
            <v>AURA ELECTROMECH</v>
          </cell>
          <cell r="B291" t="str">
            <v>Group 1-Giridhar-Peenya</v>
          </cell>
        </row>
        <row r="292">
          <cell r="A292" t="str">
            <v>AURELIA VISTA RENEWABLE SOLUTIONS</v>
          </cell>
          <cell r="B292" t="str">
            <v>Online Business</v>
          </cell>
        </row>
        <row r="293">
          <cell r="A293" t="str">
            <v>AURELIA VISTA RENEWABLE SOLUTIONS (Old)</v>
          </cell>
          <cell r="B293" t="str">
            <v>Online Business</v>
          </cell>
        </row>
        <row r="294">
          <cell r="A294" t="str">
            <v>Authentic Works</v>
          </cell>
          <cell r="B294" t="str">
            <v>Group - 5 (Ananthapadmanabha)</v>
          </cell>
        </row>
        <row r="295">
          <cell r="A295" t="str">
            <v>AUTHENTIC WORKS PRIVATE LIMITED</v>
          </cell>
          <cell r="B295" t="str">
            <v>Group-4 ( Office Account)</v>
          </cell>
        </row>
        <row r="296">
          <cell r="A296" t="str">
            <v>AUTIOT ENGINEERING &amp; CONSULTING SERVICES PVT LTD</v>
          </cell>
          <cell r="B296" t="str">
            <v>Group-4 ( Office Account)</v>
          </cell>
        </row>
        <row r="297">
          <cell r="A297" t="str">
            <v>AUTO CNC MACHINE</v>
          </cell>
          <cell r="B297" t="str">
            <v>Group 1-Giridhar-Peenya</v>
          </cell>
        </row>
        <row r="298">
          <cell r="A298" t="str">
            <v>Auto Components</v>
          </cell>
          <cell r="B298" t="str">
            <v>Group 1-Giridhar-Peenya</v>
          </cell>
        </row>
        <row r="299">
          <cell r="A299" t="str">
            <v>AUTO GEAR SERVICE AND SPARES</v>
          </cell>
          <cell r="B299" t="str">
            <v>Group-2 (Veeresh- Bomsdr+Hosur)</v>
          </cell>
        </row>
        <row r="300">
          <cell r="A300" t="str">
            <v>Auto Mac Diesels</v>
          </cell>
          <cell r="B300" t="str">
            <v>Group-4 ( Office Account)</v>
          </cell>
        </row>
        <row r="301">
          <cell r="A301" t="str">
            <v>Auto Tec Systems Pvt Ltd</v>
          </cell>
          <cell r="B301" t="str">
            <v>Group-2 (Veeresh- Bomsdr+Hosur)</v>
          </cell>
        </row>
        <row r="302">
          <cell r="A302" t="str">
            <v>AUTOCONZ CONSULTING GROUP</v>
          </cell>
          <cell r="B302" t="str">
            <v>Group-4 ( Office Account)</v>
          </cell>
        </row>
        <row r="303">
          <cell r="A303" t="str">
            <v>AUTOEDGE ADVANCED AUTOMATION TECHNOLOGIES PRIVATE LIMITED</v>
          </cell>
          <cell r="B303" t="str">
            <v>Group-2 (Veeresh- Bomsdr+Hosur)</v>
          </cell>
        </row>
        <row r="304">
          <cell r="A304" t="str">
            <v>Autoedge Advanced Automation Technologies Pvt. Ltd.</v>
          </cell>
          <cell r="B304" t="str">
            <v>Group-2 (Veeresh- Bomsdr+Hosur)</v>
          </cell>
        </row>
        <row r="305">
          <cell r="A305" t="str">
            <v>Autoedge Engineering Products &amp; Services Pvt.Ltd.</v>
          </cell>
          <cell r="B305" t="str">
            <v>Group 1-Giridhar-Peenya</v>
          </cell>
        </row>
        <row r="306">
          <cell r="A306" t="str">
            <v>AUTOHIV PRIVATE LIMITED</v>
          </cell>
          <cell r="B306" t="str">
            <v>Group-2 (Veeresh- Bomsdr+Hosur)</v>
          </cell>
        </row>
        <row r="307">
          <cell r="A307" t="str">
            <v>Autoliv IFB India Pvt.Ltd</v>
          </cell>
          <cell r="B307" t="str">
            <v>Group - 5 (Ananthapadmanabha)</v>
          </cell>
        </row>
        <row r="308">
          <cell r="A308" t="str">
            <v>Autoliv India Pvt Ltd</v>
          </cell>
          <cell r="B308" t="str">
            <v>Group - 5 (Ananthapadmanabha)</v>
          </cell>
        </row>
        <row r="309">
          <cell r="A309" t="str">
            <v>AUTOMAG INDIA PVT LTD.</v>
          </cell>
          <cell r="B309" t="str">
            <v>Group-4 ( Office Account)</v>
          </cell>
        </row>
        <row r="310">
          <cell r="A310" t="str">
            <v>AUTOMATION POINT</v>
          </cell>
          <cell r="B310" t="str">
            <v>Online Business</v>
          </cell>
        </row>
        <row r="311">
          <cell r="A311" t="str">
            <v>Automation Trading Corporation (Mnfg )</v>
          </cell>
          <cell r="B311" t="str">
            <v>Group - 5 (Ananthapadmanabha)</v>
          </cell>
        </row>
        <row r="312">
          <cell r="A312" t="str">
            <v>Automaton And General Electric</v>
          </cell>
          <cell r="B312" t="str">
            <v>Group-4 ( Office Account)</v>
          </cell>
        </row>
        <row r="313">
          <cell r="A313" t="str">
            <v>Automotive Axies Limited</v>
          </cell>
          <cell r="B313" t="str">
            <v>Group-4 ( Office Account)</v>
          </cell>
        </row>
        <row r="314">
          <cell r="A314" t="str">
            <v>AUTOMOTIVE TEST SYSTEMS (B)</v>
          </cell>
          <cell r="B314" t="str">
            <v>Group - 5 (Ananthapadmanabha)</v>
          </cell>
        </row>
        <row r="315">
          <cell r="A315" t="str">
            <v>AUTOMOTIVE TEST SYSTEMS (C)</v>
          </cell>
          <cell r="B315" t="str">
            <v>Group-4 ( Office Account)</v>
          </cell>
        </row>
        <row r="316">
          <cell r="A316" t="str">
            <v>Autsol Automation Solutions Pvt. Ltd.,</v>
          </cell>
          <cell r="B316" t="str">
            <v>Group-4 ( Office Account)</v>
          </cell>
        </row>
        <row r="317">
          <cell r="A317" t="str">
            <v>AV TECH</v>
          </cell>
          <cell r="B317" t="str">
            <v>Group-4 ( Office Account)</v>
          </cell>
        </row>
        <row r="318">
          <cell r="A318" t="str">
            <v>AVANI ENTERPRISES</v>
          </cell>
          <cell r="B318" t="str">
            <v>Group-4 ( Office Account)</v>
          </cell>
        </row>
        <row r="319">
          <cell r="A319" t="str">
            <v>AVANTEL LIMITED</v>
          </cell>
          <cell r="B319" t="str">
            <v>Online Business</v>
          </cell>
        </row>
        <row r="320">
          <cell r="A320" t="str">
            <v>Avasarala Technologies Limited</v>
          </cell>
          <cell r="B320" t="str">
            <v>Group-4 ( Office Account)</v>
          </cell>
        </row>
        <row r="321">
          <cell r="A321" t="str">
            <v>Avasarala Technologies Ltd  ( EOU)</v>
          </cell>
          <cell r="B321" t="str">
            <v>Group-4 ( Office Account)</v>
          </cell>
        </row>
        <row r="322">
          <cell r="A322" t="str">
            <v>AVIATE</v>
          </cell>
          <cell r="B322" t="str">
            <v>Group 1-Giridhar-Peenya</v>
          </cell>
        </row>
        <row r="323">
          <cell r="A323" t="str">
            <v>AVINYA VENTURES PRIVATE LIMITED</v>
          </cell>
          <cell r="B323" t="str">
            <v>Group-4 ( Office Account)</v>
          </cell>
        </row>
        <row r="324">
          <cell r="A324" t="str">
            <v>AVIRATA DEFENCE SYSTEMS LIMITED</v>
          </cell>
          <cell r="B324" t="str">
            <v>Group - 5 (Ananthapadmanabha)</v>
          </cell>
        </row>
        <row r="325">
          <cell r="A325" t="str">
            <v>AVIRATA DEFENCE SYSTEMS LIMITED (M)</v>
          </cell>
          <cell r="B325" t="str">
            <v>Group - 5 (Ananthapadmanabha)</v>
          </cell>
        </row>
        <row r="326">
          <cell r="A326" t="str">
            <v>AVONE TECH SOLUTIONS</v>
          </cell>
          <cell r="B326" t="str">
            <v>Group 1-Giridhar-Peenya</v>
          </cell>
        </row>
        <row r="327">
          <cell r="A327" t="str">
            <v>AVONIX ELECTRIC PRIVATE LIMITED (2019-20)</v>
          </cell>
          <cell r="B327" t="str">
            <v>Group-4 ( Office Account)</v>
          </cell>
        </row>
        <row r="328">
          <cell r="A328" t="str">
            <v>Avr Electronics Pvt  Ltd</v>
          </cell>
          <cell r="B328" t="str">
            <v>Group-4 ( Office Account)</v>
          </cell>
        </row>
        <row r="329">
          <cell r="A329" t="str">
            <v>AVR ENTERPRISES</v>
          </cell>
          <cell r="B329" t="str">
            <v>Group-4 ( Office Account)</v>
          </cell>
        </row>
        <row r="330">
          <cell r="A330" t="str">
            <v>AWARE SAFETY TECKNIQUES</v>
          </cell>
          <cell r="B330" t="str">
            <v>Group-4 ( Office Account)</v>
          </cell>
        </row>
        <row r="331">
          <cell r="A331" t="str">
            <v>Axiconn CNC Systems</v>
          </cell>
          <cell r="B331" t="str">
            <v>Group 1-Giridhar-Peenya</v>
          </cell>
        </row>
        <row r="332">
          <cell r="A332" t="str">
            <v>Axiom Propack Pvt. Ltd.,</v>
          </cell>
          <cell r="B332" t="str">
            <v>Group - 5 (Ananthapadmanabha)</v>
          </cell>
        </row>
        <row r="333">
          <cell r="A333" t="str">
            <v>AXIS Allianz</v>
          </cell>
          <cell r="B333" t="str">
            <v>Group-4 ( Office Account)</v>
          </cell>
        </row>
        <row r="334">
          <cell r="A334" t="str">
            <v>Axis Automation</v>
          </cell>
          <cell r="B334" t="str">
            <v>Group 1-Giridhar-Peenya</v>
          </cell>
        </row>
        <row r="335">
          <cell r="A335" t="str">
            <v>Axis Controls &amp; Systems</v>
          </cell>
          <cell r="B335" t="str">
            <v>Group-4 ( Office Account)</v>
          </cell>
        </row>
        <row r="336">
          <cell r="A336" t="str">
            <v>Axis Technology Solutions</v>
          </cell>
          <cell r="B336" t="str">
            <v>Group - 5 (Ananthapadmanabha)</v>
          </cell>
        </row>
        <row r="337">
          <cell r="A337" t="str">
            <v>AXIS TRANSCO</v>
          </cell>
          <cell r="B337" t="str">
            <v>Group-4 ( Office Account)</v>
          </cell>
        </row>
        <row r="338">
          <cell r="A338" t="str">
            <v>AXIS TRANSCO (B)</v>
          </cell>
          <cell r="B338" t="str">
            <v>Group-2 (Veeresh- Bomsdr+Hosur)</v>
          </cell>
        </row>
        <row r="339">
          <cell r="A339" t="str">
            <v>AXISCADES AEROSPACE &amp; TECHNOLOGIES PRIVATE LIMITED</v>
          </cell>
          <cell r="B339" t="str">
            <v>Group-4 ( Office Account)</v>
          </cell>
        </row>
        <row r="340">
          <cell r="A340" t="str">
            <v>Axistech Automation Pvt. Ltd.,</v>
          </cell>
          <cell r="B340" t="str">
            <v>Group 1-Giridhar-Peenya</v>
          </cell>
        </row>
        <row r="341">
          <cell r="A341" t="str">
            <v>Azra Poultry Equipment</v>
          </cell>
          <cell r="B341" t="str">
            <v>Group-2 (Veeresh- Bomsdr+Hosur)</v>
          </cell>
        </row>
        <row r="342">
          <cell r="A342" t="str">
            <v>AzraS Poultry Equipment</v>
          </cell>
          <cell r="B342" t="str">
            <v>Group-4 ( Office Account)</v>
          </cell>
        </row>
        <row r="343">
          <cell r="A343" t="str">
            <v>Azure Power India Pvt  Ltd</v>
          </cell>
          <cell r="B343" t="str">
            <v>Group-4 ( Office Account)</v>
          </cell>
        </row>
        <row r="344">
          <cell r="A344" t="str">
            <v>B M  Electrical Enterprises</v>
          </cell>
          <cell r="B344" t="str">
            <v>Group-4 ( Office Account)</v>
          </cell>
        </row>
        <row r="345">
          <cell r="A345" t="str">
            <v>B M M ISPAT LIMITED</v>
          </cell>
          <cell r="B345" t="str">
            <v>Group-4 ( Office Account)</v>
          </cell>
        </row>
        <row r="346">
          <cell r="A346" t="str">
            <v>B N R ENTERPRISES</v>
          </cell>
          <cell r="B346" t="str">
            <v>Online Business</v>
          </cell>
        </row>
        <row r="347">
          <cell r="A347" t="str">
            <v>B R Logic Controls</v>
          </cell>
          <cell r="B347" t="str">
            <v>Group-4 ( Office Account)</v>
          </cell>
        </row>
        <row r="348">
          <cell r="A348" t="str">
            <v>B V Enterprises</v>
          </cell>
          <cell r="B348" t="str">
            <v>Group-2 (Veeresh- Bomsdr+Hosur)</v>
          </cell>
        </row>
        <row r="349">
          <cell r="A349" t="str">
            <v>B&amp;B GLOBLE ENTERPRISES</v>
          </cell>
          <cell r="B349" t="str">
            <v>Group-4 ( Office Account)</v>
          </cell>
        </row>
        <row r="350">
          <cell r="A350" t="str">
            <v>B. G. SHIRKE CONSTRUCTION TECHNOLOGY PVT. LTD (C)</v>
          </cell>
          <cell r="B350" t="str">
            <v>Group-4 ( Office Account)</v>
          </cell>
        </row>
        <row r="351">
          <cell r="A351" t="str">
            <v>B.S.V Industries</v>
          </cell>
          <cell r="B351" t="str">
            <v>Group-4 ( Office Account)</v>
          </cell>
        </row>
        <row r="352">
          <cell r="A352" t="str">
            <v>Babu Reddy</v>
          </cell>
          <cell r="B352" t="str">
            <v>Group-2 (Veeresh- Bomsdr+Hosur)</v>
          </cell>
        </row>
        <row r="353">
          <cell r="A353" t="str">
            <v>BAGMAN MACHINERY PRIVATE LIMITED</v>
          </cell>
          <cell r="B353" t="str">
            <v>Group-4 ( Office Account)</v>
          </cell>
        </row>
        <row r="354">
          <cell r="A354" t="str">
            <v>BAHUCHAR ENGINEERS</v>
          </cell>
          <cell r="B354" t="str">
            <v>Group-4 ( Office Account)</v>
          </cell>
        </row>
        <row r="355">
          <cell r="A355" t="str">
            <v>Balaji  Automation</v>
          </cell>
          <cell r="B355" t="str">
            <v>Group 1-Giridhar-Peenya</v>
          </cell>
        </row>
        <row r="356">
          <cell r="A356" t="str">
            <v>Balaji Autotech Pvt  Ltd</v>
          </cell>
          <cell r="B356" t="str">
            <v>Group-4 ( Office Account)</v>
          </cell>
        </row>
        <row r="357">
          <cell r="A357" t="str">
            <v>BALAJI ELECTRICALS (Hu)</v>
          </cell>
          <cell r="B357" t="str">
            <v>Group-4 ( Office Account)</v>
          </cell>
        </row>
        <row r="358">
          <cell r="A358" t="str">
            <v>BALAJI ELECTRO CONTROLS PVT.LTD</v>
          </cell>
          <cell r="B358" t="str">
            <v>Group 1-Giridhar-Peenya</v>
          </cell>
        </row>
        <row r="359">
          <cell r="A359" t="str">
            <v>Balaji Industrial Supplier</v>
          </cell>
          <cell r="B359" t="str">
            <v>Group 1-Giridhar-Peenya</v>
          </cell>
        </row>
        <row r="360">
          <cell r="A360" t="str">
            <v>Balmer Lawrie - Van Leer Limited</v>
          </cell>
          <cell r="B360" t="str">
            <v>Group-2 (Veeresh- Bomsdr+Hosur)</v>
          </cell>
        </row>
        <row r="361">
          <cell r="A361" t="str">
            <v>BANASHANKARI ELECTRICALS</v>
          </cell>
          <cell r="B361" t="str">
            <v>Group 1-Giridhar-Peenya</v>
          </cell>
        </row>
        <row r="362">
          <cell r="A362" t="str">
            <v>BANASHANKARI ENTERPRISES</v>
          </cell>
          <cell r="B362" t="str">
            <v>Group-4 ( Office Account)</v>
          </cell>
        </row>
        <row r="363">
          <cell r="A363" t="str">
            <v>Bando(India) Pvt  Ltd</v>
          </cell>
          <cell r="B363" t="str">
            <v>Group-4 ( Office Account)</v>
          </cell>
        </row>
        <row r="364">
          <cell r="A364" t="str">
            <v>BANGALORE ARMY STORE</v>
          </cell>
          <cell r="B364" t="str">
            <v>Group - 5 (Ananthapadmanabha)</v>
          </cell>
        </row>
        <row r="365">
          <cell r="A365" t="str">
            <v>Bangalore Biotech Labs Pvt Ltd</v>
          </cell>
          <cell r="B365" t="str">
            <v>Group - 5 (Ananthapadmanabha)</v>
          </cell>
        </row>
        <row r="366">
          <cell r="A366" t="str">
            <v>Bangalore Integrated System Solutions</v>
          </cell>
          <cell r="B366" t="str">
            <v>Group 1-Giridhar-Peenya</v>
          </cell>
        </row>
        <row r="367">
          <cell r="A367" t="str">
            <v>Bangalore Pneumatics</v>
          </cell>
          <cell r="B367" t="str">
            <v>Group - 5 (Ananthapadmanabha)</v>
          </cell>
        </row>
        <row r="368">
          <cell r="A368" t="str">
            <v>Bangalore Turf Club</v>
          </cell>
          <cell r="B368" t="str">
            <v>Group - 5 (Ananthapadmanabha)</v>
          </cell>
        </row>
        <row r="369">
          <cell r="A369" t="str">
            <v>BANSAL ARADHYA STEEL PVT LTD</v>
          </cell>
          <cell r="B369" t="str">
            <v>Online Business</v>
          </cell>
        </row>
        <row r="370">
          <cell r="A370" t="str">
            <v>Bansal Wire Industries Ltd., Unit III</v>
          </cell>
          <cell r="B370" t="str">
            <v>Group-4 ( Office Account)</v>
          </cell>
        </row>
        <row r="371">
          <cell r="A371" t="str">
            <v>BARRACODA LLP</v>
          </cell>
          <cell r="B371" t="str">
            <v>Group - 5 (Ananthapadmanabha)</v>
          </cell>
        </row>
        <row r="372">
          <cell r="A372" t="str">
            <v>Bastian Solution India Pvt  Ltd</v>
          </cell>
          <cell r="B372" t="str">
            <v>Group - 5 (Ananthapadmanabha)</v>
          </cell>
        </row>
        <row r="373">
          <cell r="A373" t="str">
            <v>Bastian Solution India Pvt  Ltd (Ko)</v>
          </cell>
          <cell r="B373" t="str">
            <v>Group - 5 (Ananthapadmanabha)</v>
          </cell>
        </row>
        <row r="374">
          <cell r="A374" t="str">
            <v>Batliboi Engineers (SPM)</v>
          </cell>
          <cell r="B374" t="str">
            <v>Group-2 (Veeresh- Bomsdr+Hosur)</v>
          </cell>
        </row>
        <row r="375">
          <cell r="A375" t="str">
            <v>Bator Technologies Pvt. Ltd.,</v>
          </cell>
          <cell r="B375" t="str">
            <v>Group-4 ( Office Account)</v>
          </cell>
        </row>
        <row r="376">
          <cell r="A376" t="str">
            <v>Bdi India Private Limited</v>
          </cell>
          <cell r="B376" t="str">
            <v>Group-4 ( Office Account)</v>
          </cell>
        </row>
        <row r="377">
          <cell r="A377" t="str">
            <v>BE Pharmaceuticals Private Limited</v>
          </cell>
          <cell r="B377" t="str">
            <v>Group-4 ( Office Account)</v>
          </cell>
        </row>
        <row r="378">
          <cell r="A378" t="str">
            <v>Bemco Hydraulics Limited</v>
          </cell>
          <cell r="B378" t="str">
            <v>Group-4 ( Office Account)</v>
          </cell>
        </row>
        <row r="379">
          <cell r="A379" t="str">
            <v>Best Industrial Electricals (I) Pvt Ltd</v>
          </cell>
          <cell r="B379" t="str">
            <v>Group-4 ( Office Account)</v>
          </cell>
        </row>
        <row r="380">
          <cell r="A380" t="str">
            <v>BG Shirke Construction Tech Pvt. Ltd., (AP)</v>
          </cell>
          <cell r="B380" t="str">
            <v>Group - 5 (Ananthapadmanabha)</v>
          </cell>
        </row>
        <row r="381">
          <cell r="A381" t="str">
            <v>BG Shirke Construction Technology Pvt. Ltd.,</v>
          </cell>
          <cell r="B381" t="str">
            <v>Group - 5 (Ananthapadmanabha)</v>
          </cell>
        </row>
        <row r="382">
          <cell r="A382" t="str">
            <v>Bhagirath Construction Company</v>
          </cell>
          <cell r="B382" t="str">
            <v>Group - 5 (Ananthapadmanabha)</v>
          </cell>
        </row>
        <row r="383">
          <cell r="A383" t="str">
            <v>BHAIRAVESHWARA CONTROL SYSTEMS</v>
          </cell>
          <cell r="B383" t="str">
            <v>Group-4 ( Office Account)</v>
          </cell>
        </row>
        <row r="384">
          <cell r="A384" t="str">
            <v>Bhanu Enterprises</v>
          </cell>
          <cell r="B384" t="str">
            <v>Group-4 ( Office Account)</v>
          </cell>
        </row>
        <row r="385">
          <cell r="A385" t="str">
            <v>Bharadwaj Electrical Company</v>
          </cell>
          <cell r="B385" t="str">
            <v>Group-4 ( Office Account)</v>
          </cell>
        </row>
        <row r="386">
          <cell r="A386" t="str">
            <v>BHARANI ELECTRIC COMPANY</v>
          </cell>
          <cell r="B386" t="str">
            <v>Group-4 ( Office Account)</v>
          </cell>
        </row>
        <row r="387">
          <cell r="A387" t="str">
            <v>BHARANI ELECTRICALS</v>
          </cell>
          <cell r="B387" t="str">
            <v>Group-4 ( Office Account)</v>
          </cell>
        </row>
        <row r="388">
          <cell r="A388" t="str">
            <v>BHARANI TECHNOLOGIES</v>
          </cell>
          <cell r="B388" t="str">
            <v>Group-2 (Veeresh- Bomsdr+Hosur)</v>
          </cell>
        </row>
        <row r="389">
          <cell r="A389" t="str">
            <v>Bharat Earth Movers Ltd (BLR)</v>
          </cell>
          <cell r="B389" t="str">
            <v>Group - 5 (Ananthapadmanabha)</v>
          </cell>
        </row>
        <row r="390">
          <cell r="A390" t="str">
            <v>Bharat Earth Movers Ltd (Mys )</v>
          </cell>
          <cell r="B390" t="str">
            <v>Group-2 (Veeresh- Bomsdr+Hosur)</v>
          </cell>
        </row>
        <row r="391">
          <cell r="A391" t="str">
            <v>BHARAT ELECTRONICS</v>
          </cell>
          <cell r="B391" t="str">
            <v>Group-2 (Veeresh- Bomsdr+Hosur)</v>
          </cell>
        </row>
        <row r="392">
          <cell r="A392" t="str">
            <v>Bharat Electronics Ltd</v>
          </cell>
          <cell r="B392" t="str">
            <v>Group - 5 (Ananthapadmanabha)</v>
          </cell>
        </row>
        <row r="393">
          <cell r="A393" t="str">
            <v>Bharat Fritz Werner Limited</v>
          </cell>
          <cell r="B393" t="str">
            <v>Group 1-Giridhar-Peenya</v>
          </cell>
        </row>
        <row r="394">
          <cell r="A394" t="str">
            <v>Bharat Heavy Electricals Limited</v>
          </cell>
          <cell r="B394" t="str">
            <v>Group-2 (Veeresh- Bomsdr+Hosur)</v>
          </cell>
        </row>
        <row r="395">
          <cell r="A395" t="str">
            <v>Bharath Auto Cables Pvt  Ltd</v>
          </cell>
          <cell r="B395" t="str">
            <v>Group-4 ( Office Account)</v>
          </cell>
        </row>
        <row r="396">
          <cell r="A396" t="str">
            <v>BHARATH ELECTRONICS LIMITED(G)</v>
          </cell>
          <cell r="B396" t="str">
            <v>Group-4 ( Office Account)</v>
          </cell>
        </row>
        <row r="397">
          <cell r="A397" t="str">
            <v>Bharath Enterprises</v>
          </cell>
          <cell r="B397" t="str">
            <v>Group-4 ( Office Account)</v>
          </cell>
        </row>
        <row r="398">
          <cell r="A398" t="str">
            <v>Bharathi Engineering</v>
          </cell>
          <cell r="B398" t="str">
            <v>Group 1-Giridhar-Peenya</v>
          </cell>
        </row>
        <row r="399">
          <cell r="A399" t="str">
            <v>Bharatiya Reserve Bank Note Mudran (P) Limited</v>
          </cell>
          <cell r="B399" t="str">
            <v>Group-2 (Veeresh- Bomsdr+Hosur)</v>
          </cell>
        </row>
        <row r="400">
          <cell r="A400" t="str">
            <v>BHASKARA Power Controls &amp; Services</v>
          </cell>
          <cell r="B400" t="str">
            <v>Group 1-Giridhar-Peenya</v>
          </cell>
        </row>
        <row r="401">
          <cell r="A401" t="str">
            <v>Bhaskara Power Controls &amp; Services (Old)</v>
          </cell>
          <cell r="B401" t="str">
            <v>Group 1-Giridhar-Peenya</v>
          </cell>
        </row>
        <row r="402">
          <cell r="A402" t="str">
            <v>Bhavishya Enterprises</v>
          </cell>
          <cell r="B402" t="str">
            <v>Group-4 ( Office Account)</v>
          </cell>
        </row>
        <row r="403">
          <cell r="A403" t="str">
            <v>BHERAV ELECTRICALS</v>
          </cell>
          <cell r="B403" t="str">
            <v>Group-4 ( Office Account)</v>
          </cell>
        </row>
        <row r="404">
          <cell r="A404" t="str">
            <v>Bheru Electricals Industrial</v>
          </cell>
          <cell r="B404" t="str">
            <v>Group 1-Giridhar-Peenya</v>
          </cell>
        </row>
        <row r="405">
          <cell r="A405" t="str">
            <v>Bhoruka Aluminium Ltd.,</v>
          </cell>
          <cell r="B405" t="str">
            <v>Group-4 ( Office Account)</v>
          </cell>
        </row>
        <row r="406">
          <cell r="A406" t="str">
            <v>Bhoruka Extrusions Pvt Ltd</v>
          </cell>
          <cell r="B406" t="str">
            <v>Group-4 ( Office Account)</v>
          </cell>
        </row>
        <row r="407">
          <cell r="A407" t="str">
            <v>BHS-SONTHOFEN INDIA PRIVATE LIMITED</v>
          </cell>
          <cell r="B407" t="str">
            <v>Group-4 ( Office Account)</v>
          </cell>
        </row>
        <row r="408">
          <cell r="A408" t="str">
            <v>BHUMI ELECTRICALS</v>
          </cell>
          <cell r="B408" t="str">
            <v>Group-4 ( Office Account)</v>
          </cell>
        </row>
        <row r="409">
          <cell r="A409" t="str">
            <v>Bhumi Enterprises</v>
          </cell>
          <cell r="B409" t="str">
            <v>Online Business</v>
          </cell>
        </row>
        <row r="410">
          <cell r="A410" t="str">
            <v>BIESSE INDIA PRIVATE LIMITED</v>
          </cell>
          <cell r="B410" t="str">
            <v>Group 1-Giridhar-Peenya</v>
          </cell>
        </row>
        <row r="411">
          <cell r="A411" t="str">
            <v>Biesse Manufacturing Co Pvt Ltd   (Nagarur)</v>
          </cell>
          <cell r="B411" t="str">
            <v>Group 1-Giridhar-Peenya</v>
          </cell>
        </row>
        <row r="412">
          <cell r="A412" t="str">
            <v>Biesse Manufaturing Co Pvt Ltd (Peenya )</v>
          </cell>
          <cell r="B412" t="str">
            <v>Group 1-Giridhar-Peenya</v>
          </cell>
        </row>
        <row r="413">
          <cell r="A413" t="str">
            <v>BIG BELLY SALES CORPORATION</v>
          </cell>
          <cell r="B413" t="str">
            <v>Online Business</v>
          </cell>
        </row>
        <row r="414">
          <cell r="A414" t="str">
            <v>Bigleap Ventures &amp; Consultancy Services</v>
          </cell>
          <cell r="B414" t="str">
            <v>Group-2 (Veeresh- Bomsdr+Hosur)</v>
          </cell>
        </row>
        <row r="415">
          <cell r="A415" t="str">
            <v>Bilva Moulds Pvt  Ltd  -Unit I</v>
          </cell>
          <cell r="B415" t="str">
            <v>Group 1-Giridhar-Peenya</v>
          </cell>
        </row>
        <row r="416">
          <cell r="A416" t="str">
            <v>Biocon Biologics India Limited</v>
          </cell>
          <cell r="B416" t="str">
            <v>Group-2 (Veeresh- Bomsdr+Hosur)</v>
          </cell>
        </row>
        <row r="417">
          <cell r="A417" t="str">
            <v>Biocon Biologics Ltd, Unit-1</v>
          </cell>
          <cell r="B417" t="str">
            <v>Group-2 (Veeresh- Bomsdr+Hosur)</v>
          </cell>
        </row>
        <row r="418">
          <cell r="A418" t="str">
            <v>BIOCON LIMITED SEZ DEVELOPER</v>
          </cell>
          <cell r="B418" t="str">
            <v>Group-2 (Veeresh- Bomsdr+Hosur)</v>
          </cell>
        </row>
        <row r="419">
          <cell r="A419" t="str">
            <v>BIOCON LIMITED(100% EOU-RHI)</v>
          </cell>
          <cell r="B419" t="str">
            <v>Group-2 (Veeresh- Bomsdr+Hosur)</v>
          </cell>
        </row>
        <row r="420">
          <cell r="A420" t="str">
            <v>Biocon Ltd (Bomm)</v>
          </cell>
          <cell r="B420" t="str">
            <v>Group-2 (Veeresh- Bomsdr+Hosur)</v>
          </cell>
        </row>
        <row r="421">
          <cell r="A421" t="str">
            <v>BIOCON PHARMA LIMITED</v>
          </cell>
          <cell r="B421" t="str">
            <v>Group-2 (Veeresh- Bomsdr+Hosur)</v>
          </cell>
        </row>
        <row r="422">
          <cell r="A422" t="str">
            <v>Biofluid Control Systems</v>
          </cell>
          <cell r="B422" t="str">
            <v>Group - 5 (Ananthapadmanabha)</v>
          </cell>
        </row>
        <row r="423">
          <cell r="A423" t="str">
            <v>Biosafe Solutions</v>
          </cell>
          <cell r="B423" t="str">
            <v>Group-2 (Veeresh- Bomsdr+Hosur)</v>
          </cell>
        </row>
        <row r="424">
          <cell r="A424" t="str">
            <v>BIRLA CORPORATION LIMITED</v>
          </cell>
          <cell r="B424" t="str">
            <v>Group-4 ( Office Account)</v>
          </cell>
        </row>
        <row r="425">
          <cell r="A425" t="str">
            <v>BIZFLAIR VENTURES PRIVATE LIMITED</v>
          </cell>
          <cell r="B425" t="str">
            <v>Group 1-Giridhar-Peenya</v>
          </cell>
        </row>
        <row r="426">
          <cell r="A426" t="str">
            <v>BlauPlug Innovations Private Limited</v>
          </cell>
          <cell r="B426" t="str">
            <v>Group - 5 (Ananthapadmanabha)</v>
          </cell>
        </row>
        <row r="427">
          <cell r="A427" t="str">
            <v>BlauPlug Innovations Pvt. Ltd., (M)</v>
          </cell>
          <cell r="B427" t="str">
            <v>Group - 5 (Ananthapadmanabha)</v>
          </cell>
        </row>
        <row r="428">
          <cell r="A428" t="str">
            <v>BLUE BELL ELECTRONICS</v>
          </cell>
          <cell r="B428" t="str">
            <v>Online Business</v>
          </cell>
        </row>
        <row r="429">
          <cell r="A429" t="str">
            <v>BLUESTONE ELECTRICAL SERVICE</v>
          </cell>
          <cell r="B429" t="str">
            <v>Group-2 (Veeresh- Bomsdr+Hosur)</v>
          </cell>
        </row>
        <row r="430">
          <cell r="A430" t="str">
            <v>BMS College of Engineering</v>
          </cell>
          <cell r="B430" t="str">
            <v>Group-4 ( Office Account)</v>
          </cell>
        </row>
        <row r="431">
          <cell r="A431" t="str">
            <v>Bnb Security &amp; Automation Solutions (P) Ltd</v>
          </cell>
          <cell r="B431" t="str">
            <v>Group - 5 (Ananthapadmanabha)</v>
          </cell>
        </row>
        <row r="432">
          <cell r="A432" t="str">
            <v>BNR CONNEX PRIVATE LIMITED</v>
          </cell>
          <cell r="B432" t="str">
            <v>Group-2 (Veeresh- Bomsdr+Hosur)</v>
          </cell>
        </row>
        <row r="433">
          <cell r="A433" t="str">
            <v>Bombay Machines</v>
          </cell>
          <cell r="B433" t="str">
            <v>Group 1-Giridhar-Peenya</v>
          </cell>
        </row>
        <row r="434">
          <cell r="A434" t="str">
            <v>Bombay Rayon Fashions Limited</v>
          </cell>
          <cell r="B434" t="str">
            <v>Group - 5 (Ananthapadmanabha)</v>
          </cell>
        </row>
        <row r="435">
          <cell r="A435" t="str">
            <v>BONA FIED DIGITAL SERVICES</v>
          </cell>
          <cell r="B435" t="str">
            <v>Group-2 (Veeresh- Bomsdr+Hosur)</v>
          </cell>
        </row>
        <row r="436">
          <cell r="A436" t="str">
            <v>BONAFIDE</v>
          </cell>
          <cell r="B436" t="str">
            <v>Group 1-Giridhar-Peenya</v>
          </cell>
        </row>
        <row r="437">
          <cell r="A437" t="str">
            <v>BONAFIDE (Old)</v>
          </cell>
          <cell r="B437" t="str">
            <v>Group-4 ( Office Account)</v>
          </cell>
        </row>
        <row r="438">
          <cell r="A438" t="str">
            <v>B-ONE Business House Pvt.Lt.,</v>
          </cell>
          <cell r="B438" t="str">
            <v>Group 1-Giridhar-Peenya</v>
          </cell>
        </row>
        <row r="439">
          <cell r="A439" t="str">
            <v>BONFIGLIOLI RENEWABLE POWER CONVERSION</v>
          </cell>
          <cell r="B439" t="str">
            <v>Group 1-Giridhar-Peenya</v>
          </cell>
        </row>
        <row r="440">
          <cell r="A440" t="str">
            <v>Bosch Limited</v>
          </cell>
          <cell r="B440" t="str">
            <v>Group-2 (Veeresh- Bomsdr+Hosur)</v>
          </cell>
        </row>
        <row r="441">
          <cell r="A441" t="str">
            <v>Bothra Shipping Services Pvt. Ltd.,</v>
          </cell>
          <cell r="B441" t="str">
            <v>Group-4 ( Office Account)</v>
          </cell>
        </row>
        <row r="442">
          <cell r="A442" t="str">
            <v>BPE BIOTREE INDIA PVT LTD</v>
          </cell>
          <cell r="B442" t="str">
            <v>Group - 5 (Ananthapadmanabha)</v>
          </cell>
        </row>
        <row r="443">
          <cell r="A443" t="str">
            <v>BrahMos Aerospace Thiruvananthapuram Ltd.,</v>
          </cell>
          <cell r="B443" t="str">
            <v>Group-4 ( Office Account)</v>
          </cell>
        </row>
        <row r="444">
          <cell r="A444" t="str">
            <v>BREWPAC ENGINEERING</v>
          </cell>
          <cell r="B444" t="str">
            <v>Group-2 (Veeresh- Bomsdr+Hosur)</v>
          </cell>
        </row>
        <row r="445">
          <cell r="A445" t="str">
            <v>BRICKS AND BLOCKS CONSTRUCTIONS</v>
          </cell>
          <cell r="B445" t="str">
            <v>Group 1-Giridhar-Peenya</v>
          </cell>
        </row>
        <row r="446">
          <cell r="A446" t="str">
            <v>Bright Star Agencies</v>
          </cell>
          <cell r="B446" t="str">
            <v>Group-4 ( Office Account)</v>
          </cell>
        </row>
        <row r="447">
          <cell r="A447" t="str">
            <v>BRINDAVAN ELECTRICALS</v>
          </cell>
          <cell r="B447" t="str">
            <v>Group 1-Giridhar-Peenya</v>
          </cell>
        </row>
        <row r="448">
          <cell r="A448" t="str">
            <v>Brisk Tech Engineers</v>
          </cell>
          <cell r="B448" t="str">
            <v>Group 1-Giridhar-Peenya</v>
          </cell>
        </row>
        <row r="449">
          <cell r="A449" t="str">
            <v>Brite Electricals And Enterprses</v>
          </cell>
          <cell r="B449" t="str">
            <v>Group 1-Giridhar-Peenya</v>
          </cell>
        </row>
        <row r="450">
          <cell r="A450" t="str">
            <v>Brite Engg  Control Switchgears Pvt  Ltd</v>
          </cell>
          <cell r="B450" t="str">
            <v>Group-4 ( Office Account)</v>
          </cell>
        </row>
        <row r="451">
          <cell r="A451" t="str">
            <v>BRONCO SYSTEMS</v>
          </cell>
          <cell r="B451" t="str">
            <v>Group-4 ( Office Account)</v>
          </cell>
        </row>
        <row r="452">
          <cell r="A452" t="str">
            <v>Brown House Baking Private Limited</v>
          </cell>
          <cell r="B452" t="str">
            <v>Group-4 ( Office Account)</v>
          </cell>
        </row>
        <row r="453">
          <cell r="A453" t="str">
            <v>Brown House Baking Pvt Ltd</v>
          </cell>
          <cell r="B453" t="str">
            <v>Group-4 ( Office Account)</v>
          </cell>
        </row>
        <row r="454">
          <cell r="A454" t="str">
            <v>Brown House Baking Pvt Ltd (G)</v>
          </cell>
          <cell r="B454" t="str">
            <v>Group-4 ( Office Account)</v>
          </cell>
        </row>
        <row r="455">
          <cell r="A455" t="str">
            <v>Brown House Baking Pvt Ltd (H)</v>
          </cell>
          <cell r="B455" t="str">
            <v>Group-4 ( Office Account)</v>
          </cell>
        </row>
        <row r="456">
          <cell r="A456" t="str">
            <v>Brown House Baking Pvt Ltd (P)</v>
          </cell>
          <cell r="B456" t="str">
            <v>Group-4 ( Office Account)</v>
          </cell>
        </row>
        <row r="457">
          <cell r="A457" t="str">
            <v>Brown House Baking Pvt.Ltd. (C)</v>
          </cell>
          <cell r="B457" t="str">
            <v>Group-4 ( Office Account)</v>
          </cell>
        </row>
        <row r="458">
          <cell r="A458" t="str">
            <v>BRS Enterprises</v>
          </cell>
          <cell r="B458" t="str">
            <v>Group-4 ( Office Account)</v>
          </cell>
        </row>
        <row r="459">
          <cell r="A459" t="str">
            <v>BS Electronics</v>
          </cell>
          <cell r="B459" t="str">
            <v>Group 1-Giridhar-Peenya</v>
          </cell>
        </row>
        <row r="460">
          <cell r="A460" t="str">
            <v>BSP ELECTRICAL CONTROL SYSTEMS</v>
          </cell>
          <cell r="B460" t="str">
            <v>Group-4 ( Office Account)</v>
          </cell>
        </row>
        <row r="461">
          <cell r="A461" t="str">
            <v>BSR Power Systems</v>
          </cell>
          <cell r="B461" t="str">
            <v>Group 1-Giridhar-Peenya</v>
          </cell>
        </row>
        <row r="462">
          <cell r="A462" t="str">
            <v>Buhler India Pvt Ltd</v>
          </cell>
          <cell r="B462" t="str">
            <v>Group-2 (Veeresh- Bomsdr+Hosur)</v>
          </cell>
        </row>
        <row r="463">
          <cell r="A463" t="str">
            <v>Busbar Systesms (India) Ltd</v>
          </cell>
          <cell r="B463" t="str">
            <v>Group 1-Giridhar-Peenya</v>
          </cell>
        </row>
        <row r="464">
          <cell r="A464" t="str">
            <v>C &amp; G ASSOCIATES</v>
          </cell>
          <cell r="B464" t="str">
            <v>Group - 5 (Ananthapadmanabha)</v>
          </cell>
        </row>
        <row r="465">
          <cell r="A465" t="str">
            <v>C Cube Systems</v>
          </cell>
          <cell r="B465" t="str">
            <v>Group 1-Giridhar-Peenya</v>
          </cell>
        </row>
        <row r="466">
          <cell r="A466" t="str">
            <v>C M T I</v>
          </cell>
          <cell r="B466" t="str">
            <v>Group 1-Giridhar-Peenya</v>
          </cell>
        </row>
        <row r="467">
          <cell r="A467" t="str">
            <v>C N C India Tools &amp; Services (P)Ltd</v>
          </cell>
          <cell r="B467" t="str">
            <v>Group 1-Giridhar-Peenya</v>
          </cell>
        </row>
        <row r="468">
          <cell r="A468" t="str">
            <v>C SQUARE</v>
          </cell>
          <cell r="B468" t="str">
            <v>Group-4 ( Office Account)</v>
          </cell>
        </row>
        <row r="469">
          <cell r="A469" t="str">
            <v>C.V CONTROLS</v>
          </cell>
          <cell r="B469" t="str">
            <v>Online Business</v>
          </cell>
        </row>
        <row r="470">
          <cell r="A470" t="str">
            <v>Cadbury Company ( Kraft Food)</v>
          </cell>
          <cell r="B470" t="str">
            <v>Group - 5 (Ananthapadmanabha)</v>
          </cell>
        </row>
        <row r="471">
          <cell r="A471" t="str">
            <v>CAJO TECHNOLOGIES INDIA PRIVATE LIMITED</v>
          </cell>
          <cell r="B471" t="str">
            <v>Group-4 ( Office Account)</v>
          </cell>
        </row>
        <row r="472">
          <cell r="A472" t="str">
            <v>CAM DUCT INDIA PRIVATE LIMITED</v>
          </cell>
          <cell r="B472" t="str">
            <v>Group-2 (Veeresh- Bomsdr+Hosur)</v>
          </cell>
        </row>
        <row r="473">
          <cell r="A473" t="str">
            <v>Campco Chocolate Factory</v>
          </cell>
          <cell r="B473" t="str">
            <v>Online Business</v>
          </cell>
        </row>
        <row r="474">
          <cell r="A474" t="str">
            <v>Campco Limited</v>
          </cell>
          <cell r="B474" t="str">
            <v>Group-4 ( Office Account)</v>
          </cell>
        </row>
        <row r="475">
          <cell r="A475" t="str">
            <v>Canara Lighting Industries Ltd</v>
          </cell>
          <cell r="B475" t="str">
            <v>Group-4 ( Office Account)</v>
          </cell>
        </row>
        <row r="476">
          <cell r="A476" t="str">
            <v>Canon Weighing System S (P) Ltd</v>
          </cell>
          <cell r="B476" t="str">
            <v>Group-4 ( Office Account)</v>
          </cell>
        </row>
        <row r="477">
          <cell r="A477" t="str">
            <v>Capital Engg.Corporation</v>
          </cell>
          <cell r="B477" t="str">
            <v>Group-4 ( Office Account)</v>
          </cell>
        </row>
        <row r="478">
          <cell r="A478" t="str">
            <v>Captronic Systems Private Limited</v>
          </cell>
          <cell r="B478" t="str">
            <v>Group - 5 (Ananthapadmanabha)</v>
          </cell>
        </row>
        <row r="479">
          <cell r="A479" t="str">
            <v>Captronic Systems Pvt Ltd (OLD)</v>
          </cell>
          <cell r="B479" t="str">
            <v>Group - 5 (Ananthapadmanabha)</v>
          </cell>
        </row>
        <row r="480">
          <cell r="A480" t="str">
            <v>Captronic Systems Pvt. Ltd., (C)</v>
          </cell>
          <cell r="B480" t="str">
            <v>Group - 5 (Ananthapadmanabha)</v>
          </cell>
        </row>
        <row r="481">
          <cell r="A481" t="str">
            <v>Carl Zeiss India (Bangalore) Pvt. Ltd.</v>
          </cell>
          <cell r="B481" t="str">
            <v>Group-2 (Veeresh- Bomsdr+Hosur)</v>
          </cell>
        </row>
        <row r="482">
          <cell r="A482" t="str">
            <v>Carrier Airconditioning &amp; Refrigertion Ltd</v>
          </cell>
          <cell r="B482" t="str">
            <v>Group-4 ( Office Account)</v>
          </cell>
        </row>
        <row r="483">
          <cell r="A483" t="str">
            <v>Carrier Race Technologies Pvt Ltd</v>
          </cell>
          <cell r="B483" t="str">
            <v>Group-4 ( Office Account)</v>
          </cell>
        </row>
        <row r="484">
          <cell r="A484" t="str">
            <v>CARTENETICS SOLUTIONS PRIVATE LIMITED</v>
          </cell>
          <cell r="B484" t="str">
            <v>Group-2 (Veeresh- Bomsdr+Hosur)</v>
          </cell>
        </row>
        <row r="485">
          <cell r="A485" t="str">
            <v>Cartonal Machine India Private Limited</v>
          </cell>
          <cell r="B485" t="str">
            <v>Group 1-Giridhar-Peenya</v>
          </cell>
        </row>
        <row r="486">
          <cell r="A486" t="str">
            <v>Casa Grande Garden City Builders Pvt. Ltd.,</v>
          </cell>
          <cell r="B486" t="str">
            <v>Group - 5 (Ananthapadmanabha)</v>
          </cell>
        </row>
        <row r="487">
          <cell r="A487" t="str">
            <v>CAUVERI ENTERPRISES (MANDYA)</v>
          </cell>
          <cell r="B487" t="str">
            <v>Group-4 ( Office Account)</v>
          </cell>
        </row>
        <row r="488">
          <cell r="A488" t="str">
            <v>Cauvery Distributors</v>
          </cell>
          <cell r="B488" t="str">
            <v>Group-4 ( Office Account)</v>
          </cell>
        </row>
        <row r="489">
          <cell r="A489" t="str">
            <v>Cauvery Electricals</v>
          </cell>
          <cell r="B489" t="str">
            <v>Group-4 ( Office Account)</v>
          </cell>
        </row>
        <row r="490">
          <cell r="A490" t="str">
            <v>Cauvery Electricals Pvt.Ltd ( Cus )</v>
          </cell>
          <cell r="B490" t="str">
            <v>Group-4 ( Office Account)</v>
          </cell>
        </row>
        <row r="491">
          <cell r="A491" t="str">
            <v>Cauvery Enterprises</v>
          </cell>
          <cell r="B491" t="str">
            <v>Group-4 ( Office Account)</v>
          </cell>
        </row>
        <row r="492">
          <cell r="A492" t="str">
            <v>Cauvery Powers</v>
          </cell>
          <cell r="B492" t="str">
            <v>Group-4 ( Office Account)</v>
          </cell>
        </row>
        <row r="493">
          <cell r="A493" t="str">
            <v>CBR CONVENTION CENTRE</v>
          </cell>
          <cell r="B493" t="str">
            <v>Group - 5 (Ananthapadmanabha)</v>
          </cell>
        </row>
        <row r="494">
          <cell r="A494" t="str">
            <v>CBRE SOUTH ASIA PVT LTD (G)</v>
          </cell>
          <cell r="B494" t="str">
            <v>Group-4 ( Office Account)</v>
          </cell>
        </row>
        <row r="495">
          <cell r="A495" t="str">
            <v>CBRE South Asia Pvt. Ltd.,</v>
          </cell>
          <cell r="B495" t="str">
            <v>Group - 5 (Ananthapadmanabha)</v>
          </cell>
        </row>
        <row r="496">
          <cell r="A496" t="str">
            <v>CBRE South Asia Pvt. Ltd., (C)</v>
          </cell>
          <cell r="B496" t="str">
            <v>Group - 5 (Ananthapadmanabha)</v>
          </cell>
        </row>
        <row r="497">
          <cell r="A497" t="str">
            <v>CD Automation Pvt. Ltd.,</v>
          </cell>
          <cell r="B497" t="str">
            <v>Group-4 ( Office Account)</v>
          </cell>
        </row>
        <row r="498">
          <cell r="A498" t="str">
            <v>CDS NETWORKS</v>
          </cell>
          <cell r="B498" t="str">
            <v>Online Business</v>
          </cell>
        </row>
        <row r="499">
          <cell r="A499" t="str">
            <v>Ceetech Automations</v>
          </cell>
          <cell r="B499" t="str">
            <v>Group 1-Giridhar-Peenya</v>
          </cell>
        </row>
        <row r="500">
          <cell r="A500" t="str">
            <v>Celebrity Structures India Pvt Ltd</v>
          </cell>
          <cell r="B500" t="str">
            <v>Group-2 (Veeresh- Bomsdr+Hosur)</v>
          </cell>
        </row>
        <row r="501">
          <cell r="A501" t="str">
            <v>Cenlub Industries Ltd</v>
          </cell>
          <cell r="B501" t="str">
            <v>Group 1-Giridhar-Peenya</v>
          </cell>
        </row>
        <row r="502">
          <cell r="A502" t="str">
            <v>Central Manufacturing Technology Institute</v>
          </cell>
          <cell r="B502" t="str">
            <v>Group 1-Giridhar-Peenya</v>
          </cell>
        </row>
        <row r="503">
          <cell r="A503" t="str">
            <v>Central Power Research Institute</v>
          </cell>
          <cell r="B503" t="str">
            <v>Group-4 ( Office Account)</v>
          </cell>
        </row>
        <row r="504">
          <cell r="A504" t="str">
            <v>CENTROTHERM INDIA PRIVATE LIMITED</v>
          </cell>
          <cell r="B504" t="str">
            <v>Group-4 ( Office Account)</v>
          </cell>
        </row>
        <row r="505">
          <cell r="A505" t="str">
            <v>Ceramed Engineers Pvt Ltd</v>
          </cell>
          <cell r="B505" t="str">
            <v>Group 1-Giridhar-Peenya</v>
          </cell>
        </row>
        <row r="506">
          <cell r="A506" t="str">
            <v>Ceratizit India Round Tool Solutions Pvt. Ltd.,</v>
          </cell>
          <cell r="B506" t="str">
            <v>Group-2 (Veeresh- Bomsdr+Hosur)</v>
          </cell>
        </row>
        <row r="507">
          <cell r="A507" t="str">
            <v>CGI INFORMATION SYSTEMS &amp; MANAGEMENT CONSULTANTS PVT LTD</v>
          </cell>
          <cell r="B507" t="str">
            <v>Group-2 (Veeresh- Bomsdr+Hosur)</v>
          </cell>
        </row>
        <row r="508">
          <cell r="A508" t="str">
            <v xml:space="preserve">CGI INFORMATION SYSTEMS AND MANAGEMENT CONSULTANT PVT LTD (CH)_x000D_
</v>
          </cell>
          <cell r="B508" t="str">
            <v>Group-2 (Veeresh- Bomsdr+Hosur)</v>
          </cell>
        </row>
        <row r="509">
          <cell r="A509" t="str">
            <v>Chaitanya Hi-Tech Engg Pvt Ltd</v>
          </cell>
          <cell r="B509" t="str">
            <v>Group 1-Giridhar-Peenya</v>
          </cell>
        </row>
        <row r="510">
          <cell r="A510" t="str">
            <v>Chaitanya Power Controls</v>
          </cell>
          <cell r="B510" t="str">
            <v>Group 1-Giridhar-Peenya</v>
          </cell>
        </row>
        <row r="511">
          <cell r="A511" t="str">
            <v>CHAITHANYA COMPONENTS</v>
          </cell>
          <cell r="B511" t="str">
            <v>Group-4 ( Office Account)</v>
          </cell>
        </row>
        <row r="512">
          <cell r="A512" t="str">
            <v>CHAITHANYA ENTERPRISES</v>
          </cell>
          <cell r="B512" t="str">
            <v>Group-4 ( Office Account)</v>
          </cell>
        </row>
        <row r="513">
          <cell r="A513" t="str">
            <v>Chandan Electricals</v>
          </cell>
          <cell r="B513" t="str">
            <v>Group-4 ( Office Account)</v>
          </cell>
        </row>
        <row r="514">
          <cell r="A514" t="str">
            <v>CHANDAN INDUSTRIES</v>
          </cell>
          <cell r="B514" t="str">
            <v>Group 1-Giridhar-Peenya</v>
          </cell>
        </row>
        <row r="515">
          <cell r="A515" t="str">
            <v>Chandra Lamp Shades</v>
          </cell>
          <cell r="B515" t="str">
            <v>Group-4 ( Office Account)</v>
          </cell>
        </row>
        <row r="516">
          <cell r="A516" t="str">
            <v>Chandru Electricals</v>
          </cell>
          <cell r="B516" t="str">
            <v>Group 1-Giridhar-Peenya</v>
          </cell>
        </row>
        <row r="517">
          <cell r="A517" t="str">
            <v>Charoen Pokphand (India) Pvt  Ltd</v>
          </cell>
          <cell r="B517" t="str">
            <v>Group-4 ( Office Account)</v>
          </cell>
        </row>
        <row r="518">
          <cell r="A518" t="str">
            <v>CHAYAGRAPHICS INDIA P. LTD.</v>
          </cell>
          <cell r="B518" t="str">
            <v>Group-2 (Veeresh- Bomsdr+Hosur)</v>
          </cell>
        </row>
        <row r="519">
          <cell r="A519" t="str">
            <v>CHEFX LABS INDIA PRIVATE LIMITED</v>
          </cell>
          <cell r="B519" t="str">
            <v>Group - 5 (Ananthapadmanabha)</v>
          </cell>
        </row>
        <row r="520">
          <cell r="A520" t="str">
            <v>CHEFX LABS INDIA PRIVATE LIMITED (Old)</v>
          </cell>
          <cell r="B520" t="str">
            <v>Group - 5 (Ananthapadmanabha)</v>
          </cell>
        </row>
        <row r="521">
          <cell r="A521" t="str">
            <v>Chetan Consultancy</v>
          </cell>
          <cell r="B521" t="str">
            <v>Group-4 ( Office Account)</v>
          </cell>
        </row>
        <row r="522">
          <cell r="A522" t="str">
            <v>Chetan Fab Construction</v>
          </cell>
          <cell r="B522" t="str">
            <v>Group-2 (Veeresh- Bomsdr+Hosur)</v>
          </cell>
        </row>
        <row r="523">
          <cell r="A523" t="str">
            <v>CHETAN KUMAR D M</v>
          </cell>
          <cell r="B523" t="str">
            <v>Online Business</v>
          </cell>
        </row>
        <row r="524">
          <cell r="A524" t="str">
            <v>CHINDALIA DISTRI BUTORS</v>
          </cell>
          <cell r="B524" t="str">
            <v>Group-4 ( Office Account)</v>
          </cell>
        </row>
        <row r="525">
          <cell r="A525" t="str">
            <v>Chitra Electricals &amp; Electronics</v>
          </cell>
          <cell r="B525" t="str">
            <v>Group 1-Giridhar-Peenya</v>
          </cell>
        </row>
        <row r="526">
          <cell r="A526" t="str">
            <v>CHOUDHARY CRANE SERVICE</v>
          </cell>
          <cell r="B526" t="str">
            <v>Group 1-Giridhar-Peenya</v>
          </cell>
        </row>
        <row r="527">
          <cell r="A527" t="str">
            <v>CHROME LIGHTING SOLUTIONS</v>
          </cell>
          <cell r="B527" t="str">
            <v>Group 1-Giridhar-Peenya</v>
          </cell>
        </row>
        <row r="528">
          <cell r="A528" t="str">
            <v>Cibi Chakravarthy</v>
          </cell>
          <cell r="B528" t="str">
            <v>Online Business</v>
          </cell>
        </row>
        <row r="529">
          <cell r="A529" t="str">
            <v>CICB-Chemicon Pvt  Ltd</v>
          </cell>
          <cell r="B529" t="str">
            <v>Group 1-Giridhar-Peenya</v>
          </cell>
        </row>
        <row r="530">
          <cell r="A530" t="str">
            <v>CICON ENGINEERS PVT.LTD.</v>
          </cell>
          <cell r="B530" t="str">
            <v>Group-2 (Veeresh- Bomsdr+Hosur)</v>
          </cell>
        </row>
        <row r="531">
          <cell r="A531" t="str">
            <v>Cimtrix Systems (P) Ltd</v>
          </cell>
          <cell r="B531" t="str">
            <v>Group 1-Giridhar-Peenya</v>
          </cell>
        </row>
        <row r="532">
          <cell r="A532" t="str">
            <v>Cipla Limited Bommasandra (EOU)</v>
          </cell>
          <cell r="B532" t="str">
            <v>Group-2 (Veeresh- Bomsdr+Hosur)</v>
          </cell>
        </row>
        <row r="533">
          <cell r="A533" t="str">
            <v>Cisco System India Pvt Ltd</v>
          </cell>
          <cell r="B533" t="str">
            <v>Group-2 (Veeresh- Bomsdr+Hosur)</v>
          </cell>
        </row>
        <row r="534">
          <cell r="A534" t="str">
            <v>CISWW Engineering India Private Limited</v>
          </cell>
          <cell r="B534" t="str">
            <v>Group - 5 (Ananthapadmanabha)</v>
          </cell>
        </row>
        <row r="535">
          <cell r="A535" t="str">
            <v>Citadel Intelligent systems Limited</v>
          </cell>
          <cell r="B535" t="str">
            <v>Group - 5 (Ananthapadmanabha)</v>
          </cell>
        </row>
        <row r="536">
          <cell r="A536" t="str">
            <v>CITROEN SWITCH GEARS PRIVATE LIMITED (Cust)</v>
          </cell>
          <cell r="B536" t="str">
            <v>Group-4 ( Office Account)</v>
          </cell>
        </row>
        <row r="537">
          <cell r="A537" t="str">
            <v>City Electric Company</v>
          </cell>
          <cell r="B537" t="str">
            <v>Group-4 ( Office Account)</v>
          </cell>
        </row>
        <row r="538">
          <cell r="A538" t="str">
            <v>Clair Electrical And Network Solutions</v>
          </cell>
          <cell r="B538" t="str">
            <v>Group - 5 (Ananthapadmanabha)</v>
          </cell>
        </row>
        <row r="539">
          <cell r="A539" t="str">
            <v>Classic Electricals</v>
          </cell>
          <cell r="B539" t="str">
            <v>Group-4 ( Office Account)</v>
          </cell>
        </row>
        <row r="540">
          <cell r="A540" t="str">
            <v>CLASSIC ELECTRODES (INDIA) LIMITED UNIT-III</v>
          </cell>
          <cell r="B540" t="str">
            <v>Group-4 ( Office Account)</v>
          </cell>
        </row>
        <row r="541">
          <cell r="A541" t="str">
            <v>Classic Power Company</v>
          </cell>
          <cell r="B541" t="str">
            <v>Group-2 (Veeresh- Bomsdr+Hosur)</v>
          </cell>
        </row>
        <row r="542">
          <cell r="A542" t="str">
            <v>CLASSIC POWER SERVICE</v>
          </cell>
          <cell r="B542" t="str">
            <v>Group-2 (Veeresh- Bomsdr+Hosur)</v>
          </cell>
        </row>
        <row r="543">
          <cell r="A543" t="str">
            <v>Cleanway Managment Systems India Pvt Ltd</v>
          </cell>
          <cell r="B543" t="str">
            <v>Group-4 ( Office Account)</v>
          </cell>
        </row>
        <row r="544">
          <cell r="A544" t="str">
            <v>CMAX METALS INDIA PRIVATE LIMITED</v>
          </cell>
          <cell r="B544" t="str">
            <v>Group 1-Giridhar-Peenya</v>
          </cell>
        </row>
        <row r="545">
          <cell r="A545" t="str">
            <v>CNC Sperotech</v>
          </cell>
          <cell r="B545" t="str">
            <v>Group 1-Giridhar-Peenya</v>
          </cell>
        </row>
        <row r="546">
          <cell r="A546" t="str">
            <v>Coastal Projects Limited</v>
          </cell>
          <cell r="B546" t="str">
            <v>Group-4 ( Office Account)</v>
          </cell>
        </row>
        <row r="547">
          <cell r="A547" t="str">
            <v>Coburg Engineering Services Pvt Ltd</v>
          </cell>
          <cell r="B547" t="str">
            <v>Group-4 ( Office Account)</v>
          </cell>
        </row>
        <row r="548">
          <cell r="A548" t="str">
            <v>CODEBIOS TECHNOLOGIES PRIVATE LIMITED</v>
          </cell>
          <cell r="B548" t="str">
            <v>Group-4 ( Office Account)</v>
          </cell>
        </row>
        <row r="549">
          <cell r="A549" t="str">
            <v>COEMTEK BUSINESS SOLUTIONS PRIVATE LIMITED</v>
          </cell>
          <cell r="B549" t="str">
            <v>Group-2 (Veeresh- Bomsdr+Hosur)</v>
          </cell>
        </row>
        <row r="550">
          <cell r="A550" t="str">
            <v>Coffeeday Global Limited</v>
          </cell>
          <cell r="B550" t="str">
            <v>Group-2 (Veeresh- Bomsdr+Hosur)</v>
          </cell>
        </row>
        <row r="551">
          <cell r="A551" t="str">
            <v>Coffeeday Global Limited (Old)</v>
          </cell>
          <cell r="B551" t="str">
            <v>Group-2 (Veeresh- Bomsdr+Hosur)</v>
          </cell>
        </row>
        <row r="552">
          <cell r="A552" t="str">
            <v>Cognoid Technology Solutions</v>
          </cell>
          <cell r="B552" t="str">
            <v>Group 1-Giridhar-Peenya</v>
          </cell>
        </row>
        <row r="553">
          <cell r="A553" t="str">
            <v>COIMBATORE PNEUMATIC TOOLS</v>
          </cell>
          <cell r="B553" t="str">
            <v>Online Business</v>
          </cell>
        </row>
        <row r="554">
          <cell r="A554" t="str">
            <v>Commumark</v>
          </cell>
          <cell r="B554" t="str">
            <v>Group-4 ( Office Account)</v>
          </cell>
        </row>
        <row r="555">
          <cell r="A555" t="str">
            <v>Conatus Impex LLP</v>
          </cell>
          <cell r="B555" t="str">
            <v>Group-2 (Veeresh- Bomsdr+Hosur)</v>
          </cell>
        </row>
        <row r="556">
          <cell r="A556" t="str">
            <v>CONCEPT AUTOMATION</v>
          </cell>
          <cell r="B556" t="str">
            <v>Group 1-Giridhar-Peenya</v>
          </cell>
        </row>
        <row r="557">
          <cell r="A557" t="str">
            <v>Concept Hydro Pneumatic Pvt  Ltd</v>
          </cell>
          <cell r="B557" t="str">
            <v>Group 1-Giridhar-Peenya</v>
          </cell>
        </row>
        <row r="558">
          <cell r="A558" t="str">
            <v>Co-Needs</v>
          </cell>
          <cell r="B558" t="str">
            <v>Group-4 ( Office Account)</v>
          </cell>
        </row>
        <row r="559">
          <cell r="A559" t="str">
            <v>ConEq Infra</v>
          </cell>
          <cell r="B559" t="str">
            <v>Group-2 (Veeresh- Bomsdr+Hosur)</v>
          </cell>
        </row>
        <row r="560">
          <cell r="A560" t="str">
            <v>Confident Dental Equipments Ltd</v>
          </cell>
          <cell r="B560" t="str">
            <v>Group-2 (Veeresh- Bomsdr+Hosur)</v>
          </cell>
        </row>
        <row r="561">
          <cell r="A561" t="str">
            <v>Confident Electronics Pvt  Ltd</v>
          </cell>
          <cell r="B561" t="str">
            <v>Group 1-Giridhar-Peenya</v>
          </cell>
        </row>
        <row r="562">
          <cell r="A562" t="str">
            <v>CONNECTM TECHNOLOGY</v>
          </cell>
          <cell r="B562" t="str">
            <v>Group-2 (Veeresh- Bomsdr+Hosur)</v>
          </cell>
        </row>
        <row r="563">
          <cell r="A563" t="str">
            <v>Construction Equipment Spares &amp; Service</v>
          </cell>
          <cell r="B563" t="str">
            <v>Group 1-Giridhar-Peenya</v>
          </cell>
        </row>
        <row r="564">
          <cell r="A564" t="str">
            <v>CONSTRUCTION EQUIPMENTS SALES AND SERVICE</v>
          </cell>
          <cell r="B564" t="str">
            <v>Online Business</v>
          </cell>
        </row>
        <row r="565">
          <cell r="A565" t="str">
            <v>Contacteknics</v>
          </cell>
          <cell r="B565" t="str">
            <v>Group-4 ( Office Account)</v>
          </cell>
        </row>
        <row r="566">
          <cell r="A566" t="str">
            <v>Contacteknics (K)</v>
          </cell>
          <cell r="B566" t="str">
            <v>Group-4 ( Office Account)</v>
          </cell>
        </row>
        <row r="567">
          <cell r="A567" t="str">
            <v>Continental Automative Components India Pvt  Ltd</v>
          </cell>
          <cell r="B567" t="str">
            <v>Group-2 (Veeresh- Bomsdr+Hosur)</v>
          </cell>
        </row>
        <row r="568">
          <cell r="A568" t="str">
            <v>Continental Automotive Componets India</v>
          </cell>
          <cell r="B568" t="str">
            <v>Group-2 (Veeresh- Bomsdr+Hosur)</v>
          </cell>
        </row>
        <row r="569">
          <cell r="A569" t="str">
            <v>CONTRIVATION LABS PRIVATE LIMITED</v>
          </cell>
          <cell r="B569" t="str">
            <v>Group-2 (Veeresh- Bomsdr+Hosur)</v>
          </cell>
        </row>
        <row r="570">
          <cell r="A570" t="str">
            <v>Control And Automation Systems</v>
          </cell>
          <cell r="B570" t="str">
            <v>Group-2 (Veeresh- Bomsdr+Hosur)</v>
          </cell>
        </row>
        <row r="571">
          <cell r="A571" t="str">
            <v>Control Engineering</v>
          </cell>
          <cell r="B571" t="str">
            <v>Group 1-Giridhar-Peenya</v>
          </cell>
        </row>
        <row r="572">
          <cell r="A572" t="str">
            <v>CONTROL INFOTECH PRIVATE LIMITED</v>
          </cell>
          <cell r="B572" t="str">
            <v>Group 1-Giridhar-Peenya</v>
          </cell>
        </row>
        <row r="573">
          <cell r="A573" t="str">
            <v>Control Infotech Pvt  Ltd (Old)</v>
          </cell>
          <cell r="B573" t="str">
            <v>Group 1-Giridhar-Peenya</v>
          </cell>
        </row>
        <row r="574">
          <cell r="A574" t="str">
            <v>Control Products</v>
          </cell>
          <cell r="B574" t="str">
            <v>Group 1-Giridhar-Peenya</v>
          </cell>
        </row>
        <row r="575">
          <cell r="A575" t="str">
            <v>Control Technology Solutions</v>
          </cell>
          <cell r="B575" t="str">
            <v>Group 1-Giridhar-Peenya</v>
          </cell>
        </row>
        <row r="576">
          <cell r="A576" t="str">
            <v>Controls And Automation System</v>
          </cell>
          <cell r="B576" t="str">
            <v>Group-4 ( Office Account)</v>
          </cell>
        </row>
        <row r="577">
          <cell r="A577" t="str">
            <v>Controltek Automation</v>
          </cell>
          <cell r="B577" t="str">
            <v>Group-4 ( Office Account)</v>
          </cell>
        </row>
        <row r="578">
          <cell r="A578" t="str">
            <v>CONVEY TECH</v>
          </cell>
          <cell r="B578" t="str">
            <v>Online Business</v>
          </cell>
        </row>
        <row r="579">
          <cell r="A579" t="str">
            <v>COOL VOLT SERVICES</v>
          </cell>
          <cell r="B579" t="str">
            <v>Online Business</v>
          </cell>
        </row>
        <row r="580">
          <cell r="A580" t="str">
            <v>Co-Ord Tech Tools</v>
          </cell>
          <cell r="B580" t="str">
            <v>Group-4 ( Office Account)</v>
          </cell>
        </row>
        <row r="581">
          <cell r="A581" t="str">
            <v>COPFORM PRIVATE LIMITED</v>
          </cell>
          <cell r="B581" t="str">
            <v>Online Business</v>
          </cell>
        </row>
        <row r="582">
          <cell r="A582" t="str">
            <v>COPPRROD INDUSTRIES PVT. LTD</v>
          </cell>
          <cell r="B582" t="str">
            <v>Group 1-Giridhar-Peenya</v>
          </cell>
        </row>
        <row r="583">
          <cell r="A583" t="str">
            <v>Coren Techno-Mech Pvt  Ltd</v>
          </cell>
          <cell r="B583" t="str">
            <v>Group 1-Giridhar-Peenya</v>
          </cell>
        </row>
        <row r="584">
          <cell r="A584" t="str">
            <v>CORPORATES COMFORT</v>
          </cell>
          <cell r="B584" t="str">
            <v>Group - 5 (Ananthapadmanabha)</v>
          </cell>
        </row>
        <row r="585">
          <cell r="A585" t="str">
            <v>COSMO DIESEL</v>
          </cell>
          <cell r="B585" t="str">
            <v>Group-4 ( Office Account)</v>
          </cell>
        </row>
        <row r="586">
          <cell r="A586" t="str">
            <v>COSMO INSTRUMENTS (I) PVT LTD</v>
          </cell>
          <cell r="B586" t="str">
            <v>Group-2 (Veeresh- Bomsdr+Hosur)</v>
          </cell>
        </row>
        <row r="587">
          <cell r="A587" t="str">
            <v>Cothas Coffee Co.,</v>
          </cell>
          <cell r="B587" t="str">
            <v>Group-2 (Veeresh- Bomsdr+Hosur)</v>
          </cell>
        </row>
        <row r="588">
          <cell r="A588" t="str">
            <v>Cotmac Electronics Pvt Ltd</v>
          </cell>
          <cell r="B588" t="str">
            <v>Group 1-Giridhar-Peenya</v>
          </cell>
        </row>
        <row r="589">
          <cell r="A589" t="str">
            <v>COTMAC INDUSTRIAL TRADING PRIVATE LIMITED</v>
          </cell>
          <cell r="B589" t="str">
            <v>Group-4 ( Office Account)</v>
          </cell>
        </row>
        <row r="590">
          <cell r="A590" t="str">
            <v>CRAFTECH</v>
          </cell>
          <cell r="B590" t="str">
            <v>Group 1-Giridhar-Peenya</v>
          </cell>
        </row>
        <row r="591">
          <cell r="A591" t="str">
            <v>Craftsman Automation  Ltd (B)</v>
          </cell>
          <cell r="B591" t="str">
            <v>Group-2 (Veeresh- Bomsdr+Hosur)</v>
          </cell>
        </row>
        <row r="592">
          <cell r="A592" t="str">
            <v>Craftsman Automation Limited - Bangalore Unit 2</v>
          </cell>
          <cell r="B592" t="str">
            <v>Group-2 (Veeresh- Bomsdr+Hosur)</v>
          </cell>
        </row>
        <row r="593">
          <cell r="A593" t="str">
            <v>Creative Engineering</v>
          </cell>
          <cell r="B593" t="str">
            <v>Group 1-Giridhar-Peenya</v>
          </cell>
        </row>
        <row r="594">
          <cell r="A594" t="str">
            <v>Creative Engineers</v>
          </cell>
          <cell r="B594" t="str">
            <v>Group-4 ( Office Account)</v>
          </cell>
        </row>
        <row r="595">
          <cell r="A595" t="str">
            <v>Creative Insturment &amp; Controls</v>
          </cell>
          <cell r="B595" t="str">
            <v>Group 1-Giridhar-Peenya</v>
          </cell>
        </row>
        <row r="596">
          <cell r="A596" t="str">
            <v>Creative Technologies</v>
          </cell>
          <cell r="B596" t="str">
            <v>Group-4 ( Office Account)</v>
          </cell>
        </row>
        <row r="597">
          <cell r="A597" t="str">
            <v>Crisal CNC Technologies</v>
          </cell>
          <cell r="B597" t="str">
            <v>Group 1-Giridhar-Peenya</v>
          </cell>
        </row>
        <row r="598">
          <cell r="A598" t="str">
            <v>CROPAC TECHNOLOGY PRIVATE LIMITED</v>
          </cell>
          <cell r="B598" t="str">
            <v>Group-2 (Veeresh- Bomsdr+Hosur)</v>
          </cell>
        </row>
        <row r="599">
          <cell r="A599" t="str">
            <v>CRV Global Infraa Ltd</v>
          </cell>
          <cell r="B599" t="str">
            <v>Group-4 ( Office Account)</v>
          </cell>
        </row>
        <row r="600">
          <cell r="A600" t="str">
            <v>Cs Aerotherm Pvt  Ltd</v>
          </cell>
          <cell r="B600" t="str">
            <v>Group-2 (Veeresh- Bomsdr+Hosur)</v>
          </cell>
        </row>
        <row r="601">
          <cell r="A601" t="str">
            <v>CS Gostol Bakery Solutions Pvt Ltd</v>
          </cell>
          <cell r="B601" t="str">
            <v>Group-4 ( Office Account)</v>
          </cell>
        </row>
        <row r="602">
          <cell r="A602" t="str">
            <v>Cuadra Instrumentation</v>
          </cell>
          <cell r="B602" t="str">
            <v>Group-4 ( Office Account)</v>
          </cell>
        </row>
        <row r="603">
          <cell r="A603" t="str">
            <v>Cuadra Medical Technology Pvt. Ltd.,</v>
          </cell>
          <cell r="B603" t="str">
            <v>Group-4 ( Office Account)</v>
          </cell>
        </row>
        <row r="604">
          <cell r="A604" t="str">
            <v>CUBIC SYSTEMS</v>
          </cell>
          <cell r="B604" t="str">
            <v>Online Business</v>
          </cell>
        </row>
        <row r="605">
          <cell r="A605" t="str">
            <v>Cubix Automation Pvt. Ltd., (Old)</v>
          </cell>
          <cell r="B605" t="str">
            <v>Group-4 ( Office Account)</v>
          </cell>
        </row>
        <row r="606">
          <cell r="A606" t="str">
            <v>CUBIX AUTOMATION PVT.LTD.</v>
          </cell>
          <cell r="B606" t="str">
            <v>Group-4 ( Office Account)</v>
          </cell>
        </row>
        <row r="607">
          <cell r="A607" t="str">
            <v>CV &amp; S Technologies</v>
          </cell>
          <cell r="B607" t="str">
            <v>Group 1-Giridhar-Peenya</v>
          </cell>
        </row>
        <row r="608">
          <cell r="A608" t="str">
            <v>Cybernetic Research Labs Pvt Ltd</v>
          </cell>
          <cell r="B608" t="str">
            <v>Group 1-Giridhar-Peenya</v>
          </cell>
        </row>
        <row r="609">
          <cell r="A609" t="str">
            <v>CYIENT DLM LIMITED</v>
          </cell>
          <cell r="B609" t="str">
            <v>Group-2 (Veeresh- Bomsdr+Hosur)</v>
          </cell>
        </row>
        <row r="610">
          <cell r="A610" t="str">
            <v>CYIENT DLM LIMITED SEZ Unit</v>
          </cell>
          <cell r="B610" t="str">
            <v>Group-2 (Veeresh- Bomsdr+Hosur)</v>
          </cell>
        </row>
        <row r="611">
          <cell r="A611" t="str">
            <v>D C Cranes</v>
          </cell>
          <cell r="B611" t="str">
            <v>Online Business</v>
          </cell>
        </row>
        <row r="612">
          <cell r="A612" t="str">
            <v>D J Max Engineering Systems</v>
          </cell>
          <cell r="B612" t="str">
            <v>Group 1-Giridhar-Peenya</v>
          </cell>
        </row>
        <row r="613">
          <cell r="A613" t="str">
            <v>D R DESIGN CONSULTANTS PRIVATE LIMITED</v>
          </cell>
          <cell r="B613" t="str">
            <v>Group-2 (Veeresh- Bomsdr+Hosur)</v>
          </cell>
        </row>
        <row r="614">
          <cell r="A614" t="str">
            <v>D.M.INDUSTRIES</v>
          </cell>
          <cell r="B614" t="str">
            <v>Group 1-Giridhar-Peenya</v>
          </cell>
        </row>
        <row r="615">
          <cell r="A615" t="str">
            <v>D.R.READY MIX CONCRETE</v>
          </cell>
          <cell r="B615" t="str">
            <v>Group-4 ( Office Account)</v>
          </cell>
        </row>
        <row r="616">
          <cell r="A616" t="str">
            <v>DACSS Granites Pvt. Ltd., (100% EOU)</v>
          </cell>
          <cell r="B616" t="str">
            <v>Group-4 ( Office Account)</v>
          </cell>
        </row>
        <row r="617">
          <cell r="A617" t="str">
            <v>DADU INDUSTRIES</v>
          </cell>
          <cell r="B617" t="str">
            <v>Group-4 ( Office Account)</v>
          </cell>
        </row>
        <row r="618">
          <cell r="A618" t="str">
            <v>Dai-Chi Cooling Solutions Pvt Ltd</v>
          </cell>
          <cell r="B618" t="str">
            <v>Group 1-Giridhar-Peenya</v>
          </cell>
        </row>
        <row r="619">
          <cell r="A619" t="str">
            <v>Daiichi Jitsugyo (Thailand) Co   Ltd</v>
          </cell>
          <cell r="B619" t="str">
            <v>Group-4 ( Office Account)</v>
          </cell>
        </row>
        <row r="620">
          <cell r="A620" t="str">
            <v>Dakshin Foundry Private Limited</v>
          </cell>
          <cell r="B620" t="str">
            <v>Group - 5 (Ananthapadmanabha)</v>
          </cell>
        </row>
        <row r="621">
          <cell r="A621" t="str">
            <v>Dania Engineering Co</v>
          </cell>
          <cell r="B621" t="str">
            <v>Group-2 (Veeresh- Bomsdr+Hosur)</v>
          </cell>
        </row>
        <row r="622">
          <cell r="A622" t="str">
            <v>Dantal Hydraulics Pvt  Ltd</v>
          </cell>
          <cell r="B622" t="str">
            <v>Group 1-Giridhar-Peenya</v>
          </cell>
        </row>
        <row r="623">
          <cell r="A623" t="str">
            <v>DARSHAN SWITCHGEAR</v>
          </cell>
          <cell r="B623" t="str">
            <v>Group-4 ( Office Account)</v>
          </cell>
        </row>
        <row r="624">
          <cell r="A624" t="str">
            <v>DATA SOL</v>
          </cell>
          <cell r="B624" t="str">
            <v>Group-4 ( Office Account)</v>
          </cell>
        </row>
        <row r="625">
          <cell r="A625" t="str">
            <v>DB SOLUTIONS</v>
          </cell>
          <cell r="B625" t="str">
            <v>Group-4 ( Office Account)</v>
          </cell>
        </row>
        <row r="626">
          <cell r="A626" t="str">
            <v>DCX SYSTEMS LIMITED</v>
          </cell>
          <cell r="B626" t="str">
            <v>Online Business</v>
          </cell>
        </row>
        <row r="627">
          <cell r="A627" t="str">
            <v>DEARADH PRO AUTOMATION LLP</v>
          </cell>
          <cell r="B627" t="str">
            <v>Group 1-Giridhar-Peenya</v>
          </cell>
        </row>
        <row r="628">
          <cell r="A628" t="str">
            <v>Deccan Die Castings Pvt Ltd</v>
          </cell>
          <cell r="B628" t="str">
            <v>Group - 5 (Ananthapadmanabha)</v>
          </cell>
        </row>
        <row r="629">
          <cell r="A629" t="str">
            <v>Deccan Enterprises</v>
          </cell>
          <cell r="B629" t="str">
            <v>Group 1-Giridhar-Peenya</v>
          </cell>
        </row>
        <row r="630">
          <cell r="A630" t="str">
            <v>Deco Equipments P Ltd</v>
          </cell>
          <cell r="B630" t="str">
            <v>Group-4 ( Office Account)</v>
          </cell>
        </row>
        <row r="631">
          <cell r="A631" t="str">
            <v>DECOR EQUIPMENTS PVT.LTD</v>
          </cell>
          <cell r="B631" t="str">
            <v>Group-4 ( Office Account)</v>
          </cell>
        </row>
        <row r="632">
          <cell r="A632" t="str">
            <v>Deekay Electricals</v>
          </cell>
          <cell r="B632" t="str">
            <v>Group-4 ( Office Account)</v>
          </cell>
        </row>
        <row r="633">
          <cell r="A633" t="str">
            <v>DEEPAK ELECTRICAL</v>
          </cell>
          <cell r="B633" t="str">
            <v>Group 1-Giridhar-Peenya</v>
          </cell>
        </row>
        <row r="634">
          <cell r="A634" t="str">
            <v>DEEPAK ELECTRICALS (Bsk)</v>
          </cell>
          <cell r="B634" t="str">
            <v>Group-4 ( Office Account)</v>
          </cell>
        </row>
        <row r="635">
          <cell r="A635" t="str">
            <v>DEEPAK SATHYANARAYANA</v>
          </cell>
          <cell r="B635" t="str">
            <v>Online Business</v>
          </cell>
        </row>
        <row r="636">
          <cell r="A636" t="str">
            <v>Deepti Electrinics &amp; Electro</v>
          </cell>
          <cell r="B636" t="str">
            <v>Group-4 ( Office Account)</v>
          </cell>
        </row>
        <row r="637">
          <cell r="A637" t="str">
            <v>Delhi Metro Rail Corporation Ltd</v>
          </cell>
          <cell r="B637" t="str">
            <v>Group-2 (Veeresh- Bomsdr+Hosur)</v>
          </cell>
        </row>
        <row r="638">
          <cell r="A638" t="str">
            <v>Delkor Technik India Pvt Ltd</v>
          </cell>
          <cell r="B638" t="str">
            <v>Group 1-Giridhar-Peenya</v>
          </cell>
        </row>
        <row r="639">
          <cell r="A639" t="str">
            <v>Delta Control Systems</v>
          </cell>
          <cell r="B639" t="str">
            <v>Group 1-Giridhar-Peenya</v>
          </cell>
        </row>
        <row r="640">
          <cell r="A640" t="str">
            <v>Delta Electro Controls</v>
          </cell>
          <cell r="B640" t="str">
            <v>Group-4 ( Office Account)</v>
          </cell>
        </row>
        <row r="641">
          <cell r="A641" t="str">
            <v>DELTA ELECTRONICS INDIA PRIVATE LIMITED</v>
          </cell>
          <cell r="B641" t="str">
            <v>Group-2 (Veeresh- Bomsdr+Hosur)</v>
          </cell>
        </row>
        <row r="642">
          <cell r="A642" t="str">
            <v>Delta Electronics India Private Limited (Old)</v>
          </cell>
          <cell r="B642" t="str">
            <v>Group-2 (Veeresh- Bomsdr+Hosur)</v>
          </cell>
        </row>
        <row r="643">
          <cell r="A643" t="str">
            <v>Delta Interconnect</v>
          </cell>
          <cell r="B643" t="str">
            <v>Group 1-Giridhar-Peenya</v>
          </cell>
        </row>
        <row r="644">
          <cell r="A644" t="str">
            <v>Delta Power Solutions India Pvt Ltd</v>
          </cell>
          <cell r="B644" t="str">
            <v>Group-2 (Veeresh- Bomsdr+Hosur)</v>
          </cell>
        </row>
        <row r="645">
          <cell r="A645" t="str">
            <v>Delta Sigma Automation &amp; Instrumentation Pvt  Ltd</v>
          </cell>
          <cell r="B645" t="str">
            <v>Group-4 ( Office Account)</v>
          </cell>
        </row>
        <row r="646">
          <cell r="A646" t="str">
            <v>DELTA Tech Solutions</v>
          </cell>
          <cell r="B646" t="str">
            <v>Group-4 ( Office Account)</v>
          </cell>
        </row>
        <row r="647">
          <cell r="A647" t="str">
            <v>Deltronic Marketing Corporation</v>
          </cell>
          <cell r="B647" t="str">
            <v>Group-4 ( Office Account)</v>
          </cell>
        </row>
        <row r="648">
          <cell r="A648" t="str">
            <v>Demeter Systems Pvt. Ltd.,</v>
          </cell>
          <cell r="B648" t="str">
            <v>Group-2 (Veeresh- Bomsdr+Hosur)</v>
          </cell>
        </row>
        <row r="649">
          <cell r="A649" t="str">
            <v>Denso Kirloskar Industries Pvt.Ltd.,</v>
          </cell>
          <cell r="B649" t="str">
            <v>Group 1-Giridhar-Peenya</v>
          </cell>
        </row>
        <row r="650">
          <cell r="A650" t="str">
            <v>DESANO PHARMACEUTICALS PRIVATE LIMITED</v>
          </cell>
          <cell r="B650" t="str">
            <v>Group-2 (Veeresh- Bomsdr+Hosur)</v>
          </cell>
        </row>
        <row r="651">
          <cell r="A651" t="str">
            <v>Deshna Electricals Suppliers</v>
          </cell>
          <cell r="B651" t="str">
            <v>Group-4 ( Office Account)</v>
          </cell>
        </row>
        <row r="652">
          <cell r="A652" t="str">
            <v>Design Matrix</v>
          </cell>
          <cell r="B652" t="str">
            <v>Group-4 ( Office Account)</v>
          </cell>
        </row>
        <row r="653">
          <cell r="A653" t="str">
            <v>DESMET INDIA CORPORATION PRIVATE LIMITED</v>
          </cell>
          <cell r="B653" t="str">
            <v>Group - 5 (Ananthapadmanabha)</v>
          </cell>
        </row>
        <row r="654">
          <cell r="A654" t="str">
            <v>Deutek Controls (India) Limited</v>
          </cell>
          <cell r="B654" t="str">
            <v>Group-4 ( Office Account)</v>
          </cell>
        </row>
        <row r="655">
          <cell r="A655" t="str">
            <v>DEV ELECTRICALS</v>
          </cell>
          <cell r="B655" t="str">
            <v>Group-4 ( Office Account)</v>
          </cell>
        </row>
        <row r="656">
          <cell r="A656" t="str">
            <v>DEV GANAPATI ELECTRICAL</v>
          </cell>
          <cell r="B656" t="str">
            <v>Group-4 ( Office Account)</v>
          </cell>
        </row>
        <row r="657">
          <cell r="A657" t="str">
            <v>DEV PACKAGING INDUSTRIES PRIVATE LIMITED</v>
          </cell>
          <cell r="B657" t="str">
            <v>Online Business</v>
          </cell>
        </row>
        <row r="658">
          <cell r="A658" t="str">
            <v>Dexperttech Engineering Consultancy</v>
          </cell>
          <cell r="B658" t="str">
            <v>Group-4 ( Office Account)</v>
          </cell>
        </row>
        <row r="659">
          <cell r="A659" t="str">
            <v>DHAMIA ELECTRIC SERVICE</v>
          </cell>
          <cell r="B659" t="str">
            <v>Group-2 (Veeresh- Bomsdr+Hosur)</v>
          </cell>
        </row>
        <row r="660">
          <cell r="A660" t="str">
            <v>DHAMINI METAL PACKING</v>
          </cell>
          <cell r="B660" t="str">
            <v>Group 1-Giridhar-Peenya</v>
          </cell>
        </row>
        <row r="661">
          <cell r="A661" t="str">
            <v>DHANALAKSHMI ENTERPRISES</v>
          </cell>
          <cell r="B661" t="str">
            <v>Group-2 (Veeresh- Bomsdr+Hosur)</v>
          </cell>
        </row>
        <row r="662">
          <cell r="A662" t="str">
            <v>Dhandapani &amp; Co ( Engrs) Pvt Ltd</v>
          </cell>
          <cell r="B662" t="str">
            <v>Group-4 ( Office Account)</v>
          </cell>
        </row>
        <row r="663">
          <cell r="A663" t="str">
            <v>Dharmendra Sharma</v>
          </cell>
          <cell r="B663" t="str">
            <v>Group-4 ( Office Account)</v>
          </cell>
        </row>
        <row r="664">
          <cell r="A664" t="str">
            <v>Dharmodaka Charities</v>
          </cell>
          <cell r="B664" t="str">
            <v>Group-4 ( Office Account)</v>
          </cell>
        </row>
        <row r="665">
          <cell r="A665" t="str">
            <v>Dharshan Switchgears</v>
          </cell>
          <cell r="B665" t="str">
            <v>Group-4 ( Office Account)</v>
          </cell>
        </row>
        <row r="666">
          <cell r="A666" t="str">
            <v>DHE Connectronics</v>
          </cell>
          <cell r="B666" t="str">
            <v>Group-4 ( Office Account)</v>
          </cell>
        </row>
        <row r="667">
          <cell r="A667" t="str">
            <v>DHOOT TRANSMISSION PVT. LTD.P1 Hosur</v>
          </cell>
          <cell r="B667" t="str">
            <v>Group-2 (Veeresh- Bomsdr+Hosur)</v>
          </cell>
        </row>
        <row r="668">
          <cell r="A668" t="str">
            <v>DHUPAR BROTHERS TRADING PVT LTD</v>
          </cell>
          <cell r="B668" t="str">
            <v>Group-4 ( Office Account)</v>
          </cell>
        </row>
        <row r="669">
          <cell r="A669" t="str">
            <v>Dhyanapeeta Charitable Trust FCRA</v>
          </cell>
          <cell r="B669" t="str">
            <v>Group-4 ( Office Account)</v>
          </cell>
        </row>
        <row r="670">
          <cell r="A670" t="str">
            <v>Dickinson Fowler Limited</v>
          </cell>
          <cell r="B670" t="str">
            <v>Group-2 (Veeresh- Bomsdr+Hosur)</v>
          </cell>
        </row>
        <row r="671">
          <cell r="A671" t="str">
            <v>Die Crafts</v>
          </cell>
          <cell r="B671" t="str">
            <v>Group-2 (Veeresh- Bomsdr+Hosur)</v>
          </cell>
        </row>
        <row r="672">
          <cell r="A672" t="str">
            <v>DIFACTO ROBOTICS &amp; AUTOMATION PVT LTD (M)</v>
          </cell>
          <cell r="B672" t="str">
            <v>Group-2 (Veeresh- Bomsdr+Hosur)</v>
          </cell>
        </row>
        <row r="673">
          <cell r="A673" t="str">
            <v>DiFACTO Robotics &amp; Automation Pvt. Ltd(B)</v>
          </cell>
          <cell r="B673" t="str">
            <v>Group-2 (Veeresh- Bomsdr+Hosur)</v>
          </cell>
        </row>
        <row r="674">
          <cell r="A674" t="str">
            <v>DIFACTO ROBOTICS ( JP Nagar )</v>
          </cell>
          <cell r="B674" t="str">
            <v>Group-2 (Veeresh- Bomsdr+Hosur)</v>
          </cell>
        </row>
        <row r="675">
          <cell r="A675" t="str">
            <v>Difacto Robotics And Automation Pvt  Ltd (P)</v>
          </cell>
          <cell r="B675" t="str">
            <v>Group-2 (Veeresh- Bomsdr+Hosur)</v>
          </cell>
        </row>
        <row r="676">
          <cell r="A676" t="str">
            <v>DiFACTO Robotics and Automation Pvt. Ltd.(I)</v>
          </cell>
          <cell r="B676" t="str">
            <v>Group 1-Giridhar-Peenya</v>
          </cell>
        </row>
        <row r="677">
          <cell r="A677" t="str">
            <v>Diginova Control &amp; Systems LLP</v>
          </cell>
          <cell r="B677" t="str">
            <v>Group-2 (Veeresh- Bomsdr+Hosur)</v>
          </cell>
        </row>
        <row r="678">
          <cell r="A678" t="str">
            <v>Digital Instruments &amp; Controls Systems</v>
          </cell>
          <cell r="B678" t="str">
            <v>Group 1-Giridhar-Peenya</v>
          </cell>
        </row>
        <row r="679">
          <cell r="A679" t="str">
            <v>Digital Trax Automation</v>
          </cell>
          <cell r="B679" t="str">
            <v>Group 1-Giridhar-Peenya</v>
          </cell>
        </row>
        <row r="680">
          <cell r="A680" t="str">
            <v>DIGITECH CONTROLS AUTOMATIONS (INDIA) PRIVATE LIMITED</v>
          </cell>
          <cell r="B680" t="str">
            <v>Online Business</v>
          </cell>
        </row>
        <row r="681">
          <cell r="A681" t="str">
            <v>DIGITELLIGENCE TECHNOLOGIES PRIVATE LIMITED</v>
          </cell>
          <cell r="B681" t="str">
            <v>Group-4 ( Office Account)</v>
          </cell>
        </row>
        <row r="682">
          <cell r="A682" t="str">
            <v>Digitronics</v>
          </cell>
          <cell r="B682" t="str">
            <v>Online Business</v>
          </cell>
        </row>
        <row r="683">
          <cell r="A683" t="str">
            <v>DIGITRONICS (B)</v>
          </cell>
          <cell r="B683" t="str">
            <v>Online Business</v>
          </cell>
        </row>
        <row r="684">
          <cell r="A684" t="str">
            <v>Digiwave Networks Private Limited</v>
          </cell>
          <cell r="B684" t="str">
            <v>Group 1-Giridhar-Peenya</v>
          </cell>
        </row>
        <row r="685">
          <cell r="A685" t="str">
            <v>Diksha Electricals</v>
          </cell>
          <cell r="B685" t="str">
            <v>Group 1-Giridhar-Peenya</v>
          </cell>
        </row>
        <row r="686">
          <cell r="A686" t="str">
            <v>Dilip Material Handling Equipments</v>
          </cell>
          <cell r="B686" t="str">
            <v>Group-2 (Veeresh- Bomsdr+Hosur)</v>
          </cell>
        </row>
        <row r="687">
          <cell r="A687" t="str">
            <v>Dione Technologies</v>
          </cell>
          <cell r="B687" t="str">
            <v>Group 1-Giridhar-Peenya</v>
          </cell>
        </row>
        <row r="688">
          <cell r="A688" t="str">
            <v>Disa India Ltd (Hoskote)</v>
          </cell>
          <cell r="B688" t="str">
            <v>Group - 5 (Ananthapadmanabha)</v>
          </cell>
        </row>
        <row r="689">
          <cell r="A689" t="str">
            <v>Disa India Ltd (Tumkur)</v>
          </cell>
          <cell r="B689" t="str">
            <v>Group 1-Giridhar-Peenya</v>
          </cell>
        </row>
        <row r="690">
          <cell r="A690" t="str">
            <v>Disha Electricals</v>
          </cell>
          <cell r="B690" t="str">
            <v>Group - 5 (Ananthapadmanabha)</v>
          </cell>
        </row>
        <row r="691">
          <cell r="A691" t="str">
            <v>DIVYA ELECTRICALS</v>
          </cell>
          <cell r="B691" t="str">
            <v>Group-4 ( Office Account)</v>
          </cell>
        </row>
        <row r="692">
          <cell r="A692" t="str">
            <v>Divya Enterprises</v>
          </cell>
          <cell r="B692" t="str">
            <v>Group 1-Giridhar-Peenya</v>
          </cell>
        </row>
        <row r="693">
          <cell r="A693" t="str">
            <v>DIYA ELECTRICALS</v>
          </cell>
          <cell r="B693" t="str">
            <v>Group-2 (Veeresh- Bomsdr+Hosur)</v>
          </cell>
        </row>
        <row r="694">
          <cell r="A694" t="str">
            <v>DIYA ENTERPRISES</v>
          </cell>
          <cell r="B694" t="str">
            <v>Group-4 ( Office Account)</v>
          </cell>
        </row>
        <row r="695">
          <cell r="A695" t="str">
            <v>Diya Power Solutions ( Cust )</v>
          </cell>
          <cell r="B695" t="str">
            <v>Group-4 ( Office Account)</v>
          </cell>
        </row>
        <row r="696">
          <cell r="A696" t="str">
            <v>DMG MORI INDIA PRIVATE LIMITED</v>
          </cell>
          <cell r="B696" t="str">
            <v>Group 1-Giridhar-Peenya</v>
          </cell>
        </row>
        <row r="697">
          <cell r="A697" t="str">
            <v>DOLPHIN ROBOTICS &amp; AUTOMATION</v>
          </cell>
          <cell r="B697" t="str">
            <v>Group-2 (Veeresh- Bomsdr+Hosur)</v>
          </cell>
        </row>
        <row r="698">
          <cell r="A698" t="str">
            <v>Dr Fritsch</v>
          </cell>
          <cell r="B698" t="str">
            <v>Group 1-Giridhar-Peenya</v>
          </cell>
        </row>
        <row r="699">
          <cell r="A699" t="str">
            <v>Dr G Jishnu Mohan</v>
          </cell>
          <cell r="B699" t="str">
            <v>Group-4 ( Office Account)</v>
          </cell>
        </row>
        <row r="700">
          <cell r="A700" t="str">
            <v>Dr Ravindra</v>
          </cell>
          <cell r="B700" t="str">
            <v>Group-4 ( Office Account)</v>
          </cell>
        </row>
        <row r="701">
          <cell r="A701" t="str">
            <v>Dr Wiesner Test &amp; Automation Pvt Ltd</v>
          </cell>
          <cell r="B701" t="str">
            <v>Group 1-Giridhar-Peenya</v>
          </cell>
        </row>
        <row r="702">
          <cell r="A702" t="str">
            <v>Dr. Shobha</v>
          </cell>
          <cell r="B702" t="str">
            <v>Group-4 ( Office Account)</v>
          </cell>
        </row>
        <row r="703">
          <cell r="A703" t="str">
            <v>Dr.D. Manjunath</v>
          </cell>
          <cell r="B703" t="str">
            <v>Group-4 ( Office Account)</v>
          </cell>
        </row>
        <row r="704">
          <cell r="A704" t="str">
            <v>Dr.Ramasubba Reddy</v>
          </cell>
          <cell r="B704" t="str">
            <v>Group-4 ( Office Account)</v>
          </cell>
        </row>
        <row r="705">
          <cell r="A705" t="str">
            <v>DRA PROJECTS PVT LTD</v>
          </cell>
          <cell r="B705" t="str">
            <v>Group-4 ( Office Account)</v>
          </cell>
        </row>
        <row r="706">
          <cell r="A706" t="str">
            <v>Draqen Technologies</v>
          </cell>
          <cell r="B706" t="str">
            <v>Group-2 (Veeresh- Bomsdr+Hosur)</v>
          </cell>
        </row>
        <row r="707">
          <cell r="A707" t="str">
            <v>DREAM HOUSE CONSTRUCTIONS AND SURVEYING</v>
          </cell>
          <cell r="B707" t="str">
            <v>Online Business</v>
          </cell>
        </row>
        <row r="708">
          <cell r="A708" t="str">
            <v>DRITHI ELECTRICALS</v>
          </cell>
          <cell r="B708" t="str">
            <v>Group-4 ( Office Account)</v>
          </cell>
        </row>
        <row r="709">
          <cell r="A709" t="str">
            <v>DS Engineering</v>
          </cell>
          <cell r="B709" t="str">
            <v>Group 1-Giridhar-Peenya</v>
          </cell>
        </row>
        <row r="710">
          <cell r="A710" t="str">
            <v>DSL Infrastructure &amp; Space Developers Pvt Ltd</v>
          </cell>
          <cell r="B710" t="str">
            <v>Group-4 ( Office Account)</v>
          </cell>
        </row>
        <row r="711">
          <cell r="A711" t="str">
            <v>Ducom Instruments Pvt Ltd (Old)</v>
          </cell>
          <cell r="B711" t="str">
            <v>Group 1-Giridhar-Peenya</v>
          </cell>
        </row>
        <row r="712">
          <cell r="A712" t="str">
            <v>DUCOM TECHNOLOGIES PRIVATE LIMITED</v>
          </cell>
          <cell r="B712" t="str">
            <v>Group 1-Giridhar-Peenya</v>
          </cell>
        </row>
        <row r="713">
          <cell r="A713" t="str">
            <v>DURACON AUTOMATION - Cust</v>
          </cell>
          <cell r="B713" t="str">
            <v>Group-2 (Veeresh- Bomsdr+Hosur)</v>
          </cell>
        </row>
        <row r="714">
          <cell r="A714" t="str">
            <v>Durga Associates</v>
          </cell>
          <cell r="B714" t="str">
            <v>Group 1-Giridhar-Peenya</v>
          </cell>
        </row>
        <row r="715">
          <cell r="A715" t="str">
            <v>Durga Bearing Co Pvt Ltd</v>
          </cell>
          <cell r="B715" t="str">
            <v>Group-4 ( Office Account)</v>
          </cell>
        </row>
        <row r="716">
          <cell r="A716" t="str">
            <v>Durga Control Systems(India) P Ltd</v>
          </cell>
          <cell r="B716" t="str">
            <v>Group 1-Giridhar-Peenya</v>
          </cell>
        </row>
        <row r="717">
          <cell r="A717" t="str">
            <v>DURGA WELD TRADE &amp; SERVICE</v>
          </cell>
          <cell r="B717" t="str">
            <v>Online Business</v>
          </cell>
        </row>
        <row r="718">
          <cell r="A718" t="str">
            <v>DURGAIH COLOURS</v>
          </cell>
          <cell r="B718" t="str">
            <v>Group-4 ( Office Account)</v>
          </cell>
        </row>
        <row r="719">
          <cell r="A719" t="str">
            <v>DYMAXA TECHNOLOGIES PRIVATE LIMITED</v>
          </cell>
          <cell r="B719" t="str">
            <v>Group 1-Giridhar-Peenya</v>
          </cell>
        </row>
        <row r="720">
          <cell r="A720" t="str">
            <v>Dyna Biotech</v>
          </cell>
          <cell r="B720" t="str">
            <v>Group-4 ( Office Account)</v>
          </cell>
        </row>
        <row r="721">
          <cell r="A721" t="str">
            <v>Dynam Electro Controls</v>
          </cell>
          <cell r="B721" t="str">
            <v>Group 1-Giridhar-Peenya</v>
          </cell>
        </row>
        <row r="722">
          <cell r="A722" t="str">
            <v>Dynamatic Technologies Limited</v>
          </cell>
          <cell r="B722" t="str">
            <v>Group - 5 (Ananthapadmanabha)</v>
          </cell>
        </row>
        <row r="723">
          <cell r="A723" t="str">
            <v>Dynamatic Technologies Ltd (Peenya)</v>
          </cell>
          <cell r="B723" t="str">
            <v>Group - 5 (Ananthapadmanabha)</v>
          </cell>
        </row>
        <row r="724">
          <cell r="A724" t="str">
            <v>Dynamix Multimedia Private Limited</v>
          </cell>
          <cell r="B724" t="str">
            <v>Online Business</v>
          </cell>
        </row>
        <row r="725">
          <cell r="A725" t="str">
            <v>Dynaspede Integrated Systems (P) Ltd</v>
          </cell>
          <cell r="B725" t="str">
            <v>Group-2 (Veeresh- Bomsdr+Hosur)</v>
          </cell>
        </row>
        <row r="726">
          <cell r="A726" t="str">
            <v>E CONTROL DEVICES</v>
          </cell>
          <cell r="B726" t="str">
            <v>Group-4 ( Office Account)</v>
          </cell>
        </row>
        <row r="727">
          <cell r="A727" t="str">
            <v>E M  Electronix Pvt  Ltd</v>
          </cell>
          <cell r="B727" t="str">
            <v>Group 1-Giridhar-Peenya</v>
          </cell>
        </row>
        <row r="728">
          <cell r="A728" t="str">
            <v>E M Shivamani Engineering (P)Ltd</v>
          </cell>
          <cell r="B728" t="str">
            <v>Group-2 (Veeresh- Bomsdr+Hosur)</v>
          </cell>
        </row>
        <row r="729">
          <cell r="A729" t="str">
            <v>E POWER BUSINESS SOLUTIONS</v>
          </cell>
          <cell r="B729" t="str">
            <v>Group-4 ( Office Account)</v>
          </cell>
        </row>
        <row r="730">
          <cell r="A730" t="str">
            <v>E2 DRIVE CONTROL SYSTEMS</v>
          </cell>
          <cell r="B730" t="str">
            <v>Online Business</v>
          </cell>
        </row>
        <row r="731">
          <cell r="A731" t="str">
            <v>Earthfokus Earthwise Private Limited</v>
          </cell>
          <cell r="B731" t="str">
            <v>Group-2 (Veeresh- Bomsdr+Hosur)</v>
          </cell>
        </row>
        <row r="732">
          <cell r="A732" t="str">
            <v>East India Trading Co.,</v>
          </cell>
          <cell r="B732" t="str">
            <v>Group-4 ( Office Account)</v>
          </cell>
        </row>
        <row r="733">
          <cell r="A733" t="str">
            <v>Easun Reyrolle Ltd</v>
          </cell>
          <cell r="B733" t="str">
            <v>Group-2 (Veeresh- Bomsdr+Hosur)</v>
          </cell>
        </row>
        <row r="734">
          <cell r="A734" t="str">
            <v>Ebasco Marketing</v>
          </cell>
          <cell r="B734" t="str">
            <v>Group-4 ( Office Account)</v>
          </cell>
        </row>
        <row r="735">
          <cell r="A735" t="str">
            <v>E-CO ELECTRICAL COMPANY</v>
          </cell>
          <cell r="B735" t="str">
            <v>Group 1-Giridhar-Peenya</v>
          </cell>
        </row>
        <row r="736">
          <cell r="A736" t="str">
            <v>ECO ENERGIME ENGINEERS LLP</v>
          </cell>
          <cell r="B736" t="str">
            <v>Group-2 (Veeresh- Bomsdr+Hosur)</v>
          </cell>
        </row>
        <row r="737">
          <cell r="A737" t="str">
            <v>ECO LUMINATE TECHNOLOGIES PRIVATE LIMITED</v>
          </cell>
          <cell r="B737" t="str">
            <v>Group 1-Giridhar-Peenya</v>
          </cell>
        </row>
        <row r="738">
          <cell r="A738" t="str">
            <v>Eco Papers (India) Pvt  Ltd</v>
          </cell>
          <cell r="B738" t="str">
            <v>Group-4 ( Office Account)</v>
          </cell>
        </row>
        <row r="739">
          <cell r="A739" t="str">
            <v>ECUBE CONTROLS PRIVATE LIMITED</v>
          </cell>
          <cell r="B739" t="str">
            <v>Group 1-Giridhar-Peenya</v>
          </cell>
        </row>
        <row r="740">
          <cell r="A740" t="str">
            <v>EDOMOTICS SMART SYSTEMS BANGALORE PRIVATE LIMITED</v>
          </cell>
          <cell r="B740" t="str">
            <v>Group-2 (Veeresh- Bomsdr+Hosur)</v>
          </cell>
        </row>
        <row r="741">
          <cell r="A741" t="str">
            <v>EDOMOTICS SMART SYSTEMS PVT LTD (HY)</v>
          </cell>
          <cell r="B741" t="str">
            <v>Group-2 (Veeresh- Bomsdr+Hosur)</v>
          </cell>
        </row>
        <row r="742">
          <cell r="A742" t="str">
            <v>EDRIVEUNIT ENGINEERING SOLUTIONS PRIVATE LIMITED</v>
          </cell>
          <cell r="B742" t="str">
            <v>Group-2 (Veeresh- Bomsdr+Hosur)</v>
          </cell>
        </row>
        <row r="743">
          <cell r="A743" t="str">
            <v>EDS Instruments &amp; Systems Pvt  Ltd</v>
          </cell>
          <cell r="B743" t="str">
            <v>Group-4 ( Office Account)</v>
          </cell>
        </row>
        <row r="744">
          <cell r="A744" t="str">
            <v>Edvantic Technologies</v>
          </cell>
          <cell r="B744" t="str">
            <v>Group-4 ( Office Account)</v>
          </cell>
        </row>
        <row r="745">
          <cell r="A745" t="str">
            <v>EDVANTIC TECHNOLOGIES AND AUTOMATION PRIVATE LIMITED</v>
          </cell>
          <cell r="B745" t="str">
            <v>Group 1-Giridhar-Peenya</v>
          </cell>
        </row>
        <row r="746">
          <cell r="A746" t="str">
            <v>EFD Induction Limited</v>
          </cell>
          <cell r="B746" t="str">
            <v>Group - 5 (Ananthapadmanabha)</v>
          </cell>
        </row>
        <row r="747">
          <cell r="A747" t="str">
            <v>Effects Engineers &amp; Contractors</v>
          </cell>
          <cell r="B747" t="str">
            <v>Group - 5 (Ananthapadmanabha)</v>
          </cell>
        </row>
        <row r="748">
          <cell r="A748" t="str">
            <v>EFFEE INDUCTION PRIVATE LIMITED</v>
          </cell>
          <cell r="B748" t="str">
            <v>Group 1-Giridhar-Peenya</v>
          </cell>
        </row>
        <row r="749">
          <cell r="A749" t="str">
            <v>E-GALAXY</v>
          </cell>
          <cell r="B749" t="str">
            <v>Group-4 ( Office Account)</v>
          </cell>
        </row>
        <row r="750">
          <cell r="A750" t="str">
            <v>EHS GLOBAL ACCESS EQUIPMENT PRIVATE LIMITED</v>
          </cell>
          <cell r="B750" t="str">
            <v>Online Business</v>
          </cell>
        </row>
        <row r="751">
          <cell r="A751" t="str">
            <v>EIFCO MACHINE TOOLS P LTD</v>
          </cell>
          <cell r="B751" t="str">
            <v>Online Business</v>
          </cell>
        </row>
        <row r="752">
          <cell r="A752" t="str">
            <v>EKADANTHA AUTOMATION AND WELDTECH PRIVATE LIMITED</v>
          </cell>
          <cell r="B752" t="str">
            <v>Group 1-Giridhar-Peenya</v>
          </cell>
        </row>
        <row r="753">
          <cell r="A753" t="str">
            <v>EKTA ENTERPRISES</v>
          </cell>
          <cell r="B753" t="str">
            <v>Group-4 ( Office Account)</v>
          </cell>
        </row>
        <row r="754">
          <cell r="A754" t="str">
            <v>Elcab Engineers Pvt Ltd</v>
          </cell>
          <cell r="B754" t="str">
            <v>Group-4 ( Office Account)</v>
          </cell>
        </row>
        <row r="755">
          <cell r="A755" t="str">
            <v>Elecsun Power Products (I) Pvt. Ltd.,</v>
          </cell>
          <cell r="B755" t="str">
            <v>Group 1-Giridhar-Peenya</v>
          </cell>
        </row>
        <row r="756">
          <cell r="A756" t="str">
            <v>ELECTRANEX</v>
          </cell>
          <cell r="B756" t="str">
            <v>Online Business</v>
          </cell>
        </row>
        <row r="757">
          <cell r="A757" t="str">
            <v>ELECTRICAL SYSTEMS</v>
          </cell>
          <cell r="B757" t="str">
            <v>Group - 5 (Ananthapadmanabha)</v>
          </cell>
        </row>
        <row r="758">
          <cell r="A758" t="str">
            <v>Electrical World</v>
          </cell>
          <cell r="B758" t="str">
            <v>Group-2 (Veeresh- Bomsdr+Hosur)</v>
          </cell>
        </row>
        <row r="759">
          <cell r="A759" t="str">
            <v>ELECTRICFOR HEATING SYSTEMS INDIA PRIVATE LIMITED</v>
          </cell>
          <cell r="B759" t="str">
            <v>Group-4 ( Office Account)</v>
          </cell>
        </row>
        <row r="760">
          <cell r="A760" t="str">
            <v>ELECTRO ALLIED PRODUCTS</v>
          </cell>
          <cell r="B760" t="str">
            <v>Online Business</v>
          </cell>
        </row>
        <row r="761">
          <cell r="A761" t="str">
            <v>ELECTRO CONTROLS (INDIA)</v>
          </cell>
          <cell r="B761" t="str">
            <v>Group-2 (Veeresh- Bomsdr+Hosur)</v>
          </cell>
        </row>
        <row r="762">
          <cell r="A762" t="str">
            <v>Electro Link</v>
          </cell>
          <cell r="B762" t="str">
            <v>Group 1-Giridhar-Peenya</v>
          </cell>
        </row>
        <row r="763">
          <cell r="A763" t="str">
            <v>Electro Trade</v>
          </cell>
          <cell r="B763" t="str">
            <v>Group-4 ( Office Account)</v>
          </cell>
        </row>
        <row r="764">
          <cell r="A764" t="str">
            <v>Electroline Engineers and Contractors</v>
          </cell>
          <cell r="B764" t="str">
            <v>Group-2 (Veeresh- Bomsdr+Hosur)</v>
          </cell>
        </row>
        <row r="765">
          <cell r="A765" t="str">
            <v>Electrondia</v>
          </cell>
          <cell r="B765" t="str">
            <v>Group-4 ( Office Account)</v>
          </cell>
        </row>
        <row r="766">
          <cell r="A766" t="str">
            <v>ELECTRONIC APPLYANCES</v>
          </cell>
          <cell r="B766" t="str">
            <v>Online Business</v>
          </cell>
        </row>
        <row r="767">
          <cell r="A767" t="str">
            <v>ELECZO INDIA PRIVATE LIMITED</v>
          </cell>
          <cell r="B767" t="str">
            <v>Group-4 ( Office Account)</v>
          </cell>
        </row>
        <row r="768">
          <cell r="A768" t="str">
            <v>ELEGANCE TECHNO SYSTEMS</v>
          </cell>
          <cell r="B768" t="str">
            <v>Group 1-Giridhar-Peenya</v>
          </cell>
        </row>
        <row r="769">
          <cell r="A769" t="str">
            <v>ELEGANT AUTOMATED SYSTEMS TECHNOLOGY</v>
          </cell>
          <cell r="B769" t="str">
            <v>Group 1-Giridhar-Peenya</v>
          </cell>
        </row>
        <row r="770">
          <cell r="A770" t="str">
            <v>ELEGANT HARDWARE &amp; ELECTRICALS</v>
          </cell>
          <cell r="B770" t="str">
            <v>Online Business</v>
          </cell>
        </row>
        <row r="771">
          <cell r="A771" t="str">
            <v>Elegant Power Systems and Controls Pvt. Ltd.,</v>
          </cell>
          <cell r="B771" t="str">
            <v>Group-2 (Veeresh- Bomsdr+Hosur)</v>
          </cell>
        </row>
        <row r="772">
          <cell r="A772" t="str">
            <v>Elektrikals &amp; Ceramics</v>
          </cell>
          <cell r="B772" t="str">
            <v>Group-4 ( Office Account)</v>
          </cell>
        </row>
        <row r="773">
          <cell r="A773" t="str">
            <v>ELEMECH ENGINEERING SOLUTION</v>
          </cell>
          <cell r="B773" t="str">
            <v>Group-4 ( Office Account)</v>
          </cell>
        </row>
        <row r="774">
          <cell r="A774" t="str">
            <v>ELENA ELECTRICALS</v>
          </cell>
          <cell r="B774" t="str">
            <v>Group - 5 (Ananthapadmanabha)</v>
          </cell>
        </row>
        <row r="775">
          <cell r="A775" t="str">
            <v>Elena Electricals (B)</v>
          </cell>
          <cell r="B775" t="str">
            <v>Group - 5 (Ananthapadmanabha)</v>
          </cell>
        </row>
        <row r="776">
          <cell r="A776" t="str">
            <v>Elephas Engineering &amp; Projects Pvt Ltd</v>
          </cell>
          <cell r="B776" t="str">
            <v>Group-4 ( Office Account)</v>
          </cell>
        </row>
        <row r="777">
          <cell r="A777" t="str">
            <v>ELEXTRIO AUTOMATION PRIVATE LIMITED</v>
          </cell>
          <cell r="B777" t="str">
            <v>Group - 5 (Ananthapadmanabha)</v>
          </cell>
        </row>
        <row r="778">
          <cell r="A778" t="str">
            <v>ELEZON ELECTRIC PRIVATE LIMITED</v>
          </cell>
          <cell r="B778" t="str">
            <v>Online Business</v>
          </cell>
        </row>
        <row r="779">
          <cell r="A779" t="str">
            <v>E-LINKS</v>
          </cell>
          <cell r="B779" t="str">
            <v>Group-4 ( Office Account)</v>
          </cell>
        </row>
        <row r="780">
          <cell r="A780" t="str">
            <v>Elite teknica private limited</v>
          </cell>
          <cell r="B780" t="str">
            <v>Group 1-Giridhar-Peenya</v>
          </cell>
        </row>
        <row r="781">
          <cell r="A781" t="str">
            <v>Elixir Engineering (Old)</v>
          </cell>
          <cell r="B781" t="str">
            <v>Group 1-Giridhar-Peenya</v>
          </cell>
        </row>
        <row r="782">
          <cell r="A782" t="str">
            <v>ELIXIR INGREDIENTS</v>
          </cell>
          <cell r="B782" t="str">
            <v>Online Business</v>
          </cell>
        </row>
        <row r="783">
          <cell r="A783" t="str">
            <v>ELMECH TRADERS</v>
          </cell>
          <cell r="B783" t="str">
            <v>Group-2 (Veeresh- Bomsdr+Hosur)</v>
          </cell>
        </row>
        <row r="784">
          <cell r="A784" t="str">
            <v>Eltech Controls</v>
          </cell>
          <cell r="B784" t="str">
            <v>Group-2 (Veeresh- Bomsdr+Hosur)</v>
          </cell>
        </row>
        <row r="785">
          <cell r="A785" t="str">
            <v>E-Mac India</v>
          </cell>
          <cell r="B785" t="str">
            <v>Group 1-Giridhar-Peenya</v>
          </cell>
        </row>
        <row r="786">
          <cell r="A786" t="str">
            <v>E-Map CNC Services</v>
          </cell>
          <cell r="B786" t="str">
            <v>Group-4 ( Office Account)</v>
          </cell>
        </row>
        <row r="787">
          <cell r="A787" t="str">
            <v>EMATION</v>
          </cell>
          <cell r="B787" t="str">
            <v>Group-4 ( Office Account)</v>
          </cell>
        </row>
        <row r="788">
          <cell r="A788" t="str">
            <v>Embassy Classic Pvt Ltd</v>
          </cell>
          <cell r="B788" t="str">
            <v>Group-2 (Veeresh- Bomsdr+Hosur)</v>
          </cell>
        </row>
        <row r="789">
          <cell r="A789" t="str">
            <v>EMCONS</v>
          </cell>
          <cell r="B789" t="str">
            <v>Group-4 ( Office Account)</v>
          </cell>
        </row>
        <row r="790">
          <cell r="A790" t="str">
            <v>EMERGENCE SYSTEM</v>
          </cell>
          <cell r="B790" t="str">
            <v>Online Business</v>
          </cell>
        </row>
        <row r="791">
          <cell r="A791" t="str">
            <v>Emi Solutions Private Limites</v>
          </cell>
          <cell r="B791" t="str">
            <v>Group-4 ( Office Account)</v>
          </cell>
        </row>
        <row r="792">
          <cell r="A792" t="str">
            <v>EMMVEE ENERGY PRIVATE LIMITED</v>
          </cell>
          <cell r="B792" t="str">
            <v>Group 1-Giridhar-Peenya</v>
          </cell>
        </row>
        <row r="793">
          <cell r="A793" t="str">
            <v>Emmvee Photovoltaic Power Pvt Ltd</v>
          </cell>
          <cell r="B793" t="str">
            <v>Group - 5 (Ananthapadmanabha)</v>
          </cell>
        </row>
        <row r="794">
          <cell r="A794" t="str">
            <v>Emmvee Photovoltaic Power Pvt Ltd (Da)</v>
          </cell>
          <cell r="B794" t="str">
            <v>Group 1-Giridhar-Peenya</v>
          </cell>
        </row>
        <row r="795">
          <cell r="A795" t="str">
            <v>Empro Plant Supervision Services Pvt  Ltd</v>
          </cell>
          <cell r="B795" t="str">
            <v>Group-2 (Veeresh- Bomsdr+Hosur)</v>
          </cell>
        </row>
        <row r="796">
          <cell r="A796" t="str">
            <v>Eneffen Technologies Pvt Ltd</v>
          </cell>
          <cell r="B796" t="str">
            <v>Group-4 ( Office Account)</v>
          </cell>
        </row>
        <row r="797">
          <cell r="A797" t="str">
            <v>ENERCON ASIA PACIFIC</v>
          </cell>
          <cell r="B797" t="str">
            <v>Group-4 ( Office Account)</v>
          </cell>
        </row>
        <row r="798">
          <cell r="A798" t="str">
            <v>ENERFRA PROJECTS (INDIA) PRIVATE LIMITED (B)</v>
          </cell>
          <cell r="B798" t="str">
            <v>Group-4 ( Office Account)</v>
          </cell>
        </row>
        <row r="799">
          <cell r="A799" t="str">
            <v>ENERFRA PROJECTS INDIA PRIVATE LIMITED</v>
          </cell>
          <cell r="B799" t="str">
            <v>Group-4 ( Office Account)</v>
          </cell>
        </row>
        <row r="800">
          <cell r="A800" t="str">
            <v>ENERGETICS ECO TECHNOLOGIES LLP</v>
          </cell>
          <cell r="B800" t="str">
            <v>Group-2 (Veeresh- Bomsdr+Hosur)</v>
          </cell>
        </row>
        <row r="801">
          <cell r="A801" t="str">
            <v>Energy Pack Private Limited</v>
          </cell>
          <cell r="B801" t="str">
            <v>Group-2 (Veeresh- Bomsdr+Hosur)</v>
          </cell>
        </row>
        <row r="802">
          <cell r="A802" t="str">
            <v>ENERGYMETEO CONTROL SOLUTION PRIVATE LIMITED</v>
          </cell>
          <cell r="B802" t="str">
            <v>Group-4 ( Office Account)</v>
          </cell>
        </row>
        <row r="803">
          <cell r="A803" t="str">
            <v>ENERQUEST SOLUTIONS PRIVATE LIMITED</v>
          </cell>
          <cell r="B803" t="str">
            <v>Group-4 ( Office Account)</v>
          </cell>
        </row>
        <row r="804">
          <cell r="A804" t="str">
            <v>Enertech Engineering Private Limited</v>
          </cell>
          <cell r="B804" t="str">
            <v>Group-4 ( Office Account)</v>
          </cell>
        </row>
        <row r="805">
          <cell r="A805" t="str">
            <v>Engineered Customised Control Panel - 1</v>
          </cell>
          <cell r="B805" t="str">
            <v>Group 1-Giridhar-Peenya</v>
          </cell>
        </row>
        <row r="806">
          <cell r="A806" t="str">
            <v>Engineered Customised Control Panel - 2</v>
          </cell>
          <cell r="B806" t="str">
            <v>Group 1-Giridhar-Peenya</v>
          </cell>
        </row>
        <row r="807">
          <cell r="A807" t="str">
            <v>Engineered Customised Control Panel Solutions and Systems Pvt.Ltd.</v>
          </cell>
          <cell r="B807" t="str">
            <v>Group 1-Giridhar-Peenya</v>
          </cell>
        </row>
        <row r="808">
          <cell r="A808" t="str">
            <v>Enginium Designs Pvt Ltd</v>
          </cell>
          <cell r="B808" t="str">
            <v>Group 1-Giridhar-Peenya</v>
          </cell>
        </row>
        <row r="809">
          <cell r="A809" t="str">
            <v>Enlights</v>
          </cell>
          <cell r="B809" t="str">
            <v>Group - 5 (Ananthapadmanabha)</v>
          </cell>
        </row>
        <row r="810">
          <cell r="A810" t="str">
            <v>E-Novas Contrl and Automation LLP</v>
          </cell>
          <cell r="B810" t="str">
            <v>Group-4 ( Office Account)</v>
          </cell>
        </row>
        <row r="811">
          <cell r="A811" t="str">
            <v>ENRX Private Limited</v>
          </cell>
          <cell r="B811" t="str">
            <v>Group - 5 (Ananthapadmanabha)</v>
          </cell>
        </row>
        <row r="812">
          <cell r="A812" t="str">
            <v>Ensign Panels</v>
          </cell>
          <cell r="B812" t="str">
            <v>Group 1-Giridhar-Peenya</v>
          </cell>
        </row>
        <row r="813">
          <cell r="A813" t="str">
            <v>ENTEC ADVANCED TECHNOLOGIES LIMITED (Old)</v>
          </cell>
          <cell r="B813" t="str">
            <v>Online Business</v>
          </cell>
        </row>
        <row r="814">
          <cell r="A814" t="str">
            <v>Entec Advanced Technologies Ltd</v>
          </cell>
          <cell r="B814" t="str">
            <v>Online Business</v>
          </cell>
        </row>
        <row r="815">
          <cell r="A815" t="str">
            <v>ENTEC ENGINEERING COMPANY</v>
          </cell>
          <cell r="B815" t="str">
            <v>Group - 5 (Ananthapadmanabha)</v>
          </cell>
        </row>
        <row r="816">
          <cell r="A816" t="str">
            <v>Enviero Serve (P) Ltd.</v>
          </cell>
          <cell r="B816" t="str">
            <v>Group - 5 (Ananthapadmanabha)</v>
          </cell>
        </row>
        <row r="817">
          <cell r="A817" t="str">
            <v>ENVIRO SERVE PVT LTD</v>
          </cell>
          <cell r="B817" t="str">
            <v>Group 1-Giridhar-Peenya</v>
          </cell>
        </row>
        <row r="818">
          <cell r="A818" t="str">
            <v>Enviro Soch</v>
          </cell>
          <cell r="B818" t="str">
            <v>Group-4 ( Office Account)</v>
          </cell>
        </row>
        <row r="819">
          <cell r="A819" t="str">
            <v>EPOWER AUTOMATION AND SOLUTIONS (P) LTD</v>
          </cell>
          <cell r="B819" t="str">
            <v>Group-4 ( Office Account)</v>
          </cell>
        </row>
        <row r="820">
          <cell r="A820" t="str">
            <v>EQIC DIES &amp; MOULDS ENGINEERS PVT LTD</v>
          </cell>
          <cell r="B820" t="str">
            <v>Group-4 ( Office Account)</v>
          </cell>
        </row>
        <row r="821">
          <cell r="A821" t="str">
            <v>EQIC DIES_NOT TO BE USED</v>
          </cell>
          <cell r="B821" t="str">
            <v>Group-4 ( Office Account)</v>
          </cell>
        </row>
        <row r="822">
          <cell r="A822" t="str">
            <v>Equipment Fabricators</v>
          </cell>
          <cell r="B822" t="str">
            <v>Group - 5 (Ananthapadmanabha)</v>
          </cell>
        </row>
        <row r="823">
          <cell r="A823" t="str">
            <v>ERFOLG TECHNOLOGY</v>
          </cell>
          <cell r="B823" t="str">
            <v>Group-4 ( Office Account)</v>
          </cell>
        </row>
        <row r="824">
          <cell r="A824" t="str">
            <v>ESHA ENTERPRISES</v>
          </cell>
          <cell r="B824" t="str">
            <v>Group-4 ( Office Account)</v>
          </cell>
        </row>
        <row r="825">
          <cell r="A825" t="str">
            <v>ESHWARR STEELTECH PRIVATE LIMITED</v>
          </cell>
          <cell r="B825" t="str">
            <v>Group-4 ( Office Account)</v>
          </cell>
        </row>
        <row r="826">
          <cell r="A826" t="str">
            <v>Ess Emm Enterpriese</v>
          </cell>
          <cell r="B826" t="str">
            <v>Group-4 ( Office Account)</v>
          </cell>
        </row>
        <row r="827">
          <cell r="A827" t="str">
            <v>Essar Enterprises</v>
          </cell>
          <cell r="B827" t="str">
            <v>Group 1-Giridhar-Peenya</v>
          </cell>
        </row>
        <row r="828">
          <cell r="A828" t="str">
            <v>Essarm Industries</v>
          </cell>
          <cell r="B828" t="str">
            <v>Group 1-Giridhar-Peenya</v>
          </cell>
        </row>
        <row r="829">
          <cell r="A829" t="str">
            <v>Essen Carbide</v>
          </cell>
          <cell r="B829" t="str">
            <v>Group-4 ( Office Account)</v>
          </cell>
        </row>
        <row r="830">
          <cell r="A830" t="str">
            <v>ESSEN CARVIDE</v>
          </cell>
          <cell r="B830" t="str">
            <v>Group-4 ( Office Account)</v>
          </cell>
        </row>
        <row r="831">
          <cell r="A831" t="str">
            <v>Essen Electronics &amp; Services</v>
          </cell>
          <cell r="B831" t="str">
            <v>Group-4 ( Office Account)</v>
          </cell>
        </row>
        <row r="832">
          <cell r="A832" t="str">
            <v>ESSENN INFRA TOWNSHIP PVT LTD</v>
          </cell>
          <cell r="B832" t="str">
            <v>Group-4 ( Office Account)</v>
          </cell>
        </row>
        <row r="833">
          <cell r="A833" t="str">
            <v>Essvee Enterprises</v>
          </cell>
          <cell r="B833" t="str">
            <v>Online Business</v>
          </cell>
        </row>
        <row r="834">
          <cell r="A834" t="str">
            <v>ESWA TECHNOLOGIES</v>
          </cell>
          <cell r="B834" t="str">
            <v>Group-4 ( Office Account)</v>
          </cell>
        </row>
        <row r="835">
          <cell r="A835" t="str">
            <v>ETA ENGINEERING P. LTD.</v>
          </cell>
          <cell r="B835" t="str">
            <v>Group 1-Giridhar-Peenya</v>
          </cell>
        </row>
        <row r="836">
          <cell r="A836" t="str">
            <v>ETA Engineering Private Limited</v>
          </cell>
          <cell r="B836" t="str">
            <v>Group-4 ( Office Account)</v>
          </cell>
        </row>
        <row r="837">
          <cell r="A837" t="str">
            <v>ETA Technology Pvt Ltd</v>
          </cell>
          <cell r="B837" t="str">
            <v>Group 1-Giridhar-Peenya</v>
          </cell>
        </row>
        <row r="838">
          <cell r="A838" t="str">
            <v>Ethereal Machines Private Limited</v>
          </cell>
          <cell r="B838" t="str">
            <v>Group 1-Giridhar-Peenya</v>
          </cell>
        </row>
        <row r="839">
          <cell r="A839" t="str">
            <v>ETHEREAL MACHINES PVT.LTD (T)</v>
          </cell>
          <cell r="B839" t="str">
            <v>Group 1-Giridhar-Peenya</v>
          </cell>
        </row>
        <row r="840">
          <cell r="A840" t="str">
            <v>EtoE Interconnections Pvt. Ltd.,</v>
          </cell>
          <cell r="B840" t="str">
            <v>Group-2 (Veeresh- Bomsdr+Hosur)</v>
          </cell>
        </row>
        <row r="841">
          <cell r="A841" t="str">
            <v>Eurotech Rotary Racks Pvt Ltd</v>
          </cell>
          <cell r="B841" t="str">
            <v>Group-4 ( Office Account)</v>
          </cell>
        </row>
        <row r="842">
          <cell r="A842" t="str">
            <v>EUROTECH TECHNOLOGIES PVT LTD</v>
          </cell>
          <cell r="B842" t="str">
            <v>Group - 5 (Ananthapadmanabha)</v>
          </cell>
        </row>
        <row r="843">
          <cell r="A843" t="str">
            <v>EV Green Machine Tool &amp; Automation Pvt Ltd</v>
          </cell>
          <cell r="B843" t="str">
            <v>Group 1-Giridhar-Peenya</v>
          </cell>
        </row>
        <row r="844">
          <cell r="A844" t="str">
            <v>EVERAXIS INDIA PRIVATE LIMITED</v>
          </cell>
          <cell r="B844" t="str">
            <v>Group - 5 (Ananthapadmanabha)</v>
          </cell>
        </row>
        <row r="845">
          <cell r="A845" t="str">
            <v>EVEREST BUILDPRO PRIVATE LIMITED</v>
          </cell>
          <cell r="B845" t="str">
            <v>Group-4 ( Office Account)</v>
          </cell>
        </row>
        <row r="846">
          <cell r="A846" t="str">
            <v>EVERLLENCE INDIA PRIVATE LIMITED</v>
          </cell>
          <cell r="B846" t="str">
            <v>Group-2 (Veeresh- Bomsdr+Hosur)</v>
          </cell>
        </row>
        <row r="847">
          <cell r="A847" t="str">
            <v>EvGreen Engineering Pvt. Ltd.,</v>
          </cell>
          <cell r="B847" t="str">
            <v>Group 1-Giridhar-Peenya</v>
          </cell>
        </row>
        <row r="848">
          <cell r="A848" t="str">
            <v>EVORA IT SOLUTIONS PRIVATE LIMITED</v>
          </cell>
          <cell r="B848" t="str">
            <v>Group-2 (Veeresh- Bomsdr+Hosur)</v>
          </cell>
        </row>
        <row r="849">
          <cell r="A849" t="str">
            <v>Excel Controls Enterprises</v>
          </cell>
          <cell r="B849" t="str">
            <v>Group 1-Giridhar-Peenya</v>
          </cell>
        </row>
        <row r="850">
          <cell r="A850" t="str">
            <v>Excel Craft Machineries (Hyd)</v>
          </cell>
          <cell r="B850" t="str">
            <v>Group 1-Giridhar-Peenya</v>
          </cell>
        </row>
        <row r="851">
          <cell r="A851" t="str">
            <v>EXCEL CRAFT PRIVATE LIMITED</v>
          </cell>
          <cell r="B851" t="str">
            <v>Group 1-Giridhar-Peenya</v>
          </cell>
        </row>
        <row r="852">
          <cell r="A852" t="str">
            <v>EXCEL ENTERPRISES</v>
          </cell>
          <cell r="B852" t="str">
            <v>Group 1-Giridhar-Peenya</v>
          </cell>
        </row>
        <row r="853">
          <cell r="A853" t="str">
            <v>Excellent Power Controls</v>
          </cell>
          <cell r="B853" t="str">
            <v>Group 1-Giridhar-Peenya</v>
          </cell>
        </row>
        <row r="854">
          <cell r="A854" t="str">
            <v>Expert Industries (Old)</v>
          </cell>
          <cell r="B854" t="str">
            <v>Group-2 (Veeresh- Bomsdr+Hosur)</v>
          </cell>
        </row>
        <row r="855">
          <cell r="A855" t="str">
            <v>EXPERT INDUSTRIES PRIVATE LIMITED</v>
          </cell>
          <cell r="B855" t="str">
            <v>Group-2 (Veeresh- Bomsdr+Hosur)</v>
          </cell>
        </row>
        <row r="856">
          <cell r="A856" t="str">
            <v>EXPERT INDUSTRIES PRIVATE LIMITED (J)</v>
          </cell>
          <cell r="B856" t="str">
            <v>Group-2 (Veeresh- Bomsdr+Hosur)</v>
          </cell>
        </row>
        <row r="857">
          <cell r="A857" t="str">
            <v>Exponent Energy Private Limited</v>
          </cell>
          <cell r="B857" t="str">
            <v>Group-4 ( Office Account)</v>
          </cell>
        </row>
        <row r="858">
          <cell r="A858" t="str">
            <v>EXTRA</v>
          </cell>
          <cell r="B858" t="str">
            <v>Group-2 (Veeresh- Bomsdr+Hosur)</v>
          </cell>
        </row>
        <row r="859">
          <cell r="A859" t="str">
            <v>Exzatech Consulting and Services Pvt. Ltd.,</v>
          </cell>
          <cell r="B859" t="str">
            <v>Group-2 (Veeresh- Bomsdr+Hosur)</v>
          </cell>
        </row>
        <row r="860">
          <cell r="A860" t="str">
            <v>Eye-Tech Controls</v>
          </cell>
          <cell r="B860" t="str">
            <v>Group 1-Giridhar-Peenya</v>
          </cell>
        </row>
        <row r="861">
          <cell r="A861" t="str">
            <v>Fabulors Designs &amp; Creations</v>
          </cell>
          <cell r="B861" t="str">
            <v>Group 1-Giridhar-Peenya</v>
          </cell>
        </row>
        <row r="862">
          <cell r="A862" t="str">
            <v>Faith Full Gospel Church</v>
          </cell>
          <cell r="B862" t="str">
            <v>Group-4 ( Office Account)</v>
          </cell>
        </row>
        <row r="863">
          <cell r="A863" t="str">
            <v>FAIVELEY TRANSPORT RAIL TECHNOLOGIES INDIA PRIVATE LTD (R)</v>
          </cell>
          <cell r="B863" t="str">
            <v>Group-4 ( Office Account)</v>
          </cell>
        </row>
        <row r="864">
          <cell r="A864" t="str">
            <v>Faiveley Transport Rail Technologies India Pvt. Ltd (B)</v>
          </cell>
          <cell r="B864" t="str">
            <v>Group-2 (Veeresh- Bomsdr+Hosur)</v>
          </cell>
        </row>
        <row r="865">
          <cell r="A865" t="str">
            <v>Faiveley Transport Rail Technologies India Pvt. Ltd (D)</v>
          </cell>
          <cell r="B865" t="str">
            <v>Group-4 ( Office Account)</v>
          </cell>
        </row>
        <row r="866">
          <cell r="A866" t="str">
            <v>Faiveley Transport Rail Technologies India Pvt. Ltd (H)</v>
          </cell>
          <cell r="B866" t="str">
            <v>Group-2 (Veeresh- Bomsdr+Hosur)</v>
          </cell>
        </row>
        <row r="867">
          <cell r="A867" t="str">
            <v>FAIVELEY TRANSPORT RAIL TECHNOLOGIESINDIA PVT LTD(A)</v>
          </cell>
          <cell r="B867" t="str">
            <v>Group-2 (Veeresh- Bomsdr+Hosur)</v>
          </cell>
        </row>
        <row r="868">
          <cell r="A868" t="str">
            <v>Falcon Marine Exports Limited</v>
          </cell>
          <cell r="B868" t="str">
            <v>Group-4 ( Office Account)</v>
          </cell>
        </row>
        <row r="869">
          <cell r="A869" t="str">
            <v>Fanem Medical Devices India Pvt.Ltd.,</v>
          </cell>
          <cell r="B869" t="str">
            <v>Group 1-Giridhar-Peenya</v>
          </cell>
        </row>
        <row r="870">
          <cell r="A870" t="str">
            <v>Fanuc India Private Limited</v>
          </cell>
          <cell r="B870" t="str">
            <v>Group-2 (Veeresh- Bomsdr+Hosur)</v>
          </cell>
        </row>
        <row r="871">
          <cell r="A871" t="str">
            <v>FANUC INDIA PRIVATE LIMITED (Bom)</v>
          </cell>
          <cell r="B871" t="str">
            <v>Group-2 (Veeresh- Bomsdr+Hosur)</v>
          </cell>
        </row>
        <row r="872">
          <cell r="A872" t="str">
            <v>Fci Oen Connectors Ltd (Old)</v>
          </cell>
          <cell r="B872" t="str">
            <v>Group-2 (Veeresh- Bomsdr+Hosur)</v>
          </cell>
        </row>
        <row r="873">
          <cell r="A873" t="str">
            <v>Federal Crane Service</v>
          </cell>
          <cell r="B873" t="str">
            <v>Group-2 (Veeresh- Bomsdr+Hosur)</v>
          </cell>
        </row>
        <row r="874">
          <cell r="A874" t="str">
            <v>Felsomat India Pvt Ltd</v>
          </cell>
          <cell r="B874" t="str">
            <v>Group - 5 (Ananthapadmanabha)</v>
          </cell>
        </row>
        <row r="875">
          <cell r="A875" t="str">
            <v>Fenwick And Ravi</v>
          </cell>
          <cell r="B875" t="str">
            <v>Group 1-Giridhar-Peenya</v>
          </cell>
        </row>
        <row r="876">
          <cell r="A876" t="str">
            <v>Ferro Foundaries P  Ltd</v>
          </cell>
          <cell r="B876" t="str">
            <v>Group-4 ( Office Account)</v>
          </cell>
        </row>
        <row r="877">
          <cell r="A877" t="str">
            <v>FERVID SMART SOLUTIONS PRIVATE LIMITED</v>
          </cell>
          <cell r="B877" t="str">
            <v>Group-4 ( Office Account)</v>
          </cell>
        </row>
        <row r="878">
          <cell r="A878" t="str">
            <v>FESTO INDIA PRIVATE LIMITED</v>
          </cell>
          <cell r="B878" t="str">
            <v>Group-2 (Veeresh- Bomsdr+Hosur)</v>
          </cell>
        </row>
        <row r="879">
          <cell r="A879" t="str">
            <v>Festo India Private Limited (B)</v>
          </cell>
          <cell r="B879" t="str">
            <v>Group-2 (Veeresh- Bomsdr+Hosur)</v>
          </cell>
        </row>
        <row r="880">
          <cell r="A880" t="str">
            <v>Fibre Abbresive Machinary Pvt  Ltd</v>
          </cell>
          <cell r="B880" t="str">
            <v>Group-4 ( Office Account)</v>
          </cell>
        </row>
        <row r="881">
          <cell r="A881" t="str">
            <v>FIDELITUS CORP PROPERTY SERVICES PRIVATE LIMITED</v>
          </cell>
          <cell r="B881" t="str">
            <v>Group - 5 (Ananthapadmanabha)</v>
          </cell>
        </row>
        <row r="882">
          <cell r="A882" t="str">
            <v>Filcon Systems</v>
          </cell>
          <cell r="B882" t="str">
            <v>Online Business</v>
          </cell>
        </row>
        <row r="883">
          <cell r="A883" t="str">
            <v>Findx Pro</v>
          </cell>
          <cell r="B883" t="str">
            <v>Online Business</v>
          </cell>
        </row>
        <row r="884">
          <cell r="A884" t="str">
            <v>Fine Tools (I) Pvt  Ltd</v>
          </cell>
          <cell r="B884" t="str">
            <v>Group 1-Giridhar-Peenya</v>
          </cell>
        </row>
        <row r="885">
          <cell r="A885" t="str">
            <v>Fiza Developers &amp; Infrastructure Pvt Ltd</v>
          </cell>
          <cell r="B885" t="str">
            <v>Group - 5 (Ananthapadmanabha)</v>
          </cell>
        </row>
        <row r="886">
          <cell r="A886" t="str">
            <v>FLEXCORE TECHNOLOGIES LLP</v>
          </cell>
          <cell r="B886" t="str">
            <v>Online Business</v>
          </cell>
        </row>
        <row r="887">
          <cell r="A887" t="str">
            <v>Flexi Efficads Private Limited</v>
          </cell>
          <cell r="B887" t="str">
            <v>Group-2 (Veeresh- Bomsdr+Hosur)</v>
          </cell>
        </row>
        <row r="888">
          <cell r="A888" t="str">
            <v>Flexi Manufacturing Solutions Private Limited</v>
          </cell>
          <cell r="B888" t="str">
            <v>Group-4 ( Office Account)</v>
          </cell>
        </row>
        <row r="889">
          <cell r="A889" t="str">
            <v>FLEXIMAGE TECHNOLOGIES</v>
          </cell>
          <cell r="B889" t="str">
            <v>Group-4 ( Office Account)</v>
          </cell>
        </row>
        <row r="890">
          <cell r="A890" t="str">
            <v>FLEXIVISION MACHINERIES PRIVATE LIMITED</v>
          </cell>
          <cell r="B890" t="str">
            <v>Group-2 (Veeresh- Bomsdr+Hosur)</v>
          </cell>
        </row>
        <row r="891">
          <cell r="A891" t="str">
            <v>FLOW OIL PUMPS PVT LTD</v>
          </cell>
          <cell r="B891" t="str">
            <v>Group-4 ( Office Account)</v>
          </cell>
        </row>
        <row r="892">
          <cell r="A892" t="str">
            <v>FLOW TEK</v>
          </cell>
          <cell r="B892" t="str">
            <v>Group-4 ( Office Account)</v>
          </cell>
        </row>
        <row r="893">
          <cell r="A893" t="str">
            <v>Flowserve India Controls Pvt. Ltd.,</v>
          </cell>
          <cell r="B893" t="str">
            <v>Group - 5 (Ananthapadmanabha)</v>
          </cell>
        </row>
        <row r="894">
          <cell r="A894" t="str">
            <v>FLOWTECH PUMPS AND MOTORS</v>
          </cell>
          <cell r="B894" t="str">
            <v>Group-4 ( Office Account)</v>
          </cell>
        </row>
        <row r="895">
          <cell r="A895" t="str">
            <v>Flowtech Pumps and Motors (Old)</v>
          </cell>
          <cell r="B895" t="str">
            <v>Group-4 ( Office Account)</v>
          </cell>
        </row>
        <row r="896">
          <cell r="A896" t="str">
            <v>FLOWWELL PUMPS-METERS</v>
          </cell>
          <cell r="B896" t="str">
            <v>Group-2 (Veeresh- Bomsdr+Hosur)</v>
          </cell>
        </row>
        <row r="897">
          <cell r="A897" t="str">
            <v>Fluid Controls &amp; Systems</v>
          </cell>
          <cell r="B897" t="str">
            <v>Group-2 (Veeresh- Bomsdr+Hosur)</v>
          </cell>
        </row>
        <row r="898">
          <cell r="A898" t="str">
            <v>FLUIDCTRLX PRIVATE LIMITED</v>
          </cell>
          <cell r="B898" t="str">
            <v>Group 1-Giridhar-Peenya</v>
          </cell>
        </row>
        <row r="899">
          <cell r="A899" t="str">
            <v>Flutech Electricals</v>
          </cell>
          <cell r="B899" t="str">
            <v>Group - 5 (Ananthapadmanabha)</v>
          </cell>
        </row>
        <row r="900">
          <cell r="A900" t="str">
            <v>FOMRA &amp; FOMRA</v>
          </cell>
          <cell r="B900" t="str">
            <v>Group-4 ( Office Account)</v>
          </cell>
        </row>
        <row r="901">
          <cell r="A901" t="str">
            <v>Food Creations Private Limited</v>
          </cell>
          <cell r="B901" t="str">
            <v>Group - 5 (Ananthapadmanabha)</v>
          </cell>
        </row>
        <row r="902">
          <cell r="A902" t="str">
            <v>Fori Automation India Pvt. Ltd.,</v>
          </cell>
          <cell r="B902" t="str">
            <v>Group-4 ( Office Account)</v>
          </cell>
        </row>
        <row r="903">
          <cell r="A903" t="str">
            <v>Fortius Automation Solution Pvt,Ltd</v>
          </cell>
          <cell r="B903" t="str">
            <v>Group 1-Giridhar-Peenya</v>
          </cell>
        </row>
        <row r="904">
          <cell r="A904" t="str">
            <v>FORTUNESYSTEMS AUTOMATION LLP</v>
          </cell>
          <cell r="B904" t="str">
            <v>Group-4 ( Office Account)</v>
          </cell>
        </row>
        <row r="905">
          <cell r="A905" t="str">
            <v>FOSROC CHEMICALS (INDIA)PVT.LTD</v>
          </cell>
          <cell r="B905" t="str">
            <v>Group - 5 (Ananthapadmanabha)</v>
          </cell>
        </row>
        <row r="906">
          <cell r="A906" t="str">
            <v>Four Ess Corporation</v>
          </cell>
          <cell r="B906" t="str">
            <v>Group-4 ( Office Account)</v>
          </cell>
        </row>
        <row r="907">
          <cell r="A907" t="str">
            <v>Fowler Westrup (India) Pvt Ltd</v>
          </cell>
          <cell r="B907" t="str">
            <v>Group - 5 (Ananthapadmanabha)</v>
          </cell>
        </row>
        <row r="908">
          <cell r="A908" t="str">
            <v>Francis Klein Machine Tools</v>
          </cell>
          <cell r="B908" t="str">
            <v>Group 1-Giridhar-Peenya</v>
          </cell>
        </row>
        <row r="909">
          <cell r="A909" t="str">
            <v>Fraser Techno Circuits Limited</v>
          </cell>
          <cell r="B909" t="str">
            <v>Group - 5 (Ananthapadmanabha)</v>
          </cell>
        </row>
        <row r="910">
          <cell r="A910" t="str">
            <v>FRONTLINE ELECTRICALS</v>
          </cell>
          <cell r="B910" t="str">
            <v>Group-4 ( Office Account)</v>
          </cell>
        </row>
        <row r="911">
          <cell r="A911" t="str">
            <v>Fusion Electronics</v>
          </cell>
          <cell r="B911" t="str">
            <v>Group 1-Giridhar-Peenya</v>
          </cell>
        </row>
        <row r="912">
          <cell r="A912" t="str">
            <v>Fusion Electronics-I</v>
          </cell>
          <cell r="B912" t="str">
            <v>Group 1-Giridhar-Peenya</v>
          </cell>
        </row>
        <row r="913">
          <cell r="A913" t="str">
            <v>Futura Automation Pvt Ltd</v>
          </cell>
          <cell r="B913" t="str">
            <v>Group 1-Giridhar-Peenya</v>
          </cell>
        </row>
        <row r="914">
          <cell r="A914" t="str">
            <v>G G Instruments P Ltd</v>
          </cell>
          <cell r="B914" t="str">
            <v>Group-4 ( Office Account)</v>
          </cell>
        </row>
        <row r="915">
          <cell r="A915" t="str">
            <v>G K ASSOCIATES</v>
          </cell>
          <cell r="B915" t="str">
            <v>Group-2 (Veeresh- Bomsdr+Hosur)</v>
          </cell>
        </row>
        <row r="916">
          <cell r="A916" t="str">
            <v>G K ENTERPRISES</v>
          </cell>
          <cell r="B916" t="str">
            <v>Group-4 ( Office Account)</v>
          </cell>
        </row>
        <row r="917">
          <cell r="A917" t="str">
            <v>G K TECHNOLOGIES</v>
          </cell>
          <cell r="B917" t="str">
            <v>Group 1-Giridhar-Peenya</v>
          </cell>
        </row>
        <row r="918">
          <cell r="A918" t="str">
            <v>G S M TECHNOLOGIES</v>
          </cell>
          <cell r="B918" t="str">
            <v>Group 1-Giridhar-Peenya</v>
          </cell>
        </row>
        <row r="919">
          <cell r="A919" t="str">
            <v>G V  Engineer &amp; Controls</v>
          </cell>
          <cell r="B919" t="str">
            <v>Group-2 (Veeresh- Bomsdr+Hosur)</v>
          </cell>
        </row>
        <row r="920">
          <cell r="A920" t="str">
            <v>G W Precision Tools India Pvt Ltd</v>
          </cell>
          <cell r="B920" t="str">
            <v>Group-4 ( Office Account)</v>
          </cell>
        </row>
        <row r="921">
          <cell r="A921" t="str">
            <v>G.K Electricals</v>
          </cell>
          <cell r="B921" t="str">
            <v>Group-2 (Veeresh- Bomsdr+Hosur)</v>
          </cell>
        </row>
        <row r="922">
          <cell r="A922" t="str">
            <v>G.K.CONTROLS</v>
          </cell>
          <cell r="B922" t="str">
            <v>Group-4 ( Office Account)</v>
          </cell>
        </row>
        <row r="923">
          <cell r="A923" t="str">
            <v>G.K.Technologies (OLD)</v>
          </cell>
          <cell r="B923" t="str">
            <v>Group 1-Giridhar-Peenya</v>
          </cell>
        </row>
        <row r="924">
          <cell r="A924" t="str">
            <v>Gaana Regent Apartment</v>
          </cell>
          <cell r="B924" t="str">
            <v>Group-4 ( Office Account)</v>
          </cell>
        </row>
        <row r="925">
          <cell r="A925" t="str">
            <v>Gabriel India Limited</v>
          </cell>
          <cell r="B925" t="str">
            <v>Group-2 (Veeresh- Bomsdr+Hosur)</v>
          </cell>
        </row>
        <row r="926">
          <cell r="A926" t="str">
            <v>Gagan Electricals</v>
          </cell>
          <cell r="B926" t="str">
            <v>Group-2 (Veeresh- Bomsdr+Hosur)</v>
          </cell>
        </row>
        <row r="927">
          <cell r="A927" t="str">
            <v>Gagan Electromechs</v>
          </cell>
          <cell r="B927" t="str">
            <v>Group-4 ( Office Account)</v>
          </cell>
        </row>
        <row r="928">
          <cell r="A928" t="str">
            <v>Gaia Energy Solutions Pvt Ltd</v>
          </cell>
          <cell r="B928" t="str">
            <v>Group-4 ( Office Account)</v>
          </cell>
        </row>
        <row r="929">
          <cell r="A929" t="str">
            <v>Galaxy Machinery Pvt. Ltd.,</v>
          </cell>
          <cell r="B929" t="str">
            <v>Group 1-Giridhar-Peenya</v>
          </cell>
        </row>
        <row r="930">
          <cell r="A930" t="str">
            <v>Galvano Track Solutions Pvt Ltd</v>
          </cell>
          <cell r="B930" t="str">
            <v>Group 1-Giridhar-Peenya</v>
          </cell>
        </row>
        <row r="931">
          <cell r="A931" t="str">
            <v>Ganapati Electric Co</v>
          </cell>
          <cell r="B931" t="str">
            <v>Group 1-Giridhar-Peenya</v>
          </cell>
        </row>
        <row r="932">
          <cell r="A932" t="str">
            <v>Gandhi Cranes</v>
          </cell>
          <cell r="B932" t="str">
            <v>Online Business</v>
          </cell>
        </row>
        <row r="933">
          <cell r="A933" t="str">
            <v>GANESH ELECTRICAL INDUSTRIAL SUPPLIERS</v>
          </cell>
          <cell r="B933" t="str">
            <v>Group-4 ( Office Account)</v>
          </cell>
        </row>
        <row r="934">
          <cell r="A934" t="str">
            <v>GANESH INDUSTRIES</v>
          </cell>
          <cell r="B934" t="str">
            <v>Group 1-Giridhar-Peenya</v>
          </cell>
        </row>
        <row r="935">
          <cell r="A935" t="str">
            <v>Ganesh Power Technologies</v>
          </cell>
          <cell r="B935" t="str">
            <v>Group 1-Giridhar-Peenya</v>
          </cell>
        </row>
        <row r="936">
          <cell r="A936" t="str">
            <v>Garima Overseas Limited</v>
          </cell>
          <cell r="B936" t="str">
            <v>Group-4 ( Office Account)</v>
          </cell>
        </row>
        <row r="937">
          <cell r="A937" t="str">
            <v>Garr Enterprises</v>
          </cell>
          <cell r="B937" t="str">
            <v>Group 1-Giridhar-Peenya</v>
          </cell>
        </row>
        <row r="938">
          <cell r="A938" t="str">
            <v>GARUDA ELECTRICALS</v>
          </cell>
          <cell r="B938" t="str">
            <v>Group-2 (Veeresh- Bomsdr+Hosur)</v>
          </cell>
        </row>
        <row r="939">
          <cell r="A939" t="str">
            <v>Garuda Industrial Suppliers</v>
          </cell>
          <cell r="B939" t="str">
            <v>Group 1-Giridhar-Peenya</v>
          </cell>
        </row>
        <row r="940">
          <cell r="A940" t="str">
            <v>Gayathri Technocrats</v>
          </cell>
          <cell r="B940" t="str">
            <v>Group-2 (Veeresh- Bomsdr+Hosur)</v>
          </cell>
        </row>
        <row r="941">
          <cell r="A941" t="str">
            <v>GAZY MAG PRIVATE LIMITED</v>
          </cell>
          <cell r="B941" t="str">
            <v>Group - 5 (Ananthapadmanabha)</v>
          </cell>
        </row>
        <row r="942">
          <cell r="A942" t="str">
            <v>GB CONTROL SYSTEMS</v>
          </cell>
          <cell r="B942" t="str">
            <v>Online Business</v>
          </cell>
        </row>
        <row r="943">
          <cell r="A943" t="str">
            <v>GCI CONCRETE PIPE MACHINERY PRIVATE LIMITED</v>
          </cell>
          <cell r="B943" t="str">
            <v>Group-2 (Veeresh- Bomsdr+Hosur)</v>
          </cell>
        </row>
        <row r="944">
          <cell r="A944" t="str">
            <v>GCI EXPORTS PRIVATE LIMITED</v>
          </cell>
          <cell r="B944" t="str">
            <v>Group-2 (Veeresh- Bomsdr+Hosur)</v>
          </cell>
        </row>
        <row r="945">
          <cell r="A945" t="str">
            <v>GD India P  Ltd</v>
          </cell>
          <cell r="B945" t="str">
            <v>Group-2 (Veeresh- Bomsdr+Hosur)</v>
          </cell>
        </row>
        <row r="946">
          <cell r="A946" t="str">
            <v>GDR Mektek Pvt Ltd</v>
          </cell>
          <cell r="B946" t="str">
            <v>Group-2 (Veeresh- Bomsdr+Hosur)</v>
          </cell>
        </row>
        <row r="947">
          <cell r="A947" t="str">
            <v>GE India Industrial Private Limited</v>
          </cell>
          <cell r="B947" t="str">
            <v>Group - 5 (Ananthapadmanabha)</v>
          </cell>
        </row>
        <row r="948">
          <cell r="A948" t="str">
            <v>GE Intelligent Platforms Private Limited</v>
          </cell>
          <cell r="B948" t="str">
            <v>Group-2 (Veeresh- Bomsdr+Hosur)</v>
          </cell>
        </row>
        <row r="949">
          <cell r="A949" t="str">
            <v>GEA Flow Components India</v>
          </cell>
          <cell r="B949" t="str">
            <v>Group-2 (Veeresh- Bomsdr+Hosur)</v>
          </cell>
        </row>
        <row r="950">
          <cell r="A950" t="str">
            <v>Gea Process Engineering (India) Pvt Ltd</v>
          </cell>
          <cell r="B950" t="str">
            <v>Group-4 ( Office Account)</v>
          </cell>
        </row>
        <row r="951">
          <cell r="A951" t="str">
            <v>GEA WESTFALIA SEPARATOR</v>
          </cell>
          <cell r="B951" t="str">
            <v>Group-4 ( Office Account)</v>
          </cell>
        </row>
        <row r="952">
          <cell r="A952" t="str">
            <v>Gear Automation</v>
          </cell>
          <cell r="B952" t="str">
            <v>Group-2 (Veeresh- Bomsdr+Hosur)</v>
          </cell>
        </row>
        <row r="953">
          <cell r="A953" t="str">
            <v>Gears And Gear Drives (I) Pvt Ltd</v>
          </cell>
          <cell r="B953" t="str">
            <v>Group - 5 (Ananthapadmanabha)</v>
          </cell>
        </row>
        <row r="954">
          <cell r="A954" t="str">
            <v>GEBA CABLES AND WIRES INDIA PRIVATE LIMITED</v>
          </cell>
          <cell r="B954" t="str">
            <v>Group-4 ( Office Account)</v>
          </cell>
        </row>
        <row r="955">
          <cell r="A955" t="str">
            <v>GEC India Pvt Ltd</v>
          </cell>
          <cell r="B955" t="str">
            <v>Online Business</v>
          </cell>
        </row>
        <row r="956">
          <cell r="A956" t="str">
            <v>Geekay Electricals</v>
          </cell>
          <cell r="B956" t="str">
            <v>Group-2 (Veeresh- Bomsdr+Hosur)</v>
          </cell>
        </row>
        <row r="957">
          <cell r="A957" t="str">
            <v>Gehring Technologies India Pvt  Ltd</v>
          </cell>
          <cell r="B957" t="str">
            <v>Group-2 (Veeresh- Bomsdr+Hosur)</v>
          </cell>
        </row>
        <row r="958">
          <cell r="A958" t="str">
            <v>Gemini Electro Corporation</v>
          </cell>
          <cell r="B958" t="str">
            <v>Group 1-Giridhar-Peenya</v>
          </cell>
        </row>
        <row r="959">
          <cell r="A959" t="str">
            <v>Gemini International Export House</v>
          </cell>
          <cell r="B959" t="str">
            <v>Group-4 ( Office Account)</v>
          </cell>
        </row>
        <row r="960">
          <cell r="A960" t="str">
            <v>General Motor Technical Center India</v>
          </cell>
          <cell r="B960" t="str">
            <v>Group-4 ( Office Account)</v>
          </cell>
        </row>
        <row r="961">
          <cell r="A961" t="str">
            <v>General Secretary</v>
          </cell>
          <cell r="B961" t="str">
            <v>Group-4 ( Office Account)</v>
          </cell>
        </row>
        <row r="962">
          <cell r="A962" t="str">
            <v>GENEREX POWER SYSTEMS PRIVATE LIMITED</v>
          </cell>
          <cell r="B962" t="str">
            <v>Group 1-Giridhar-Peenya</v>
          </cell>
        </row>
        <row r="963">
          <cell r="A963" t="str">
            <v>Genix Industries</v>
          </cell>
          <cell r="B963" t="str">
            <v>Group - 5 (Ananthapadmanabha)</v>
          </cell>
        </row>
        <row r="964">
          <cell r="A964" t="str">
            <v>GENUINE CNC AND AUTOMATION SERVICES PRIVATE LIMITED</v>
          </cell>
          <cell r="B964" t="str">
            <v>Group 1-Giridhar-Peenya</v>
          </cell>
        </row>
        <row r="965">
          <cell r="A965" t="str">
            <v>GEORGE AND COMPANY</v>
          </cell>
          <cell r="B965" t="str">
            <v>Group - 5 (Ananthapadmanabha)</v>
          </cell>
        </row>
        <row r="966">
          <cell r="A966" t="str">
            <v>Gessmann Controllers India Private Limited</v>
          </cell>
          <cell r="B966" t="str">
            <v>Group 1-Giridhar-Peenya</v>
          </cell>
        </row>
        <row r="967">
          <cell r="A967" t="str">
            <v>Gigahertz Computing India Pvt. Ltd.,</v>
          </cell>
          <cell r="B967" t="str">
            <v>Group 1-Giridhar-Peenya</v>
          </cell>
        </row>
        <row r="968">
          <cell r="A968" t="str">
            <v>Girimaji Equipments</v>
          </cell>
          <cell r="B968" t="str">
            <v>Group-2 (Veeresh- Bomsdr+Hosur)</v>
          </cell>
        </row>
        <row r="969">
          <cell r="A969" t="str">
            <v>Girish Electricals</v>
          </cell>
          <cell r="B969" t="str">
            <v>Group - 5 (Ananthapadmanabha)</v>
          </cell>
        </row>
        <row r="970">
          <cell r="A970" t="str">
            <v>GJ SENSORS AND SYSTEMS LLP</v>
          </cell>
          <cell r="B970" t="str">
            <v>Group-2 (Veeresh- Bomsdr+Hosur)</v>
          </cell>
        </row>
        <row r="971">
          <cell r="A971" t="str">
            <v>GK CNC Tek (India) Pvt  Ltd</v>
          </cell>
          <cell r="B971" t="str">
            <v>Group 1-Giridhar-Peenya</v>
          </cell>
        </row>
        <row r="972">
          <cell r="A972" t="str">
            <v>GK Machineries &amp; Robotics Private Limited</v>
          </cell>
          <cell r="B972" t="str">
            <v>Group 1-Giridhar-Peenya</v>
          </cell>
        </row>
        <row r="973">
          <cell r="A973" t="str">
            <v>GK MACHINERIES &amp; ROBOTICS PVT LTD (Old)</v>
          </cell>
          <cell r="B973" t="str">
            <v>Group 1-Giridhar-Peenya</v>
          </cell>
        </row>
        <row r="974">
          <cell r="A974" t="str">
            <v>GL Garrad Hassan</v>
          </cell>
          <cell r="B974" t="str">
            <v>Group 1-Giridhar-Peenya</v>
          </cell>
        </row>
        <row r="975">
          <cell r="A975" t="str">
            <v>GLACIER ICE CREAMS PVT LTD</v>
          </cell>
          <cell r="B975" t="str">
            <v>Group-2 (Veeresh- Bomsdr+Hosur)</v>
          </cell>
        </row>
        <row r="976">
          <cell r="A976" t="str">
            <v>Glastronix LLP</v>
          </cell>
          <cell r="B976" t="str">
            <v>Group 1-Giridhar-Peenya</v>
          </cell>
        </row>
        <row r="977">
          <cell r="A977" t="str">
            <v>GLOBAL CALCIUM PVT.LTD</v>
          </cell>
          <cell r="B977" t="str">
            <v>Group-4 ( Office Account)</v>
          </cell>
        </row>
        <row r="978">
          <cell r="A978" t="str">
            <v>GLOBAL ENGINEERS (Cus)</v>
          </cell>
          <cell r="B978" t="str">
            <v>Group-4 ( Office Account)</v>
          </cell>
        </row>
        <row r="979">
          <cell r="A979" t="str">
            <v>GLOBAL ENTERPRISES</v>
          </cell>
          <cell r="B979" t="str">
            <v>Group-2 (Veeresh- Bomsdr+Hosur)</v>
          </cell>
        </row>
        <row r="980">
          <cell r="A980" t="str">
            <v>Global Industrial Supplies</v>
          </cell>
          <cell r="B980" t="str">
            <v>Group-4 ( Office Account)</v>
          </cell>
        </row>
        <row r="981">
          <cell r="A981" t="str">
            <v>Global Instruments And Controls Systems</v>
          </cell>
          <cell r="B981" t="str">
            <v>Group 1-Giridhar-Peenya</v>
          </cell>
        </row>
        <row r="982">
          <cell r="A982" t="str">
            <v>GLOBAL LIGHTING SOLUTIONS</v>
          </cell>
          <cell r="B982" t="str">
            <v>Group 1-Giridhar-Peenya</v>
          </cell>
        </row>
        <row r="983">
          <cell r="A983" t="str">
            <v>Global Machines</v>
          </cell>
          <cell r="B983" t="str">
            <v>Group 1-Giridhar-Peenya</v>
          </cell>
        </row>
        <row r="984">
          <cell r="A984" t="str">
            <v>Global Power Systems</v>
          </cell>
          <cell r="B984" t="str">
            <v>Group 1-Giridhar-Peenya</v>
          </cell>
        </row>
        <row r="985">
          <cell r="A985" t="str">
            <v>GLOBAL SOLUTIONS</v>
          </cell>
          <cell r="B985" t="str">
            <v>Group-4 ( Office Account)</v>
          </cell>
        </row>
        <row r="986">
          <cell r="A986" t="str">
            <v>GLOBE ENGINEERING SOLUTIONS PRIVATE LIMITED</v>
          </cell>
          <cell r="B986" t="str">
            <v>Online Business</v>
          </cell>
        </row>
        <row r="987">
          <cell r="A987" t="str">
            <v>Globose Electro Automation Pvt Ltd</v>
          </cell>
          <cell r="B987" t="str">
            <v>Group 1-Giridhar-Peenya</v>
          </cell>
        </row>
        <row r="988">
          <cell r="A988" t="str">
            <v>GLOBOSE SYSTEMS AND SOLUTION PRIVATE LIMITED</v>
          </cell>
          <cell r="B988" t="str">
            <v>Group-4 ( Office Account)</v>
          </cell>
        </row>
        <row r="989">
          <cell r="A989" t="str">
            <v>Gmp Technical Solution Pvt Ltd ( M)</v>
          </cell>
          <cell r="B989" t="str">
            <v>Group-4 ( Office Account)</v>
          </cell>
        </row>
        <row r="990">
          <cell r="A990" t="str">
            <v>Gmp Technical Solutions Pvt Ltd (B )</v>
          </cell>
          <cell r="B990" t="str">
            <v>Group-2 (Veeresh- Bomsdr+Hosur)</v>
          </cell>
        </row>
        <row r="991">
          <cell r="A991" t="str">
            <v>GMT Labcare</v>
          </cell>
          <cell r="B991" t="str">
            <v>Group 1-Giridhar-Peenya</v>
          </cell>
        </row>
        <row r="992">
          <cell r="A992" t="str">
            <v>Go Lead Automate (Old)</v>
          </cell>
          <cell r="B992" t="str">
            <v>Group-2 (Veeresh- Bomsdr+Hosur)</v>
          </cell>
        </row>
        <row r="993">
          <cell r="A993" t="str">
            <v>GO LEAD AUTOMATE PRIVATE LIMITED</v>
          </cell>
          <cell r="B993" t="str">
            <v>Group-2 (Veeresh- Bomsdr+Hosur)</v>
          </cell>
        </row>
        <row r="994">
          <cell r="A994" t="str">
            <v>GODAVARI PLASTO CONTAINERS PVT LTD</v>
          </cell>
          <cell r="B994" t="str">
            <v>Group-4 ( Office Account)</v>
          </cell>
        </row>
        <row r="995">
          <cell r="A995" t="str">
            <v>Godrej &amp; Boyce Mfg.Co.Ltd.,</v>
          </cell>
          <cell r="B995" t="str">
            <v>Group 1-Giridhar-Peenya</v>
          </cell>
        </row>
        <row r="996">
          <cell r="A996" t="str">
            <v>Godrej Properties Limited</v>
          </cell>
          <cell r="B996" t="str">
            <v>Group - 5 (Ananthapadmanabha)</v>
          </cell>
        </row>
        <row r="997">
          <cell r="A997" t="str">
            <v>Gokaldas Exports</v>
          </cell>
          <cell r="B997" t="str">
            <v>Group 1-Giridhar-Peenya</v>
          </cell>
        </row>
        <row r="998">
          <cell r="A998" t="str">
            <v>GOLDEN NON CONVENTIONAL ENERGY SYSTEMS PRIVATE LIMITED</v>
          </cell>
          <cell r="B998" t="str">
            <v>Group-4 ( Office Account)</v>
          </cell>
        </row>
        <row r="999">
          <cell r="A999" t="str">
            <v>Gopalan Enterprises</v>
          </cell>
          <cell r="B999" t="str">
            <v>Group-4 ( Office Account)</v>
          </cell>
        </row>
        <row r="1000">
          <cell r="A1000" t="str">
            <v>GOPINATH GADDE NAGARA</v>
          </cell>
          <cell r="B1000" t="str">
            <v>Group-4 ( Office Account)</v>
          </cell>
        </row>
        <row r="1001">
          <cell r="A1001" t="str">
            <v>GOTAWAT INDUSTRIES</v>
          </cell>
          <cell r="B1001" t="str">
            <v>Group-4 ( Office Account)</v>
          </cell>
        </row>
        <row r="1002">
          <cell r="A1002" t="str">
            <v>GOUTHAM ELECTRONICS</v>
          </cell>
          <cell r="B1002" t="str">
            <v>Online Business</v>
          </cell>
        </row>
        <row r="1003">
          <cell r="A1003" t="str">
            <v>GOVIND ELECTRICAL</v>
          </cell>
          <cell r="B1003" t="str">
            <v>Group 1-Giridhar-Peenya</v>
          </cell>
        </row>
        <row r="1004">
          <cell r="A1004" t="str">
            <v>Gowrav Graphics</v>
          </cell>
          <cell r="B1004" t="str">
            <v>Group-2 (Veeresh- Bomsdr+Hosur)</v>
          </cell>
        </row>
        <row r="1005">
          <cell r="A1005" t="str">
            <v>GPY Machine Tools Pvt Ltd</v>
          </cell>
          <cell r="B1005" t="str">
            <v>Group 1-Giridhar-Peenya</v>
          </cell>
        </row>
        <row r="1006">
          <cell r="A1006" t="str">
            <v>GR Tech Services Pvt. Ltd.,</v>
          </cell>
          <cell r="B1006" t="str">
            <v>Group-4 ( Office Account)</v>
          </cell>
        </row>
        <row r="1007">
          <cell r="A1007" t="str">
            <v>Grace Technologies</v>
          </cell>
          <cell r="B1007" t="str">
            <v>Group 1-Giridhar-Peenya</v>
          </cell>
        </row>
        <row r="1008">
          <cell r="A1008" t="str">
            <v>Grace Technologies (OLD)</v>
          </cell>
          <cell r="B1008" t="str">
            <v>Group 1-Giridhar-Peenya</v>
          </cell>
        </row>
        <row r="1009">
          <cell r="A1009" t="str">
            <v>Graphite India Limited</v>
          </cell>
          <cell r="B1009" t="str">
            <v>Group - 5 (Ananthapadmanabha)</v>
          </cell>
        </row>
        <row r="1010">
          <cell r="A1010" t="str">
            <v>GRAVITY AUTOMOTIVE</v>
          </cell>
          <cell r="B1010" t="str">
            <v>Group-4 ( Office Account)</v>
          </cell>
        </row>
        <row r="1011">
          <cell r="A1011" t="str">
            <v>Green Automation System</v>
          </cell>
          <cell r="B1011" t="str">
            <v>Group 1-Giridhar-Peenya</v>
          </cell>
        </row>
        <row r="1012">
          <cell r="A1012" t="str">
            <v>Green Electrical</v>
          </cell>
          <cell r="B1012" t="str">
            <v>Group 1-Giridhar-Peenya</v>
          </cell>
        </row>
        <row r="1013">
          <cell r="A1013" t="str">
            <v>Green Leap Projects Pvt Ltd</v>
          </cell>
          <cell r="B1013" t="str">
            <v>Group-4 ( Office Account)</v>
          </cell>
        </row>
        <row r="1014">
          <cell r="A1014" t="str">
            <v>Green Power Techniqe</v>
          </cell>
          <cell r="B1014" t="str">
            <v>Group - 5 (Ananthapadmanabha)</v>
          </cell>
        </row>
        <row r="1015">
          <cell r="A1015" t="str">
            <v>Greenfinity Powertech Private Limited</v>
          </cell>
          <cell r="B1015" t="str">
            <v>Group-4 ( Office Account)</v>
          </cell>
        </row>
        <row r="1016">
          <cell r="A1016" t="str">
            <v>GreenSol Renewable Power Pvt. Ltd.,</v>
          </cell>
          <cell r="B1016" t="str">
            <v>Group 1-Giridhar-Peenya</v>
          </cell>
        </row>
        <row r="1017">
          <cell r="A1017" t="str">
            <v>Greenweiz Project Ltd., (U)</v>
          </cell>
          <cell r="B1017" t="str">
            <v>Group-4 ( Office Account)</v>
          </cell>
        </row>
        <row r="1018">
          <cell r="A1018" t="str">
            <v>Greenweiz Projects Ltd</v>
          </cell>
          <cell r="B1018" t="str">
            <v>Group-4 ( Office Account)</v>
          </cell>
        </row>
        <row r="1019">
          <cell r="A1019" t="str">
            <v>Grid Electric Infra (India) Pvt  Ltd</v>
          </cell>
          <cell r="B1019" t="str">
            <v>Group - 5 (Ananthapadmanabha)</v>
          </cell>
        </row>
        <row r="1020">
          <cell r="A1020" t="str">
            <v>GRINDSTAR TOOLS AND MACHINERY</v>
          </cell>
          <cell r="B1020" t="str">
            <v>Group 1-Giridhar-Peenya</v>
          </cell>
        </row>
        <row r="1021">
          <cell r="A1021" t="str">
            <v>Grindstar Tools And Machinery (Old)</v>
          </cell>
          <cell r="B1021" t="str">
            <v>Group 1-Giridhar-Peenya</v>
          </cell>
        </row>
        <row r="1022">
          <cell r="A1022" t="str">
            <v>Grindwell Norton Ltd</v>
          </cell>
          <cell r="B1022" t="str">
            <v>Group-2 (Veeresh- Bomsdr+Hosur)</v>
          </cell>
        </row>
        <row r="1023">
          <cell r="A1023" t="str">
            <v>GRINDWELL NORTON LTD(AP)</v>
          </cell>
          <cell r="B1023" t="str">
            <v>Group-4 ( Office Account)</v>
          </cell>
        </row>
        <row r="1024">
          <cell r="A1024" t="str">
            <v>GROUP POWER CONSULTING ENGINEERS PRIVATE LIMITED</v>
          </cell>
          <cell r="B1024" t="str">
            <v>Online Business</v>
          </cell>
        </row>
        <row r="1025">
          <cell r="A1025" t="str">
            <v>GRTRONICS INDIA (H)</v>
          </cell>
          <cell r="B1025" t="str">
            <v>Group-2 (Veeresh- Bomsdr+Hosur)</v>
          </cell>
        </row>
        <row r="1026">
          <cell r="A1026" t="str">
            <v>GRTRONICS INDIA PRIVATE LIMITED (B)</v>
          </cell>
          <cell r="B1026" t="str">
            <v>Group-2 (Veeresh- Bomsdr+Hosur)</v>
          </cell>
        </row>
        <row r="1027">
          <cell r="A1027" t="str">
            <v>GS Associates</v>
          </cell>
          <cell r="B1027" t="str">
            <v>Group-4 ( Office Account)</v>
          </cell>
        </row>
        <row r="1028">
          <cell r="A1028" t="str">
            <v>GSV INDIA</v>
          </cell>
          <cell r="B1028" t="str">
            <v>Online Business</v>
          </cell>
        </row>
        <row r="1029">
          <cell r="A1029" t="str">
            <v>GTV Power Pvt Ltd</v>
          </cell>
          <cell r="B1029" t="str">
            <v>Group-4 ( Office Account)</v>
          </cell>
        </row>
        <row r="1030">
          <cell r="A1030" t="str">
            <v>Guala Closures India Private Limited</v>
          </cell>
          <cell r="B1030" t="str">
            <v>Group-4 ( Office Account)</v>
          </cell>
        </row>
        <row r="1031">
          <cell r="A1031" t="str">
            <v>Gunvant Hardware Mart (Cust)</v>
          </cell>
          <cell r="B1031" t="str">
            <v>Group-4 ( Office Account)</v>
          </cell>
        </row>
        <row r="1032">
          <cell r="A1032" t="str">
            <v>GV Tech Solution</v>
          </cell>
          <cell r="B1032" t="str">
            <v>Group 1-Giridhar-Peenya</v>
          </cell>
        </row>
        <row r="1033">
          <cell r="A1033" t="str">
            <v>GV Techparks Private Limited</v>
          </cell>
          <cell r="B1033" t="str">
            <v>Group-4 ( Office Account)</v>
          </cell>
        </row>
        <row r="1034">
          <cell r="A1034" t="str">
            <v>H.K.POWER TECHNOLOGIES</v>
          </cell>
          <cell r="B1034" t="str">
            <v>Group 1-Giridhar-Peenya</v>
          </cell>
        </row>
        <row r="1035">
          <cell r="A1035" t="str">
            <v>H.M. INFRATECH PRIVATE LIMITED</v>
          </cell>
          <cell r="B1035" t="str">
            <v>Group-2 (Veeresh- Bomsdr+Hosur)</v>
          </cell>
        </row>
        <row r="1036">
          <cell r="A1036" t="str">
            <v>H.T.L. LIMITED</v>
          </cell>
          <cell r="B1036" t="str">
            <v>Group-2 (Veeresh- Bomsdr+Hosur)</v>
          </cell>
        </row>
        <row r="1037">
          <cell r="A1037" t="str">
            <v>Haat Incinerators India Private Limited</v>
          </cell>
          <cell r="B1037" t="str">
            <v>Group-4 ( Office Account)</v>
          </cell>
        </row>
        <row r="1038">
          <cell r="A1038" t="str">
            <v>Hagan Enterprises</v>
          </cell>
          <cell r="B1038" t="str">
            <v>Group-2 (Veeresh- Bomsdr+Hosur)</v>
          </cell>
        </row>
        <row r="1039">
          <cell r="A1039" t="str">
            <v>HAGER SANTHOSH</v>
          </cell>
          <cell r="B1039" t="str">
            <v>Group-4 ( Office Account)</v>
          </cell>
        </row>
        <row r="1040">
          <cell r="A1040" t="str">
            <v>Hamsa Enterprises</v>
          </cell>
          <cell r="B1040" t="str">
            <v>Group-4 ( Office Account)</v>
          </cell>
        </row>
        <row r="1041">
          <cell r="A1041" t="str">
            <v>HANUMAN ENGINEERING SERVICES</v>
          </cell>
          <cell r="B1041" t="str">
            <v>Group-4 ( Office Account)</v>
          </cell>
        </row>
        <row r="1042">
          <cell r="A1042" t="str">
            <v>Hanuman Weaving Factory</v>
          </cell>
          <cell r="B1042" t="str">
            <v>Group 1-Giridhar-Peenya</v>
          </cell>
        </row>
        <row r="1043">
          <cell r="A1043" t="str">
            <v>Harashita Power Control</v>
          </cell>
          <cell r="B1043" t="str">
            <v>Group 1-Giridhar-Peenya</v>
          </cell>
        </row>
        <row r="1044">
          <cell r="A1044" t="str">
            <v>HARI AND GOPAL</v>
          </cell>
          <cell r="B1044" t="str">
            <v>Group-4 ( Office Account)</v>
          </cell>
        </row>
        <row r="1045">
          <cell r="A1045" t="str">
            <v>Hari Bhargo Engineering Stamping &amp; Tooling'S</v>
          </cell>
          <cell r="B1045" t="str">
            <v>Group 1-Giridhar-Peenya</v>
          </cell>
        </row>
        <row r="1046">
          <cell r="A1046" t="str">
            <v>Hari Santhosh Electricals</v>
          </cell>
          <cell r="B1046" t="str">
            <v>Group-4 ( Office Account)</v>
          </cell>
        </row>
        <row r="1047">
          <cell r="A1047" t="str">
            <v>Harita Bright Point</v>
          </cell>
          <cell r="B1047" t="str">
            <v>Group-2 (Veeresh- Bomsdr+Hosur)</v>
          </cell>
        </row>
        <row r="1048">
          <cell r="A1048" t="str">
            <v>Haritasa Electronics Inc (C)</v>
          </cell>
          <cell r="B1048" t="str">
            <v>Group-4 ( Office Account)</v>
          </cell>
        </row>
        <row r="1049">
          <cell r="A1049" t="str">
            <v>Haritasa Electronics Solutions Pvt. Ltd.,</v>
          </cell>
          <cell r="B1049" t="str">
            <v>Group - 5 (Ananthapadmanabha)</v>
          </cell>
        </row>
        <row r="1050">
          <cell r="A1050" t="str">
            <v>HARNESSMAP INDIA PRIVATE LIMITED</v>
          </cell>
          <cell r="B1050" t="str">
            <v>Group - 5 (Ananthapadmanabha)</v>
          </cell>
        </row>
        <row r="1051">
          <cell r="A1051" t="str">
            <v>Harshita Enterprises</v>
          </cell>
          <cell r="B1051" t="str">
            <v>Group-4 ( Office Account)</v>
          </cell>
        </row>
        <row r="1052">
          <cell r="A1052" t="str">
            <v>HARTING MANUFACTURING PVT. LTD</v>
          </cell>
          <cell r="B1052" t="str">
            <v>Group-4 ( Office Account)</v>
          </cell>
        </row>
        <row r="1053">
          <cell r="A1053" t="str">
            <v>HEALTHIUM MEDTECH LIMITED</v>
          </cell>
          <cell r="B1053" t="str">
            <v>Group 1-Giridhar-Peenya</v>
          </cell>
        </row>
        <row r="1054">
          <cell r="A1054" t="str">
            <v>Healthium Medtech Pvt Ltd., (N)</v>
          </cell>
          <cell r="B1054" t="str">
            <v>Group 1-Giridhar-Peenya</v>
          </cell>
        </row>
        <row r="1055">
          <cell r="A1055" t="str">
            <v>Healthium Medtech Pvt. Ltd., (WH)</v>
          </cell>
          <cell r="B1055" t="str">
            <v>Group 1-Giridhar-Peenya</v>
          </cell>
        </row>
        <row r="1056">
          <cell r="A1056" t="str">
            <v>Healthium Medtech Pvt.Ltd., Sricity</v>
          </cell>
          <cell r="B1056" t="str">
            <v>Group 1-Giridhar-Peenya</v>
          </cell>
        </row>
        <row r="1057">
          <cell r="A1057" t="str">
            <v>Healthium Medtech Pvt.Ltd.EOU</v>
          </cell>
          <cell r="B1057" t="str">
            <v>Group 1-Giridhar-Peenya</v>
          </cell>
        </row>
        <row r="1058">
          <cell r="A1058" t="str">
            <v>HEATCON INSTRUMENTS PRIVATE LIMITED</v>
          </cell>
          <cell r="B1058" t="str">
            <v>Group - 5 (Ananthapadmanabha)</v>
          </cell>
        </row>
        <row r="1059">
          <cell r="A1059" t="str">
            <v>HEATLY AND GRESHAM INDIA PRIVATE LIMITED</v>
          </cell>
          <cell r="B1059" t="str">
            <v>Online Business</v>
          </cell>
        </row>
        <row r="1060">
          <cell r="A1060" t="str">
            <v>Hebron Systems</v>
          </cell>
          <cell r="B1060" t="str">
            <v>Group-4 ( Office Account)</v>
          </cell>
        </row>
        <row r="1061">
          <cell r="A1061" t="str">
            <v>Hectronic India</v>
          </cell>
          <cell r="B1061" t="str">
            <v>Group 1-Giridhar-Peenya</v>
          </cell>
        </row>
        <row r="1062">
          <cell r="A1062" t="str">
            <v>Heidelberg Prominent Fluid Controls Ind  Pvt  Ltd</v>
          </cell>
          <cell r="B1062" t="str">
            <v>Group 1-Giridhar-Peenya</v>
          </cell>
        </row>
        <row r="1063">
          <cell r="A1063" t="str">
            <v>HENSEL ELECTRIC INDIA PVT LTD</v>
          </cell>
          <cell r="B1063" t="str">
            <v>Group-4 ( Office Account)</v>
          </cell>
        </row>
        <row r="1064">
          <cell r="A1064" t="str">
            <v>HENSEL INDIA P. LTD.</v>
          </cell>
          <cell r="B1064" t="str">
            <v>Group - 5 (Ananthapadmanabha)</v>
          </cell>
        </row>
        <row r="1065">
          <cell r="A1065" t="str">
            <v>Heramn Miller Furniture(India)P Ltd</v>
          </cell>
          <cell r="B1065" t="str">
            <v>Group-2 (Veeresh- Bomsdr+Hosur)</v>
          </cell>
        </row>
        <row r="1066">
          <cell r="A1066" t="str">
            <v>Hess Enterprises India Private Limited</v>
          </cell>
          <cell r="B1066" t="str">
            <v>Group 1-Giridhar-Peenya</v>
          </cell>
        </row>
        <row r="1067">
          <cell r="A1067" t="str">
            <v>Hexa</v>
          </cell>
          <cell r="B1067" t="str">
            <v>Group 1-Giridhar-Peenya</v>
          </cell>
        </row>
        <row r="1068">
          <cell r="A1068" t="str">
            <v>Hexa Cnc Solutions</v>
          </cell>
          <cell r="B1068" t="str">
            <v>Group 1-Giridhar-Peenya</v>
          </cell>
        </row>
        <row r="1069">
          <cell r="A1069" t="str">
            <v>HEXAGON METROLOGY INDIA PRIVATE LIMITED</v>
          </cell>
          <cell r="B1069" t="str">
            <v>Group 1-Giridhar-Peenya</v>
          </cell>
        </row>
        <row r="1070">
          <cell r="A1070" t="str">
            <v>Hexmoto Controls Pvt Ltd</v>
          </cell>
          <cell r="B1070" t="str">
            <v>Online Business</v>
          </cell>
        </row>
        <row r="1071">
          <cell r="A1071" t="str">
            <v>HHV ADVANCED TECHNOLOGIES PRIVATE LIMITED</v>
          </cell>
          <cell r="B1071" t="str">
            <v>Group 1-Giridhar-Peenya</v>
          </cell>
        </row>
        <row r="1072">
          <cell r="A1072" t="str">
            <v>HHV Thermal Technologies Private Limited</v>
          </cell>
          <cell r="B1072" t="str">
            <v>Group 1-Giridhar-Peenya</v>
          </cell>
        </row>
        <row r="1073">
          <cell r="A1073" t="str">
            <v>HI 5 TECH CONSTRUCTION</v>
          </cell>
          <cell r="B1073" t="str">
            <v>Group-4 ( Office Account)</v>
          </cell>
        </row>
        <row r="1074">
          <cell r="A1074" t="str">
            <v>HI -TECH INDUSTRIES</v>
          </cell>
          <cell r="B1074" t="str">
            <v>Group-2 (Veeresh- Bomsdr+Hosur)</v>
          </cell>
        </row>
        <row r="1075">
          <cell r="A1075" t="str">
            <v>HI -TECH INDUSTRIES (OLD)</v>
          </cell>
          <cell r="B1075" t="str">
            <v>Group-2 (Veeresh- Bomsdr+Hosur)</v>
          </cell>
        </row>
        <row r="1076">
          <cell r="A1076" t="str">
            <v>HI TECH PRECISION MACHINE TOOLS</v>
          </cell>
          <cell r="B1076" t="str">
            <v>Group 1-Giridhar-Peenya</v>
          </cell>
        </row>
        <row r="1077">
          <cell r="A1077" t="str">
            <v>Hical NSE Electronics Private Limited</v>
          </cell>
          <cell r="B1077" t="str">
            <v>Group-2 (Veeresh- Bomsdr+Hosur)</v>
          </cell>
        </row>
        <row r="1078">
          <cell r="A1078" t="str">
            <v>Hical Technologies Pvt Ltd</v>
          </cell>
          <cell r="B1078" t="str">
            <v>Group-2 (Veeresh- Bomsdr+Hosur)</v>
          </cell>
        </row>
        <row r="1079">
          <cell r="A1079" t="str">
            <v>HIDRI TOOLS PVT. LTD.</v>
          </cell>
          <cell r="B1079" t="str">
            <v>Group 1-Giridhar-Peenya</v>
          </cell>
        </row>
        <row r="1080">
          <cell r="A1080" t="str">
            <v>Hightemp Furnaces Limited</v>
          </cell>
          <cell r="B1080" t="str">
            <v>Group 1-Giridhar-Peenya</v>
          </cell>
        </row>
        <row r="1081">
          <cell r="A1081" t="str">
            <v>Hightemp Furnaces Ltd (N)</v>
          </cell>
          <cell r="B1081" t="str">
            <v>Group 1-Giridhar-Peenya</v>
          </cell>
        </row>
        <row r="1082">
          <cell r="A1082" t="str">
            <v>Hightorque Systems Private Limited</v>
          </cell>
          <cell r="B1082" t="str">
            <v>Group-2 (Veeresh- Bomsdr+Hosur)</v>
          </cell>
        </row>
        <row r="1083">
          <cell r="A1083" t="str">
            <v>HIKAL LTD</v>
          </cell>
          <cell r="B1083" t="str">
            <v>Group - 5 (Ananthapadmanabha)</v>
          </cell>
        </row>
        <row r="1084">
          <cell r="A1084" t="str">
            <v>Himatsingka Linens</v>
          </cell>
          <cell r="B1084" t="str">
            <v>Group - 5 (Ananthapadmanabha)</v>
          </cell>
        </row>
        <row r="1085">
          <cell r="A1085" t="str">
            <v>Himmel Machine Tools Pvt. Ltd.,</v>
          </cell>
          <cell r="B1085" t="str">
            <v>Group 1-Giridhar-Peenya</v>
          </cell>
        </row>
        <row r="1086">
          <cell r="A1086" t="str">
            <v>Hind High Vaccum Comp Pvt Ltd</v>
          </cell>
          <cell r="B1086" t="str">
            <v>Group 1-Giridhar-Peenya</v>
          </cell>
        </row>
        <row r="1087">
          <cell r="A1087" t="str">
            <v>Hind High Vacuum Company Pvt  Ltd (Peenya)</v>
          </cell>
          <cell r="B1087" t="str">
            <v>Group 1-Giridhar-Peenya</v>
          </cell>
        </row>
        <row r="1088">
          <cell r="A1088" t="str">
            <v>Hindustan Aeronautics Limited</v>
          </cell>
          <cell r="B1088" t="str">
            <v>Group - 5 (Ananthapadmanabha)</v>
          </cell>
        </row>
        <row r="1089">
          <cell r="A1089" t="str">
            <v>HINDUSTAN COCA COLA</v>
          </cell>
          <cell r="B1089" t="str">
            <v>Group-2 (Veeresh- Bomsdr+Hosur)</v>
          </cell>
        </row>
        <row r="1090">
          <cell r="A1090" t="str">
            <v>Hinren Technologies Pvt  Ltd</v>
          </cell>
          <cell r="B1090" t="str">
            <v>Group-4 ( Office Account)</v>
          </cell>
        </row>
        <row r="1091">
          <cell r="A1091" t="str">
            <v>HINTS Technologies</v>
          </cell>
          <cell r="B1091" t="str">
            <v>Group-4 ( Office Account)</v>
          </cell>
        </row>
        <row r="1092">
          <cell r="A1092" t="str">
            <v>Hints Technologies (B)</v>
          </cell>
          <cell r="B1092" t="str">
            <v>Group-2 (Veeresh- Bomsdr+Hosur)</v>
          </cell>
        </row>
        <row r="1093">
          <cell r="A1093" t="str">
            <v>Hira Electric Co</v>
          </cell>
          <cell r="B1093" t="str">
            <v>Group-4 ( Office Account)</v>
          </cell>
        </row>
        <row r="1094">
          <cell r="A1094" t="str">
            <v>HI-TECH AIR POWER PVT.LTD</v>
          </cell>
          <cell r="B1094" t="str">
            <v>Group-2 (Veeresh- Bomsdr+Hosur)</v>
          </cell>
        </row>
        <row r="1095">
          <cell r="A1095" t="str">
            <v>Hi-Tech Electricals</v>
          </cell>
          <cell r="B1095" t="str">
            <v>Group-4 ( Office Account)</v>
          </cell>
        </row>
        <row r="1096">
          <cell r="A1096" t="str">
            <v>Hitech Engineers</v>
          </cell>
          <cell r="B1096" t="str">
            <v>Group 1-Giridhar-Peenya</v>
          </cell>
        </row>
        <row r="1097">
          <cell r="A1097" t="str">
            <v>HI-TECH PACKAGING</v>
          </cell>
          <cell r="B1097" t="str">
            <v>Group-4 ( Office Account)</v>
          </cell>
        </row>
        <row r="1098">
          <cell r="A1098" t="str">
            <v>HITTITES TECHNOLOGY INDIA LIMITED</v>
          </cell>
          <cell r="B1098" t="str">
            <v>Group 1-Giridhar-Peenya</v>
          </cell>
        </row>
        <row r="1099">
          <cell r="A1099" t="str">
            <v>HMT LIMITED</v>
          </cell>
          <cell r="B1099" t="str">
            <v>Group 1-Giridhar-Peenya</v>
          </cell>
        </row>
        <row r="1100">
          <cell r="A1100" t="str">
            <v>HMT Machine Tools Limited</v>
          </cell>
          <cell r="B1100" t="str">
            <v>Group 1-Giridhar-Peenya</v>
          </cell>
        </row>
        <row r="1101">
          <cell r="A1101" t="str">
            <v xml:space="preserve">Hmt Machine Tools Limited_x000D_
</v>
          </cell>
          <cell r="B1101" t="str">
            <v>Group 1-Giridhar-Peenya</v>
          </cell>
        </row>
        <row r="1102">
          <cell r="A1102" t="str">
            <v>HMT MACHINE TOOLS LTD (Raj)</v>
          </cell>
          <cell r="B1102" t="str">
            <v>Group-4 ( Office Account)</v>
          </cell>
        </row>
        <row r="1103">
          <cell r="A1103" t="str">
            <v>Hobvision Technologies Pvt  Ltd</v>
          </cell>
          <cell r="B1103" t="str">
            <v>Group 1-Giridhar-Peenya</v>
          </cell>
        </row>
        <row r="1104">
          <cell r="A1104" t="str">
            <v>Homag India Private Limited</v>
          </cell>
          <cell r="B1104" t="str">
            <v>Group 1-Giridhar-Peenya</v>
          </cell>
        </row>
        <row r="1105">
          <cell r="A1105" t="str">
            <v>Homag India Private Limited (P)</v>
          </cell>
          <cell r="B1105" t="str">
            <v>Group 1-Giridhar-Peenya</v>
          </cell>
        </row>
        <row r="1106">
          <cell r="A1106" t="str">
            <v>Homag Machinery Bangalore Pvt  Ltd (N)</v>
          </cell>
          <cell r="B1106" t="str">
            <v>Group 1-Giridhar-Peenya</v>
          </cell>
        </row>
        <row r="1107">
          <cell r="A1107" t="str">
            <v>HONEYBEE CONSTRUCTIONS</v>
          </cell>
          <cell r="B1107" t="str">
            <v>Online Business</v>
          </cell>
        </row>
        <row r="1108">
          <cell r="A1108" t="str">
            <v>HORZEE Engineering Solutiions</v>
          </cell>
          <cell r="B1108" t="str">
            <v>Group-4 ( Office Account)</v>
          </cell>
        </row>
        <row r="1109">
          <cell r="A1109" t="str">
            <v>HRS Process Systems Limited</v>
          </cell>
          <cell r="B1109" t="str">
            <v>Group-4 ( Office Account)</v>
          </cell>
        </row>
        <row r="1110">
          <cell r="A1110" t="str">
            <v>HRS Process Systems Ltd.</v>
          </cell>
          <cell r="B1110" t="str">
            <v>Group-4 ( Office Account)</v>
          </cell>
        </row>
        <row r="1111">
          <cell r="A1111" t="str">
            <v>HSM HYDRO CONTROL PVT. LTD.</v>
          </cell>
          <cell r="B1111" t="str">
            <v>Group 1-Giridhar-Peenya</v>
          </cell>
        </row>
        <row r="1112">
          <cell r="A1112" t="str">
            <v>HSS Automation</v>
          </cell>
          <cell r="B1112" t="str">
            <v>Group 1-Giridhar-Peenya</v>
          </cell>
        </row>
        <row r="1113">
          <cell r="A1113" t="str">
            <v>HUAPTEC TELECOM INDIA PRIVATE LIMITED</v>
          </cell>
          <cell r="B1113" t="str">
            <v>Group-2 (Veeresh- Bomsdr+Hosur)</v>
          </cell>
        </row>
        <row r="1114">
          <cell r="A1114" t="str">
            <v>HUEBRIGHT COLORS PRIVATE LIMITED</v>
          </cell>
          <cell r="B1114" t="str">
            <v>Group - 5 (Ananthapadmanabha)</v>
          </cell>
        </row>
        <row r="1115">
          <cell r="A1115" t="str">
            <v>HYCOM ENGINEERING (INDIA) PRIVATE LIMITED</v>
          </cell>
          <cell r="B1115" t="str">
            <v>Online Business</v>
          </cell>
        </row>
        <row r="1116">
          <cell r="A1116" t="str">
            <v>HYDAC (INDIA) PRIVATE LIMITED</v>
          </cell>
          <cell r="B1116" t="str">
            <v>Group 1-Giridhar-Peenya</v>
          </cell>
        </row>
        <row r="1117">
          <cell r="A1117" t="str">
            <v>Hydratech Industries India Pvt  Ltd</v>
          </cell>
          <cell r="B1117" t="str">
            <v>Group-4 ( Office Account)</v>
          </cell>
        </row>
        <row r="1118">
          <cell r="A1118" t="str">
            <v>HYDRO LOGICS</v>
          </cell>
          <cell r="B1118" t="str">
            <v>Group-2 (Veeresh- Bomsdr+Hosur)</v>
          </cell>
        </row>
        <row r="1119">
          <cell r="A1119" t="str">
            <v>HYDROPACK (INDIA) PVT LTD</v>
          </cell>
          <cell r="B1119" t="str">
            <v>Online Business</v>
          </cell>
        </row>
        <row r="1120">
          <cell r="A1120" t="str">
            <v>Hygro Tech Engineers</v>
          </cell>
          <cell r="B1120" t="str">
            <v>Group 1-Giridhar-Peenya</v>
          </cell>
        </row>
        <row r="1121">
          <cell r="A1121" t="str">
            <v>HYNETIC ELECTORNICS PVT.LTD</v>
          </cell>
          <cell r="B1121" t="str">
            <v>Group-4 ( Office Account)</v>
          </cell>
        </row>
        <row r="1122">
          <cell r="A1122" t="str">
            <v>Hynex Technosolutions Pvt.Ltd.,</v>
          </cell>
          <cell r="B1122" t="str">
            <v>Group-4 ( Office Account)</v>
          </cell>
        </row>
        <row r="1123">
          <cell r="A1123" t="str">
            <v>I Cam Solutions Private Limited</v>
          </cell>
          <cell r="B1123" t="str">
            <v>Group-4 ( Office Account)</v>
          </cell>
        </row>
        <row r="1124">
          <cell r="A1124" t="str">
            <v>I G Mould Technologies Pvt Ltd</v>
          </cell>
          <cell r="B1124" t="str">
            <v>Group - 5 (Ananthapadmanabha)</v>
          </cell>
        </row>
        <row r="1125">
          <cell r="A1125" t="str">
            <v>I- Logicon Control Automation Pvt Ltd</v>
          </cell>
          <cell r="B1125" t="str">
            <v>Group-2 (Veeresh- Bomsdr+Hosur)</v>
          </cell>
        </row>
        <row r="1126">
          <cell r="A1126" t="str">
            <v>IA Technologies</v>
          </cell>
          <cell r="B1126" t="str">
            <v>Group-4 ( Office Account)</v>
          </cell>
        </row>
        <row r="1127">
          <cell r="A1127" t="str">
            <v>IC Pro Solutions Pvt Ltd   (Peenya)</v>
          </cell>
          <cell r="B1127" t="str">
            <v>Group 1-Giridhar-Peenya</v>
          </cell>
        </row>
        <row r="1128">
          <cell r="A1128" t="str">
            <v>IC Pro Solutions Pvt Ltd (Yshwntpr )</v>
          </cell>
          <cell r="B1128" t="str">
            <v>Group 1-Giridhar-Peenya</v>
          </cell>
        </row>
        <row r="1129">
          <cell r="A1129" t="str">
            <v>ICOM INFRA PRIVATE LIMITED</v>
          </cell>
          <cell r="B1129" t="str">
            <v>Group-2 (Veeresh- Bomsdr+Hosur)</v>
          </cell>
        </row>
        <row r="1130">
          <cell r="A1130" t="str">
            <v>ICON ENGINEERING WORKS</v>
          </cell>
          <cell r="B1130" t="str">
            <v>Group-4 ( Office Account)</v>
          </cell>
        </row>
        <row r="1131">
          <cell r="A1131" t="str">
            <v>IDEAL MACHINES &amp; AUTOMATIONS</v>
          </cell>
          <cell r="B1131" t="str">
            <v>Online Business</v>
          </cell>
        </row>
        <row r="1132">
          <cell r="A1132" t="str">
            <v>IE POWER TECHNOLOGIES PRIVATE LIMITED</v>
          </cell>
          <cell r="B1132" t="str">
            <v>Group 1-Giridhar-Peenya</v>
          </cell>
        </row>
        <row r="1133">
          <cell r="A1133" t="str">
            <v>IE Power Technologies Pvt  Ltd (Old)</v>
          </cell>
          <cell r="B1133" t="str">
            <v>Group 1-Giridhar-Peenya</v>
          </cell>
        </row>
        <row r="1134">
          <cell r="A1134" t="str">
            <v>IFB Industries Limited</v>
          </cell>
          <cell r="B1134" t="str">
            <v>Group - 5 (Ananthapadmanabha)</v>
          </cell>
        </row>
        <row r="1135">
          <cell r="A1135" t="str">
            <v>IGBT Systems Pvt. Ltd.,</v>
          </cell>
          <cell r="B1135" t="str">
            <v>Group-2 (Veeresh- Bomsdr+Hosur)</v>
          </cell>
        </row>
        <row r="1136">
          <cell r="A1136" t="str">
            <v>IGUS ( India) Private Limited</v>
          </cell>
          <cell r="B1136" t="str">
            <v>Group 1-Giridhar-Peenya</v>
          </cell>
        </row>
        <row r="1137">
          <cell r="A1137" t="str">
            <v>IIMB</v>
          </cell>
          <cell r="B1137" t="str">
            <v>Group - 5 (Ananthapadmanabha)</v>
          </cell>
        </row>
        <row r="1138">
          <cell r="A1138" t="str">
            <v>I-Max</v>
          </cell>
          <cell r="B1138" t="str">
            <v>Group-4 ( Office Account)</v>
          </cell>
        </row>
        <row r="1139">
          <cell r="A1139" t="str">
            <v>IMI NORGREN HERION PRIVATE LIMITED</v>
          </cell>
          <cell r="B1139" t="str">
            <v>Group-4 ( Office Account)</v>
          </cell>
        </row>
        <row r="1140">
          <cell r="A1140" t="str">
            <v>IMI R&amp;D Centre India Pvt Ltd</v>
          </cell>
          <cell r="B1140" t="str">
            <v>Group-4 ( Office Account)</v>
          </cell>
        </row>
        <row r="1141">
          <cell r="A1141" t="str">
            <v>Impact Safety Glass Works Pvt Ltd</v>
          </cell>
          <cell r="B1141" t="str">
            <v>Group - 5 (Ananthapadmanabha)</v>
          </cell>
        </row>
        <row r="1142">
          <cell r="A1142" t="str">
            <v>IMPECCABLEZ KITCHENS &amp; WARDROBES</v>
          </cell>
          <cell r="B1142" t="str">
            <v>Group-4 ( Office Account)</v>
          </cell>
        </row>
        <row r="1143">
          <cell r="A1143" t="str">
            <v>IMPRESSIVE AUTOMATION SERVICES</v>
          </cell>
          <cell r="B1143" t="str">
            <v>Group-4 ( Office Account)</v>
          </cell>
        </row>
        <row r="1144">
          <cell r="A1144" t="str">
            <v>Incap Contract Mfg Services Pvt  Ltd</v>
          </cell>
          <cell r="B1144" t="str">
            <v>Group 1-Giridhar-Peenya</v>
          </cell>
        </row>
        <row r="1145">
          <cell r="A1145" t="str">
            <v>InCubinet</v>
          </cell>
          <cell r="B1145" t="str">
            <v>Group-2 (Veeresh- Bomsdr+Hosur)</v>
          </cell>
        </row>
        <row r="1146">
          <cell r="A1146" t="str">
            <v>INDERJEET BROS PROJECTS PRIVATE LIMITED</v>
          </cell>
          <cell r="B1146" t="str">
            <v>Group-4 ( Office Account)</v>
          </cell>
        </row>
        <row r="1147">
          <cell r="A1147" t="str">
            <v>INDERJEET INTERNATIONAL</v>
          </cell>
          <cell r="B1147" t="str">
            <v>Group-4 ( Office Account)</v>
          </cell>
        </row>
        <row r="1148">
          <cell r="A1148" t="str">
            <v>Indian Automation Solutions</v>
          </cell>
          <cell r="B1148" t="str">
            <v>Group-4 ( Office Account)</v>
          </cell>
        </row>
        <row r="1149">
          <cell r="A1149" t="str">
            <v>INDIAN FINISHING TECHNOLOGIES PRIVATE LIMITED</v>
          </cell>
          <cell r="B1149" t="str">
            <v>Group 1-Giridhar-Peenya</v>
          </cell>
        </row>
        <row r="1150">
          <cell r="A1150" t="str">
            <v>Indian Finishing Technologies Pvt  Ltd (OLD)</v>
          </cell>
          <cell r="B1150" t="str">
            <v>Group 1-Giridhar-Peenya</v>
          </cell>
        </row>
        <row r="1151">
          <cell r="A1151" t="str">
            <v>Indian Institue Of Plantation Management Bangalore</v>
          </cell>
          <cell r="B1151" t="str">
            <v>Group-2 (Veeresh- Bomsdr+Hosur)</v>
          </cell>
        </row>
        <row r="1152">
          <cell r="A1152" t="str">
            <v>Indian Institute Of Science</v>
          </cell>
          <cell r="B1152" t="str">
            <v>Group - 5 (Ananthapadmanabha)</v>
          </cell>
        </row>
        <row r="1153">
          <cell r="A1153" t="str">
            <v>Indo Cable Industries</v>
          </cell>
          <cell r="B1153" t="str">
            <v>Group-4 ( Office Account)</v>
          </cell>
        </row>
        <row r="1154">
          <cell r="A1154" t="str">
            <v>INDO MIM PRIVATE LIMITED (U 1)</v>
          </cell>
          <cell r="B1154" t="str">
            <v>Group - 5 (Ananthapadmanabha)</v>
          </cell>
        </row>
        <row r="1155">
          <cell r="A1155" t="str">
            <v>INDO MIM PRIVATE LIMITED (U 6)</v>
          </cell>
          <cell r="B1155" t="str">
            <v>Group - 5 (Ananthapadmanabha)</v>
          </cell>
        </row>
        <row r="1156">
          <cell r="A1156" t="str">
            <v>INDO-GERMAN VACU TREAT PRIVATE LIMITED</v>
          </cell>
          <cell r="B1156" t="str">
            <v>Group-2 (Veeresh- Bomsdr+Hosur)</v>
          </cell>
        </row>
        <row r="1157">
          <cell r="A1157" t="str">
            <v>INDO-MIM LIMITED (TN)</v>
          </cell>
          <cell r="B1157" t="str">
            <v>Group-2 (Veeresh- Bomsdr+Hosur)</v>
          </cell>
        </row>
        <row r="1158">
          <cell r="A1158" t="str">
            <v>Indtech Engineering &amp; Toolings (Cust)</v>
          </cell>
          <cell r="B1158" t="str">
            <v>Group-4 ( Office Account)</v>
          </cell>
        </row>
        <row r="1159">
          <cell r="A1159" t="str">
            <v>INDTECH ENGINEERING AND TOOLINGS (Bng)</v>
          </cell>
          <cell r="B1159" t="str">
            <v>Group-4 ( Office Account)</v>
          </cell>
        </row>
        <row r="1160">
          <cell r="A1160" t="str">
            <v>Induction Spares And Service India Pvt. Ltd.,</v>
          </cell>
          <cell r="B1160" t="str">
            <v>Group 1-Giridhar-Peenya</v>
          </cell>
        </row>
        <row r="1161">
          <cell r="A1161" t="str">
            <v>Indus Controls</v>
          </cell>
          <cell r="B1161" t="str">
            <v>Group 1-Giridhar-Peenya</v>
          </cell>
        </row>
        <row r="1162">
          <cell r="A1162" t="str">
            <v>Indus Electro Controls</v>
          </cell>
          <cell r="B1162" t="str">
            <v>Group 1-Giridhar-Peenya</v>
          </cell>
        </row>
        <row r="1163">
          <cell r="A1163" t="str">
            <v>Indus Systems</v>
          </cell>
          <cell r="B1163" t="str">
            <v>Group-4 ( Office Account)</v>
          </cell>
        </row>
        <row r="1164">
          <cell r="A1164" t="str">
            <v>Indus Uth Engg Pvt. Ltd</v>
          </cell>
          <cell r="B1164" t="str">
            <v>Group - 5 (Ananthapadmanabha)</v>
          </cell>
        </row>
        <row r="1165">
          <cell r="A1165" t="str">
            <v>Indus Uth Hf Mixing Systems Pvt Ltd</v>
          </cell>
          <cell r="B1165" t="str">
            <v>Group - 5 (Ananthapadmanabha)</v>
          </cell>
        </row>
        <row r="1166">
          <cell r="A1166" t="str">
            <v>Indusprove Solutions Private Limited</v>
          </cell>
          <cell r="B1166" t="str">
            <v>Group-4 ( Office Account)</v>
          </cell>
        </row>
        <row r="1167">
          <cell r="A1167" t="str">
            <v>INDUSTRIAL AND CONTROL PRODUCTS</v>
          </cell>
          <cell r="B1167" t="str">
            <v>Group 1-Giridhar-Peenya</v>
          </cell>
        </row>
        <row r="1168">
          <cell r="A1168" t="str">
            <v>Industrial And Fluid Power Consultants</v>
          </cell>
          <cell r="B1168" t="str">
            <v>Group-2 (Veeresh- Bomsdr+Hosur)</v>
          </cell>
        </row>
        <row r="1169">
          <cell r="A1169" t="str">
            <v>Industrial Automation</v>
          </cell>
          <cell r="B1169" t="str">
            <v>Group 1-Giridhar-Peenya</v>
          </cell>
        </row>
        <row r="1170">
          <cell r="A1170" t="str">
            <v>INDUSTRIAL CRANES</v>
          </cell>
          <cell r="B1170" t="str">
            <v>Group-4 ( Office Account)</v>
          </cell>
        </row>
        <row r="1171">
          <cell r="A1171" t="str">
            <v>INDUSTRIAL ELECTRO INSTRUMENTS</v>
          </cell>
          <cell r="B1171" t="str">
            <v>Online Business</v>
          </cell>
        </row>
        <row r="1172">
          <cell r="A1172" t="str">
            <v>Industrial Engineering Solution</v>
          </cell>
          <cell r="B1172" t="str">
            <v>Group-4 ( Office Account)</v>
          </cell>
        </row>
        <row r="1173">
          <cell r="A1173" t="str">
            <v>Industrial Sales Corporation</v>
          </cell>
          <cell r="B1173" t="str">
            <v>Group-4 ( Office Account)</v>
          </cell>
        </row>
        <row r="1174">
          <cell r="A1174" t="str">
            <v>INDUSTRYLANE SOLUTIONS PVT LTD</v>
          </cell>
          <cell r="B1174" t="str">
            <v>Group 1-Giridhar-Peenya</v>
          </cell>
        </row>
        <row r="1175">
          <cell r="A1175" t="str">
            <v>INDUSUNO ONLINE PRIVATE LIMITED</v>
          </cell>
          <cell r="B1175" t="str">
            <v>Online Business</v>
          </cell>
        </row>
        <row r="1176">
          <cell r="A1176" t="str">
            <v>Infion Advanced Laser Systems Pvt Ltd</v>
          </cell>
          <cell r="B1176" t="str">
            <v>Group - 5 (Ananthapadmanabha)</v>
          </cell>
        </row>
        <row r="1177">
          <cell r="A1177" t="str">
            <v>Infusil Glasstech Machines Pvt Ltd.,</v>
          </cell>
          <cell r="B1177" t="str">
            <v>Group 1-Giridhar-Peenya</v>
          </cell>
        </row>
        <row r="1178">
          <cell r="A1178" t="str">
            <v>INGENIOUS ENGINEERING PRIVATE LIMITED</v>
          </cell>
          <cell r="B1178" t="str">
            <v>Online Business</v>
          </cell>
        </row>
        <row r="1179">
          <cell r="A1179" t="str">
            <v>Ingersoll Rand International (India) Ltd</v>
          </cell>
          <cell r="B1179" t="str">
            <v>Group-4 ( Office Account)</v>
          </cell>
        </row>
        <row r="1180">
          <cell r="A1180" t="str">
            <v>Inlec Engineers,</v>
          </cell>
          <cell r="B1180" t="str">
            <v>Group-4 ( Office Account)</v>
          </cell>
        </row>
        <row r="1181">
          <cell r="A1181" t="str">
            <v>INNOVA ENTERPRISES</v>
          </cell>
          <cell r="B1181" t="str">
            <v>Online Business</v>
          </cell>
        </row>
        <row r="1182">
          <cell r="A1182" t="str">
            <v>Innovac Air Systems P Ltd</v>
          </cell>
          <cell r="B1182" t="str">
            <v>Online Business</v>
          </cell>
        </row>
        <row r="1183">
          <cell r="A1183" t="str">
            <v>Innovation Imaging Technologies Pvt. Ltd.,</v>
          </cell>
          <cell r="B1183" t="str">
            <v>Group-2 (Veeresh- Bomsdr+Hosur)</v>
          </cell>
        </row>
        <row r="1184">
          <cell r="A1184" t="str">
            <v>Innovative Automation</v>
          </cell>
          <cell r="B1184" t="str">
            <v>Group-4 ( Office Account)</v>
          </cell>
        </row>
        <row r="1185">
          <cell r="A1185" t="str">
            <v>Innovative Automation (Old)</v>
          </cell>
          <cell r="B1185" t="str">
            <v>Group-4 ( Office Account)</v>
          </cell>
        </row>
        <row r="1186">
          <cell r="A1186" t="str">
            <v>Innovative Power Solution</v>
          </cell>
          <cell r="B1186" t="str">
            <v>Group-4 ( Office Account)</v>
          </cell>
        </row>
        <row r="1187">
          <cell r="A1187" t="str">
            <v>INNOVATIVE SOLUTIONS</v>
          </cell>
          <cell r="B1187" t="str">
            <v>Group-2 (Veeresh- Bomsdr+Hosur)</v>
          </cell>
        </row>
        <row r="1188">
          <cell r="A1188" t="str">
            <v>INNOVATIVE SYSTEMS</v>
          </cell>
          <cell r="B1188" t="str">
            <v>Online Business</v>
          </cell>
        </row>
        <row r="1189">
          <cell r="A1189" t="str">
            <v>Innvolution Healthcare Pvt. Ltd.,(G)</v>
          </cell>
          <cell r="B1189" t="str">
            <v>Group-4 ( Office Account)</v>
          </cell>
        </row>
        <row r="1190">
          <cell r="A1190" t="str">
            <v>Innvolution Healthcare Pvt.Ltd., (B)</v>
          </cell>
          <cell r="B1190" t="str">
            <v>Group-2 (Veeresh- Bomsdr+Hosur)</v>
          </cell>
        </row>
        <row r="1191">
          <cell r="A1191" t="str">
            <v>Inspire Automation</v>
          </cell>
          <cell r="B1191" t="str">
            <v>Group 1-Giridhar-Peenya</v>
          </cell>
        </row>
        <row r="1192">
          <cell r="A1192" t="str">
            <v>Insta Buy Computers</v>
          </cell>
          <cell r="B1192" t="str">
            <v>Group-2 (Veeresh- Bomsdr+Hosur)</v>
          </cell>
        </row>
        <row r="1193">
          <cell r="A1193" t="str">
            <v>Insystron Electronics Private Limited</v>
          </cell>
          <cell r="B1193" t="str">
            <v>Group - 5 (Ananthapadmanabha)</v>
          </cell>
        </row>
        <row r="1194">
          <cell r="A1194" t="str">
            <v>INSYSTRON ELECTRONICS PVT.LTD</v>
          </cell>
          <cell r="B1194" t="str">
            <v>Group - 5 (Ananthapadmanabha)</v>
          </cell>
        </row>
        <row r="1195">
          <cell r="A1195" t="str">
            <v>Integer Systems</v>
          </cell>
          <cell r="B1195" t="str">
            <v>Group-4 ( Office Account)</v>
          </cell>
        </row>
        <row r="1196">
          <cell r="A1196" t="str">
            <v>Integra Electromechanical Solutions Pvt  Ltd</v>
          </cell>
          <cell r="B1196" t="str">
            <v>Group-4 ( Office Account)</v>
          </cell>
        </row>
        <row r="1197">
          <cell r="A1197" t="str">
            <v>Integral Automation (P) Ltd</v>
          </cell>
          <cell r="B1197" t="str">
            <v>Group-2 (Veeresh- Bomsdr+Hosur)</v>
          </cell>
        </row>
        <row r="1198">
          <cell r="A1198" t="str">
            <v>Integrated Cleanroom Technologies Pvt Ltd</v>
          </cell>
          <cell r="B1198" t="str">
            <v>Group-4 ( Office Account)</v>
          </cell>
        </row>
        <row r="1199">
          <cell r="A1199" t="str">
            <v>Integrated Electric Co.Pvt.Ltd</v>
          </cell>
          <cell r="B1199" t="str">
            <v>Group 1-Giridhar-Peenya</v>
          </cell>
        </row>
        <row r="1200">
          <cell r="A1200" t="str">
            <v>INTEGRATED INTELLIGENT SOLUTIONS AND TECHNOLOGIES PRIVATE LIMITED</v>
          </cell>
          <cell r="B1200" t="str">
            <v>Group - 5 (Ananthapadmanabha)</v>
          </cell>
        </row>
        <row r="1201">
          <cell r="A1201" t="str">
            <v>Integrated Systems</v>
          </cell>
          <cell r="B1201" t="str">
            <v>Group-2 (Veeresh- Bomsdr+Hosur)</v>
          </cell>
        </row>
        <row r="1202">
          <cell r="A1202" t="str">
            <v>Intelligent Control Automation</v>
          </cell>
          <cell r="B1202" t="str">
            <v>Group-4 ( Office Account)</v>
          </cell>
        </row>
        <row r="1203">
          <cell r="A1203" t="str">
            <v>Inteltek Automation Jv</v>
          </cell>
          <cell r="B1203" t="str">
            <v>Group-4 ( Office Account)</v>
          </cell>
        </row>
        <row r="1204">
          <cell r="A1204" t="str">
            <v>INTERDISCPLINARY CENTER FOR ENERGY RESEARCH</v>
          </cell>
          <cell r="B1204" t="str">
            <v>Group-4 ( Office Account)</v>
          </cell>
        </row>
        <row r="1205">
          <cell r="A1205" t="str">
            <v>INTERGARDEN (INDIA)PVT.LTD</v>
          </cell>
          <cell r="B1205" t="str">
            <v>Group-4 ( Office Account)</v>
          </cell>
        </row>
        <row r="1206">
          <cell r="A1206" t="str">
            <v>International Aerospace Manufacturing Pvt Ltd</v>
          </cell>
          <cell r="B1206" t="str">
            <v>Group - 5 (Ananthapadmanabha)</v>
          </cell>
        </row>
        <row r="1207">
          <cell r="A1207" t="str">
            <v>International Plastics</v>
          </cell>
          <cell r="B1207" t="str">
            <v>Group-4 ( Office Account)</v>
          </cell>
        </row>
        <row r="1208">
          <cell r="A1208" t="str">
            <v>Interplex Electronics India Pvt Ltd</v>
          </cell>
          <cell r="B1208" t="str">
            <v>Group-4 ( Office Account)</v>
          </cell>
        </row>
        <row r="1209">
          <cell r="A1209" t="str">
            <v>INVENTICURE TECHNOLOGIES (OPC) PRIVATE LIMITED</v>
          </cell>
          <cell r="B1209" t="str">
            <v>Group-2 (Veeresh- Bomsdr+Hosur)</v>
          </cell>
        </row>
        <row r="1210">
          <cell r="A1210" t="str">
            <v>INVENTICURE TECHNOLOGIES (OPC) PRIVATE LIMITED (HA)</v>
          </cell>
          <cell r="B1210" t="str">
            <v>Group - 5 (Ananthapadmanabha)</v>
          </cell>
        </row>
        <row r="1211">
          <cell r="A1211" t="str">
            <v>Invisol</v>
          </cell>
          <cell r="B1211" t="str">
            <v>Group-2 (Veeresh- Bomsdr+Hosur)</v>
          </cell>
        </row>
        <row r="1212">
          <cell r="A1212" t="str">
            <v>IONICS SERVICES</v>
          </cell>
          <cell r="B1212" t="str">
            <v>Group-4 ( Office Account)</v>
          </cell>
        </row>
        <row r="1213">
          <cell r="A1213" t="str">
            <v>IPG Photonics (India) Private Ltd</v>
          </cell>
          <cell r="B1213" t="str">
            <v>Group 1-Giridhar-Peenya</v>
          </cell>
        </row>
        <row r="1214">
          <cell r="A1214" t="str">
            <v>IRAI AUTOMATION AND SERVICES PRIVATE LIMITED</v>
          </cell>
          <cell r="B1214" t="str">
            <v>Group-2 (Veeresh- Bomsdr+Hosur)</v>
          </cell>
        </row>
        <row r="1215">
          <cell r="A1215" t="str">
            <v>IRAI AUTOMATION AND SERVICES PRIVATE LIMITED (Old)</v>
          </cell>
          <cell r="B1215" t="str">
            <v>Group-2 (Veeresh- Bomsdr+Hosur)</v>
          </cell>
        </row>
        <row r="1216">
          <cell r="A1216" t="str">
            <v>IRAI ENGINEERING (Old)</v>
          </cell>
          <cell r="B1216" t="str">
            <v>Group-2 (Veeresh- Bomsdr+Hosur)</v>
          </cell>
        </row>
        <row r="1217">
          <cell r="A1217" t="str">
            <v>Isane &amp; Orlin Process Solutions Pvt. Ltd.,</v>
          </cell>
          <cell r="B1217" t="str">
            <v>Group-4 ( Office Account)</v>
          </cell>
        </row>
        <row r="1218">
          <cell r="A1218" t="str">
            <v>I-Source Infosystems Private Limited</v>
          </cell>
          <cell r="B1218" t="str">
            <v>Group-4 ( Office Account)</v>
          </cell>
        </row>
        <row r="1219">
          <cell r="A1219" t="str">
            <v>ISRO Satellite Centre</v>
          </cell>
          <cell r="B1219" t="str">
            <v>Group - 5 (Ananthapadmanabha)</v>
          </cell>
        </row>
        <row r="1220">
          <cell r="A1220" t="str">
            <v>Itallian Joel Systems</v>
          </cell>
          <cell r="B1220" t="str">
            <v>Group-4 ( Office Account)</v>
          </cell>
        </row>
        <row r="1221">
          <cell r="A1221" t="str">
            <v>ITC FILTRONA LTD</v>
          </cell>
          <cell r="B1221" t="str">
            <v>Group - 5 (Ananthapadmanabha)</v>
          </cell>
        </row>
        <row r="1222">
          <cell r="A1222" t="str">
            <v>ITC Limited</v>
          </cell>
          <cell r="B1222" t="str">
            <v>Group - 5 (Ananthapadmanabha)</v>
          </cell>
        </row>
        <row r="1223">
          <cell r="A1223" t="str">
            <v>ITC LIMITED (Hyd)</v>
          </cell>
          <cell r="B1223" t="str">
            <v>Group - 5 (Ananthapadmanabha)</v>
          </cell>
        </row>
        <row r="1224">
          <cell r="A1224" t="str">
            <v>ITC Limited (K)</v>
          </cell>
          <cell r="B1224" t="str">
            <v>Group - 5 (Ananthapadmanabha)</v>
          </cell>
        </row>
        <row r="1225">
          <cell r="A1225" t="str">
            <v>ITC Limited (M)</v>
          </cell>
          <cell r="B1225" t="str">
            <v>Group - 5 (Ananthapadmanabha)</v>
          </cell>
        </row>
        <row r="1226">
          <cell r="A1226" t="str">
            <v>ITC LIMITED (SA)</v>
          </cell>
          <cell r="B1226" t="str">
            <v>Group - 5 (Ananthapadmanabha)</v>
          </cell>
        </row>
        <row r="1227">
          <cell r="A1227" t="str">
            <v>ITC Limited- FMS</v>
          </cell>
          <cell r="B1227" t="str">
            <v>Group - 5 (Ananthapadmanabha)</v>
          </cell>
        </row>
        <row r="1228">
          <cell r="A1228" t="str">
            <v>ITC LIMITED(P)</v>
          </cell>
          <cell r="B1228" t="str">
            <v>Group - 5 (Ananthapadmanabha)</v>
          </cell>
        </row>
        <row r="1229">
          <cell r="A1229" t="str">
            <v>ITC LIMITED-Foods Division</v>
          </cell>
          <cell r="B1229" t="str">
            <v>Group - 5 (Ananthapadmanabha)</v>
          </cell>
        </row>
        <row r="1230">
          <cell r="A1230" t="str">
            <v>ITC Ltd  ITC Life Sciences &amp; Technology Centre</v>
          </cell>
          <cell r="B1230" t="str">
            <v>Group - 5 (Ananthapadmanabha)</v>
          </cell>
        </row>
        <row r="1231">
          <cell r="A1231" t="str">
            <v>ITC LTD. C/o. M/s. Reach Logistics Pvt. Ltd.,</v>
          </cell>
          <cell r="B1231" t="str">
            <v>Group - 5 (Ananthapadmanabha)</v>
          </cell>
        </row>
        <row r="1232">
          <cell r="A1232" t="str">
            <v>ITD CEMENTATION INDIA LIMITED</v>
          </cell>
          <cell r="B1232" t="str">
            <v>Group - 5 (Ananthapadmanabha)</v>
          </cell>
        </row>
        <row r="1233">
          <cell r="A1233" t="str">
            <v>ITD CEMENTATION INDIA LIMITED (Ch)</v>
          </cell>
          <cell r="B1233" t="str">
            <v>Group - 5 (Ananthapadmanabha)</v>
          </cell>
        </row>
        <row r="1234">
          <cell r="A1234" t="str">
            <v>ITEAM MOTORS</v>
          </cell>
          <cell r="B1234" t="str">
            <v>Group-4 ( Office Account)</v>
          </cell>
        </row>
        <row r="1235">
          <cell r="A1235" t="str">
            <v>ITUDE TECHNOLOGIES PRIVATE LIMITED</v>
          </cell>
          <cell r="B1235" t="str">
            <v>Online Business</v>
          </cell>
        </row>
        <row r="1236">
          <cell r="A1236" t="str">
            <v>ITW India Private Limited - BISS Division</v>
          </cell>
          <cell r="B1236" t="str">
            <v>Group 1-Giridhar-Peenya</v>
          </cell>
        </row>
        <row r="1237">
          <cell r="A1237" t="str">
            <v>Iyangar Engineers</v>
          </cell>
          <cell r="B1237" t="str">
            <v>Group 1-Giridhar-Peenya</v>
          </cell>
        </row>
        <row r="1238">
          <cell r="A1238" t="str">
            <v>J G ENTERPRISES</v>
          </cell>
          <cell r="B1238" t="str">
            <v>Group-2 (Veeresh- Bomsdr+Hosur)</v>
          </cell>
        </row>
        <row r="1239">
          <cell r="A1239" t="str">
            <v>J J Glastronics Pvt Ltd</v>
          </cell>
          <cell r="B1239" t="str">
            <v>Group-2 (Veeresh- Bomsdr+Hosur)</v>
          </cell>
        </row>
        <row r="1240">
          <cell r="A1240" t="str">
            <v>J K Electrical Industrial</v>
          </cell>
          <cell r="B1240" t="str">
            <v>Group-4 ( Office Account)</v>
          </cell>
        </row>
        <row r="1241">
          <cell r="A1241" t="str">
            <v>J N Tech Solutions</v>
          </cell>
          <cell r="B1241" t="str">
            <v>Group 1-Giridhar-Peenya</v>
          </cell>
        </row>
        <row r="1242">
          <cell r="A1242" t="str">
            <v>J P Electricals</v>
          </cell>
          <cell r="B1242" t="str">
            <v>Group-4 ( Office Account)</v>
          </cell>
        </row>
        <row r="1243">
          <cell r="A1243" t="str">
            <v>J P ENTERPRISES</v>
          </cell>
          <cell r="B1243" t="str">
            <v>Online Business</v>
          </cell>
        </row>
        <row r="1244">
          <cell r="A1244" t="str">
            <v>J. G. ENTERPRISES (OLD)</v>
          </cell>
          <cell r="B1244" t="str">
            <v>Group - 5 (Ananthapadmanabha)</v>
          </cell>
        </row>
        <row r="1245">
          <cell r="A1245" t="str">
            <v>JAGAN ENGINEERING INDUSTRIES</v>
          </cell>
          <cell r="B1245" t="str">
            <v>Group-4 ( Office Account)</v>
          </cell>
        </row>
        <row r="1246">
          <cell r="A1246" t="str">
            <v>Jagan Engineering Industry</v>
          </cell>
          <cell r="B1246" t="str">
            <v>Group-4 ( Office Account)</v>
          </cell>
        </row>
        <row r="1247">
          <cell r="A1247" t="str">
            <v>Jagannath Electricals &amp; Hardware</v>
          </cell>
          <cell r="B1247" t="str">
            <v>Group-4 ( Office Account)</v>
          </cell>
        </row>
        <row r="1248">
          <cell r="A1248" t="str">
            <v>JAGDAMBA CRANE SERVICE</v>
          </cell>
          <cell r="B1248" t="str">
            <v>Online Business</v>
          </cell>
        </row>
        <row r="1249">
          <cell r="A1249" t="str">
            <v>Jahnavi Electricals Pvt Ltd</v>
          </cell>
          <cell r="B1249" t="str">
            <v>Group 1-Giridhar-Peenya</v>
          </cell>
        </row>
        <row r="1250">
          <cell r="A1250" t="str">
            <v>Jahnavi Enterprises</v>
          </cell>
          <cell r="B1250" t="str">
            <v>Group-4 ( Office Account)</v>
          </cell>
        </row>
        <row r="1251">
          <cell r="A1251" t="str">
            <v>JAI BALAJI ENGINEERING SERVICES</v>
          </cell>
          <cell r="B1251" t="str">
            <v>Online Business</v>
          </cell>
        </row>
        <row r="1252">
          <cell r="A1252" t="str">
            <v>Jai Magath Electricals</v>
          </cell>
          <cell r="B1252" t="str">
            <v>Group-4 ( Office Account)</v>
          </cell>
        </row>
        <row r="1253">
          <cell r="A1253" t="str">
            <v>Jai Sales Corporation</v>
          </cell>
          <cell r="B1253" t="str">
            <v>Group-2 (Veeresh- Bomsdr+Hosur)</v>
          </cell>
        </row>
        <row r="1254">
          <cell r="A1254" t="str">
            <v>Jain Electrical</v>
          </cell>
          <cell r="B1254" t="str">
            <v>Group-4 ( Office Account)</v>
          </cell>
        </row>
        <row r="1255">
          <cell r="A1255" t="str">
            <v>Jain Trading Company</v>
          </cell>
          <cell r="B1255" t="str">
            <v>Group-4 ( Office Account)</v>
          </cell>
        </row>
        <row r="1256">
          <cell r="A1256" t="str">
            <v>Jakob Muller (India) (P) Ltd</v>
          </cell>
          <cell r="B1256" t="str">
            <v>Group-2 (Veeresh- Bomsdr+Hosur)</v>
          </cell>
        </row>
        <row r="1257">
          <cell r="A1257" t="str">
            <v>Janani HVAC &amp; Clean Room Solutions</v>
          </cell>
          <cell r="B1257" t="str">
            <v>Group - 5 (Ananthapadmanabha)</v>
          </cell>
        </row>
        <row r="1258">
          <cell r="A1258" t="str">
            <v>JASAN TOOLCRAFTS AND EQUIPMENTS</v>
          </cell>
          <cell r="B1258" t="str">
            <v>Online Business</v>
          </cell>
        </row>
        <row r="1259">
          <cell r="A1259" t="str">
            <v>Jaya Electrical &amp; Industrial Suppliar</v>
          </cell>
          <cell r="B1259" t="str">
            <v>Group-4 ( Office Account)</v>
          </cell>
        </row>
        <row r="1260">
          <cell r="A1260" t="str">
            <v>Jayam Solutions</v>
          </cell>
          <cell r="B1260" t="str">
            <v>Group-4 ( Office Account)</v>
          </cell>
        </row>
        <row r="1261">
          <cell r="A1261" t="str">
            <v>Jayashree Horologicals Pvt Ltd</v>
          </cell>
          <cell r="B1261" t="str">
            <v>Group 1-Giridhar-Peenya</v>
          </cell>
        </row>
        <row r="1262">
          <cell r="A1262" t="str">
            <v>Jayashree Industrial Technology</v>
          </cell>
          <cell r="B1262" t="str">
            <v>Group-2 (Veeresh- Bomsdr+Hosur)</v>
          </cell>
        </row>
        <row r="1263">
          <cell r="A1263" t="str">
            <v>JAYSEN ENGINEERING PVT LTD</v>
          </cell>
          <cell r="B1263" t="str">
            <v>Group-2 (Veeresh- Bomsdr+Hosur)</v>
          </cell>
        </row>
        <row r="1264">
          <cell r="A1264" t="str">
            <v>JAYSHREE ELECTRICALS &amp; HARDWARE</v>
          </cell>
          <cell r="B1264" t="str">
            <v>Group 1-Giridhar-Peenya</v>
          </cell>
        </row>
        <row r="1265">
          <cell r="A1265" t="str">
            <v>JBM Ogihara Automotive India Limited</v>
          </cell>
          <cell r="B1265" t="str">
            <v>Group-2 (Veeresh- Bomsdr+Hosur)</v>
          </cell>
        </row>
        <row r="1266">
          <cell r="A1266" t="str">
            <v>JBM Ogihara Automotive India Limited (B)</v>
          </cell>
          <cell r="B1266" t="str">
            <v>Group-2 (Veeresh- Bomsdr+Hosur)</v>
          </cell>
        </row>
        <row r="1267">
          <cell r="A1267" t="str">
            <v>Jeans Knit Private Limited</v>
          </cell>
          <cell r="B1267" t="str">
            <v>Group 1-Giridhar-Peenya</v>
          </cell>
        </row>
        <row r="1268">
          <cell r="A1268" t="str">
            <v>Jeba Tools</v>
          </cell>
          <cell r="B1268" t="str">
            <v>Group-4 ( Office Account)</v>
          </cell>
        </row>
        <row r="1269">
          <cell r="A1269" t="str">
            <v>JEF MARKETING (P) LTD</v>
          </cell>
          <cell r="B1269" t="str">
            <v>Group-4 ( Office Account)</v>
          </cell>
        </row>
        <row r="1270">
          <cell r="A1270" t="str">
            <v>JH Bio Innovations Pvt  Ltd</v>
          </cell>
          <cell r="B1270" t="str">
            <v>Group-4 ( Office Account)</v>
          </cell>
        </row>
        <row r="1271">
          <cell r="A1271" t="str">
            <v>Jindal Aluminium Limited</v>
          </cell>
          <cell r="B1271" t="str">
            <v>Group 1-Giridhar-Peenya</v>
          </cell>
        </row>
        <row r="1272">
          <cell r="A1272" t="str">
            <v>Jindal Aluminium Limited (Old)</v>
          </cell>
          <cell r="B1272" t="str">
            <v>Group 1-Giridhar-Peenya</v>
          </cell>
        </row>
        <row r="1273">
          <cell r="A1273" t="str">
            <v>Jindal Saw Limited</v>
          </cell>
          <cell r="B1273" t="str">
            <v>Group-4 ( Office Account)</v>
          </cell>
        </row>
        <row r="1274">
          <cell r="A1274" t="str">
            <v>Jiva Control Technologies Pvt  Ltd</v>
          </cell>
          <cell r="B1274" t="str">
            <v>Group-2 (Veeresh- Bomsdr+Hosur)</v>
          </cell>
        </row>
        <row r="1275">
          <cell r="A1275" t="str">
            <v>Jiva Controls &amp; Systems</v>
          </cell>
          <cell r="B1275" t="str">
            <v>Group-4 ( Office Account)</v>
          </cell>
        </row>
        <row r="1276">
          <cell r="A1276" t="str">
            <v>Jiva Innovative Automations Pvt Ltd</v>
          </cell>
          <cell r="B1276" t="str">
            <v>Group-2 (Veeresh- Bomsdr+Hosur)</v>
          </cell>
        </row>
        <row r="1277">
          <cell r="A1277" t="str">
            <v>JIVA TECHNOLOGIES</v>
          </cell>
          <cell r="B1277" t="str">
            <v>Group-2 (Veeresh- Bomsdr+Hosur)</v>
          </cell>
        </row>
        <row r="1278">
          <cell r="A1278" t="str">
            <v>JMJ BUILDERS</v>
          </cell>
          <cell r="B1278" t="str">
            <v>Group-2 (Veeresh- Bomsdr+Hosur)</v>
          </cell>
        </row>
        <row r="1279">
          <cell r="A1279" t="str">
            <v>JMJ CNC Tech</v>
          </cell>
          <cell r="B1279" t="str">
            <v>Group-4 ( Office Account)</v>
          </cell>
        </row>
        <row r="1280">
          <cell r="A1280" t="str">
            <v>JMT AUTO LTD</v>
          </cell>
          <cell r="B1280" t="str">
            <v>Group-4 ( Office Account)</v>
          </cell>
        </row>
        <row r="1281">
          <cell r="A1281" t="str">
            <v>JMT AUTO LTD (K)</v>
          </cell>
          <cell r="B1281" t="str">
            <v>Group-4 ( Office Account)</v>
          </cell>
        </row>
        <row r="1282">
          <cell r="A1282" t="str">
            <v>John Bean Technologies India Pvt Ltd</v>
          </cell>
          <cell r="B1282" t="str">
            <v>Group-4 ( Office Account)</v>
          </cell>
        </row>
        <row r="1283">
          <cell r="A1283" t="str">
            <v>JP &amp; BROTHERS FILLING STATION</v>
          </cell>
          <cell r="B1283" t="str">
            <v>Group-4 ( Office Account)</v>
          </cell>
        </row>
        <row r="1284">
          <cell r="A1284" t="str">
            <v>JSW STEEL LIMITED</v>
          </cell>
          <cell r="B1284" t="str">
            <v>Group-4 ( Office Account)</v>
          </cell>
        </row>
        <row r="1285">
          <cell r="A1285" t="str">
            <v>JUPITER ENTERPRISES</v>
          </cell>
          <cell r="B1285" t="str">
            <v>Group-4 ( Office Account)</v>
          </cell>
        </row>
        <row r="1286">
          <cell r="A1286" t="str">
            <v>JYOEK AUTOMATION PRIVATE LIMITED</v>
          </cell>
          <cell r="B1286" t="str">
            <v>Group-2 (Veeresh- Bomsdr+Hosur)</v>
          </cell>
        </row>
        <row r="1287">
          <cell r="A1287" t="str">
            <v>Jyothee Electricals</v>
          </cell>
          <cell r="B1287" t="str">
            <v>Group - 5 (Ananthapadmanabha)</v>
          </cell>
        </row>
        <row r="1288">
          <cell r="A1288" t="str">
            <v>JYOTHY CHARITABLE TRUST</v>
          </cell>
          <cell r="B1288" t="str">
            <v>Group-4 ( Office Account)</v>
          </cell>
        </row>
        <row r="1289">
          <cell r="A1289" t="str">
            <v>K A Electronics</v>
          </cell>
          <cell r="B1289" t="str">
            <v>Group 1-Giridhar-Peenya</v>
          </cell>
        </row>
        <row r="1290">
          <cell r="A1290" t="str">
            <v>KABEL CORPORATION (S Kariyappa Road)</v>
          </cell>
          <cell r="B1290" t="str">
            <v>Group-4 ( Office Account)</v>
          </cell>
        </row>
        <row r="1291">
          <cell r="A1291" t="str">
            <v>KABELLOSUNGEN PRIVATE LIMITED</v>
          </cell>
          <cell r="B1291" t="str">
            <v>Group-4 ( Office Account)</v>
          </cell>
        </row>
        <row r="1292">
          <cell r="A1292" t="str">
            <v>Kabelschlepp India Pvt Ltd</v>
          </cell>
          <cell r="B1292" t="str">
            <v>Group-4 ( Office Account)</v>
          </cell>
        </row>
        <row r="1293">
          <cell r="A1293" t="str">
            <v>KAILASH TRANSFORMERS PVT LTD</v>
          </cell>
          <cell r="B1293" t="str">
            <v>Group-4 ( Office Account)</v>
          </cell>
        </row>
        <row r="1294">
          <cell r="A1294" t="str">
            <v>KAL Engineering</v>
          </cell>
          <cell r="B1294" t="str">
            <v>Group 1-Giridhar-Peenya</v>
          </cell>
        </row>
        <row r="1295">
          <cell r="A1295" t="str">
            <v>Kalpa Electrikal Pvt  Ltd   - Unit 6</v>
          </cell>
          <cell r="B1295" t="str">
            <v>Group 1-Giridhar-Peenya</v>
          </cell>
        </row>
        <row r="1296">
          <cell r="A1296" t="str">
            <v>KAMAL INDUSTRIAL HARDWARE</v>
          </cell>
          <cell r="B1296" t="str">
            <v>Group-4 ( Office Account)</v>
          </cell>
        </row>
        <row r="1297">
          <cell r="A1297" t="str">
            <v>KAMBAR TECHNOLOGIES</v>
          </cell>
          <cell r="B1297" t="str">
            <v>Group-4 ( Office Account)</v>
          </cell>
        </row>
        <row r="1298">
          <cell r="A1298" t="str">
            <v>Kamtress Automation Systems Pvt  Ltd</v>
          </cell>
          <cell r="B1298" t="str">
            <v>Group-2 (Veeresh- Bomsdr+Hosur)</v>
          </cell>
        </row>
        <row r="1299">
          <cell r="A1299" t="str">
            <v>Kamtress Automation Systems Pvt  Ltd (P)</v>
          </cell>
          <cell r="B1299" t="str">
            <v>Group-2 (Veeresh- Bomsdr+Hosur)</v>
          </cell>
        </row>
        <row r="1300">
          <cell r="A1300" t="str">
            <v>KANSA ENTERPRISES PVT.LTD</v>
          </cell>
          <cell r="B1300" t="str">
            <v>Group-2 (Veeresh- Bomsdr+Hosur)</v>
          </cell>
        </row>
        <row r="1301">
          <cell r="A1301" t="str">
            <v>Kanso Autotech India Private Limited</v>
          </cell>
          <cell r="B1301" t="str">
            <v>Group-4 ( Office Account)</v>
          </cell>
        </row>
        <row r="1302">
          <cell r="A1302" t="str">
            <v>KANTI SWEETS INDIA RPS LLP</v>
          </cell>
          <cell r="B1302" t="str">
            <v>Group-4 ( Office Account)</v>
          </cell>
        </row>
        <row r="1303">
          <cell r="A1303" t="str">
            <v>KAPIL METAL PROCESSING INDUSTRIES PVT. LTD.,</v>
          </cell>
          <cell r="B1303" t="str">
            <v>Group-4 ( Office Account)</v>
          </cell>
        </row>
        <row r="1304">
          <cell r="A1304" t="str">
            <v>Karkera Electro Controls</v>
          </cell>
          <cell r="B1304" t="str">
            <v>Group-4 ( Office Account)</v>
          </cell>
        </row>
        <row r="1305">
          <cell r="A1305" t="str">
            <v>KARMA ENERGY LIMITED</v>
          </cell>
          <cell r="B1305" t="str">
            <v>Online Business</v>
          </cell>
        </row>
        <row r="1306">
          <cell r="A1306" t="str">
            <v>Karnataka Cnc Systems</v>
          </cell>
          <cell r="B1306" t="str">
            <v>Group-2 (Veeresh- Bomsdr+Hosur)</v>
          </cell>
        </row>
        <row r="1307">
          <cell r="A1307" t="str">
            <v>Karnataka Conveyors &amp; Systems Pvt  Ltd</v>
          </cell>
          <cell r="B1307" t="str">
            <v>Group - 5 (Ananthapadmanabha)</v>
          </cell>
        </row>
        <row r="1308">
          <cell r="A1308" t="str">
            <v>Karnataka Electrical &amp; Industrial Suppliers</v>
          </cell>
          <cell r="B1308" t="str">
            <v>Group-4 ( Office Account)</v>
          </cell>
        </row>
        <row r="1309">
          <cell r="A1309" t="str">
            <v>Karnataka Enterprises</v>
          </cell>
          <cell r="B1309" t="str">
            <v>Group-4 ( Office Account)</v>
          </cell>
        </row>
        <row r="1310">
          <cell r="A1310" t="str">
            <v>Karnataka Golf Association</v>
          </cell>
          <cell r="B1310" t="str">
            <v>Group-4 ( Office Account)</v>
          </cell>
        </row>
        <row r="1311">
          <cell r="A1311" t="str">
            <v>Karnataka Strips Ltd</v>
          </cell>
          <cell r="B1311" t="str">
            <v>Group-4 ( Office Account)</v>
          </cell>
        </row>
        <row r="1312">
          <cell r="A1312" t="str">
            <v>Karthik Electronics &amp; Controls</v>
          </cell>
          <cell r="B1312" t="str">
            <v>Group 1-Giridhar-Peenya</v>
          </cell>
        </row>
        <row r="1313">
          <cell r="A1313" t="str">
            <v>Karthik Enterprises</v>
          </cell>
          <cell r="B1313" t="str">
            <v>Group 1-Giridhar-Peenya</v>
          </cell>
        </row>
        <row r="1314">
          <cell r="A1314" t="str">
            <v>Kartik Enterprises</v>
          </cell>
          <cell r="B1314" t="str">
            <v>Group-4 ( Office Account)</v>
          </cell>
        </row>
        <row r="1315">
          <cell r="A1315" t="str">
            <v>KASHPIERS INNOVATIVE DESIGNS</v>
          </cell>
          <cell r="B1315" t="str">
            <v>Group-2 (Veeresh- Bomsdr+Hosur)</v>
          </cell>
        </row>
        <row r="1316">
          <cell r="A1316" t="str">
            <v>KATERRA INDIA PRIVATE LIMITED</v>
          </cell>
          <cell r="B1316" t="str">
            <v>Group-2 (Veeresh- Bomsdr+Hosur)</v>
          </cell>
        </row>
        <row r="1317">
          <cell r="A1317" t="str">
            <v>KAUSHIK PRECISION TOOLS</v>
          </cell>
          <cell r="B1317" t="str">
            <v>Group-2 (Veeresh- Bomsdr+Hosur)</v>
          </cell>
        </row>
        <row r="1318">
          <cell r="A1318" t="str">
            <v>Kauvery Machine Tools</v>
          </cell>
          <cell r="B1318" t="str">
            <v>Group-4 ( Office Account)</v>
          </cell>
        </row>
        <row r="1319">
          <cell r="A1319" t="str">
            <v>KAVAL POWER PRIVATE LIMITED</v>
          </cell>
          <cell r="B1319" t="str">
            <v>Group-4 ( Office Account)</v>
          </cell>
        </row>
        <row r="1320">
          <cell r="A1320" t="str">
            <v>Kavan Systems</v>
          </cell>
          <cell r="B1320" t="str">
            <v>Group-2 (Veeresh- Bomsdr+Hosur)</v>
          </cell>
        </row>
        <row r="1321">
          <cell r="A1321" t="str">
            <v>Kaveri Builders</v>
          </cell>
          <cell r="B1321" t="str">
            <v>Group-4 ( Office Account)</v>
          </cell>
        </row>
        <row r="1322">
          <cell r="A1322" t="str">
            <v>Kavya Bio Medical Equipment</v>
          </cell>
          <cell r="B1322" t="str">
            <v>Group-2 (Veeresh- Bomsdr+Hosur)</v>
          </cell>
        </row>
        <row r="1323">
          <cell r="A1323" t="str">
            <v>Kavya Nilaya</v>
          </cell>
          <cell r="B1323" t="str">
            <v>Online Business</v>
          </cell>
        </row>
        <row r="1324">
          <cell r="A1324" t="str">
            <v>Kayaka Engineering Solutions</v>
          </cell>
          <cell r="B1324" t="str">
            <v>Group 1-Giridhar-Peenya</v>
          </cell>
        </row>
        <row r="1325">
          <cell r="A1325" t="str">
            <v>Kaynes Interconnection Systems India</v>
          </cell>
          <cell r="B1325" t="str">
            <v>Group - 5 (Ananthapadmanabha)</v>
          </cell>
        </row>
        <row r="1326">
          <cell r="A1326" t="str">
            <v>Kaynes Interconnection Systems India (C)</v>
          </cell>
          <cell r="B1326" t="str">
            <v>Group - 5 (Ananthapadmanabha)</v>
          </cell>
        </row>
        <row r="1327">
          <cell r="A1327" t="str">
            <v>KAYNES TECHNOLOGY INDIA LIMITED (P)</v>
          </cell>
          <cell r="B1327" t="str">
            <v>Group 1-Giridhar-Peenya</v>
          </cell>
        </row>
        <row r="1328">
          <cell r="A1328" t="str">
            <v>Kaynes Technology India Pvt Ltd  (Mys )</v>
          </cell>
          <cell r="B1328" t="str">
            <v>Group - 5 (Ananthapadmanabha)</v>
          </cell>
        </row>
        <row r="1329">
          <cell r="A1329" t="str">
            <v>Kaynes Technology India Pvt Ltd ( Peenya )</v>
          </cell>
          <cell r="B1329" t="str">
            <v>Group 1-Giridhar-Peenya</v>
          </cell>
        </row>
        <row r="1330">
          <cell r="A1330" t="str">
            <v>KBT Machineries</v>
          </cell>
          <cell r="B1330" t="str">
            <v>Group 1-Giridhar-Peenya</v>
          </cell>
        </row>
        <row r="1331">
          <cell r="A1331" t="str">
            <v>KEERTHI BUILDERS &amp; CONSTRUCTIONS</v>
          </cell>
          <cell r="B1331" t="str">
            <v>Group-4 ( Office Account)</v>
          </cell>
        </row>
        <row r="1332">
          <cell r="A1332" t="str">
            <v>KELVIRON TECHNOLOGIES PRIVATE LIMITED</v>
          </cell>
          <cell r="B1332" t="str">
            <v>Group 1-Giridhar-Peenya</v>
          </cell>
        </row>
        <row r="1333">
          <cell r="A1333" t="str">
            <v>Kemwell Biopharma Pvt. Ltd.</v>
          </cell>
          <cell r="B1333" t="str">
            <v>Group 1-Giridhar-Peenya</v>
          </cell>
        </row>
        <row r="1334">
          <cell r="A1334" t="str">
            <v>Kennametal India Ltd (Spm)</v>
          </cell>
          <cell r="B1334" t="str">
            <v>Group 1-Giridhar-Peenya</v>
          </cell>
        </row>
        <row r="1335">
          <cell r="A1335" t="str">
            <v>Kennametal Shared Services Pvt. Ltd.,</v>
          </cell>
          <cell r="B1335" t="str">
            <v>Group - 5 (Ananthapadmanabha)</v>
          </cell>
        </row>
        <row r="1336">
          <cell r="A1336" t="str">
            <v>Kennametal Widia India Ltd</v>
          </cell>
          <cell r="B1336" t="str">
            <v>Group 1-Giridhar-Peenya</v>
          </cell>
        </row>
        <row r="1337">
          <cell r="A1337" t="str">
            <v>KEO MACHINES</v>
          </cell>
          <cell r="B1337" t="str">
            <v>Group 1-Giridhar-Peenya</v>
          </cell>
        </row>
        <row r="1338">
          <cell r="A1338" t="str">
            <v>KERN-LIEBERS (INDIA) PRIVATE LIMITED</v>
          </cell>
          <cell r="B1338" t="str">
            <v>Group 1-Giridhar-Peenya</v>
          </cell>
        </row>
        <row r="1339">
          <cell r="A1339" t="str">
            <v>Kewaunee Scientific Corporation India Pvt Ltd</v>
          </cell>
          <cell r="B1339" t="str">
            <v>Group-4 ( Office Account)</v>
          </cell>
        </row>
        <row r="1340">
          <cell r="A1340" t="str">
            <v>Keyline corporation</v>
          </cell>
          <cell r="B1340" t="str">
            <v>Group 1-Giridhar-Peenya</v>
          </cell>
        </row>
        <row r="1341">
          <cell r="A1341" t="str">
            <v>Kinetix Engineering Solutions Ltd</v>
          </cell>
          <cell r="B1341" t="str">
            <v>Group-2 (Veeresh- Bomsdr+Hosur)</v>
          </cell>
        </row>
        <row r="1342">
          <cell r="A1342" t="str">
            <v>Kiran</v>
          </cell>
          <cell r="B1342" t="str">
            <v>Online Business</v>
          </cell>
        </row>
        <row r="1343">
          <cell r="A1343" t="str">
            <v>Kirloskar Brothers Limited</v>
          </cell>
          <cell r="B1343" t="str">
            <v>Group - 5 (Ananthapadmanabha)</v>
          </cell>
        </row>
        <row r="1344">
          <cell r="A1344" t="str">
            <v>Kirloskar Electric Co  Ltd</v>
          </cell>
          <cell r="B1344" t="str">
            <v>Group-4 ( Office Account)</v>
          </cell>
        </row>
        <row r="1345">
          <cell r="A1345" t="str">
            <v>Kirloskar Toyoda Textile Machinery Ltd</v>
          </cell>
          <cell r="B1345" t="str">
            <v>Group-2 (Veeresh- Bomsdr+Hosur)</v>
          </cell>
        </row>
        <row r="1346">
          <cell r="A1346" t="str">
            <v>Kisan Kraft Limited</v>
          </cell>
          <cell r="B1346" t="str">
            <v>Group-4 ( Office Account)</v>
          </cell>
        </row>
        <row r="1347">
          <cell r="A1347" t="str">
            <v>KITAGAWA INDIA PRIVATE LIMITED (OLD)</v>
          </cell>
          <cell r="B1347" t="str">
            <v>Group-2 (Veeresh- Bomsdr+Hosur)</v>
          </cell>
        </row>
        <row r="1348">
          <cell r="A1348" t="str">
            <v>KITAGAWA INDIA PVT. LTD.</v>
          </cell>
          <cell r="B1348" t="str">
            <v>Group-2 (Veeresh- Bomsdr+Hosur)</v>
          </cell>
        </row>
        <row r="1349">
          <cell r="A1349" t="str">
            <v>KITCHEN CRAFTS</v>
          </cell>
          <cell r="B1349" t="str">
            <v>Online Business</v>
          </cell>
        </row>
        <row r="1350">
          <cell r="A1350" t="str">
            <v>KNK Construction Pvt.Ltd.,</v>
          </cell>
          <cell r="B1350" t="str">
            <v>Group - 5 (Ananthapadmanabha)</v>
          </cell>
        </row>
        <row r="1351">
          <cell r="A1351" t="str">
            <v>Koodal Engineers</v>
          </cell>
          <cell r="B1351" t="str">
            <v>Group 1-Giridhar-Peenya</v>
          </cell>
        </row>
        <row r="1352">
          <cell r="A1352" t="str">
            <v>Kool Cut Technologies Pvt Ltd</v>
          </cell>
          <cell r="B1352" t="str">
            <v>Group-4 ( Office Account)</v>
          </cell>
        </row>
        <row r="1353">
          <cell r="A1353" t="str">
            <v>Kothari Containers Private Limited</v>
          </cell>
          <cell r="B1353" t="str">
            <v>Group-4 ( Office Account)</v>
          </cell>
        </row>
        <row r="1354">
          <cell r="A1354" t="str">
            <v>KOTHARI ELECTRO WORLD</v>
          </cell>
          <cell r="B1354" t="str">
            <v>Group-4 ( Office Account)</v>
          </cell>
        </row>
        <row r="1355">
          <cell r="A1355" t="str">
            <v>Koti Systems</v>
          </cell>
          <cell r="B1355" t="str">
            <v>Group-2 (Veeresh- Bomsdr+Hosur)</v>
          </cell>
        </row>
        <row r="1356">
          <cell r="A1356" t="str">
            <v>KR Avionics Pvt.Ltd.,</v>
          </cell>
          <cell r="B1356" t="str">
            <v>Group-2 (Veeresh- Bomsdr+Hosur)</v>
          </cell>
        </row>
        <row r="1357">
          <cell r="A1357" t="str">
            <v>Krano Block Pvt. Ltd.,</v>
          </cell>
          <cell r="B1357" t="str">
            <v>Group-4 ( Office Account)</v>
          </cell>
        </row>
        <row r="1358">
          <cell r="A1358" t="str">
            <v>Krimpwell Electricals</v>
          </cell>
          <cell r="B1358" t="str">
            <v>Group-4 ( Office Account)</v>
          </cell>
        </row>
        <row r="1359">
          <cell r="A1359" t="str">
            <v>Krisam Automation Pvt Ltd</v>
          </cell>
          <cell r="B1359" t="str">
            <v>Group-2 (Veeresh- Bomsdr+Hosur)</v>
          </cell>
        </row>
        <row r="1360">
          <cell r="A1360" t="str">
            <v>KRISHNA ELECTRICALS</v>
          </cell>
          <cell r="B1360" t="str">
            <v>Group-4 ( Office Account)</v>
          </cell>
        </row>
        <row r="1361">
          <cell r="A1361" t="str">
            <v>Krishna Enterprises</v>
          </cell>
          <cell r="B1361" t="str">
            <v>Group 1-Giridhar-Peenya</v>
          </cell>
        </row>
        <row r="1362">
          <cell r="A1362" t="str">
            <v>KRITHA ENGINNERING (P) LTD.</v>
          </cell>
          <cell r="B1362" t="str">
            <v>Group 1-Giridhar-Peenya</v>
          </cell>
        </row>
        <row r="1363">
          <cell r="A1363" t="str">
            <v>Krones India Private Limited</v>
          </cell>
          <cell r="B1363" t="str">
            <v>Group 1-Giridhar-Peenya</v>
          </cell>
        </row>
        <row r="1364">
          <cell r="A1364" t="str">
            <v>Krones India Pvt Ltd(Old)</v>
          </cell>
          <cell r="B1364" t="str">
            <v>Group 1-Giridhar-Peenya</v>
          </cell>
        </row>
        <row r="1365">
          <cell r="A1365" t="str">
            <v>Krushi Solutions</v>
          </cell>
          <cell r="B1365" t="str">
            <v>Group 1-Giridhar-Peenya</v>
          </cell>
        </row>
        <row r="1366">
          <cell r="A1366" t="str">
            <v>KRYSTAL COMPONENT</v>
          </cell>
          <cell r="B1366" t="str">
            <v>Group-4 ( Office Account)</v>
          </cell>
        </row>
        <row r="1367">
          <cell r="A1367" t="str">
            <v>KSHAMATHA ELECTRICALS</v>
          </cell>
          <cell r="B1367" t="str">
            <v>Group-4 ( Office Account)</v>
          </cell>
        </row>
        <row r="1368">
          <cell r="A1368" t="str">
            <v>KSHANTHI ENGINEERING</v>
          </cell>
          <cell r="B1368" t="str">
            <v>Online Business</v>
          </cell>
        </row>
        <row r="1369">
          <cell r="A1369" t="str">
            <v>KSHIPRAA MECHATRONICS</v>
          </cell>
          <cell r="B1369" t="str">
            <v>Group 1-Giridhar-Peenya</v>
          </cell>
        </row>
        <row r="1370">
          <cell r="A1370" t="str">
            <v>KSJ Power Control</v>
          </cell>
          <cell r="B1370" t="str">
            <v>Group 1-Giridhar-Peenya</v>
          </cell>
        </row>
        <row r="1371">
          <cell r="A1371" t="str">
            <v>KSS TECHNOLOGY</v>
          </cell>
          <cell r="B1371" t="str">
            <v>Group-4 ( Office Account)</v>
          </cell>
        </row>
        <row r="1372">
          <cell r="A1372" t="str">
            <v>Kuebler Automation India Pvt Ltd</v>
          </cell>
          <cell r="B1372" t="str">
            <v>Group-4 ( Office Account)</v>
          </cell>
        </row>
        <row r="1373">
          <cell r="A1373" t="str">
            <v>KULKARNI MACHINE TOOLS PRIVATE LIMITED</v>
          </cell>
          <cell r="B1373" t="str">
            <v>Group-4 ( Office Account)</v>
          </cell>
        </row>
        <row r="1374">
          <cell r="A1374" t="str">
            <v>Kumar Engineers</v>
          </cell>
          <cell r="B1374" t="str">
            <v>Group-4 ( Office Account)</v>
          </cell>
        </row>
        <row r="1375">
          <cell r="A1375" t="str">
            <v>KUNTAL GRANITES P LTD</v>
          </cell>
          <cell r="B1375" t="str">
            <v>Group-4 ( Office Account)</v>
          </cell>
        </row>
        <row r="1376">
          <cell r="A1376" t="str">
            <v>Kurlon Enterprise Limited</v>
          </cell>
          <cell r="B1376" t="str">
            <v>Group - 5 (Ananthapadmanabha)</v>
          </cell>
        </row>
        <row r="1377">
          <cell r="A1377" t="str">
            <v>Kurlon Enterprise Limited  (Nelmg)</v>
          </cell>
          <cell r="B1377" t="str">
            <v>Group - 5 (Ananthapadmanabha)</v>
          </cell>
        </row>
        <row r="1378">
          <cell r="A1378" t="str">
            <v>Kurlon Enterprise Limited (Dbspet)</v>
          </cell>
          <cell r="B1378" t="str">
            <v>Group - 5 (Ananthapadmanabha)</v>
          </cell>
        </row>
        <row r="1379">
          <cell r="A1379" t="str">
            <v>Kurlon Enterprise Limited (Peenya)</v>
          </cell>
          <cell r="B1379" t="str">
            <v>Group - 5 (Ananthapadmanabha)</v>
          </cell>
        </row>
        <row r="1380">
          <cell r="A1380" t="str">
            <v>Kurlon Enterprise Limited (Yshwntpr)</v>
          </cell>
          <cell r="B1380" t="str">
            <v>Group - 5 (Ananthapadmanabha)</v>
          </cell>
        </row>
        <row r="1381">
          <cell r="A1381" t="str">
            <v>KURL-ON ENTERPRISES LTD ( H )</v>
          </cell>
          <cell r="B1381" t="str">
            <v>Group - 5 (Ananthapadmanabha)</v>
          </cell>
        </row>
        <row r="1382">
          <cell r="A1382" t="str">
            <v>KURL-ON ENTERPRISES LTD ( J )</v>
          </cell>
          <cell r="B1382" t="str">
            <v>Group - 5 (Ananthapadmanabha)</v>
          </cell>
        </row>
        <row r="1383">
          <cell r="A1383" t="str">
            <v>Kurl-On Ltd</v>
          </cell>
          <cell r="B1383" t="str">
            <v>Group - 5 (Ananthapadmanabha)</v>
          </cell>
        </row>
        <row r="1384">
          <cell r="A1384" t="str">
            <v>Kvg Technology</v>
          </cell>
          <cell r="B1384" t="str">
            <v>Group 1-Giridhar-Peenya</v>
          </cell>
        </row>
        <row r="1385">
          <cell r="A1385" t="str">
            <v>L &amp; T Komatsu Limited</v>
          </cell>
          <cell r="B1385" t="str">
            <v>Group - 5 (Ananthapadmanabha)</v>
          </cell>
        </row>
        <row r="1386">
          <cell r="A1386" t="str">
            <v>L N INFOTECH</v>
          </cell>
          <cell r="B1386" t="str">
            <v>Online Business</v>
          </cell>
        </row>
        <row r="1387">
          <cell r="A1387" t="str">
            <v>L V TECH AND ASSOCIATES</v>
          </cell>
          <cell r="B1387" t="str">
            <v>Group-4 ( Office Account)</v>
          </cell>
        </row>
        <row r="1388">
          <cell r="A1388" t="str">
            <v>L V TECH AND ASSOCIATES (Old)</v>
          </cell>
          <cell r="B1388" t="str">
            <v>Group-4 ( Office Account)</v>
          </cell>
        </row>
        <row r="1389">
          <cell r="A1389" t="str">
            <v>L&amp;T - Mhi Boilers Pvt  Ltd</v>
          </cell>
          <cell r="B1389" t="str">
            <v>Group-4 ( Office Account)</v>
          </cell>
        </row>
        <row r="1390">
          <cell r="A1390" t="str">
            <v>L&amp;T Construction Equipment Limited (Old)</v>
          </cell>
          <cell r="B1390" t="str">
            <v>Group - 5 (Ananthapadmanabha)</v>
          </cell>
        </row>
        <row r="1391">
          <cell r="A1391" t="str">
            <v xml:space="preserve">L&amp;T CONSTRUCTION EQUIPMENT LIMITED_x000D_
</v>
          </cell>
          <cell r="B1391" t="str">
            <v>Group - 5 (Ananthapadmanabha)</v>
          </cell>
        </row>
        <row r="1392">
          <cell r="A1392" t="str">
            <v>Laksha Enterprises</v>
          </cell>
          <cell r="B1392" t="str">
            <v>Group-4 ( Office Account)</v>
          </cell>
        </row>
        <row r="1393">
          <cell r="A1393" t="str">
            <v>Lakshmi Controls &amp; Instruments</v>
          </cell>
          <cell r="B1393" t="str">
            <v>Group 1-Giridhar-Peenya</v>
          </cell>
        </row>
        <row r="1394">
          <cell r="A1394" t="str">
            <v>Lakshmi Electricals</v>
          </cell>
          <cell r="B1394" t="str">
            <v>Group-4 ( Office Account)</v>
          </cell>
        </row>
        <row r="1395">
          <cell r="A1395" t="str">
            <v>LAKSHMI ELECTRICALS &amp; ELECTRONICS</v>
          </cell>
          <cell r="B1395" t="str">
            <v>Group-4 ( Office Account)</v>
          </cell>
        </row>
        <row r="1396">
          <cell r="A1396" t="str">
            <v>LAKSHMI ELECTRICALS(BNG)</v>
          </cell>
          <cell r="B1396" t="str">
            <v>Group-4 ( Office Account)</v>
          </cell>
        </row>
        <row r="1397">
          <cell r="A1397" t="str">
            <v>Lakshmi Electro Controls &amp; Automation</v>
          </cell>
          <cell r="B1397" t="str">
            <v>Group 1-Giridhar-Peenya</v>
          </cell>
        </row>
        <row r="1398">
          <cell r="A1398" t="str">
            <v>Lakshmi Enterprises</v>
          </cell>
          <cell r="B1398" t="str">
            <v>Group-4 ( Office Account)</v>
          </cell>
        </row>
        <row r="1399">
          <cell r="A1399" t="str">
            <v>Lakshmi Enterprises  (Ayyappanagar)</v>
          </cell>
          <cell r="B1399" t="str">
            <v>Group-2 (Veeresh- Bomsdr+Hosur)</v>
          </cell>
        </row>
        <row r="1400">
          <cell r="A1400" t="str">
            <v>Lakshmi Vacuum Technologies Pvt Ltd</v>
          </cell>
          <cell r="B1400" t="str">
            <v>Group 1-Giridhar-Peenya</v>
          </cell>
        </row>
        <row r="1401">
          <cell r="A1401" t="str">
            <v>Lakshya Electricals Pvt Ltd</v>
          </cell>
          <cell r="B1401" t="str">
            <v>Group 1-Giridhar-Peenya</v>
          </cell>
        </row>
        <row r="1402">
          <cell r="A1402" t="str">
            <v>Lalita Electrical</v>
          </cell>
          <cell r="B1402" t="str">
            <v>Group 1-Giridhar-Peenya</v>
          </cell>
        </row>
        <row r="1403">
          <cell r="A1403" t="str">
            <v>Lam Automation</v>
          </cell>
          <cell r="B1403" t="str">
            <v>Group 1-Giridhar-Peenya</v>
          </cell>
        </row>
        <row r="1404">
          <cell r="A1404" t="str">
            <v>LANDMARK FUEL STATION</v>
          </cell>
          <cell r="B1404" t="str">
            <v>Group-4 ( Office Account)</v>
          </cell>
        </row>
        <row r="1405">
          <cell r="A1405" t="str">
            <v>Lapp India Private Limited (C &amp; B)</v>
          </cell>
          <cell r="B1405" t="str">
            <v>Group-4 ( Office Account)</v>
          </cell>
        </row>
        <row r="1406">
          <cell r="A1406" t="str">
            <v>LAPP INDIA PVT LTD</v>
          </cell>
          <cell r="B1406" t="str">
            <v>Group-4 ( Office Account)</v>
          </cell>
        </row>
        <row r="1407">
          <cell r="A1407" t="str">
            <v>LAPP INDIA PVT LTD (Old)</v>
          </cell>
          <cell r="B1407" t="str">
            <v>Group-4 ( Office Account)</v>
          </cell>
        </row>
        <row r="1408">
          <cell r="A1408" t="str">
            <v>Lapp India Pvt. Ltd. (Bg Rd)</v>
          </cell>
          <cell r="B1408" t="str">
            <v>Group-4 ( Office Account)</v>
          </cell>
        </row>
        <row r="1409">
          <cell r="A1409" t="str">
            <v>LARKSPUR POWER AND AUTOMATION SOLUTIONS PRIVATE LIMITED</v>
          </cell>
          <cell r="B1409" t="str">
            <v>Group-4 ( Office Account)</v>
          </cell>
        </row>
        <row r="1410">
          <cell r="A1410" t="str">
            <v>LARSEN AND TOUBRO LIMITED - INFRASTRUCTURE VERTICAL</v>
          </cell>
          <cell r="B1410" t="str">
            <v>Group - 5 (Ananthapadmanabha)</v>
          </cell>
        </row>
        <row r="1411">
          <cell r="A1411" t="str">
            <v xml:space="preserve">LARSEN AND TOUBRO LIMITED - INFRASTRUCTURE VERTICAL {C} _x000D_
</v>
          </cell>
          <cell r="B1411" t="str">
            <v>Group - 5 (Ananthapadmanabha)</v>
          </cell>
        </row>
        <row r="1412">
          <cell r="A1412" t="str">
            <v>Laser Experts India LLP</v>
          </cell>
          <cell r="B1412" t="str">
            <v>Group-4 ( Office Account)</v>
          </cell>
        </row>
        <row r="1413">
          <cell r="A1413" t="str">
            <v>Laxmi Control System</v>
          </cell>
          <cell r="B1413" t="str">
            <v>Group-4 ( Office Account)</v>
          </cell>
        </row>
        <row r="1414">
          <cell r="A1414" t="str">
            <v>LAXMI ENTERPRISES</v>
          </cell>
          <cell r="B1414" t="str">
            <v>Group-4 ( Office Account)</v>
          </cell>
        </row>
        <row r="1415">
          <cell r="A1415" t="str">
            <v>Lazzari Machine Tools</v>
          </cell>
          <cell r="B1415" t="str">
            <v>Group 1-Giridhar-Peenya</v>
          </cell>
        </row>
        <row r="1416">
          <cell r="A1416" t="str">
            <v>LBR AUTOMATION SOLUTIONS</v>
          </cell>
          <cell r="B1416" t="str">
            <v>Group-4 ( Office Account)</v>
          </cell>
        </row>
        <row r="1417">
          <cell r="A1417" t="str">
            <v>LCR ENTERPRISES</v>
          </cell>
          <cell r="B1417" t="str">
            <v>Online Business</v>
          </cell>
        </row>
        <row r="1418">
          <cell r="A1418" t="str">
            <v>Ld2 Technologies</v>
          </cell>
          <cell r="B1418" t="str">
            <v>Group 1-Giridhar-Peenya</v>
          </cell>
        </row>
        <row r="1419">
          <cell r="A1419" t="str">
            <v>Ldsquare Technologies India Pvt Ltd</v>
          </cell>
          <cell r="B1419" t="str">
            <v>Group 1-Giridhar-Peenya</v>
          </cell>
        </row>
        <row r="1420">
          <cell r="A1420" t="str">
            <v>LEAPFROG AUTOMATION AND CONTROL SYSTEMS</v>
          </cell>
          <cell r="B1420" t="str">
            <v>Group-2 (Veeresh- Bomsdr+Hosur)</v>
          </cell>
        </row>
        <row r="1421">
          <cell r="A1421" t="str">
            <v>Leapfrog Automation and Control Systems (JP)</v>
          </cell>
          <cell r="B1421" t="str">
            <v>Group-2 (Veeresh- Bomsdr+Hosur)</v>
          </cell>
        </row>
        <row r="1422">
          <cell r="A1422" t="str">
            <v>Leapfrog Automation and Control Systems (Ye)</v>
          </cell>
          <cell r="B1422" t="str">
            <v>Group-2 (Veeresh- Bomsdr+Hosur)</v>
          </cell>
        </row>
        <row r="1423">
          <cell r="A1423" t="str">
            <v>Leapfrog Engineering Service Pvt Ltd (OLD)</v>
          </cell>
          <cell r="B1423" t="str">
            <v>Group-2 (Veeresh- Bomsdr+Hosur)</v>
          </cell>
        </row>
        <row r="1424">
          <cell r="A1424" t="str">
            <v>Leapfrog Engineering Services Limited</v>
          </cell>
          <cell r="B1424" t="str">
            <v>Group-2 (Veeresh- Bomsdr+Hosur)</v>
          </cell>
        </row>
        <row r="1425">
          <cell r="A1425" t="str">
            <v>Leapfrog Engineering Services Limited (JP)</v>
          </cell>
          <cell r="B1425" t="str">
            <v>Group-2 (Veeresh- Bomsdr+Hosur)</v>
          </cell>
        </row>
        <row r="1426">
          <cell r="A1426" t="str">
            <v>Leapfrog Engineering Services Pvt  Ltd (B) (OLD)</v>
          </cell>
          <cell r="B1426" t="str">
            <v>Group-2 (Veeresh- Bomsdr+Hosur)</v>
          </cell>
        </row>
        <row r="1427">
          <cell r="A1427" t="str">
            <v>LEDLUX SOLUTIONS</v>
          </cell>
          <cell r="B1427" t="str">
            <v>Group-4 ( Office Account)</v>
          </cell>
        </row>
        <row r="1428">
          <cell r="A1428" t="str">
            <v>Leeboy India Construction Equipment (P) Limited</v>
          </cell>
          <cell r="B1428" t="str">
            <v>Group-2 (Veeresh- Bomsdr+Hosur)</v>
          </cell>
        </row>
        <row r="1429">
          <cell r="A1429" t="str">
            <v>Lenap Tecknologies</v>
          </cell>
          <cell r="B1429" t="str">
            <v>Group 1-Giridhar-Peenya</v>
          </cell>
        </row>
        <row r="1430">
          <cell r="A1430" t="str">
            <v>LEO SURFACE COATINGS PVT LTD</v>
          </cell>
          <cell r="B1430" t="str">
            <v>Online Business</v>
          </cell>
        </row>
        <row r="1431">
          <cell r="A1431" t="str">
            <v>Leonardo Automation (India) Pvt Ltd</v>
          </cell>
          <cell r="B1431" t="str">
            <v>Group-4 ( Office Account)</v>
          </cell>
        </row>
        <row r="1432">
          <cell r="A1432" t="str">
            <v>LEVIGO ENGINEERING INDIA (P) LTD</v>
          </cell>
          <cell r="B1432" t="str">
            <v>Group 1-Giridhar-Peenya</v>
          </cell>
        </row>
        <row r="1433">
          <cell r="A1433" t="str">
            <v>Lex Technoaid International Pvt  Ltd</v>
          </cell>
          <cell r="B1433" t="str">
            <v>Group 1-Giridhar-Peenya</v>
          </cell>
        </row>
        <row r="1434">
          <cell r="A1434" t="str">
            <v>Liebherr Machine Tools India Pvt Ltd</v>
          </cell>
          <cell r="B1434" t="str">
            <v>Group 1-Giridhar-Peenya</v>
          </cell>
        </row>
        <row r="1435">
          <cell r="A1435" t="str">
            <v>Life Inside Architects</v>
          </cell>
          <cell r="B1435" t="str">
            <v>Group-4 ( Office Account)</v>
          </cell>
        </row>
        <row r="1436">
          <cell r="A1436" t="str">
            <v>LIGHT MECHANICS PRIVATE LIMITED</v>
          </cell>
          <cell r="B1436" t="str">
            <v>Group 1-Giridhar-Peenya</v>
          </cell>
        </row>
        <row r="1437">
          <cell r="A1437" t="str">
            <v>LIGHTSPEED AUTOMATION SOLUTIONS PRIVATE LIMITED</v>
          </cell>
          <cell r="B1437" t="str">
            <v>Group - 5 (Ananthapadmanabha)</v>
          </cell>
        </row>
        <row r="1438">
          <cell r="A1438" t="str">
            <v>Likhita Solution</v>
          </cell>
          <cell r="B1438" t="str">
            <v>Group 1-Giridhar-Peenya</v>
          </cell>
        </row>
        <row r="1439">
          <cell r="A1439" t="str">
            <v>Lincoln Helios (India) Ltd</v>
          </cell>
          <cell r="B1439" t="str">
            <v>Group-2 (Veeresh- Bomsdr+Hosur)</v>
          </cell>
        </row>
        <row r="1440">
          <cell r="A1440" t="str">
            <v>Lincoln Helios (India) Ltd ( Hoskote)</v>
          </cell>
          <cell r="B1440" t="str">
            <v>Group-4 ( Office Account)</v>
          </cell>
        </row>
        <row r="1441">
          <cell r="A1441" t="str">
            <v>Lincoln-Helios India Limited</v>
          </cell>
          <cell r="B1441" t="str">
            <v>Group-2 (Veeresh- Bomsdr+Hosur)</v>
          </cell>
        </row>
        <row r="1442">
          <cell r="A1442" t="str">
            <v>Listenlights Private Limited</v>
          </cell>
          <cell r="B1442" t="str">
            <v>Group 1-Giridhar-Peenya</v>
          </cell>
        </row>
        <row r="1443">
          <cell r="A1443" t="str">
            <v>Listenlights Pvt. Ltd., (H)</v>
          </cell>
          <cell r="B1443" t="str">
            <v>Group 1-Giridhar-Peenya</v>
          </cell>
        </row>
        <row r="1444">
          <cell r="A1444" t="str">
            <v>Lm Wind Power Blades ( India) Pvt Ltd</v>
          </cell>
          <cell r="B1444" t="str">
            <v>Group 1-Giridhar-Peenya</v>
          </cell>
        </row>
        <row r="1445">
          <cell r="A1445" t="str">
            <v>Load Star Equipment Pvt. Ltd.,</v>
          </cell>
          <cell r="B1445" t="str">
            <v>Group 1-Giridhar-Peenya</v>
          </cell>
        </row>
        <row r="1446">
          <cell r="A1446" t="str">
            <v>LOGIC CONTROLS</v>
          </cell>
          <cell r="B1446" t="str">
            <v>Group 1-Giridhar-Peenya</v>
          </cell>
        </row>
        <row r="1447">
          <cell r="A1447" t="str">
            <v>Logic Technologies</v>
          </cell>
          <cell r="B1447" t="str">
            <v>Group-4 ( Office Account)</v>
          </cell>
        </row>
        <row r="1448">
          <cell r="A1448" t="str">
            <v>Lokesh Machines Limited</v>
          </cell>
          <cell r="B1448" t="str">
            <v>Group-4 ( Office Account)</v>
          </cell>
        </row>
        <row r="1449">
          <cell r="A1449" t="str">
            <v>LOKOZO Technologies Private Limited</v>
          </cell>
          <cell r="B1449" t="str">
            <v>Group 1-Giridhar-Peenya</v>
          </cell>
        </row>
        <row r="1450">
          <cell r="A1450" t="str">
            <v>LORAM RAIL MAINTENANCE INDIA PRIVATE LIMITED</v>
          </cell>
          <cell r="B1450" t="str">
            <v>Group - 5 (Ananthapadmanabha)</v>
          </cell>
        </row>
        <row r="1451">
          <cell r="A1451" t="str">
            <v>Lotus Enterprises</v>
          </cell>
          <cell r="B1451" t="str">
            <v>Group-4 ( Office Account)</v>
          </cell>
        </row>
        <row r="1452">
          <cell r="A1452" t="str">
            <v>LOTUS INC</v>
          </cell>
          <cell r="B1452" t="str">
            <v>Group-4 ( Office Account)</v>
          </cell>
        </row>
        <row r="1453">
          <cell r="A1453" t="str">
            <v>Lotus Powergear Pvt  Ltd</v>
          </cell>
          <cell r="B1453" t="str">
            <v>Group-4 ( Office Account)</v>
          </cell>
        </row>
        <row r="1454">
          <cell r="A1454" t="str">
            <v>LOTUS WIRELESS TECHNOLOGIES I PVT LTD</v>
          </cell>
          <cell r="B1454" t="str">
            <v>Group-4 ( Office Account)</v>
          </cell>
        </row>
        <row r="1455">
          <cell r="A1455" t="str">
            <v>LOURDES LIFECARE</v>
          </cell>
          <cell r="B1455" t="str">
            <v>Group-2 (Veeresh- Bomsdr+Hosur)</v>
          </cell>
        </row>
        <row r="1456">
          <cell r="A1456" t="str">
            <v>LOYAL ENTERPRISES</v>
          </cell>
          <cell r="B1456" t="str">
            <v>Group-4 ( Office Account)</v>
          </cell>
        </row>
        <row r="1457">
          <cell r="A1457" t="str">
            <v>LS CONSULTANTS</v>
          </cell>
          <cell r="B1457" t="str">
            <v>Group-4 ( Office Account)</v>
          </cell>
        </row>
        <row r="1458">
          <cell r="A1458" t="str">
            <v xml:space="preserve">LTES INDIA PRIVATE LIMITED_x000D_
_x000D_
</v>
          </cell>
          <cell r="B1458" t="str">
            <v>Group-4 ( Office Account)</v>
          </cell>
        </row>
        <row r="1459">
          <cell r="A1459" t="str">
            <v>LUB SOLUTIONS PRIVATE LIMITED</v>
          </cell>
          <cell r="B1459" t="str">
            <v>Online Business</v>
          </cell>
        </row>
        <row r="1460">
          <cell r="A1460" t="str">
            <v>LUBEWATT INDIA PRIVATE LIMITED</v>
          </cell>
          <cell r="B1460" t="str">
            <v>Group-4 ( Office Account)</v>
          </cell>
        </row>
        <row r="1461">
          <cell r="A1461" t="str">
            <v>Lucid Imaging Private Limited</v>
          </cell>
          <cell r="B1461" t="str">
            <v>Group-4 ( Office Account)</v>
          </cell>
        </row>
        <row r="1462">
          <cell r="A1462" t="str">
            <v>Luwa India Private Ltd</v>
          </cell>
          <cell r="B1462" t="str">
            <v>Group 1-Giridhar-Peenya</v>
          </cell>
        </row>
        <row r="1463">
          <cell r="A1463" t="str">
            <v>LVM Technologies</v>
          </cell>
          <cell r="B1463" t="str">
            <v>Online Business</v>
          </cell>
        </row>
        <row r="1464">
          <cell r="A1464" t="str">
            <v>M C GOTAWAT ELECTRICALS</v>
          </cell>
          <cell r="B1464" t="str">
            <v>Group-4 ( Office Account)</v>
          </cell>
        </row>
        <row r="1465">
          <cell r="A1465" t="str">
            <v>M M Switchgear</v>
          </cell>
          <cell r="B1465" t="str">
            <v>Group-4 ( Office Account)</v>
          </cell>
        </row>
        <row r="1466">
          <cell r="A1466" t="str">
            <v>M N S Automation</v>
          </cell>
          <cell r="B1466" t="str">
            <v>Group-2 (Veeresh- Bomsdr+Hosur)</v>
          </cell>
        </row>
        <row r="1467">
          <cell r="A1467" t="str">
            <v>M P CRANE SERVICE</v>
          </cell>
          <cell r="B1467" t="str">
            <v>Group-2 (Veeresh- Bomsdr+Hosur)</v>
          </cell>
        </row>
        <row r="1468">
          <cell r="A1468" t="str">
            <v>M P P TECHNOLOGIES P. LTD.</v>
          </cell>
          <cell r="B1468" t="str">
            <v>Group 1-Giridhar-Peenya</v>
          </cell>
        </row>
        <row r="1469">
          <cell r="A1469" t="str">
            <v>M R INDUSTRIES</v>
          </cell>
          <cell r="B1469" t="str">
            <v>Group-4 ( Office Account)</v>
          </cell>
        </row>
        <row r="1470">
          <cell r="A1470" t="str">
            <v>M.K. Associates</v>
          </cell>
          <cell r="B1470" t="str">
            <v>Group-4 ( Office Account)</v>
          </cell>
        </row>
        <row r="1471">
          <cell r="A1471" t="str">
            <v>M.N. ASSOCIATES</v>
          </cell>
          <cell r="B1471" t="str">
            <v>Group-4 ( Office Account)</v>
          </cell>
        </row>
        <row r="1472">
          <cell r="A1472" t="str">
            <v>M.N.R.ENTERPRISES</v>
          </cell>
          <cell r="B1472" t="str">
            <v>Online Business</v>
          </cell>
        </row>
        <row r="1473">
          <cell r="A1473" t="str">
            <v>M.R. KIRAN ELECTRICALS</v>
          </cell>
          <cell r="B1473" t="str">
            <v>Group 1-Giridhar-Peenya</v>
          </cell>
        </row>
        <row r="1474">
          <cell r="A1474" t="str">
            <v>M.S Technologies</v>
          </cell>
          <cell r="B1474" t="str">
            <v>Group 1-Giridhar-Peenya</v>
          </cell>
        </row>
        <row r="1475">
          <cell r="A1475" t="str">
            <v>M/S AB ENTERPRISES</v>
          </cell>
          <cell r="B1475" t="str">
            <v>Group-4 ( Office Account)</v>
          </cell>
        </row>
        <row r="1476">
          <cell r="A1476" t="str">
            <v>M/S Powerlinks</v>
          </cell>
          <cell r="B1476" t="str">
            <v>Group 1-Giridhar-Peenya</v>
          </cell>
        </row>
        <row r="1477">
          <cell r="A1477" t="str">
            <v>M/S SRINIVASA ELECTRICALS</v>
          </cell>
          <cell r="B1477" t="str">
            <v>Online Business</v>
          </cell>
        </row>
        <row r="1478">
          <cell r="A1478" t="str">
            <v>M/S Vidhi Electricals &amp; Engg Co</v>
          </cell>
          <cell r="B1478" t="str">
            <v>Group-4 ( Office Account)</v>
          </cell>
        </row>
        <row r="1479">
          <cell r="A1479" t="str">
            <v>M/S. JIVA CONTROL TECHNOLOGIES PVT LTD</v>
          </cell>
          <cell r="B1479" t="str">
            <v>Group-2 (Veeresh- Bomsdr+Hosur)</v>
          </cell>
        </row>
        <row r="1480">
          <cell r="A1480" t="str">
            <v>M2NXT Solutions Pvt. Ltd.,</v>
          </cell>
          <cell r="B1480" t="str">
            <v>Group 1-Giridhar-Peenya</v>
          </cell>
        </row>
        <row r="1481">
          <cell r="A1481" t="str">
            <v>MAAJISA ELECTRICALS</v>
          </cell>
          <cell r="B1481" t="str">
            <v>Group-4 ( Office Account)</v>
          </cell>
        </row>
        <row r="1482">
          <cell r="A1482" t="str">
            <v>Maangalya Constructions</v>
          </cell>
          <cell r="B1482" t="str">
            <v>Group - 5 (Ananthapadmanabha)</v>
          </cell>
        </row>
        <row r="1483">
          <cell r="A1483" t="str">
            <v>MAANGALYA ESTATES (P) LTD</v>
          </cell>
          <cell r="B1483" t="str">
            <v>Group-2 (Veeresh- Bomsdr+Hosur)</v>
          </cell>
        </row>
        <row r="1484">
          <cell r="A1484" t="str">
            <v>MAC CORPORATION</v>
          </cell>
          <cell r="B1484" t="str">
            <v>Online Business</v>
          </cell>
        </row>
        <row r="1485">
          <cell r="A1485" t="str">
            <v>Mac Machine Tools &amp; Automation</v>
          </cell>
          <cell r="B1485" t="str">
            <v>Group 1-Giridhar-Peenya</v>
          </cell>
        </row>
        <row r="1486">
          <cell r="A1486" t="str">
            <v>Mach Mind Technologies ( P) Ltd</v>
          </cell>
          <cell r="B1486" t="str">
            <v>Group-4 ( Office Account)</v>
          </cell>
        </row>
        <row r="1487">
          <cell r="A1487" t="str">
            <v>Mach Solutions</v>
          </cell>
          <cell r="B1487" t="str">
            <v>Online Business</v>
          </cell>
        </row>
        <row r="1488">
          <cell r="A1488" t="str">
            <v>MACHFOX HYDRAULICS AND LUBRICATION SYSTEMS PRIVATE LIMITED</v>
          </cell>
          <cell r="B1488" t="str">
            <v>Group 1-Giridhar-Peenya</v>
          </cell>
        </row>
        <row r="1489">
          <cell r="A1489" t="str">
            <v>MACHFOX HYDRAULICS AND LUBRICATION SYSTEMS Pvt Ltd (OLD)</v>
          </cell>
          <cell r="B1489" t="str">
            <v>Group 1-Giridhar-Peenya</v>
          </cell>
        </row>
        <row r="1490">
          <cell r="A1490" t="str">
            <v>Machine Boucherie India Pvt Ltd (Old)</v>
          </cell>
          <cell r="B1490" t="str">
            <v>Group-4 ( Office Account)</v>
          </cell>
        </row>
        <row r="1491">
          <cell r="A1491" t="str">
            <v>Machine House Technologies</v>
          </cell>
          <cell r="B1491" t="str">
            <v>Group-4 ( Office Account)</v>
          </cell>
        </row>
        <row r="1492">
          <cell r="A1492" t="str">
            <v>Machines and Tooling Solutions</v>
          </cell>
          <cell r="B1492" t="str">
            <v>Group 1-Giridhar-Peenya</v>
          </cell>
        </row>
        <row r="1493">
          <cell r="A1493" t="str">
            <v>Machines Boucherie India Pvt Ltd.,</v>
          </cell>
          <cell r="B1493" t="str">
            <v>Group - 5 (Ananthapadmanabha)</v>
          </cell>
        </row>
        <row r="1494">
          <cell r="A1494" t="str">
            <v>MACRO SALES CORPORATION</v>
          </cell>
          <cell r="B1494" t="str">
            <v>Group-4 ( Office Account)</v>
          </cell>
        </row>
        <row r="1495">
          <cell r="A1495" t="str">
            <v>Macsafe India Solutions Private Limited</v>
          </cell>
          <cell r="B1495" t="str">
            <v>Online Business</v>
          </cell>
        </row>
        <row r="1496">
          <cell r="A1496" t="str">
            <v>MACTECH ENGINEERING</v>
          </cell>
          <cell r="B1496" t="str">
            <v>Group-4 ( Office Account)</v>
          </cell>
        </row>
        <row r="1497">
          <cell r="A1497" t="str">
            <v>MADOX TECHNOLOGIES (Old )</v>
          </cell>
          <cell r="B1497" t="str">
            <v>Group 1-Giridhar-Peenya</v>
          </cell>
        </row>
        <row r="1498">
          <cell r="A1498" t="str">
            <v>Madox Technologies Pvt Ltd</v>
          </cell>
          <cell r="B1498" t="str">
            <v>Group 1-Giridhar-Peenya</v>
          </cell>
        </row>
        <row r="1499">
          <cell r="A1499" t="str">
            <v>MAESTRO FASHIONS</v>
          </cell>
          <cell r="B1499" t="str">
            <v>Group-2 (Veeresh- Bomsdr+Hosur)</v>
          </cell>
        </row>
        <row r="1500">
          <cell r="A1500" t="str">
            <v>MAG INDIA INDUSTRIAL AUTOMATION SYSTEMS PVT.LTD.</v>
          </cell>
          <cell r="B1500" t="str">
            <v>Group - 5 (Ananthapadmanabha)</v>
          </cell>
        </row>
        <row r="1501">
          <cell r="A1501" t="str">
            <v>Magicasia Retail Venture Private Limited</v>
          </cell>
          <cell r="B1501" t="str">
            <v>Group-4 ( Office Account)</v>
          </cell>
        </row>
        <row r="1502">
          <cell r="A1502" t="str">
            <v>Magnetic Auto Control Pvt.Ltd.,</v>
          </cell>
          <cell r="B1502" t="str">
            <v>Group-4 ( Office Account)</v>
          </cell>
        </row>
        <row r="1503">
          <cell r="A1503" t="str">
            <v>MAGNUM ENGINEERS</v>
          </cell>
          <cell r="B1503" t="str">
            <v>Group 1-Giridhar-Peenya</v>
          </cell>
        </row>
        <row r="1504">
          <cell r="A1504" t="str">
            <v>Magnum Glass Concepts</v>
          </cell>
          <cell r="B1504" t="str">
            <v>Group-4 ( Office Account)</v>
          </cell>
        </row>
        <row r="1505">
          <cell r="A1505" t="str">
            <v>MAGNUM INDUSTRIAL SOLUTIONS</v>
          </cell>
          <cell r="B1505" t="str">
            <v>Group-4 ( Office Account)</v>
          </cell>
        </row>
        <row r="1506">
          <cell r="A1506" t="str">
            <v>MAHA AUTOMATIONS</v>
          </cell>
          <cell r="B1506" t="str">
            <v>Online Business</v>
          </cell>
        </row>
        <row r="1507">
          <cell r="A1507" t="str">
            <v>MAHALAKSHMI ENTERPRISES</v>
          </cell>
          <cell r="B1507" t="str">
            <v>Group-4 ( Office Account)</v>
          </cell>
        </row>
        <row r="1508">
          <cell r="A1508" t="str">
            <v>Mahamaya Casting Pvt  Ltd</v>
          </cell>
          <cell r="B1508" t="str">
            <v>Group-4 ( Office Account)</v>
          </cell>
        </row>
        <row r="1509">
          <cell r="A1509" t="str">
            <v>Mahaveer Associates</v>
          </cell>
          <cell r="B1509" t="str">
            <v>Group-4 ( Office Account)</v>
          </cell>
        </row>
        <row r="1510">
          <cell r="A1510" t="str">
            <v>Mahaveer Electricals</v>
          </cell>
          <cell r="B1510" t="str">
            <v>Group-4 ( Office Account)</v>
          </cell>
        </row>
        <row r="1511">
          <cell r="A1511" t="str">
            <v>MAHAVEER SURFACTANTS INTERNATIONAL PRIVATE LIMITED</v>
          </cell>
          <cell r="B1511" t="str">
            <v>Group-4 ( Office Account)</v>
          </cell>
        </row>
        <row r="1512">
          <cell r="A1512" t="str">
            <v>Mahaveer Traders</v>
          </cell>
          <cell r="B1512" t="str">
            <v>Group-4 ( Office Account)</v>
          </cell>
        </row>
        <row r="1513">
          <cell r="A1513" t="str">
            <v>MAHAVIR INTERFACE PRIVATE LIMITED</v>
          </cell>
          <cell r="B1513" t="str">
            <v>Group-4 ( Office Account)</v>
          </cell>
        </row>
        <row r="1514">
          <cell r="A1514" t="str">
            <v>Mahe</v>
          </cell>
          <cell r="B1514" t="str">
            <v>Group-2 (Veeresh- Bomsdr+Hosur)</v>
          </cell>
        </row>
        <row r="1515">
          <cell r="A1515" t="str">
            <v>Mahendra Industrial Suppliers</v>
          </cell>
          <cell r="B1515" t="str">
            <v>Group-4 ( Office Account)</v>
          </cell>
        </row>
        <row r="1516">
          <cell r="A1516" t="str">
            <v>Mahendra Industrial Suppliers (R)</v>
          </cell>
          <cell r="B1516" t="str">
            <v>Group-4 ( Office Account)</v>
          </cell>
        </row>
        <row r="1517">
          <cell r="A1517" t="str">
            <v>Mahendra Industries</v>
          </cell>
          <cell r="B1517" t="str">
            <v>Group-4 ( Office Account)</v>
          </cell>
        </row>
        <row r="1518">
          <cell r="A1518" t="str">
            <v>Mahindra Reva Electric Vehicles Pvt Ltd</v>
          </cell>
          <cell r="B1518" t="str">
            <v>Group-4 ( Office Account)</v>
          </cell>
        </row>
        <row r="1519">
          <cell r="A1519" t="str">
            <v>Maini Material Movement Pvt  Ltd</v>
          </cell>
          <cell r="B1519" t="str">
            <v>Group-2 (Veeresh- Bomsdr+Hosur)</v>
          </cell>
        </row>
        <row r="1520">
          <cell r="A1520" t="str">
            <v>Maini Materials Movement Pvt Ltd</v>
          </cell>
          <cell r="B1520" t="str">
            <v>Group-2 (Veeresh- Bomsdr+Hosur)</v>
          </cell>
        </row>
        <row r="1521">
          <cell r="A1521" t="str">
            <v>Maiyas Beverages And Foods Pvt. Ltd.,</v>
          </cell>
          <cell r="B1521" t="str">
            <v>Group-4 ( Office Account)</v>
          </cell>
        </row>
        <row r="1522">
          <cell r="A1522" t="str">
            <v>Mak Control And System (P) Ltd</v>
          </cell>
          <cell r="B1522" t="str">
            <v>Group-4 ( Office Account)</v>
          </cell>
        </row>
        <row r="1523">
          <cell r="A1523" t="str">
            <v>Makarla Electronics</v>
          </cell>
          <cell r="B1523" t="str">
            <v>Group - 5 (Ananthapadmanabha)</v>
          </cell>
        </row>
        <row r="1524">
          <cell r="A1524" t="str">
            <v>MAKINO INDIA PRIVATE LIMITED</v>
          </cell>
          <cell r="B1524" t="str">
            <v>Group - 5 (Ananthapadmanabha)</v>
          </cell>
        </row>
        <row r="1525">
          <cell r="A1525" t="str">
            <v>MAN Diesel &amp; Turbo India Private Limited. Unit - II</v>
          </cell>
          <cell r="B1525" t="str">
            <v>Group-2 (Veeresh- Bomsdr+Hosur)</v>
          </cell>
        </row>
        <row r="1526">
          <cell r="A1526" t="str">
            <v>MAN Energy Solutions India Pvt.Ltd. UNIT-II</v>
          </cell>
          <cell r="B1526" t="str">
            <v>Group-2 (Veeresh- Bomsdr+Hosur)</v>
          </cell>
        </row>
        <row r="1527">
          <cell r="A1527" t="str">
            <v>Managing Trustee</v>
          </cell>
          <cell r="B1527" t="str">
            <v>Group-4 ( Office Account)</v>
          </cell>
        </row>
        <row r="1528">
          <cell r="A1528" t="str">
            <v>Manas Sri Agencies</v>
          </cell>
          <cell r="B1528" t="str">
            <v>Group-4 ( Office Account)</v>
          </cell>
        </row>
        <row r="1529">
          <cell r="A1529" t="str">
            <v>MANAV ENERGY PRIVATE LIMITED</v>
          </cell>
          <cell r="B1529" t="str">
            <v>Group-2 (Veeresh- Bomsdr+Hosur)</v>
          </cell>
        </row>
        <row r="1530">
          <cell r="A1530" t="str">
            <v>Manavi Electricals</v>
          </cell>
          <cell r="B1530" t="str">
            <v>Group-4 ( Office Account)</v>
          </cell>
        </row>
        <row r="1531">
          <cell r="A1531" t="str">
            <v>Mangal Electricals</v>
          </cell>
          <cell r="B1531" t="str">
            <v>Group - 5 (Ananthapadmanabha)</v>
          </cell>
        </row>
        <row r="1532">
          <cell r="A1532" t="str">
            <v>Mangal Industrial Suppliers</v>
          </cell>
          <cell r="B1532" t="str">
            <v>Group-4 ( Office Account)</v>
          </cell>
        </row>
        <row r="1533">
          <cell r="A1533" t="str">
            <v>Mangal Industries Limited</v>
          </cell>
          <cell r="B1533" t="str">
            <v>Group-4 ( Office Account)</v>
          </cell>
        </row>
        <row r="1534">
          <cell r="A1534" t="str">
            <v>Mangalore Minerals Pvt .Ltd.</v>
          </cell>
          <cell r="B1534" t="str">
            <v>Group-4 ( Office Account)</v>
          </cell>
        </row>
        <row r="1535">
          <cell r="A1535" t="str">
            <v>Manik Electro Industrial Corporation</v>
          </cell>
          <cell r="B1535" t="str">
            <v>Group-4 ( Office Account)</v>
          </cell>
        </row>
        <row r="1536">
          <cell r="A1536" t="str">
            <v>Manik Enterprises</v>
          </cell>
          <cell r="B1536" t="str">
            <v>Group-4 ( Office Account)</v>
          </cell>
        </row>
        <row r="1537">
          <cell r="A1537" t="str">
            <v>Manipal Payment and Identity Solutions Limited (U1)</v>
          </cell>
          <cell r="B1537" t="str">
            <v>Group-4 ( Office Account)</v>
          </cell>
        </row>
        <row r="1538">
          <cell r="A1538" t="str">
            <v>MANIPAL PAYMENT AND IDENTITY SOLUTIONS LIMITED (U2)</v>
          </cell>
          <cell r="B1538" t="str">
            <v>Group-4 ( Office Account)</v>
          </cell>
        </row>
        <row r="1539">
          <cell r="A1539" t="str">
            <v>Manipal Technologies Limited</v>
          </cell>
          <cell r="B1539" t="str">
            <v>Group-2 (Veeresh- Bomsdr+Hosur)</v>
          </cell>
        </row>
        <row r="1540">
          <cell r="A1540" t="str">
            <v>Manipal Technologies Limited - Unit 2</v>
          </cell>
          <cell r="B1540" t="str">
            <v>Group-2 (Veeresh- Bomsdr+Hosur)</v>
          </cell>
        </row>
        <row r="1541">
          <cell r="A1541" t="str">
            <v>Manipal Technologies Limited - Unit 5</v>
          </cell>
          <cell r="B1541" t="str">
            <v>Group-4 ( Office Account)</v>
          </cell>
        </row>
        <row r="1542">
          <cell r="A1542" t="str">
            <v>Manipal Technologies Limited Unit 6</v>
          </cell>
          <cell r="B1542" t="str">
            <v>Group-4 ( Office Account)</v>
          </cell>
        </row>
        <row r="1543">
          <cell r="A1543" t="str">
            <v>Manish Enterprises</v>
          </cell>
          <cell r="B1543" t="str">
            <v>Group 1-Giridhar-Peenya</v>
          </cell>
        </row>
        <row r="1544">
          <cell r="A1544" t="str">
            <v>Manish Enterprises - Chikpet</v>
          </cell>
          <cell r="B1544" t="str">
            <v>Group 1-Giridhar-Peenya</v>
          </cell>
        </row>
        <row r="1545">
          <cell r="A1545" t="str">
            <v>Manisha Industrial Suppliers</v>
          </cell>
          <cell r="B1545" t="str">
            <v>Group-4 ( Office Account)</v>
          </cell>
        </row>
        <row r="1546">
          <cell r="A1546" t="str">
            <v>MANJUNATHA CRANES</v>
          </cell>
          <cell r="B1546" t="str">
            <v>Group-4 ( Office Account)</v>
          </cell>
        </row>
        <row r="1547">
          <cell r="A1547" t="str">
            <v>Manjunatha Crens</v>
          </cell>
          <cell r="B1547" t="str">
            <v>Group 1-Giridhar-Peenya</v>
          </cell>
        </row>
        <row r="1548">
          <cell r="A1548" t="str">
            <v>Manjunatha Enterprises</v>
          </cell>
          <cell r="B1548" t="str">
            <v>Group 1-Giridhar-Peenya</v>
          </cell>
        </row>
        <row r="1549">
          <cell r="A1549" t="str">
            <v>Manjushree Engineers</v>
          </cell>
          <cell r="B1549" t="str">
            <v>Group 1-Giridhar-Peenya</v>
          </cell>
        </row>
        <row r="1550">
          <cell r="A1550" t="str">
            <v>MANJUSHREE TECHNOPACK LIMITED</v>
          </cell>
          <cell r="B1550" t="str">
            <v>Group-2 (Veeresh- Bomsdr+Hosur)</v>
          </cell>
        </row>
        <row r="1551">
          <cell r="A1551" t="str">
            <v>MANJUSHREE TECHNOPACK LIMITED (A)</v>
          </cell>
          <cell r="B1551" t="str">
            <v>Group-2 (Veeresh- Bomsdr+Hosur)</v>
          </cell>
        </row>
        <row r="1552">
          <cell r="A1552" t="str">
            <v>MANJUSHREE TECHNOPACK LIMITED (A) (Old)</v>
          </cell>
          <cell r="B1552" t="str">
            <v>Group-2 (Veeresh- Bomsdr+Hosur)</v>
          </cell>
        </row>
        <row r="1553">
          <cell r="A1553" t="str">
            <v>MANJUSHREE TECHNOPACK LIMITED (Old)</v>
          </cell>
          <cell r="B1553" t="str">
            <v>Group-2 (Veeresh- Bomsdr+Hosur)</v>
          </cell>
        </row>
        <row r="1554">
          <cell r="A1554" t="str">
            <v>MANJUSHREE TECHNOPACK LIMITED (S)</v>
          </cell>
          <cell r="B1554" t="str">
            <v>Group-2 (Veeresh- Bomsdr+Hosur)</v>
          </cell>
        </row>
        <row r="1555">
          <cell r="A1555" t="str">
            <v>MANOJAM TECHNOLOGIES</v>
          </cell>
          <cell r="B1555" t="str">
            <v>Group-4 ( Office Account)</v>
          </cell>
        </row>
        <row r="1556">
          <cell r="A1556" t="str">
            <v>Manu Service Solutions</v>
          </cell>
          <cell r="B1556" t="str">
            <v>Group-4 ( Office Account)</v>
          </cell>
        </row>
        <row r="1557">
          <cell r="A1557" t="str">
            <v>Manukraft Technology Pvt  Ltd</v>
          </cell>
          <cell r="B1557" t="str">
            <v>Group 1-Giridhar-Peenya</v>
          </cell>
        </row>
        <row r="1558">
          <cell r="A1558" t="str">
            <v>MANYA ENTERPRISES</v>
          </cell>
          <cell r="B1558" t="str">
            <v>Group-4 ( Office Account)</v>
          </cell>
        </row>
        <row r="1559">
          <cell r="A1559" t="str">
            <v>MARINE ELECTRICALS(INDIA)LIMITED</v>
          </cell>
          <cell r="B1559" t="str">
            <v>Online Business</v>
          </cell>
        </row>
        <row r="1560">
          <cell r="A1560" t="str">
            <v>MARS ELECTRICAL &amp; SYSTEM INTEGRATORS</v>
          </cell>
          <cell r="B1560" t="str">
            <v>Group-4 ( Office Account)</v>
          </cell>
        </row>
        <row r="1561">
          <cell r="A1561" t="str">
            <v>MARS LIFT SERVICES</v>
          </cell>
          <cell r="B1561" t="str">
            <v>Online Business</v>
          </cell>
        </row>
        <row r="1562">
          <cell r="A1562" t="str">
            <v>MARS TECHNOLOGIES INC</v>
          </cell>
          <cell r="B1562" t="str">
            <v>Online Business</v>
          </cell>
        </row>
        <row r="1563">
          <cell r="A1563" t="str">
            <v>Marudhar Electricals</v>
          </cell>
          <cell r="B1563" t="str">
            <v>Group-4 ( Office Account)</v>
          </cell>
        </row>
        <row r="1564">
          <cell r="A1564" t="str">
            <v>MARUDHAR ELECTRICALS (C)</v>
          </cell>
          <cell r="B1564" t="str">
            <v>Group-4 ( Office Account)</v>
          </cell>
        </row>
        <row r="1565">
          <cell r="A1565" t="str">
            <v>Maruichi Kuma Steel Tube Pvt. Ltd.,</v>
          </cell>
          <cell r="B1565" t="str">
            <v>Group-2 (Veeresh- Bomsdr+Hosur)</v>
          </cell>
        </row>
        <row r="1566">
          <cell r="A1566" t="str">
            <v>MARUTEK</v>
          </cell>
          <cell r="B1566" t="str">
            <v>Online Business</v>
          </cell>
        </row>
        <row r="1567">
          <cell r="A1567" t="str">
            <v>Maruthi Electrical ( Labour )</v>
          </cell>
          <cell r="B1567" t="str">
            <v>Group 1-Giridhar-Peenya</v>
          </cell>
        </row>
        <row r="1568">
          <cell r="A1568" t="str">
            <v>Maruthi Electricals</v>
          </cell>
          <cell r="B1568" t="str">
            <v>Group 1-Giridhar-Peenya</v>
          </cell>
        </row>
        <row r="1569">
          <cell r="A1569" t="str">
            <v>MARUTHI ENTERPRISES</v>
          </cell>
          <cell r="B1569" t="str">
            <v>Online Business</v>
          </cell>
        </row>
        <row r="1570">
          <cell r="A1570" t="str">
            <v>Maruthi Machine Udyog</v>
          </cell>
          <cell r="B1570" t="str">
            <v>Group-2 (Veeresh- Bomsdr+Hosur)</v>
          </cell>
        </row>
        <row r="1571">
          <cell r="A1571" t="str">
            <v>MARUTIS INDUSTRIAL SERVICES</v>
          </cell>
          <cell r="B1571" t="str">
            <v>Group 1-Giridhar-Peenya</v>
          </cell>
        </row>
        <row r="1572">
          <cell r="A1572" t="str">
            <v>Marvel Star Electrical Pvt. Ltd.,</v>
          </cell>
          <cell r="B1572" t="str">
            <v>Group-4 ( Office Account)</v>
          </cell>
        </row>
        <row r="1573">
          <cell r="A1573" t="str">
            <v>MAS TECHNOLOGIES</v>
          </cell>
          <cell r="B1573" t="str">
            <v>Group 1-Giridhar-Peenya</v>
          </cell>
        </row>
        <row r="1574">
          <cell r="A1574" t="str">
            <v>MASCOT ENTERPRISES</v>
          </cell>
          <cell r="B1574" t="str">
            <v>Group-4 ( Office Account)</v>
          </cell>
        </row>
        <row r="1575">
          <cell r="A1575" t="str">
            <v>Master Tech</v>
          </cell>
          <cell r="B1575" t="str">
            <v>Group-4 ( Office Account)</v>
          </cell>
        </row>
        <row r="1576">
          <cell r="A1576" t="str">
            <v>Mastercraft Engineers Pvt Ltd</v>
          </cell>
          <cell r="B1576" t="str">
            <v>Group-2 (Veeresh- Bomsdr+Hosur)</v>
          </cell>
        </row>
        <row r="1577">
          <cell r="A1577" t="str">
            <v>MATHA POWER PLANNING</v>
          </cell>
          <cell r="B1577" t="str">
            <v>Group-4 ( Office Account)</v>
          </cell>
        </row>
        <row r="1578">
          <cell r="A1578" t="str">
            <v>MATHAJI INDUSTRIAL SUPPLIERS</v>
          </cell>
          <cell r="B1578" t="str">
            <v>Group - 5 (Ananthapadmanabha)</v>
          </cell>
        </row>
        <row r="1579">
          <cell r="A1579" t="str">
            <v>Mathru CNC Technologies</v>
          </cell>
          <cell r="B1579" t="str">
            <v>Group 1-Giridhar-Peenya</v>
          </cell>
        </row>
        <row r="1580">
          <cell r="A1580" t="str">
            <v>Matics India</v>
          </cell>
          <cell r="B1580" t="str">
            <v>Group-4 ( Office Account)</v>
          </cell>
        </row>
        <row r="1581">
          <cell r="A1581" t="str">
            <v>MATRIX ELECTRICALS</v>
          </cell>
          <cell r="B1581" t="str">
            <v>Group-4 ( Office Account)</v>
          </cell>
        </row>
        <row r="1582">
          <cell r="A1582" t="str">
            <v>MAVERIK FACILITY MANAGEMENT PVT LTD</v>
          </cell>
          <cell r="B1582" t="str">
            <v>Group-4 ( Office Account)</v>
          </cell>
        </row>
        <row r="1583">
          <cell r="A1583" t="str">
            <v>Max Power Systems</v>
          </cell>
          <cell r="B1583" t="str">
            <v>Group 1-Giridhar-Peenya</v>
          </cell>
        </row>
        <row r="1584">
          <cell r="A1584" t="str">
            <v>MAXCARE POWER SOLUTIONS</v>
          </cell>
          <cell r="B1584" t="str">
            <v>Group-4 ( Office Account)</v>
          </cell>
        </row>
        <row r="1585">
          <cell r="A1585" t="str">
            <v>Maxpreci Machines Private Ltd</v>
          </cell>
          <cell r="B1585" t="str">
            <v>Group - 5 (Ananthapadmanabha)</v>
          </cell>
        </row>
        <row r="1586">
          <cell r="A1586" t="str">
            <v>Maxwatt Turbines Pvt Ltd Unit-1</v>
          </cell>
          <cell r="B1586" t="str">
            <v>Group-2 (Veeresh- Bomsdr+Hosur)</v>
          </cell>
        </row>
        <row r="1587">
          <cell r="A1587" t="str">
            <v>Maxwatt Turbines Pvt Ltd Unit-II</v>
          </cell>
          <cell r="B1587" t="str">
            <v>Group-2 (Veeresh- Bomsdr+Hosur)</v>
          </cell>
        </row>
        <row r="1588">
          <cell r="A1588" t="str">
            <v>MAXX TECHNOLOGIES</v>
          </cell>
          <cell r="B1588" t="str">
            <v>Group-4 ( Office Account)</v>
          </cell>
        </row>
        <row r="1589">
          <cell r="A1589" t="str">
            <v>Mbc Electricals</v>
          </cell>
          <cell r="B1589" t="str">
            <v>Group-4 ( Office Account)</v>
          </cell>
        </row>
        <row r="1590">
          <cell r="A1590" t="str">
            <v>Mc Gotawat Electricals (Old)</v>
          </cell>
          <cell r="B1590" t="str">
            <v>Group-4 ( Office Account)</v>
          </cell>
        </row>
        <row r="1591">
          <cell r="A1591" t="str">
            <v>McD Built Environment Research Laboratory Pvt. Ltd</v>
          </cell>
          <cell r="B1591" t="str">
            <v>Group-4 ( Office Account)</v>
          </cell>
        </row>
        <row r="1592">
          <cell r="A1592" t="str">
            <v>McNally Sayaji Engineering Limited</v>
          </cell>
          <cell r="B1592" t="str">
            <v>Group - 5 (Ananthapadmanabha)</v>
          </cell>
        </row>
        <row r="1593">
          <cell r="A1593" t="str">
            <v>MCTKART</v>
          </cell>
          <cell r="B1593" t="str">
            <v>Group-4 ( Office Account)</v>
          </cell>
        </row>
        <row r="1594">
          <cell r="A1594" t="str">
            <v>MD TOOLS &amp; TRADERS</v>
          </cell>
          <cell r="B1594" t="str">
            <v>Online Business</v>
          </cell>
        </row>
        <row r="1595">
          <cell r="A1595" t="str">
            <v>Mechatronics Integrations Services (P) Ltd</v>
          </cell>
          <cell r="B1595" t="str">
            <v>Group 1-Giridhar-Peenya</v>
          </cell>
        </row>
        <row r="1596">
          <cell r="A1596" t="str">
            <v>MECHTRONIX</v>
          </cell>
          <cell r="B1596" t="str">
            <v>Group-2 (Veeresh- Bomsdr+Hosur)</v>
          </cell>
        </row>
        <row r="1597">
          <cell r="A1597" t="str">
            <v>MECKON</v>
          </cell>
          <cell r="B1597" t="str">
            <v>Group 1-Giridhar-Peenya</v>
          </cell>
        </row>
        <row r="1598">
          <cell r="A1598" t="str">
            <v>MECWIN TECHNOLOGIES INDIA PRIVATE LIMITED</v>
          </cell>
          <cell r="B1598" t="str">
            <v>Group 1-Giridhar-Peenya</v>
          </cell>
        </row>
        <row r="1599">
          <cell r="A1599" t="str">
            <v>Medium Voltage Technologies</v>
          </cell>
          <cell r="B1599" t="str">
            <v>Group-4 ( Office Account)</v>
          </cell>
        </row>
        <row r="1600">
          <cell r="A1600" t="str">
            <v>MEDREICH LTD</v>
          </cell>
          <cell r="B1600" t="str">
            <v>Group - 5 (Ananthapadmanabha)</v>
          </cell>
        </row>
        <row r="1601">
          <cell r="A1601" t="str">
            <v>Meena Agencies</v>
          </cell>
          <cell r="B1601" t="str">
            <v>Group-4 ( Office Account)</v>
          </cell>
        </row>
        <row r="1602">
          <cell r="A1602" t="str">
            <v>Meenakshi Electricals &amp; Industrial Suppliers</v>
          </cell>
          <cell r="B1602" t="str">
            <v>Group-4 ( Office Account)</v>
          </cell>
        </row>
        <row r="1603">
          <cell r="A1603" t="str">
            <v>Mega Power Systems</v>
          </cell>
          <cell r="B1603" t="str">
            <v>Group - 5 (Ananthapadmanabha)</v>
          </cell>
        </row>
        <row r="1604">
          <cell r="A1604" t="str">
            <v>Megamic Electronics Pvt Ltd</v>
          </cell>
          <cell r="B1604" t="str">
            <v>Group-2 (Veeresh- Bomsdr+Hosur)</v>
          </cell>
        </row>
        <row r="1605">
          <cell r="A1605" t="str">
            <v>MEGAMP INDUSTRIES PRIVATE LIMITED</v>
          </cell>
          <cell r="B1605" t="str">
            <v>Group-4 ( Office Account)</v>
          </cell>
        </row>
        <row r="1606">
          <cell r="A1606" t="str">
            <v>Megatron Solutions Private Limited</v>
          </cell>
          <cell r="B1606" t="str">
            <v>Group-4 ( Office Account)</v>
          </cell>
        </row>
        <row r="1607">
          <cell r="A1607" t="str">
            <v>Megawatts Electric Co</v>
          </cell>
          <cell r="B1607" t="str">
            <v>Group-4 ( Office Account)</v>
          </cell>
        </row>
        <row r="1608">
          <cell r="A1608" t="str">
            <v>Megha Punch Forms Pvt.Ltd.</v>
          </cell>
          <cell r="B1608" t="str">
            <v>Group 1-Giridhar-Peenya</v>
          </cell>
        </row>
        <row r="1609">
          <cell r="A1609" t="str">
            <v>Meghana Engineers</v>
          </cell>
          <cell r="B1609" t="str">
            <v>Group-4 ( Office Account)</v>
          </cell>
        </row>
        <row r="1610">
          <cell r="A1610" t="str">
            <v>Meher Mangoldt Inductors Pvt. Ltd.,</v>
          </cell>
          <cell r="B1610" t="str">
            <v>Group-4 ( Office Account)</v>
          </cell>
        </row>
        <row r="1611">
          <cell r="A1611" t="str">
            <v>Mehler Engineered Products India Pvt Ltd.,</v>
          </cell>
          <cell r="B1611" t="str">
            <v>Group-4 ( Office Account)</v>
          </cell>
        </row>
        <row r="1612">
          <cell r="A1612" t="str">
            <v>Mehta Associates</v>
          </cell>
          <cell r="B1612" t="str">
            <v>Group-4 ( Office Account)</v>
          </cell>
        </row>
        <row r="1613">
          <cell r="A1613" t="str">
            <v>Mekhos Technology Services Pvt Ltd</v>
          </cell>
          <cell r="B1613" t="str">
            <v>Group-2 (Veeresh- Bomsdr+Hosur)</v>
          </cell>
        </row>
        <row r="1614">
          <cell r="A1614" t="str">
            <v>MELON LIGHTING STUDIO</v>
          </cell>
          <cell r="B1614" t="str">
            <v>Group-4 ( Office Account)</v>
          </cell>
        </row>
        <row r="1615">
          <cell r="A1615" t="str">
            <v>MEMUCAN TECHNOLOGY</v>
          </cell>
          <cell r="B1615" t="str">
            <v>Group-4 ( Office Account)</v>
          </cell>
        </row>
        <row r="1616">
          <cell r="A1616" t="str">
            <v>Mep-Olbo India Pvt  Ltd</v>
          </cell>
          <cell r="B1616" t="str">
            <v>Group 1-Giridhar-Peenya</v>
          </cell>
        </row>
        <row r="1617">
          <cell r="A1617" t="str">
            <v>MEPSERVE INDIA PRIVATE LIMITED</v>
          </cell>
          <cell r="B1617" t="str">
            <v>Group - 5 (Ananthapadmanabha)</v>
          </cell>
        </row>
        <row r="1618">
          <cell r="A1618" t="str">
            <v>Merck Life Science Pvt  Ltd</v>
          </cell>
          <cell r="B1618" t="str">
            <v>Group 1-Giridhar-Peenya</v>
          </cell>
        </row>
        <row r="1619">
          <cell r="A1619" t="str">
            <v>Merlinhawk Aerospace Pvt  Ltd</v>
          </cell>
          <cell r="B1619" t="str">
            <v>Group-2 (Veeresh- Bomsdr+Hosur)</v>
          </cell>
        </row>
        <row r="1620">
          <cell r="A1620" t="str">
            <v>Merrick Industries Pvt  Ltd</v>
          </cell>
          <cell r="B1620" t="str">
            <v>Group 1-Giridhar-Peenya</v>
          </cell>
        </row>
        <row r="1621">
          <cell r="A1621" t="str">
            <v>Merritt Innovative Solutions (I) Pvt Ltd</v>
          </cell>
          <cell r="B1621" t="str">
            <v>Group 1-Giridhar-Peenya</v>
          </cell>
        </row>
        <row r="1622">
          <cell r="A1622" t="str">
            <v>Messol</v>
          </cell>
          <cell r="B1622" t="str">
            <v>Group-4 ( Office Account)</v>
          </cell>
        </row>
        <row r="1623">
          <cell r="A1623" t="str">
            <v>Metagrace Technologies Pvt.Ltd</v>
          </cell>
          <cell r="B1623" t="str">
            <v>Group 1-Giridhar-Peenya</v>
          </cell>
        </row>
        <row r="1624">
          <cell r="A1624" t="str">
            <v>Metal Work Pnematic India Pvt Ltd (B)</v>
          </cell>
          <cell r="B1624" t="str">
            <v>Group-2 (Veeresh- Bomsdr+Hosur)</v>
          </cell>
        </row>
        <row r="1625">
          <cell r="A1625" t="str">
            <v>METAL WORK PNEUMATIC INDIA PRIVATE LIMITED</v>
          </cell>
          <cell r="B1625" t="str">
            <v>Group 1-Giridhar-Peenya</v>
          </cell>
        </row>
        <row r="1626">
          <cell r="A1626" t="str">
            <v>Methode Electronics India Pvt Ltd</v>
          </cell>
          <cell r="B1626" t="str">
            <v>Group-4 ( Office Account)</v>
          </cell>
        </row>
        <row r="1627">
          <cell r="A1627" t="str">
            <v>METHODS ( INDIA ) PRIVATE LIMITED</v>
          </cell>
          <cell r="B1627" t="str">
            <v>Group - 5 (Ananthapadmanabha)</v>
          </cell>
        </row>
        <row r="1628">
          <cell r="A1628" t="str">
            <v>METRIQ INSTRUMENTS PRIVATE LIMITED</v>
          </cell>
          <cell r="B1628" t="str">
            <v>Group 1-Giridhar-Peenya</v>
          </cell>
        </row>
        <row r="1629">
          <cell r="A1629" t="str">
            <v>MICE PROTO SPACE</v>
          </cell>
          <cell r="B1629" t="str">
            <v>Online Business</v>
          </cell>
        </row>
        <row r="1630">
          <cell r="A1630" t="str">
            <v>MICRO AGRI SOLUTIONS</v>
          </cell>
          <cell r="B1630" t="str">
            <v>Online Business</v>
          </cell>
        </row>
        <row r="1631">
          <cell r="A1631" t="str">
            <v>MICRO COATS (INDIA)</v>
          </cell>
          <cell r="B1631" t="str">
            <v>Group 1-Giridhar-Peenya</v>
          </cell>
        </row>
        <row r="1632">
          <cell r="A1632" t="str">
            <v>Micro Controls</v>
          </cell>
          <cell r="B1632" t="str">
            <v>Group 1-Giridhar-Peenya</v>
          </cell>
        </row>
        <row r="1633">
          <cell r="A1633" t="str">
            <v>MICRO FINISH VALVES LTD</v>
          </cell>
          <cell r="B1633" t="str">
            <v>Group-4 ( Office Account)</v>
          </cell>
        </row>
        <row r="1634">
          <cell r="A1634" t="str">
            <v>MICRO LABS LTD</v>
          </cell>
          <cell r="B1634" t="str">
            <v>Group-2 (Veeresh- Bomsdr+Hosur)</v>
          </cell>
        </row>
        <row r="1635">
          <cell r="A1635" t="str">
            <v>Microcon I2I ( P ) Ltd</v>
          </cell>
          <cell r="B1635" t="str">
            <v>Group-2 (Veeresh- Bomsdr+Hosur)</v>
          </cell>
        </row>
        <row r="1636">
          <cell r="A1636" t="str">
            <v>MICROCON MACHINE TECH PRIVATE LIMITED</v>
          </cell>
          <cell r="B1636" t="str">
            <v>Group-2 (Veeresh- Bomsdr+Hosur)</v>
          </cell>
        </row>
        <row r="1637">
          <cell r="A1637" t="str">
            <v>MICROLOGIC AUTOMATION</v>
          </cell>
          <cell r="B1637" t="str">
            <v>Group-4 ( Office Account)</v>
          </cell>
        </row>
        <row r="1638">
          <cell r="A1638" t="str">
            <v>Micrologic Integrated Systems Pvt Ltd(K)</v>
          </cell>
          <cell r="B1638" t="str">
            <v>Group-2 (Veeresh- Bomsdr+Hosur)</v>
          </cell>
        </row>
        <row r="1639">
          <cell r="A1639" t="str">
            <v>Micrologix Embedded Controls P. Ltd.</v>
          </cell>
          <cell r="B1639" t="str">
            <v>Group 1-Giridhar-Peenya</v>
          </cell>
        </row>
        <row r="1640">
          <cell r="A1640" t="str">
            <v>MICROMATIC GRINDING TECHNOLOGIES PRIVATE LIMITED(G)</v>
          </cell>
          <cell r="B1640" t="str">
            <v>Group 1-Giridhar-Peenya</v>
          </cell>
        </row>
        <row r="1641">
          <cell r="A1641" t="str">
            <v>Micromatic Grinding Technologies Pvt. Ltd.,</v>
          </cell>
          <cell r="B1641" t="str">
            <v>Group 1-Giridhar-Peenya</v>
          </cell>
        </row>
        <row r="1642">
          <cell r="A1642" t="str">
            <v>Micron Electric System</v>
          </cell>
          <cell r="B1642" t="str">
            <v>Group 1-Giridhar-Peenya</v>
          </cell>
        </row>
        <row r="1643">
          <cell r="A1643" t="str">
            <v>Micron Electricals</v>
          </cell>
          <cell r="B1643" t="str">
            <v>Group-4 ( Office Account)</v>
          </cell>
        </row>
        <row r="1644">
          <cell r="A1644" t="str">
            <v>Micronova Impex Pvt Ltd</v>
          </cell>
          <cell r="B1644" t="str">
            <v>Group-4 ( Office Account)</v>
          </cell>
        </row>
        <row r="1645">
          <cell r="A1645" t="str">
            <v>Micropack Private Limited</v>
          </cell>
          <cell r="B1645" t="str">
            <v>Group-2 (Veeresh- Bomsdr+Hosur)</v>
          </cell>
        </row>
        <row r="1646">
          <cell r="A1646" t="str">
            <v>Microtech Exports</v>
          </cell>
          <cell r="B1646" t="str">
            <v>Group-4 ( Office Account)</v>
          </cell>
        </row>
        <row r="1647">
          <cell r="A1647" t="str">
            <v>Microtek Grinding Machines Pvt Ltd</v>
          </cell>
          <cell r="B1647" t="str">
            <v>Group 1-Giridhar-Peenya</v>
          </cell>
        </row>
        <row r="1648">
          <cell r="A1648" t="str">
            <v>Midland Engineering And Contracting Company</v>
          </cell>
          <cell r="B1648" t="str">
            <v>Group-4 ( Office Account)</v>
          </cell>
        </row>
        <row r="1649">
          <cell r="A1649" t="str">
            <v>Millennium Switchgear</v>
          </cell>
          <cell r="B1649" t="str">
            <v>Group 1-Giridhar-Peenya</v>
          </cell>
        </row>
        <row r="1650">
          <cell r="A1650" t="str">
            <v>Millipore (india) P Ltd</v>
          </cell>
          <cell r="B1650" t="str">
            <v>Group 1-Giridhar-Peenya</v>
          </cell>
        </row>
        <row r="1651">
          <cell r="A1651" t="str">
            <v>Millipore (India)Pvt Ltd 100% Eou</v>
          </cell>
          <cell r="B1651" t="str">
            <v>Group 1-Giridhar-Peenya</v>
          </cell>
        </row>
        <row r="1652">
          <cell r="A1652" t="str">
            <v>Mindspace Architects</v>
          </cell>
          <cell r="B1652" t="str">
            <v>Group - 5 (Ananthapadmanabha)</v>
          </cell>
        </row>
        <row r="1653">
          <cell r="A1653" t="str">
            <v>Minebea Intec India Pvt. Ltd.</v>
          </cell>
          <cell r="B1653" t="str">
            <v>Group 1-Giridhar-Peenya</v>
          </cell>
        </row>
        <row r="1654">
          <cell r="A1654" t="str">
            <v>Minebea Intec India Pvt. Ltd. (Do)</v>
          </cell>
          <cell r="B1654" t="str">
            <v>Group 1-Giridhar-Peenya</v>
          </cell>
        </row>
        <row r="1655">
          <cell r="A1655" t="str">
            <v>Miracle Electronic Devices Pvt  Ltd</v>
          </cell>
          <cell r="B1655" t="str">
            <v>Group 1-Giridhar-Peenya</v>
          </cell>
        </row>
        <row r="1656">
          <cell r="A1656" t="str">
            <v>Miracle Electronic Devices Pvt  Ltd (Ka)</v>
          </cell>
          <cell r="B1656" t="str">
            <v>Group 1-Giridhar-Peenya</v>
          </cell>
        </row>
        <row r="1657">
          <cell r="A1657" t="str">
            <v>MISHMA ENGINEERS</v>
          </cell>
          <cell r="B1657" t="str">
            <v>Group-4 ( Office Account)</v>
          </cell>
        </row>
        <row r="1658">
          <cell r="A1658" t="str">
            <v>Misriguru Industrial Suppliers</v>
          </cell>
          <cell r="B1658" t="str">
            <v>Group-4 ( Office Account)</v>
          </cell>
        </row>
        <row r="1659">
          <cell r="A1659" t="str">
            <v>MITAL INTERNATIONAL</v>
          </cell>
          <cell r="B1659" t="str">
            <v>Online Business</v>
          </cell>
        </row>
        <row r="1660">
          <cell r="A1660" t="str">
            <v>Mithra Engineering &amp; Automation</v>
          </cell>
          <cell r="B1660" t="str">
            <v>Group-2 (Veeresh- Bomsdr+Hosur)</v>
          </cell>
        </row>
        <row r="1661">
          <cell r="A1661" t="str">
            <v>MITSUBISHI ELEVATOR INDIA PRIVATE LIMITED</v>
          </cell>
          <cell r="B1661" t="str">
            <v>Online Business</v>
          </cell>
        </row>
        <row r="1662">
          <cell r="A1662" t="str">
            <v>Mitsubishi Heavy Industries India Pvt  Ltd</v>
          </cell>
          <cell r="B1662" t="str">
            <v>Group-4 ( Office Account)</v>
          </cell>
        </row>
        <row r="1663">
          <cell r="A1663" t="str">
            <v>Miven Mayfran Conveyors Pvt Ltd</v>
          </cell>
          <cell r="B1663" t="str">
            <v>Group - 5 (Ananthapadmanabha)</v>
          </cell>
        </row>
        <row r="1664">
          <cell r="A1664" t="str">
            <v>MIVIN ENGG TECHNOLOGIES Pvt.Ltd</v>
          </cell>
          <cell r="B1664" t="str">
            <v>Group-2 (Veeresh- Bomsdr+Hosur)</v>
          </cell>
        </row>
        <row r="1665">
          <cell r="A1665" t="str">
            <v>MK Electricals</v>
          </cell>
          <cell r="B1665" t="str">
            <v>Group-4 ( Office Account)</v>
          </cell>
        </row>
        <row r="1666">
          <cell r="A1666" t="str">
            <v>MK Solutions</v>
          </cell>
          <cell r="B1666" t="str">
            <v>Group-4 ( Office Account)</v>
          </cell>
        </row>
        <row r="1667">
          <cell r="A1667" t="str">
            <v>MN ENTERPRISES</v>
          </cell>
          <cell r="B1667" t="str">
            <v>Group-2 (Veeresh- Bomsdr+Hosur)</v>
          </cell>
        </row>
        <row r="1668">
          <cell r="A1668" t="str">
            <v>MNS Automation India Private Limited</v>
          </cell>
          <cell r="B1668" t="str">
            <v>Group-2 (Veeresh- Bomsdr+Hosur)</v>
          </cell>
        </row>
        <row r="1669">
          <cell r="A1669" t="str">
            <v>Model Electricals</v>
          </cell>
          <cell r="B1669" t="str">
            <v>Group-4 ( Office Account)</v>
          </cell>
        </row>
        <row r="1670">
          <cell r="A1670" t="str">
            <v>Modern Lite &amp; Controls</v>
          </cell>
          <cell r="B1670" t="str">
            <v>Group-4 ( Office Account)</v>
          </cell>
        </row>
        <row r="1671">
          <cell r="A1671" t="str">
            <v>Modi Industrial Interface</v>
          </cell>
          <cell r="B1671" t="str">
            <v>Group-4 ( Office Account)</v>
          </cell>
        </row>
        <row r="1672">
          <cell r="A1672" t="str">
            <v>Mogli Labs (India) Private Limited</v>
          </cell>
          <cell r="B1672" t="str">
            <v>Online Business</v>
          </cell>
        </row>
        <row r="1673">
          <cell r="A1673" t="str">
            <v>MOHAN CRANE SERVICE</v>
          </cell>
          <cell r="B1673" t="str">
            <v>Group-4 ( Office Account)</v>
          </cell>
        </row>
        <row r="1674">
          <cell r="A1674" t="str">
            <v>Mohan Exim India Pvt Ltd (OLD)</v>
          </cell>
          <cell r="B1674" t="str">
            <v>Group-4 ( Office Account)</v>
          </cell>
        </row>
        <row r="1675">
          <cell r="A1675" t="str">
            <v>Mohan Industrial Supplies (Cus)</v>
          </cell>
          <cell r="B1675" t="str">
            <v>Group-4 ( Office Account)</v>
          </cell>
        </row>
        <row r="1676">
          <cell r="A1676" t="str">
            <v>MOKSHA DISTRIBUTORS</v>
          </cell>
          <cell r="B1676" t="str">
            <v>Group-4 ( Office Account)</v>
          </cell>
        </row>
        <row r="1677">
          <cell r="A1677" t="str">
            <v>Molex India Ltd</v>
          </cell>
          <cell r="B1677" t="str">
            <v>Group - 5 (Ananthapadmanabha)</v>
          </cell>
        </row>
        <row r="1678">
          <cell r="A1678" t="str">
            <v>MONISHA ENTERPRISES</v>
          </cell>
          <cell r="B1678" t="str">
            <v>Group 1-Giridhar-Peenya</v>
          </cell>
        </row>
        <row r="1679">
          <cell r="A1679" t="str">
            <v>MONTRONIX INC BRANCH OFFICE</v>
          </cell>
          <cell r="B1679" t="str">
            <v>Online Business</v>
          </cell>
        </row>
        <row r="1680">
          <cell r="A1680" t="str">
            <v>Moog Controls (India) Pvt Ltd</v>
          </cell>
          <cell r="B1680" t="str">
            <v>Group-2 (Veeresh- Bomsdr+Hosur)</v>
          </cell>
        </row>
        <row r="1681">
          <cell r="A1681" t="str">
            <v>MOOG EM SOLUTIONS (INDIA) PVT LTD.</v>
          </cell>
          <cell r="B1681" t="str">
            <v>Group - 5 (Ananthapadmanabha)</v>
          </cell>
        </row>
        <row r="1682">
          <cell r="A1682" t="str">
            <v>Moog Motion Controls Pvt Ltd</v>
          </cell>
          <cell r="B1682" t="str">
            <v>Group - 5 (Ananthapadmanabha)</v>
          </cell>
        </row>
        <row r="1683">
          <cell r="A1683" t="str">
            <v>Mother Dairy Fruit &amp; Vegetable Pvt Ltd</v>
          </cell>
          <cell r="B1683" t="str">
            <v>Group - 5 (Ananthapadmanabha)</v>
          </cell>
        </row>
        <row r="1684">
          <cell r="A1684" t="str">
            <v>MOTHER INDIA FORMING PRIVATE LIMITED</v>
          </cell>
          <cell r="B1684" t="str">
            <v>Group-2 (Veeresh- Bomsdr+Hosur)</v>
          </cell>
        </row>
        <row r="1685">
          <cell r="A1685" t="str">
            <v>MOTHER INDIA FORMING PRIVATE LIMITED - U2</v>
          </cell>
          <cell r="B1685" t="str">
            <v>Group-2 (Veeresh- Bomsdr+Hosur)</v>
          </cell>
        </row>
        <row r="1686">
          <cell r="A1686" t="str">
            <v>Motherson Automotive Technologies &amp; Engineering</v>
          </cell>
          <cell r="B1686" t="str">
            <v>Group-2 (Veeresh- Bomsdr+Hosur)</v>
          </cell>
        </row>
        <row r="1687">
          <cell r="A1687" t="str">
            <v>Motherson Sumi Systems Limited</v>
          </cell>
          <cell r="B1687" t="str">
            <v>Group-2 (Veeresh- Bomsdr+Hosur)</v>
          </cell>
        </row>
        <row r="1688">
          <cell r="A1688" t="str">
            <v>Motion Fluid Technology Private Limited</v>
          </cell>
          <cell r="B1688" t="str">
            <v>Group 1-Giridhar-Peenya</v>
          </cell>
        </row>
        <row r="1689">
          <cell r="A1689" t="str">
            <v>Motologic Power Solutions</v>
          </cell>
          <cell r="B1689" t="str">
            <v>Group 1-Giridhar-Peenya</v>
          </cell>
        </row>
        <row r="1690">
          <cell r="A1690" t="str">
            <v>Motor Industries Co Ltd</v>
          </cell>
          <cell r="B1690" t="str">
            <v>Group-2 (Veeresh- Bomsdr+Hosur)</v>
          </cell>
        </row>
        <row r="1691">
          <cell r="A1691" t="str">
            <v>Moudgalya Industrial Suppliers</v>
          </cell>
          <cell r="B1691" t="str">
            <v>Group 1-Giridhar-Peenya</v>
          </cell>
        </row>
        <row r="1692">
          <cell r="A1692" t="str">
            <v>MOULDING SOLUTIONS</v>
          </cell>
          <cell r="B1692" t="str">
            <v>Group-2 (Veeresh- Bomsdr+Hosur)</v>
          </cell>
        </row>
        <row r="1693">
          <cell r="A1693" t="str">
            <v>MOVETECH CONVEYORS PRIVATE LIMITED</v>
          </cell>
          <cell r="B1693" t="str">
            <v>Online Business</v>
          </cell>
        </row>
        <row r="1694">
          <cell r="A1694" t="str">
            <v>Mr  S.Pavan</v>
          </cell>
          <cell r="B1694" t="str">
            <v>Group-4 ( Office Account)</v>
          </cell>
        </row>
        <row r="1695">
          <cell r="A1695" t="str">
            <v>Mr Abhilash S</v>
          </cell>
          <cell r="B1695" t="str">
            <v>Group-4 ( Office Account)</v>
          </cell>
        </row>
        <row r="1696">
          <cell r="A1696" t="str">
            <v>Mr Babruvahana</v>
          </cell>
          <cell r="B1696" t="str">
            <v>Group-4 ( Office Account)</v>
          </cell>
        </row>
        <row r="1697">
          <cell r="A1697" t="str">
            <v>Mr Chinnaraju</v>
          </cell>
          <cell r="B1697" t="str">
            <v>Group-4 ( Office Account)</v>
          </cell>
        </row>
        <row r="1698">
          <cell r="A1698" t="str">
            <v>Mr Dharanesh</v>
          </cell>
          <cell r="B1698" t="str">
            <v>Group-4 ( Office Account)</v>
          </cell>
        </row>
        <row r="1699">
          <cell r="A1699" t="str">
            <v>Mr Girish ( Cust )</v>
          </cell>
          <cell r="B1699" t="str">
            <v>Group-4 ( Office Account)</v>
          </cell>
        </row>
        <row r="1700">
          <cell r="A1700" t="str">
            <v>Mr Gowreesh U</v>
          </cell>
          <cell r="B1700" t="str">
            <v>Group - 5 (Ananthapadmanabha)</v>
          </cell>
        </row>
        <row r="1701">
          <cell r="A1701" t="str">
            <v>Mr Jimson Thomas</v>
          </cell>
          <cell r="B1701" t="str">
            <v>Group-4 ( Office Account)</v>
          </cell>
        </row>
        <row r="1702">
          <cell r="A1702" t="str">
            <v>Mr Martin Dsouza</v>
          </cell>
          <cell r="B1702" t="str">
            <v>Group-4 ( Office Account)</v>
          </cell>
        </row>
        <row r="1703">
          <cell r="A1703" t="str">
            <v>Mr Mohan Advani</v>
          </cell>
          <cell r="B1703" t="str">
            <v>Group-4 ( Office Account)</v>
          </cell>
        </row>
        <row r="1704">
          <cell r="A1704" t="str">
            <v>Mr Nagaraj</v>
          </cell>
          <cell r="B1704" t="str">
            <v>Group-4 ( Office Account)</v>
          </cell>
        </row>
        <row r="1705">
          <cell r="A1705" t="str">
            <v>Mr Nagarjun Deekshit V</v>
          </cell>
          <cell r="B1705" t="str">
            <v>Group-4 ( Office Account)</v>
          </cell>
        </row>
        <row r="1706">
          <cell r="A1706" t="str">
            <v>Mr Raghavendra Rao</v>
          </cell>
          <cell r="B1706" t="str">
            <v>Group-4 ( Office Account)</v>
          </cell>
        </row>
        <row r="1707">
          <cell r="A1707" t="str">
            <v>Mr Raghu. BR</v>
          </cell>
          <cell r="B1707" t="str">
            <v>Group-4 ( Office Account)</v>
          </cell>
        </row>
        <row r="1708">
          <cell r="A1708" t="str">
            <v>MR Ranjith</v>
          </cell>
          <cell r="B1708" t="str">
            <v>Group-4 ( Office Account)</v>
          </cell>
        </row>
        <row r="1709">
          <cell r="A1709" t="str">
            <v>Mr Sathish</v>
          </cell>
          <cell r="B1709" t="str">
            <v>Group-4 ( Office Account)</v>
          </cell>
        </row>
        <row r="1710">
          <cell r="A1710" t="str">
            <v>Mr Satish Pandey</v>
          </cell>
          <cell r="B1710" t="str">
            <v>Group-4 ( Office Account)</v>
          </cell>
        </row>
        <row r="1711">
          <cell r="A1711" t="str">
            <v>Mr Shekar U</v>
          </cell>
          <cell r="B1711" t="str">
            <v>Group-4 ( Office Account)</v>
          </cell>
        </row>
        <row r="1712">
          <cell r="A1712" t="str">
            <v>Mr Sunil Kumar MT</v>
          </cell>
          <cell r="B1712" t="str">
            <v>Group-4 ( Office Account)</v>
          </cell>
        </row>
        <row r="1713">
          <cell r="A1713" t="str">
            <v>Mr Surendraa Babu</v>
          </cell>
          <cell r="B1713" t="str">
            <v>Group-4 ( Office Account)</v>
          </cell>
        </row>
        <row r="1714">
          <cell r="A1714" t="str">
            <v>Mr T.C. Shivashankara</v>
          </cell>
          <cell r="B1714" t="str">
            <v>Group 1-Giridhar-Peenya</v>
          </cell>
        </row>
        <row r="1715">
          <cell r="A1715" t="str">
            <v>Mr Umashankar MS</v>
          </cell>
          <cell r="B1715" t="str">
            <v>Group-4 ( Office Account)</v>
          </cell>
        </row>
        <row r="1716">
          <cell r="A1716" t="str">
            <v>Mr Vivek K.R</v>
          </cell>
          <cell r="B1716" t="str">
            <v>Group-4 ( Office Account)</v>
          </cell>
        </row>
        <row r="1717">
          <cell r="A1717" t="str">
            <v>Mr.  Anand Kumar. S</v>
          </cell>
          <cell r="B1717" t="str">
            <v>Online Business</v>
          </cell>
        </row>
        <row r="1718">
          <cell r="A1718" t="str">
            <v>Mr. ABHAY ITTY ZACHARIAH</v>
          </cell>
          <cell r="B1718" t="str">
            <v>Group-4 ( Office Account)</v>
          </cell>
        </row>
        <row r="1719">
          <cell r="A1719" t="str">
            <v>Mr. Anand Kannan</v>
          </cell>
          <cell r="B1719" t="str">
            <v>Group-4 ( Office Account)</v>
          </cell>
        </row>
        <row r="1720">
          <cell r="A1720" t="str">
            <v>Mr. Ananta Padmanabh</v>
          </cell>
          <cell r="B1720" t="str">
            <v>Group-4 ( Office Account)</v>
          </cell>
        </row>
        <row r="1721">
          <cell r="A1721" t="str">
            <v>Mr. B V Mohan Babu</v>
          </cell>
          <cell r="B1721" t="str">
            <v>Online Business</v>
          </cell>
        </row>
        <row r="1722">
          <cell r="A1722" t="str">
            <v>Mr. C P Ponnappa</v>
          </cell>
          <cell r="B1722" t="str">
            <v>Online Business</v>
          </cell>
        </row>
        <row r="1723">
          <cell r="A1723" t="str">
            <v>Mr. Captain Gurudath</v>
          </cell>
          <cell r="B1723" t="str">
            <v>Group-4 ( Office Account)</v>
          </cell>
        </row>
        <row r="1724">
          <cell r="A1724" t="str">
            <v>Mr. DC Venugopal</v>
          </cell>
          <cell r="B1724" t="str">
            <v>Group-4 ( Office Account)</v>
          </cell>
        </row>
        <row r="1725">
          <cell r="A1725" t="str">
            <v>Mr. Deepak</v>
          </cell>
          <cell r="B1725" t="str">
            <v>Online Business</v>
          </cell>
        </row>
        <row r="1726">
          <cell r="A1726" t="str">
            <v>Mr. Dilip Wanjari</v>
          </cell>
          <cell r="B1726" t="str">
            <v>Online Business</v>
          </cell>
        </row>
        <row r="1727">
          <cell r="A1727" t="str">
            <v>Mr. Dr. Ravindra</v>
          </cell>
          <cell r="B1727" t="str">
            <v>Group-4 ( Office Account)</v>
          </cell>
        </row>
        <row r="1728">
          <cell r="A1728" t="str">
            <v>Mr. Gimmy Joseph</v>
          </cell>
          <cell r="B1728" t="str">
            <v>Group-4 ( Office Account)</v>
          </cell>
        </row>
        <row r="1729">
          <cell r="A1729" t="str">
            <v>Mr. Giridhar</v>
          </cell>
          <cell r="B1729" t="str">
            <v>Group-4 ( Office Account)</v>
          </cell>
        </row>
        <row r="1730">
          <cell r="A1730" t="str">
            <v>Mr. GOVINDE GOWDA</v>
          </cell>
          <cell r="B1730" t="str">
            <v>Group-2 (Veeresh- Bomsdr+Hosur)</v>
          </cell>
        </row>
        <row r="1731">
          <cell r="A1731" t="str">
            <v>Mr. Jashwanth</v>
          </cell>
          <cell r="B1731" t="str">
            <v>Online Business</v>
          </cell>
        </row>
        <row r="1732">
          <cell r="A1732" t="str">
            <v>MR. Kannan Srinivasan</v>
          </cell>
          <cell r="B1732" t="str">
            <v>Group-4 ( Office Account)</v>
          </cell>
        </row>
        <row r="1733">
          <cell r="A1733" t="str">
            <v>Mr. Kiran</v>
          </cell>
          <cell r="B1733" t="str">
            <v>Online Business</v>
          </cell>
        </row>
        <row r="1734">
          <cell r="A1734" t="str">
            <v>Mr. Kiran Kumar C R</v>
          </cell>
          <cell r="B1734" t="str">
            <v>Online Business</v>
          </cell>
        </row>
        <row r="1735">
          <cell r="A1735" t="str">
            <v>Mr. Krishne Gowda C N</v>
          </cell>
          <cell r="B1735" t="str">
            <v>Group-4 ( Office Account)</v>
          </cell>
        </row>
        <row r="1736">
          <cell r="A1736" t="str">
            <v>Mr. Kumar N</v>
          </cell>
          <cell r="B1736" t="str">
            <v>Group-4 ( Office Account)</v>
          </cell>
        </row>
        <row r="1737">
          <cell r="A1737" t="str">
            <v>Mr. Manjunath CK ( Debtors )</v>
          </cell>
          <cell r="B1737" t="str">
            <v>Group-2 (Veeresh- Bomsdr+Hosur)</v>
          </cell>
        </row>
        <row r="1738">
          <cell r="A1738" t="str">
            <v>Mr. Manoj</v>
          </cell>
          <cell r="B1738" t="str">
            <v>Group-2 (Veeresh- Bomsdr+Hosur)</v>
          </cell>
        </row>
        <row r="1739">
          <cell r="A1739" t="str">
            <v>Mr. Murugan.A</v>
          </cell>
          <cell r="B1739" t="str">
            <v>Group-4 ( Office Account)</v>
          </cell>
        </row>
        <row r="1740">
          <cell r="A1740" t="str">
            <v>Mr. Muthu Kumar</v>
          </cell>
          <cell r="B1740" t="str">
            <v>Group-4 ( Office Account)</v>
          </cell>
        </row>
        <row r="1741">
          <cell r="A1741" t="str">
            <v>Mr. MUTTURAJU</v>
          </cell>
          <cell r="B1741" t="str">
            <v>Online Business</v>
          </cell>
        </row>
        <row r="1742">
          <cell r="A1742" t="str">
            <v>Mr. Nagaraj (Old)</v>
          </cell>
          <cell r="B1742" t="str">
            <v>Group-4 ( Office Account)</v>
          </cell>
        </row>
        <row r="1743">
          <cell r="A1743" t="str">
            <v>Mr. Nagaraj S</v>
          </cell>
          <cell r="B1743" t="str">
            <v>Group-4 ( Office Account)</v>
          </cell>
        </row>
        <row r="1744">
          <cell r="A1744" t="str">
            <v>Mr. Narasimha Despande</v>
          </cell>
          <cell r="B1744" t="str">
            <v>Group-4 ( Office Account)</v>
          </cell>
        </row>
        <row r="1745">
          <cell r="A1745" t="str">
            <v>Mr. NarasimhaShetty</v>
          </cell>
          <cell r="B1745" t="str">
            <v>Group - 5 (Ananthapadmanabha)</v>
          </cell>
        </row>
        <row r="1746">
          <cell r="A1746" t="str">
            <v>Mr. Narayan Giri R</v>
          </cell>
          <cell r="B1746" t="str">
            <v>Group-4 ( Office Account)</v>
          </cell>
        </row>
        <row r="1747">
          <cell r="A1747" t="str">
            <v>Mr. Naveen</v>
          </cell>
          <cell r="B1747" t="str">
            <v>Online Business</v>
          </cell>
        </row>
        <row r="1748">
          <cell r="A1748" t="str">
            <v>Mr. Naveen Kumar DK</v>
          </cell>
          <cell r="B1748" t="str">
            <v>Group-4 ( Office Account)</v>
          </cell>
        </row>
        <row r="1749">
          <cell r="A1749" t="str">
            <v>Mr. Nithin H.K</v>
          </cell>
          <cell r="B1749" t="str">
            <v>Group-4 ( Office Account)</v>
          </cell>
        </row>
        <row r="1750">
          <cell r="A1750" t="str">
            <v>Mr. Pankaj</v>
          </cell>
          <cell r="B1750" t="str">
            <v>Group-4 ( Office Account)</v>
          </cell>
        </row>
        <row r="1751">
          <cell r="A1751" t="str">
            <v>Mr. Prabhakar</v>
          </cell>
          <cell r="B1751" t="str">
            <v>Group-4 ( Office Account)</v>
          </cell>
        </row>
        <row r="1752">
          <cell r="A1752" t="str">
            <v>Mr. Prakash. YG</v>
          </cell>
          <cell r="B1752" t="str">
            <v>Online Business</v>
          </cell>
        </row>
        <row r="1753">
          <cell r="A1753" t="str">
            <v>MR. PRASAD G RAO</v>
          </cell>
          <cell r="B1753" t="str">
            <v>Group-4 ( Office Account)</v>
          </cell>
        </row>
        <row r="1754">
          <cell r="A1754" t="str">
            <v>Mr. Prashanth.G  (Cust )</v>
          </cell>
          <cell r="B1754" t="str">
            <v>Group-4 ( Office Account)</v>
          </cell>
        </row>
        <row r="1755">
          <cell r="A1755" t="str">
            <v>Mr. Praveen Kumathalli</v>
          </cell>
          <cell r="B1755" t="str">
            <v>Group-4 ( Office Account)</v>
          </cell>
        </row>
        <row r="1756">
          <cell r="A1756" t="str">
            <v>Mr. Raghavendra Achar</v>
          </cell>
          <cell r="B1756" t="str">
            <v>Group-4 ( Office Account)</v>
          </cell>
        </row>
        <row r="1757">
          <cell r="A1757" t="str">
            <v>Mr. Rajan</v>
          </cell>
          <cell r="B1757" t="str">
            <v>Group-4 ( Office Account)</v>
          </cell>
        </row>
        <row r="1758">
          <cell r="A1758" t="str">
            <v>Mr. Raju Santhosh Kumar</v>
          </cell>
          <cell r="B1758" t="str">
            <v>Group-2 (Veeresh- Bomsdr+Hosur)</v>
          </cell>
        </row>
        <row r="1759">
          <cell r="A1759" t="str">
            <v>Mr. Ramesh L</v>
          </cell>
          <cell r="B1759" t="str">
            <v>Group-4 ( Office Account)</v>
          </cell>
        </row>
        <row r="1760">
          <cell r="A1760" t="str">
            <v>Mr. Ranaswamy</v>
          </cell>
          <cell r="B1760" t="str">
            <v>Group-4 ( Office Account)</v>
          </cell>
        </row>
        <row r="1761">
          <cell r="A1761" t="str">
            <v>Mr. Ranjan</v>
          </cell>
          <cell r="B1761" t="str">
            <v>Group-4 ( Office Account)</v>
          </cell>
        </row>
        <row r="1762">
          <cell r="A1762" t="str">
            <v>Mr. Ravindra</v>
          </cell>
          <cell r="B1762" t="str">
            <v>Group-4 ( Office Account)</v>
          </cell>
        </row>
        <row r="1763">
          <cell r="A1763" t="str">
            <v>Mr. Rudraiah</v>
          </cell>
          <cell r="B1763" t="str">
            <v>Group-4 ( Office Account)</v>
          </cell>
        </row>
        <row r="1764">
          <cell r="A1764" t="str">
            <v>Mr. Sanjay (Luker)</v>
          </cell>
          <cell r="B1764" t="str">
            <v>Group-4 ( Office Account)</v>
          </cell>
        </row>
        <row r="1765">
          <cell r="A1765" t="str">
            <v>Mr. Saravanan</v>
          </cell>
          <cell r="B1765" t="str">
            <v>Online Business</v>
          </cell>
        </row>
        <row r="1766">
          <cell r="A1766" t="str">
            <v>Mr. Sharan</v>
          </cell>
          <cell r="B1766" t="str">
            <v>Group-4 ( Office Account)</v>
          </cell>
        </row>
        <row r="1767">
          <cell r="A1767" t="str">
            <v>Mr. Sharath</v>
          </cell>
          <cell r="B1767" t="str">
            <v>Group-4 ( Office Account)</v>
          </cell>
        </row>
        <row r="1768">
          <cell r="A1768" t="str">
            <v>Mr. Shasi Dhara</v>
          </cell>
          <cell r="B1768" t="str">
            <v>Group-2 (Veeresh- Bomsdr+Hosur)</v>
          </cell>
        </row>
        <row r="1769">
          <cell r="A1769" t="str">
            <v>Mr. Shivakumar</v>
          </cell>
          <cell r="B1769" t="str">
            <v>Group-4 ( Office Account)</v>
          </cell>
        </row>
        <row r="1770">
          <cell r="A1770" t="str">
            <v>Mr. Shriniwas Shivanand Lohar</v>
          </cell>
          <cell r="B1770" t="str">
            <v>Group-4 ( Office Account)</v>
          </cell>
        </row>
        <row r="1771">
          <cell r="A1771" t="str">
            <v>Mr. Siddharaju. DH</v>
          </cell>
          <cell r="B1771" t="str">
            <v>Online Business</v>
          </cell>
        </row>
        <row r="1772">
          <cell r="A1772" t="str">
            <v>Mr. Siva Nagaraju. N</v>
          </cell>
          <cell r="B1772" t="str">
            <v>Group-4 ( Office Account)</v>
          </cell>
        </row>
        <row r="1773">
          <cell r="A1773" t="str">
            <v>Mr. Srinath G A</v>
          </cell>
          <cell r="B1773" t="str">
            <v>Group-4 ( Office Account)</v>
          </cell>
        </row>
        <row r="1774">
          <cell r="A1774" t="str">
            <v>Mr. Srinivisan</v>
          </cell>
          <cell r="B1774" t="str">
            <v>Group-4 ( Office Account)</v>
          </cell>
        </row>
        <row r="1775">
          <cell r="A1775" t="str">
            <v>Mr. Subbarao HP</v>
          </cell>
          <cell r="B1775" t="str">
            <v>Group-4 ( Office Account)</v>
          </cell>
        </row>
        <row r="1776">
          <cell r="A1776" t="str">
            <v>Mr. Subhash</v>
          </cell>
          <cell r="B1776" t="str">
            <v>Group-4 ( Office Account)</v>
          </cell>
        </row>
        <row r="1777">
          <cell r="A1777" t="str">
            <v>Mr. Suresh V</v>
          </cell>
          <cell r="B1777" t="str">
            <v>Group-4 ( Office Account)</v>
          </cell>
        </row>
        <row r="1778">
          <cell r="A1778" t="str">
            <v>Mr. Umashankar</v>
          </cell>
          <cell r="B1778" t="str">
            <v>Online Business</v>
          </cell>
        </row>
        <row r="1779">
          <cell r="A1779" t="str">
            <v>Mr. V.Suresh</v>
          </cell>
          <cell r="B1779" t="str">
            <v>Group-4 ( Office Account)</v>
          </cell>
        </row>
        <row r="1780">
          <cell r="A1780" t="str">
            <v>MR. VASANTH V D</v>
          </cell>
          <cell r="B1780" t="str">
            <v>Group-4 ( Office Account)</v>
          </cell>
        </row>
        <row r="1781">
          <cell r="A1781" t="str">
            <v>MR. Veeresh</v>
          </cell>
          <cell r="B1781" t="str">
            <v>Group-4 ( Office Account)</v>
          </cell>
        </row>
        <row r="1782">
          <cell r="A1782" t="str">
            <v>Mr. Vishwanatha M</v>
          </cell>
          <cell r="B1782" t="str">
            <v>Group-4 ( Office Account)</v>
          </cell>
        </row>
        <row r="1783">
          <cell r="A1783" t="str">
            <v>Mr. Yariswamy</v>
          </cell>
          <cell r="B1783" t="str">
            <v>Group-4 ( Office Account)</v>
          </cell>
        </row>
        <row r="1784">
          <cell r="A1784" t="str">
            <v>Mr. Yuvaraj. D</v>
          </cell>
          <cell r="B1784" t="str">
            <v>Online Business</v>
          </cell>
        </row>
        <row r="1785">
          <cell r="A1785" t="str">
            <v>Mr.A .Krishnamurthy</v>
          </cell>
          <cell r="B1785" t="str">
            <v>Group-4 ( Office Account)</v>
          </cell>
        </row>
        <row r="1786">
          <cell r="A1786" t="str">
            <v>Mr.AJIT KUMAR</v>
          </cell>
          <cell r="B1786" t="str">
            <v>Group-4 ( Office Account)</v>
          </cell>
        </row>
        <row r="1787">
          <cell r="A1787" t="str">
            <v>Mr.Anand</v>
          </cell>
          <cell r="B1787" t="str">
            <v>Group 1-Giridhar-Peenya</v>
          </cell>
        </row>
        <row r="1788">
          <cell r="A1788" t="str">
            <v>Mr.Arkanatha V Deekshit (Debtors)</v>
          </cell>
          <cell r="B1788" t="str">
            <v>Group-4 ( Office Account)</v>
          </cell>
        </row>
        <row r="1789">
          <cell r="A1789" t="str">
            <v>Mr.Ashok Prakash</v>
          </cell>
          <cell r="B1789" t="str">
            <v>Group-4 ( Office Account)</v>
          </cell>
        </row>
        <row r="1790">
          <cell r="A1790" t="str">
            <v>Mr.B.Narasimhamurthy</v>
          </cell>
          <cell r="B1790" t="str">
            <v>Group-4 ( Office Account)</v>
          </cell>
        </row>
        <row r="1791">
          <cell r="A1791" t="str">
            <v>Mr.Babu Kumar</v>
          </cell>
          <cell r="B1791" t="str">
            <v>Group 1-Giridhar-Peenya</v>
          </cell>
        </row>
        <row r="1792">
          <cell r="A1792" t="str">
            <v>Mr.Balakrishna</v>
          </cell>
          <cell r="B1792" t="str">
            <v>Group-2 (Veeresh- Bomsdr+Hosur)</v>
          </cell>
        </row>
        <row r="1793">
          <cell r="A1793" t="str">
            <v>Mr.Basavaraj Mirji</v>
          </cell>
          <cell r="B1793" t="str">
            <v>Group-2 (Veeresh- Bomsdr+Hosur)</v>
          </cell>
        </row>
        <row r="1794">
          <cell r="A1794" t="str">
            <v>Mr.BK.Muniswamy</v>
          </cell>
          <cell r="B1794" t="str">
            <v>Group-4 ( Office Account)</v>
          </cell>
        </row>
        <row r="1795">
          <cell r="A1795" t="str">
            <v>Mr.BR Manjesh</v>
          </cell>
          <cell r="B1795" t="str">
            <v>Group 1-Giridhar-Peenya</v>
          </cell>
        </row>
        <row r="1796">
          <cell r="A1796" t="str">
            <v>Mr.C.Murugesan</v>
          </cell>
          <cell r="B1796" t="str">
            <v>Group 1-Giridhar-Peenya</v>
          </cell>
        </row>
        <row r="1797">
          <cell r="A1797" t="str">
            <v>Mr.Charan</v>
          </cell>
          <cell r="B1797" t="str">
            <v>Group-4 ( Office Account)</v>
          </cell>
        </row>
        <row r="1798">
          <cell r="A1798" t="str">
            <v>Mr.Cholan</v>
          </cell>
          <cell r="B1798" t="str">
            <v>Group-2 (Veeresh- Bomsdr+Hosur)</v>
          </cell>
        </row>
        <row r="1799">
          <cell r="A1799" t="str">
            <v>MR.CHRUSTORAJ</v>
          </cell>
          <cell r="B1799" t="str">
            <v>Group-2 (Veeresh- Bomsdr+Hosur)</v>
          </cell>
        </row>
        <row r="1800">
          <cell r="A1800" t="str">
            <v>Mr.DB.Poojappa</v>
          </cell>
          <cell r="B1800" t="str">
            <v>Group-4 ( Office Account)</v>
          </cell>
        </row>
        <row r="1801">
          <cell r="A1801" t="str">
            <v>Mr.Depak R</v>
          </cell>
          <cell r="B1801" t="str">
            <v>Group-4 ( Office Account)</v>
          </cell>
        </row>
        <row r="1802">
          <cell r="A1802" t="str">
            <v>Mr.G Nagaraja Reddy</v>
          </cell>
          <cell r="B1802" t="str">
            <v>Group-2 (Veeresh- Bomsdr+Hosur)</v>
          </cell>
        </row>
        <row r="1803">
          <cell r="A1803" t="str">
            <v>Mr.Ganesh</v>
          </cell>
          <cell r="B1803" t="str">
            <v>Group-4 ( Office Account)</v>
          </cell>
        </row>
        <row r="1804">
          <cell r="A1804" t="str">
            <v>Mr.Gangadharapp GC</v>
          </cell>
          <cell r="B1804" t="str">
            <v>Group - 5 (Ananthapadmanabha)</v>
          </cell>
        </row>
        <row r="1805">
          <cell r="A1805" t="str">
            <v>Mr.Garuda satya</v>
          </cell>
          <cell r="B1805" t="str">
            <v>Group-4 ( Office Account)</v>
          </cell>
        </row>
        <row r="1806">
          <cell r="A1806" t="str">
            <v>Mr.Gopal Krishna</v>
          </cell>
          <cell r="B1806" t="str">
            <v>Group - 5 (Ananthapadmanabha)</v>
          </cell>
        </row>
        <row r="1807">
          <cell r="A1807" t="str">
            <v>Mr.Gopal Krishna Nagalu</v>
          </cell>
          <cell r="B1807" t="str">
            <v>Group-4 ( Office Account)</v>
          </cell>
        </row>
        <row r="1808">
          <cell r="A1808" t="str">
            <v>Mr.Gourav Krishna</v>
          </cell>
          <cell r="B1808" t="str">
            <v>Group-4 ( Office Account)</v>
          </cell>
        </row>
        <row r="1809">
          <cell r="A1809" t="str">
            <v>Mr.Govindappa</v>
          </cell>
          <cell r="B1809" t="str">
            <v>Group-4 ( Office Account)</v>
          </cell>
        </row>
        <row r="1810">
          <cell r="A1810" t="str">
            <v>MR.GULWADI</v>
          </cell>
          <cell r="B1810" t="str">
            <v>Group-4 ( Office Account)</v>
          </cell>
        </row>
        <row r="1811">
          <cell r="A1811" t="str">
            <v>Mr.Guruprasad</v>
          </cell>
          <cell r="B1811" t="str">
            <v>Group-2 (Veeresh- Bomsdr+Hosur)</v>
          </cell>
        </row>
        <row r="1812">
          <cell r="A1812" t="str">
            <v>Mr.Gururaj B Nadiger</v>
          </cell>
          <cell r="B1812" t="str">
            <v>Group 1-Giridhar-Peenya</v>
          </cell>
        </row>
        <row r="1813">
          <cell r="A1813" t="str">
            <v>Mr.Hanumantharayapp H</v>
          </cell>
          <cell r="B1813" t="str">
            <v>Group-4 ( Office Account)</v>
          </cell>
        </row>
        <row r="1814">
          <cell r="A1814" t="str">
            <v>Mr.Hareesha K R</v>
          </cell>
          <cell r="B1814" t="str">
            <v>Group-4 ( Office Account)</v>
          </cell>
        </row>
        <row r="1815">
          <cell r="A1815" t="str">
            <v>Mr.HM Boregowda</v>
          </cell>
          <cell r="B1815" t="str">
            <v>Group-4 ( Office Account)</v>
          </cell>
        </row>
        <row r="1816">
          <cell r="A1816" t="str">
            <v>Mr.J.Kumarappa</v>
          </cell>
          <cell r="B1816" t="str">
            <v>Group-4 ( Office Account)</v>
          </cell>
        </row>
        <row r="1817">
          <cell r="A1817" t="str">
            <v>Mr.Jagadeesh Patil</v>
          </cell>
          <cell r="B1817" t="str">
            <v>Group - 5 (Ananthapadmanabha)</v>
          </cell>
        </row>
        <row r="1818">
          <cell r="A1818" t="str">
            <v>Mr.Jayashima</v>
          </cell>
          <cell r="B1818" t="str">
            <v>Group-2 (Veeresh- Bomsdr+Hosur)</v>
          </cell>
        </row>
        <row r="1819">
          <cell r="A1819" t="str">
            <v>Mr.K.Anand Kumar</v>
          </cell>
          <cell r="B1819" t="str">
            <v>Group-4 ( Office Account)</v>
          </cell>
        </row>
        <row r="1820">
          <cell r="A1820" t="str">
            <v>Mr.Kiran Kumar</v>
          </cell>
          <cell r="B1820" t="str">
            <v>Group-4 ( Office Account)</v>
          </cell>
        </row>
        <row r="1821">
          <cell r="A1821" t="str">
            <v>Mr.KP Lokeshwara Rao</v>
          </cell>
          <cell r="B1821" t="str">
            <v>Group-4 ( Office Account)</v>
          </cell>
        </row>
        <row r="1822">
          <cell r="A1822" t="str">
            <v>Mr.Kumara B</v>
          </cell>
          <cell r="B1822" t="str">
            <v>Group-4 ( Office Account)</v>
          </cell>
        </row>
        <row r="1823">
          <cell r="A1823" t="str">
            <v>Mr.Lakshman</v>
          </cell>
          <cell r="B1823" t="str">
            <v>Group-4 ( Office Account)</v>
          </cell>
        </row>
        <row r="1824">
          <cell r="A1824" t="str">
            <v>Mr.Lisanraj V</v>
          </cell>
          <cell r="B1824" t="str">
            <v>Group-4 ( Office Account)</v>
          </cell>
        </row>
        <row r="1825">
          <cell r="A1825" t="str">
            <v>Mr.Manjunath C P</v>
          </cell>
          <cell r="B1825" t="str">
            <v>Group-4 ( Office Account)</v>
          </cell>
        </row>
        <row r="1826">
          <cell r="A1826" t="str">
            <v>Mr.Manjunath.R</v>
          </cell>
          <cell r="B1826" t="str">
            <v>Group-4 ( Office Account)</v>
          </cell>
        </row>
        <row r="1827">
          <cell r="A1827" t="str">
            <v>Mr.Maruthi Paul</v>
          </cell>
          <cell r="B1827" t="str">
            <v>Group 1-Giridhar-Peenya</v>
          </cell>
        </row>
        <row r="1828">
          <cell r="A1828" t="str">
            <v>Mr.MG. Shridhar (Cust)</v>
          </cell>
          <cell r="B1828" t="str">
            <v>Group-4 ( Office Account)</v>
          </cell>
        </row>
        <row r="1829">
          <cell r="A1829" t="str">
            <v>Mr.Mohan Vijay</v>
          </cell>
          <cell r="B1829" t="str">
            <v>Group 1-Giridhar-Peenya</v>
          </cell>
        </row>
        <row r="1830">
          <cell r="A1830" t="str">
            <v>Mr.Mukandh Rao Sindhe</v>
          </cell>
          <cell r="B1830" t="str">
            <v>Group-4 ( Office Account)</v>
          </cell>
        </row>
        <row r="1831">
          <cell r="A1831" t="str">
            <v>Mr.Muralidharan</v>
          </cell>
          <cell r="B1831" t="str">
            <v>Group-4 ( Office Account)</v>
          </cell>
        </row>
        <row r="1832">
          <cell r="A1832" t="str">
            <v>Mr.N V Kadloor</v>
          </cell>
          <cell r="B1832" t="str">
            <v>Group-4 ( Office Account)</v>
          </cell>
        </row>
        <row r="1833">
          <cell r="A1833" t="str">
            <v>Mr.Nagaraj DC  (Cust)</v>
          </cell>
          <cell r="B1833" t="str">
            <v>Group-4 ( Office Account)</v>
          </cell>
        </row>
        <row r="1834">
          <cell r="A1834" t="str">
            <v>Mr.Nagarajan</v>
          </cell>
          <cell r="B1834" t="str">
            <v>Group-4 ( Office Account)</v>
          </cell>
        </row>
        <row r="1835">
          <cell r="A1835" t="str">
            <v>Mr.Nagireddy</v>
          </cell>
          <cell r="B1835" t="str">
            <v>Group-4 ( Office Account)</v>
          </cell>
        </row>
        <row r="1836">
          <cell r="A1836" t="str">
            <v>Mr.Nanjundachar</v>
          </cell>
          <cell r="B1836" t="str">
            <v>Group-4 ( Office Account)</v>
          </cell>
        </row>
        <row r="1837">
          <cell r="A1837" t="str">
            <v>Mr.P Rajashekaraiah</v>
          </cell>
          <cell r="B1837" t="str">
            <v>Group-4 ( Office Account)</v>
          </cell>
        </row>
        <row r="1838">
          <cell r="A1838" t="str">
            <v>Mr.P.Amarnath</v>
          </cell>
          <cell r="B1838" t="str">
            <v>Group-4 ( Office Account)</v>
          </cell>
        </row>
        <row r="1839">
          <cell r="A1839" t="str">
            <v>MR.PALAKSHA</v>
          </cell>
          <cell r="B1839" t="str">
            <v>Group-4 ( Office Account)</v>
          </cell>
        </row>
        <row r="1840">
          <cell r="A1840" t="str">
            <v>Mr.Panduranga</v>
          </cell>
          <cell r="B1840" t="str">
            <v>Group-4 ( Office Account)</v>
          </cell>
        </row>
        <row r="1841">
          <cell r="A1841" t="str">
            <v>Mr.Papanna</v>
          </cell>
          <cell r="B1841" t="str">
            <v>Group-4 ( Office Account)</v>
          </cell>
        </row>
        <row r="1842">
          <cell r="A1842" t="str">
            <v>Mr.Parameshwarappa D.H</v>
          </cell>
          <cell r="B1842" t="str">
            <v>Group-4 ( Office Account)</v>
          </cell>
        </row>
        <row r="1843">
          <cell r="A1843" t="str">
            <v>Mr.Parthasarathy</v>
          </cell>
          <cell r="B1843" t="str">
            <v>Group-4 ( Office Account)</v>
          </cell>
        </row>
        <row r="1844">
          <cell r="A1844" t="str">
            <v>Mr.Pavan Singh</v>
          </cell>
          <cell r="B1844" t="str">
            <v>Group-4 ( Office Account)</v>
          </cell>
        </row>
        <row r="1845">
          <cell r="A1845" t="str">
            <v>Mr.Pramod</v>
          </cell>
          <cell r="B1845" t="str">
            <v>Group-4 ( Office Account)</v>
          </cell>
        </row>
        <row r="1846">
          <cell r="A1846" t="str">
            <v>Mr.R.Manjunath</v>
          </cell>
          <cell r="B1846" t="str">
            <v>Online Business</v>
          </cell>
        </row>
        <row r="1847">
          <cell r="A1847" t="str">
            <v>Mr.Raghavendra</v>
          </cell>
          <cell r="B1847" t="str">
            <v>Group-4 ( Office Account)</v>
          </cell>
        </row>
        <row r="1848">
          <cell r="A1848" t="str">
            <v>Mr.Raghu (Apicom)</v>
          </cell>
          <cell r="B1848" t="str">
            <v>Group-2 (Veeresh- Bomsdr+Hosur)</v>
          </cell>
        </row>
        <row r="1849">
          <cell r="A1849" t="str">
            <v>Mr.Rajashekar Reddy</v>
          </cell>
          <cell r="B1849" t="str">
            <v>Online Business</v>
          </cell>
        </row>
        <row r="1850">
          <cell r="A1850" t="str">
            <v>Mr.Rajesh</v>
          </cell>
          <cell r="B1850" t="str">
            <v>Group-4 ( Office Account)</v>
          </cell>
        </row>
        <row r="1851">
          <cell r="A1851" t="str">
            <v>Mr.Ramachandra K.N</v>
          </cell>
          <cell r="B1851" t="str">
            <v>Group-4 ( Office Account)</v>
          </cell>
        </row>
        <row r="1852">
          <cell r="A1852" t="str">
            <v>Mr.Ramaiah (Cust)</v>
          </cell>
          <cell r="B1852" t="str">
            <v>Group-4 ( Office Account)</v>
          </cell>
        </row>
        <row r="1853">
          <cell r="A1853" t="str">
            <v>Mr.Ramakrishna Hebbar</v>
          </cell>
          <cell r="B1853" t="str">
            <v>Group 1-Giridhar-Peenya</v>
          </cell>
        </row>
        <row r="1854">
          <cell r="A1854" t="str">
            <v>Mr.Raman Sanghal IAF</v>
          </cell>
          <cell r="B1854" t="str">
            <v>Group-4 ( Office Account)</v>
          </cell>
        </row>
        <row r="1855">
          <cell r="A1855" t="str">
            <v>Mr.RAVISHANKAR</v>
          </cell>
          <cell r="B1855" t="str">
            <v>Group-4 ( Office Account)</v>
          </cell>
        </row>
        <row r="1856">
          <cell r="A1856" t="str">
            <v>Mr.Sadashivaiha</v>
          </cell>
          <cell r="B1856" t="str">
            <v>Group-4 ( Office Account)</v>
          </cell>
        </row>
        <row r="1857">
          <cell r="A1857" t="str">
            <v>Mr.Sanjay Kayassa</v>
          </cell>
          <cell r="B1857" t="str">
            <v>Group-4 ( Office Account)</v>
          </cell>
        </row>
        <row r="1858">
          <cell r="A1858" t="str">
            <v>Mr.Sanjeev</v>
          </cell>
          <cell r="B1858" t="str">
            <v>Group-4 ( Office Account)</v>
          </cell>
        </row>
        <row r="1859">
          <cell r="A1859" t="str">
            <v>Mr.Sanjeev Lakhotia</v>
          </cell>
          <cell r="B1859" t="str">
            <v>Group-4 ( Office Account)</v>
          </cell>
        </row>
        <row r="1860">
          <cell r="A1860" t="str">
            <v>Mr.Santhosh Poojary</v>
          </cell>
          <cell r="B1860" t="str">
            <v>Group-4 ( Office Account)</v>
          </cell>
        </row>
        <row r="1861">
          <cell r="A1861" t="str">
            <v>Mr.Santosh</v>
          </cell>
          <cell r="B1861" t="str">
            <v>Group-4 ( Office Account)</v>
          </cell>
        </row>
        <row r="1862">
          <cell r="A1862" t="str">
            <v>Mr.SATHEESH</v>
          </cell>
          <cell r="B1862" t="str">
            <v>Group-4 ( Office Account)</v>
          </cell>
        </row>
        <row r="1863">
          <cell r="A1863" t="str">
            <v>Mr.Satish Kumar</v>
          </cell>
          <cell r="B1863" t="str">
            <v>Group-4 ( Office Account)</v>
          </cell>
        </row>
        <row r="1864">
          <cell r="A1864" t="str">
            <v>Mr.Shahul Hameed.V Old</v>
          </cell>
          <cell r="B1864" t="str">
            <v>Group-4 ( Office Account)</v>
          </cell>
        </row>
        <row r="1865">
          <cell r="A1865" t="str">
            <v>Mr.Shiva Kumar (Nataraja Tempo)</v>
          </cell>
          <cell r="B1865" t="str">
            <v>Group-4 ( Office Account)</v>
          </cell>
        </row>
        <row r="1866">
          <cell r="A1866" t="str">
            <v>Mr.Shravan Suthar</v>
          </cell>
          <cell r="B1866" t="str">
            <v>Group-2 (Veeresh- Bomsdr+Hosur)</v>
          </cell>
        </row>
        <row r="1867">
          <cell r="A1867" t="str">
            <v>Mr.Shridhara Gowda K</v>
          </cell>
          <cell r="B1867" t="str">
            <v>Group-4 ( Office Account)</v>
          </cell>
        </row>
        <row r="1868">
          <cell r="A1868" t="str">
            <v>Mr.Somashekar</v>
          </cell>
          <cell r="B1868" t="str">
            <v>Group-2 (Veeresh- Bomsdr+Hosur)</v>
          </cell>
        </row>
        <row r="1869">
          <cell r="A1869" t="str">
            <v>Mr.Somashekar.M.H</v>
          </cell>
          <cell r="B1869" t="str">
            <v>Group-4 ( Office Account)</v>
          </cell>
        </row>
        <row r="1870">
          <cell r="A1870" t="str">
            <v>Mr.Srikanth</v>
          </cell>
          <cell r="B1870" t="str">
            <v>Group-4 ( Office Account)</v>
          </cell>
        </row>
        <row r="1871">
          <cell r="A1871" t="str">
            <v>Mr.Srinivas Rao</v>
          </cell>
          <cell r="B1871" t="str">
            <v>Group-4 ( Office Account)</v>
          </cell>
        </row>
        <row r="1872">
          <cell r="A1872" t="str">
            <v>Mr.Srinivasa Murthy K.S</v>
          </cell>
          <cell r="B1872" t="str">
            <v>Group-4 ( Office Account)</v>
          </cell>
        </row>
        <row r="1873">
          <cell r="A1873" t="str">
            <v>Mr.Subramania Krishnamani</v>
          </cell>
          <cell r="B1873" t="str">
            <v>Group-4 ( Office Account)</v>
          </cell>
        </row>
        <row r="1874">
          <cell r="A1874" t="str">
            <v>Mr.Sunil HG</v>
          </cell>
          <cell r="B1874" t="str">
            <v>Group-4 ( Office Account)</v>
          </cell>
        </row>
        <row r="1875">
          <cell r="A1875" t="str">
            <v>Mr.THYAGARAJ</v>
          </cell>
          <cell r="B1875" t="str">
            <v>Group-4 ( Office Account)</v>
          </cell>
        </row>
        <row r="1876">
          <cell r="A1876" t="str">
            <v>Mr.U.Rajesh Kumar</v>
          </cell>
          <cell r="B1876" t="str">
            <v>Group-4 ( Office Account)</v>
          </cell>
        </row>
        <row r="1877">
          <cell r="A1877" t="str">
            <v>Mr.Udayarangaswamy</v>
          </cell>
          <cell r="B1877" t="str">
            <v>Group 1-Giridhar-Peenya</v>
          </cell>
        </row>
        <row r="1878">
          <cell r="A1878" t="str">
            <v>Mr.Udayashankara Shastry</v>
          </cell>
          <cell r="B1878" t="str">
            <v>Group-4 ( Office Account)</v>
          </cell>
        </row>
        <row r="1879">
          <cell r="A1879" t="str">
            <v>Mr.Venkatachala Sharma</v>
          </cell>
          <cell r="B1879" t="str">
            <v>Group-4 ( Office Account)</v>
          </cell>
        </row>
        <row r="1880">
          <cell r="A1880" t="str">
            <v>MR.VENKATESH</v>
          </cell>
          <cell r="B1880" t="str">
            <v>Group-4 ( Office Account)</v>
          </cell>
        </row>
        <row r="1881">
          <cell r="A1881" t="str">
            <v>Mr.Vidhya Shankar</v>
          </cell>
          <cell r="B1881" t="str">
            <v>Group-4 ( Office Account)</v>
          </cell>
        </row>
        <row r="1882">
          <cell r="A1882" t="str">
            <v>Mr.Vincy Desoja</v>
          </cell>
          <cell r="B1882" t="str">
            <v>Group-4 ( Office Account)</v>
          </cell>
        </row>
        <row r="1883">
          <cell r="A1883" t="str">
            <v>Mr.Vinoth RS</v>
          </cell>
          <cell r="B1883" t="str">
            <v>Group-4 ( Office Account)</v>
          </cell>
        </row>
        <row r="1884">
          <cell r="A1884" t="str">
            <v>Mr.Yatheesh</v>
          </cell>
          <cell r="B1884" t="str">
            <v>Group-4 ( Office Account)</v>
          </cell>
        </row>
        <row r="1885">
          <cell r="A1885" t="str">
            <v>Mr.Yoganand</v>
          </cell>
          <cell r="B1885" t="str">
            <v>Group-4 ( Office Account)</v>
          </cell>
        </row>
        <row r="1886">
          <cell r="A1886" t="str">
            <v>Mrs Technologies</v>
          </cell>
          <cell r="B1886" t="str">
            <v>Group-4 ( Office Account)</v>
          </cell>
        </row>
        <row r="1887">
          <cell r="A1887" t="str">
            <v>Mrs. Akshatha Narayan (Debtors)</v>
          </cell>
          <cell r="B1887" t="str">
            <v>Group-4 ( Office Account)</v>
          </cell>
        </row>
        <row r="1888">
          <cell r="A1888" t="str">
            <v>Mrs. Chaya HL</v>
          </cell>
          <cell r="B1888" t="str">
            <v>Group-4 ( Office Account)</v>
          </cell>
        </row>
        <row r="1889">
          <cell r="A1889" t="str">
            <v>Mrs. Malathi S Hebbar</v>
          </cell>
          <cell r="B1889" t="str">
            <v>Group-4 ( Office Account)</v>
          </cell>
        </row>
        <row r="1890">
          <cell r="A1890" t="str">
            <v>Mrs. Pushpalatha KN</v>
          </cell>
          <cell r="B1890" t="str">
            <v>Group-4 ( Office Account)</v>
          </cell>
        </row>
        <row r="1891">
          <cell r="A1891" t="str">
            <v>Mrs. Sahana Lokesh</v>
          </cell>
          <cell r="B1891" t="str">
            <v>Group-4 ( Office Account)</v>
          </cell>
        </row>
        <row r="1892">
          <cell r="A1892" t="str">
            <v>Mrs. Vishalakshamma. TK</v>
          </cell>
          <cell r="B1892" t="str">
            <v>Group-4 ( Office Account)</v>
          </cell>
        </row>
        <row r="1893">
          <cell r="A1893" t="str">
            <v>Mrs.Mishra</v>
          </cell>
          <cell r="B1893" t="str">
            <v>Group-4 ( Office Account)</v>
          </cell>
        </row>
        <row r="1894">
          <cell r="A1894" t="str">
            <v>Mrudani Power Controls</v>
          </cell>
          <cell r="B1894" t="str">
            <v>Group-4 ( Office Account)</v>
          </cell>
        </row>
        <row r="1895">
          <cell r="A1895" t="str">
            <v>Ms Cnc Art Shop</v>
          </cell>
          <cell r="B1895" t="str">
            <v>Group 1-Giridhar-Peenya</v>
          </cell>
        </row>
        <row r="1896">
          <cell r="A1896" t="str">
            <v>Ms Digitech Automation</v>
          </cell>
          <cell r="B1896" t="str">
            <v>Group-2 (Veeresh- Bomsdr+Hosur)</v>
          </cell>
        </row>
        <row r="1897">
          <cell r="A1897" t="str">
            <v>MS DIGITECH AUTOMATION (BLR)</v>
          </cell>
          <cell r="B1897" t="str">
            <v>Group-4 ( Office Account)</v>
          </cell>
        </row>
        <row r="1898">
          <cell r="A1898" t="str">
            <v>Ms Shalini</v>
          </cell>
          <cell r="B1898" t="str">
            <v>Group-4 ( Office Account)</v>
          </cell>
        </row>
        <row r="1899">
          <cell r="A1899" t="str">
            <v>Ms. Archana Kaiwar</v>
          </cell>
          <cell r="B1899" t="str">
            <v>Group-4 ( Office Account)</v>
          </cell>
        </row>
        <row r="1900">
          <cell r="A1900" t="str">
            <v>Ms. B V kavitha</v>
          </cell>
          <cell r="B1900" t="str">
            <v>Online Business</v>
          </cell>
        </row>
        <row r="1901">
          <cell r="A1901" t="str">
            <v>Ms. Jayamma HV</v>
          </cell>
          <cell r="B1901" t="str">
            <v>Group-4 ( Office Account)</v>
          </cell>
        </row>
        <row r="1902">
          <cell r="A1902" t="str">
            <v>Ms. Jyothi B Nag,</v>
          </cell>
          <cell r="B1902" t="str">
            <v>Group-4 ( Office Account)</v>
          </cell>
        </row>
        <row r="1903">
          <cell r="A1903" t="str">
            <v>Ms. Kalavathy</v>
          </cell>
          <cell r="B1903" t="str">
            <v>Group-4 ( Office Account)</v>
          </cell>
        </row>
        <row r="1904">
          <cell r="A1904" t="str">
            <v>Ms. Rajeshwari</v>
          </cell>
          <cell r="B1904" t="str">
            <v>Group-4 ( Office Account)</v>
          </cell>
        </row>
        <row r="1905">
          <cell r="A1905" t="str">
            <v>MSB AUTOMATION AND CONTROLS</v>
          </cell>
          <cell r="B1905" t="str">
            <v>Group 1-Giridhar-Peenya</v>
          </cell>
        </row>
        <row r="1906">
          <cell r="A1906" t="str">
            <v>MSB AUTOMATION AND CONTROLS (OLD)</v>
          </cell>
          <cell r="B1906" t="str">
            <v>Group 1-Giridhar-Peenya</v>
          </cell>
        </row>
        <row r="1907">
          <cell r="A1907" t="str">
            <v>Msu Engineering Technology Pvt Ltd</v>
          </cell>
          <cell r="B1907" t="str">
            <v>Group 1-Giridhar-Peenya</v>
          </cell>
        </row>
        <row r="1908">
          <cell r="A1908" t="str">
            <v>Mte Industrises Pvt  Ltd</v>
          </cell>
          <cell r="B1908" t="str">
            <v>Group-4 ( Office Account)</v>
          </cell>
        </row>
        <row r="1909">
          <cell r="A1909" t="str">
            <v>MUII BUSINESS ASSOCIATES PRIVATE LIMITED</v>
          </cell>
          <cell r="B1909" t="str">
            <v>Group-4 ( Office Account)</v>
          </cell>
        </row>
        <row r="1910">
          <cell r="A1910" t="str">
            <v>Mukand Limited</v>
          </cell>
          <cell r="B1910" t="str">
            <v>Group-4 ( Office Account)</v>
          </cell>
        </row>
        <row r="1911">
          <cell r="A1911" t="str">
            <v>MUKHYA PRANA MACHINE UDYOG PVT LTD</v>
          </cell>
          <cell r="B1911" t="str">
            <v>Group 1-Giridhar-Peenya</v>
          </cell>
        </row>
        <row r="1912">
          <cell r="A1912" t="str">
            <v>Multi Engineering Services</v>
          </cell>
          <cell r="B1912" t="str">
            <v>Group-4 ( Office Account)</v>
          </cell>
        </row>
        <row r="1913">
          <cell r="A1913" t="str">
            <v>MULTICONNECT SYSTEMS</v>
          </cell>
          <cell r="B1913" t="str">
            <v>Group 1-Giridhar-Peenya</v>
          </cell>
        </row>
        <row r="1914">
          <cell r="A1914" t="str">
            <v>Multitech Automations</v>
          </cell>
          <cell r="B1914" t="str">
            <v>Group-2 (Veeresh- Bomsdr+Hosur)</v>
          </cell>
        </row>
        <row r="1915">
          <cell r="A1915" t="str">
            <v>MULTITECH ENGINEERING</v>
          </cell>
          <cell r="B1915" t="str">
            <v>Group-4 ( Office Account)</v>
          </cell>
        </row>
        <row r="1916">
          <cell r="A1916" t="str">
            <v>Mumtaz Enterprises</v>
          </cell>
          <cell r="B1916" t="str">
            <v>Group-4 ( Office Account)</v>
          </cell>
        </row>
        <row r="1917">
          <cell r="A1917" t="str">
            <v>Munot Agencies</v>
          </cell>
          <cell r="B1917" t="str">
            <v>Group-4 ( Office Account)</v>
          </cell>
        </row>
        <row r="1918">
          <cell r="A1918" t="str">
            <v>MUNTERS INDIA HUMIDITY CONTROL PRIVATE LIMITED</v>
          </cell>
          <cell r="B1918" t="str">
            <v>Group-4 ( Office Account)</v>
          </cell>
        </row>
        <row r="1919">
          <cell r="A1919" t="str">
            <v>Murari Power Controls</v>
          </cell>
          <cell r="B1919" t="str">
            <v>Group-4 ( Office Account)</v>
          </cell>
        </row>
        <row r="1920">
          <cell r="A1920" t="str">
            <v>MURTHY ELECTRICALS</v>
          </cell>
          <cell r="B1920" t="str">
            <v>Group-4 ( Office Account)</v>
          </cell>
        </row>
        <row r="1921">
          <cell r="A1921" t="str">
            <v>MURUDESHWAR CERAMICS LTD.</v>
          </cell>
          <cell r="B1921" t="str">
            <v>Group-4 ( Office Account)</v>
          </cell>
        </row>
        <row r="1922">
          <cell r="A1922" t="str">
            <v>MV Raveesh Sastry HUF</v>
          </cell>
          <cell r="B1922" t="str">
            <v>Group 1-Giridhar-Peenya</v>
          </cell>
        </row>
        <row r="1923">
          <cell r="A1923" t="str">
            <v>Mys Tech Machines</v>
          </cell>
          <cell r="B1923" t="str">
            <v>Group-4 ( Office Account)</v>
          </cell>
        </row>
        <row r="1924">
          <cell r="A1924" t="str">
            <v>MYTECH MACHINES</v>
          </cell>
          <cell r="B1924" t="str">
            <v>Group-4 ( Office Account)</v>
          </cell>
        </row>
        <row r="1925">
          <cell r="A1925" t="str">
            <v>N G AUTOMATION</v>
          </cell>
          <cell r="B1925" t="str">
            <v>Group 1-Giridhar-Peenya</v>
          </cell>
        </row>
        <row r="1926">
          <cell r="A1926" t="str">
            <v>N K V ELECTRICALS</v>
          </cell>
          <cell r="B1926" t="str">
            <v>Group-2 (Veeresh- Bomsdr+Hosur)</v>
          </cell>
        </row>
        <row r="1927">
          <cell r="A1927" t="str">
            <v>N M Enterprises</v>
          </cell>
          <cell r="B1927" t="str">
            <v>Group-4 ( Office Account)</v>
          </cell>
        </row>
        <row r="1928">
          <cell r="A1928" t="str">
            <v>N Narasamma</v>
          </cell>
          <cell r="B1928" t="str">
            <v>Online Business</v>
          </cell>
        </row>
        <row r="1929">
          <cell r="A1929" t="str">
            <v>N P Enterprises</v>
          </cell>
          <cell r="B1929" t="str">
            <v>Group-4 ( Office Account)</v>
          </cell>
        </row>
        <row r="1930">
          <cell r="A1930" t="str">
            <v>N R And Company</v>
          </cell>
          <cell r="B1930" t="str">
            <v>Group-4 ( Office Account)</v>
          </cell>
        </row>
        <row r="1931">
          <cell r="A1931" t="str">
            <v>N&amp;S Solutions Private Limited</v>
          </cell>
          <cell r="B1931" t="str">
            <v>Group-2 (Veeresh- Bomsdr+Hosur)</v>
          </cell>
        </row>
        <row r="1932">
          <cell r="A1932" t="str">
            <v>Naabhya Interconnect LLP</v>
          </cell>
          <cell r="B1932" t="str">
            <v>Group 1-Giridhar-Peenya</v>
          </cell>
        </row>
        <row r="1933">
          <cell r="A1933" t="str">
            <v>Naagi Electro Controls</v>
          </cell>
          <cell r="B1933" t="str">
            <v>Group 1-Giridhar-Peenya</v>
          </cell>
        </row>
        <row r="1934">
          <cell r="A1934" t="str">
            <v>NACHSTER ENTERPRISES PRIVATE LIMITED</v>
          </cell>
          <cell r="B1934" t="str">
            <v>Group 1-Giridhar-Peenya</v>
          </cell>
        </row>
        <row r="1935">
          <cell r="A1935" t="str">
            <v>NAFEES CORPORATION</v>
          </cell>
          <cell r="B1935" t="str">
            <v>Group-4 ( Office Account)</v>
          </cell>
        </row>
        <row r="1936">
          <cell r="A1936" t="str">
            <v>Nag Associates</v>
          </cell>
          <cell r="B1936" t="str">
            <v>Group 1-Giridhar-Peenya</v>
          </cell>
        </row>
        <row r="1937">
          <cell r="A1937" t="str">
            <v>NAG CNC TECHNOLOGY</v>
          </cell>
          <cell r="B1937" t="str">
            <v>Online Business</v>
          </cell>
        </row>
        <row r="1938">
          <cell r="A1938" t="str">
            <v>NAGARAJA B H</v>
          </cell>
          <cell r="B1938" t="str">
            <v>Group-4 ( Office Account)</v>
          </cell>
        </row>
        <row r="1939">
          <cell r="A1939" t="str">
            <v>NAGEL SPECIAL MACHINE PVT.LTD</v>
          </cell>
          <cell r="B1939" t="str">
            <v>Group 1-Giridhar-Peenya</v>
          </cell>
        </row>
        <row r="1940">
          <cell r="A1940" t="str">
            <v>Nakoda Dairy Private Limited</v>
          </cell>
          <cell r="B1940" t="str">
            <v>Group-4 ( Office Account)</v>
          </cell>
        </row>
        <row r="1941">
          <cell r="A1941" t="str">
            <v>NANATOM TECHNOLOGIES PRIVATE LIMITED</v>
          </cell>
          <cell r="B1941" t="str">
            <v>Online Business</v>
          </cell>
        </row>
        <row r="1942">
          <cell r="A1942" t="str">
            <v>NANDI POWER CONTROLS</v>
          </cell>
          <cell r="B1942" t="str">
            <v>Group 1-Giridhar-Peenya</v>
          </cell>
        </row>
        <row r="1943">
          <cell r="A1943" t="str">
            <v>Nandi Powertronics Pvt  Ltd</v>
          </cell>
          <cell r="B1943" t="str">
            <v>Group 1-Giridhar-Peenya</v>
          </cell>
        </row>
        <row r="1944">
          <cell r="A1944" t="str">
            <v>Nandi Printers Pvt. Ltd.,</v>
          </cell>
          <cell r="B1944" t="str">
            <v>Group-2 (Veeresh- Bomsdr+Hosur)</v>
          </cell>
        </row>
        <row r="1945">
          <cell r="A1945" t="str">
            <v>Nandi Techno Controls</v>
          </cell>
          <cell r="B1945" t="str">
            <v>Group 1-Giridhar-Peenya</v>
          </cell>
        </row>
        <row r="1946">
          <cell r="A1946" t="str">
            <v>NANDINI ELECTRICAL SYSTEMS AND SERVICES PVT LTD</v>
          </cell>
          <cell r="B1946" t="str">
            <v>Group-2 (Veeresh- Bomsdr+Hosur)</v>
          </cell>
        </row>
        <row r="1947">
          <cell r="A1947" t="str">
            <v>NANO Tech Controls</v>
          </cell>
          <cell r="B1947" t="str">
            <v>Group-2 (Veeresh- Bomsdr+Hosur)</v>
          </cell>
        </row>
        <row r="1948">
          <cell r="A1948" t="str">
            <v>NANOTECH SYSTEM</v>
          </cell>
          <cell r="B1948" t="str">
            <v>Group-4 ( Office Account)</v>
          </cell>
        </row>
        <row r="1949">
          <cell r="A1949" t="str">
            <v>Narayan Offset Works Pvt. Ltd.,</v>
          </cell>
          <cell r="B1949" t="str">
            <v>Group-4 ( Office Account)</v>
          </cell>
        </row>
        <row r="1950">
          <cell r="A1950" t="str">
            <v>Naseer Electrical Enterprises</v>
          </cell>
          <cell r="B1950" t="str">
            <v>Group-4 ( Office Account)</v>
          </cell>
        </row>
        <row r="1951">
          <cell r="A1951" t="str">
            <v>Nat Systems</v>
          </cell>
          <cell r="B1951" t="str">
            <v>Group 1-Giridhar-Peenya</v>
          </cell>
        </row>
        <row r="1952">
          <cell r="A1952" t="str">
            <v>NATIONAL AEROSPACE LABORATORIES</v>
          </cell>
          <cell r="B1952" t="str">
            <v>Group - 5 (Ananthapadmanabha)</v>
          </cell>
        </row>
        <row r="1953">
          <cell r="A1953" t="str">
            <v>NATIONAL ELECTRICALS AND ELECTRONICS CORPORATION</v>
          </cell>
          <cell r="B1953" t="str">
            <v>Group-4 ( Office Account)</v>
          </cell>
        </row>
        <row r="1954">
          <cell r="A1954" t="str">
            <v>Natural Remedies</v>
          </cell>
          <cell r="B1954" t="str">
            <v>Group-2 (Veeresh- Bomsdr+Hosur)</v>
          </cell>
        </row>
        <row r="1955">
          <cell r="A1955" t="str">
            <v>NAVA TECHNOLOGIES</v>
          </cell>
          <cell r="B1955" t="str">
            <v>Group-4 ( Office Account)</v>
          </cell>
        </row>
        <row r="1956">
          <cell r="A1956" t="str">
            <v>Navale  Industrials &amp; Control Equipments</v>
          </cell>
          <cell r="B1956" t="str">
            <v>Group 1-Giridhar-Peenya</v>
          </cell>
        </row>
        <row r="1957">
          <cell r="A1957" t="str">
            <v>NAVALE INDUSTRIALS AND CONTROL EQUIPMENTS (OLD)</v>
          </cell>
          <cell r="B1957" t="str">
            <v>Group 1-Giridhar-Peenya</v>
          </cell>
        </row>
        <row r="1958">
          <cell r="A1958" t="str">
            <v>Navarathan Electricals</v>
          </cell>
          <cell r="B1958" t="str">
            <v>Group-4 ( Office Account)</v>
          </cell>
        </row>
        <row r="1959">
          <cell r="A1959" t="str">
            <v>NAVAYUGA ENGINEERING COMPANY LIMITED</v>
          </cell>
          <cell r="B1959" t="str">
            <v>Group-4 ( Office Account)</v>
          </cell>
        </row>
        <row r="1960">
          <cell r="A1960" t="str">
            <v>Navayuga Engineering Company Limited (Old)</v>
          </cell>
          <cell r="B1960" t="str">
            <v>Group-4 ( Office Account)</v>
          </cell>
        </row>
        <row r="1961">
          <cell r="A1961" t="str">
            <v>Navayuga Engineering Company Ltd., (Old)</v>
          </cell>
          <cell r="B1961" t="str">
            <v>Group-4 ( Office Account)</v>
          </cell>
        </row>
        <row r="1962">
          <cell r="A1962" t="str">
            <v>Navbharath Electricals</v>
          </cell>
          <cell r="B1962" t="str">
            <v>Group-4 ( Office Account)</v>
          </cell>
        </row>
        <row r="1963">
          <cell r="A1963" t="str">
            <v>NAVODAYA TECHNOLOGIES</v>
          </cell>
          <cell r="B1963" t="str">
            <v>Group-4 ( Office Account)</v>
          </cell>
        </row>
        <row r="1964">
          <cell r="A1964" t="str">
            <v>Navyug Energy Solutions Pvt Ltd</v>
          </cell>
          <cell r="B1964" t="str">
            <v>Group-2 (Veeresh- Bomsdr+Hosur)</v>
          </cell>
        </row>
        <row r="1965">
          <cell r="A1965" t="str">
            <v>NECONN</v>
          </cell>
          <cell r="B1965" t="str">
            <v>Group-4 ( Office Account)</v>
          </cell>
        </row>
        <row r="1966">
          <cell r="A1966" t="str">
            <v>NEEC ELECTROTECH PRIVATE LIMITED</v>
          </cell>
          <cell r="B1966" t="str">
            <v>Group-4 ( Office Account)</v>
          </cell>
        </row>
        <row r="1967">
          <cell r="A1967" t="str">
            <v>NEERMAX WATER SOLUTIONS LLP</v>
          </cell>
          <cell r="B1967" t="str">
            <v>Group-4 ( Office Account)</v>
          </cell>
        </row>
        <row r="1968">
          <cell r="A1968" t="str">
            <v>NEGBUY PRIVATE LIMITED</v>
          </cell>
          <cell r="B1968" t="str">
            <v>Group-4 ( Office Account)</v>
          </cell>
        </row>
        <row r="1969">
          <cell r="A1969" t="str">
            <v>Nema Engineering &amp; Consultancy</v>
          </cell>
          <cell r="B1969" t="str">
            <v>Group-4 ( Office Account)</v>
          </cell>
        </row>
        <row r="1970">
          <cell r="A1970" t="str">
            <v>NEO LABELS INC</v>
          </cell>
          <cell r="B1970" t="str">
            <v>Group-2 (Veeresh- Bomsdr+Hosur)</v>
          </cell>
        </row>
        <row r="1971">
          <cell r="A1971" t="str">
            <v>NEO POWER CONTROLS</v>
          </cell>
          <cell r="B1971" t="str">
            <v>Group-2 (Veeresh- Bomsdr+Hosur)</v>
          </cell>
        </row>
        <row r="1972">
          <cell r="A1972" t="str">
            <v>Neptune India Limited</v>
          </cell>
          <cell r="B1972" t="str">
            <v>Group-4 ( Office Account)</v>
          </cell>
        </row>
        <row r="1973">
          <cell r="A1973" t="str">
            <v>NETPRISE SOLUTIONS LLP</v>
          </cell>
          <cell r="B1973" t="str">
            <v>Group - 5 (Ananthapadmanabha)</v>
          </cell>
        </row>
        <row r="1974">
          <cell r="A1974" t="str">
            <v>Neumatica Technologies Pvt Ltd</v>
          </cell>
          <cell r="B1974" t="str">
            <v>Group 1-Giridhar-Peenya</v>
          </cell>
        </row>
        <row r="1975">
          <cell r="A1975" t="str">
            <v>New India Tech</v>
          </cell>
          <cell r="B1975" t="str">
            <v>Online Business</v>
          </cell>
        </row>
        <row r="1976">
          <cell r="A1976" t="str">
            <v>NEW TECH SOLUTIONS</v>
          </cell>
          <cell r="B1976" t="str">
            <v>Group-4 ( Office Account)</v>
          </cell>
        </row>
        <row r="1977">
          <cell r="A1977" t="str">
            <v>NEW TECH VENTURE</v>
          </cell>
          <cell r="B1977" t="str">
            <v>Online Business</v>
          </cell>
        </row>
        <row r="1978">
          <cell r="A1978" t="str">
            <v>NEXSYS CONTROLS PVT LTD</v>
          </cell>
          <cell r="B1978" t="str">
            <v>Group-2 (Veeresh- Bomsdr+Hosur)</v>
          </cell>
        </row>
        <row r="1979">
          <cell r="A1979" t="str">
            <v>Next First Engineering Technologies Pvt. Ltd.(Old)</v>
          </cell>
          <cell r="B1979" t="str">
            <v>Group-2 (Veeresh- Bomsdr+Hosur)</v>
          </cell>
        </row>
        <row r="1980">
          <cell r="A1980" t="str">
            <v>Next First Engineering Technologies Pvt. Ltd., (H)</v>
          </cell>
          <cell r="B1980" t="str">
            <v>Group-2 (Veeresh- Bomsdr+Hosur)</v>
          </cell>
        </row>
        <row r="1981">
          <cell r="A1981" t="str">
            <v>NEXT GENERATION ENGINEERING</v>
          </cell>
          <cell r="B1981" t="str">
            <v>Group 1-Giridhar-Peenya</v>
          </cell>
        </row>
        <row r="1982">
          <cell r="A1982" t="str">
            <v>Nexteer Automotive India Private Limited</v>
          </cell>
          <cell r="B1982" t="str">
            <v>Group-2 (Veeresh- Bomsdr+Hosur)</v>
          </cell>
        </row>
        <row r="1983">
          <cell r="A1983" t="str">
            <v>Nextfirst Engineering Technologies Pvt Ltd</v>
          </cell>
          <cell r="B1983" t="str">
            <v>Group-2 (Veeresh- Bomsdr+Hosur)</v>
          </cell>
        </row>
        <row r="1984">
          <cell r="A1984" t="str">
            <v>Nidec Industrial Automation India Private Ltd.,</v>
          </cell>
          <cell r="B1984" t="str">
            <v>Group 1-Giridhar-Peenya</v>
          </cell>
        </row>
        <row r="1985">
          <cell r="A1985" t="str">
            <v>NIHAL AUTOMATION</v>
          </cell>
          <cell r="B1985" t="str">
            <v>Group 1-Giridhar-Peenya</v>
          </cell>
        </row>
        <row r="1986">
          <cell r="A1986" t="str">
            <v>NIKETANAM CONSTRUCTIONS</v>
          </cell>
          <cell r="B1986" t="str">
            <v>Group-4 ( Office Account)</v>
          </cell>
        </row>
        <row r="1987">
          <cell r="A1987" t="str">
            <v>Nikitech Electric Pvt.Ltd.</v>
          </cell>
          <cell r="B1987" t="str">
            <v>Group 1-Giridhar-Peenya</v>
          </cell>
        </row>
        <row r="1988">
          <cell r="A1988" t="str">
            <v>Nikitha Build - Tech Pvt. Ltd.,</v>
          </cell>
          <cell r="B1988" t="str">
            <v>Group-4 ( Office Account)</v>
          </cell>
        </row>
        <row r="1989">
          <cell r="A1989" t="str">
            <v>NINKILIM LIFE SCIENCES PRIVATE LIMITED</v>
          </cell>
          <cell r="B1989" t="str">
            <v>Group-2 (Veeresh- Bomsdr+Hosur)</v>
          </cell>
        </row>
        <row r="1990">
          <cell r="A1990" t="str">
            <v>NINTHMILE CONSTRUCTIONS</v>
          </cell>
          <cell r="B1990" t="str">
            <v>Group - 5 (Ananthapadmanabha)</v>
          </cell>
        </row>
        <row r="1991">
          <cell r="A1991" t="str">
            <v>NIRANTH ENTERPRISES</v>
          </cell>
          <cell r="B1991" t="str">
            <v>Online Business</v>
          </cell>
        </row>
        <row r="1992">
          <cell r="A1992" t="str">
            <v>Nirman Construction Corporation</v>
          </cell>
          <cell r="B1992" t="str">
            <v>Group - 5 (Ananthapadmanabha)</v>
          </cell>
        </row>
        <row r="1993">
          <cell r="A1993" t="str">
            <v>NIRMAN SHELTERS PVT.LTD</v>
          </cell>
          <cell r="B1993" t="str">
            <v>Group-2 (Veeresh- Bomsdr+Hosur)</v>
          </cell>
        </row>
        <row r="1994">
          <cell r="A1994" t="str">
            <v>Nishant Industrial Systems</v>
          </cell>
          <cell r="B1994" t="str">
            <v>Group-4 ( Office Account)</v>
          </cell>
        </row>
        <row r="1995">
          <cell r="A1995" t="str">
            <v>Nivosys Technologies</v>
          </cell>
          <cell r="B1995" t="str">
            <v>Group-2 (Veeresh- Bomsdr+Hosur)</v>
          </cell>
        </row>
        <row r="1996">
          <cell r="A1996" t="str">
            <v>NOOR HITECH</v>
          </cell>
          <cell r="B1996" t="str">
            <v>Group-4 ( Office Account)</v>
          </cell>
        </row>
        <row r="1997">
          <cell r="A1997" t="str">
            <v>NOPO NANOTECHNOLOGIES INDIA PRIVATE LIMITED</v>
          </cell>
          <cell r="B1997" t="str">
            <v>Online Business</v>
          </cell>
        </row>
        <row r="1998">
          <cell r="A1998" t="str">
            <v>NORATEL INDIA POWER COMPONENTS PVT LTD</v>
          </cell>
          <cell r="B1998" t="str">
            <v>Group-2 (Veeresh- Bomsdr+Hosur)</v>
          </cell>
        </row>
        <row r="1999">
          <cell r="A1999" t="str">
            <v>Nordson India Pvt. Ltd.</v>
          </cell>
          <cell r="B1999" t="str">
            <v>Group-2 (Veeresh- Bomsdr+Hosur)</v>
          </cell>
        </row>
        <row r="2000">
          <cell r="A2000" t="str">
            <v>NORTHLAND HOLDING COMPANY PVT LTD</v>
          </cell>
          <cell r="B2000" t="str">
            <v>Group - 5 (Ananthapadmanabha)</v>
          </cell>
        </row>
        <row r="2001">
          <cell r="A2001" t="str">
            <v>Nova Integrated Systems Limited</v>
          </cell>
          <cell r="B2001" t="str">
            <v>Group-4 ( Office Account)</v>
          </cell>
        </row>
        <row r="2002">
          <cell r="A2002" t="str">
            <v>NOVATEK</v>
          </cell>
          <cell r="B2002" t="str">
            <v>Group-4 ( Office Account)</v>
          </cell>
        </row>
        <row r="2003">
          <cell r="A2003" t="str">
            <v>NOVATEK (Old)</v>
          </cell>
          <cell r="B2003" t="str">
            <v>Group-4 ( Office Account)</v>
          </cell>
        </row>
        <row r="2004">
          <cell r="A2004" t="str">
            <v>Novel Biotech</v>
          </cell>
          <cell r="B2004" t="str">
            <v>Group-2 (Veeresh- Bomsdr+Hosur)</v>
          </cell>
        </row>
        <row r="2005">
          <cell r="A2005" t="str">
            <v>NT Gireesha</v>
          </cell>
          <cell r="B2005" t="str">
            <v>Group-4 ( Office Account)</v>
          </cell>
        </row>
        <row r="2006">
          <cell r="A2006" t="str">
            <v>NT N-TECH SOLUTIONS PRIVATE LIMITED</v>
          </cell>
          <cell r="B2006" t="str">
            <v>Group-4 ( Office Account)</v>
          </cell>
        </row>
        <row r="2007">
          <cell r="A2007" t="str">
            <v>NTG ELECTRICALS AND SERVICES</v>
          </cell>
          <cell r="B2007" t="str">
            <v>Group 1-Giridhar-Peenya</v>
          </cell>
        </row>
        <row r="2008">
          <cell r="A2008" t="str">
            <v>Nuematica Technologies</v>
          </cell>
          <cell r="B2008" t="str">
            <v>Group-4 ( Office Account)</v>
          </cell>
        </row>
        <row r="2009">
          <cell r="A2009" t="str">
            <v>Nuova Faos International Manuf Co Pvt Ltd</v>
          </cell>
          <cell r="B2009" t="str">
            <v>Group 1-Giridhar-Peenya</v>
          </cell>
        </row>
        <row r="2010">
          <cell r="A2010" t="str">
            <v>OBERON Automation Pvt. Ltd.,</v>
          </cell>
          <cell r="B2010" t="str">
            <v>Group 1-Giridhar-Peenya</v>
          </cell>
        </row>
        <row r="2011">
          <cell r="A2011" t="str">
            <v>OCEAN OF DESIGN</v>
          </cell>
          <cell r="B2011" t="str">
            <v>Group-4 ( Office Account)</v>
          </cell>
        </row>
        <row r="2012">
          <cell r="A2012" t="str">
            <v>OCTANE CIRCUITS</v>
          </cell>
          <cell r="B2012" t="str">
            <v>Group-2 (Veeresh- Bomsdr+Hosur)</v>
          </cell>
        </row>
        <row r="2013">
          <cell r="A2013" t="str">
            <v>Oerlikon Balzers Coating India Ltd</v>
          </cell>
          <cell r="B2013" t="str">
            <v>Group-4 ( Office Account)</v>
          </cell>
        </row>
        <row r="2014">
          <cell r="A2014" t="str">
            <v>OFC TECHNOLOGIES &amp; SERVIiCES</v>
          </cell>
          <cell r="B2014" t="str">
            <v>Group-4 ( Office Account)</v>
          </cell>
        </row>
        <row r="2015">
          <cell r="A2015" t="str">
            <v>OHMIUM OPERATIONS PRIVATE LIMITED</v>
          </cell>
          <cell r="B2015" t="str">
            <v>Online Business</v>
          </cell>
        </row>
        <row r="2016">
          <cell r="A2016" t="str">
            <v>Oilgear India Pvt Ltd</v>
          </cell>
          <cell r="B2016" t="str">
            <v>Group 1-Giridhar-Peenya</v>
          </cell>
        </row>
        <row r="2017">
          <cell r="A2017" t="str">
            <v>OLD Nagel Special Machines (P) Ltd- OLD</v>
          </cell>
          <cell r="B2017" t="str">
            <v>Group 1-Giridhar-Peenya</v>
          </cell>
        </row>
        <row r="2018">
          <cell r="A2018" t="str">
            <v>OLEO BUFFERS INDIA PRIVATE LIMITED</v>
          </cell>
          <cell r="B2018" t="str">
            <v>Online Business</v>
          </cell>
        </row>
        <row r="2019">
          <cell r="A2019" t="str">
            <v>OLETY LANDMARK APARTMENT OWNERS ASSOCIATION</v>
          </cell>
          <cell r="B2019" t="str">
            <v>Group-4 ( Office Account)</v>
          </cell>
        </row>
        <row r="2020">
          <cell r="A2020" t="str">
            <v>OM ENTERPRISE</v>
          </cell>
          <cell r="B2020" t="str">
            <v>Online Business</v>
          </cell>
        </row>
        <row r="2021">
          <cell r="A2021" t="str">
            <v>OM MARBLE AND GRANITES</v>
          </cell>
          <cell r="B2021" t="str">
            <v>Group-4 ( Office Account)</v>
          </cell>
        </row>
        <row r="2022">
          <cell r="A2022" t="str">
            <v>Om Sai Crane Service</v>
          </cell>
          <cell r="B2022" t="str">
            <v>Online Business</v>
          </cell>
        </row>
        <row r="2023">
          <cell r="A2023" t="str">
            <v>Om Sai Ram Automobilies</v>
          </cell>
          <cell r="B2023" t="str">
            <v>Group-4 ( Office Account)</v>
          </cell>
        </row>
        <row r="2024">
          <cell r="A2024" t="str">
            <v>Om Shakthi Enterprises</v>
          </cell>
          <cell r="B2024" t="str">
            <v>Online Business</v>
          </cell>
        </row>
        <row r="2025">
          <cell r="A2025" t="str">
            <v>Om Technologies</v>
          </cell>
          <cell r="B2025" t="str">
            <v>Group-4 ( Office Account)</v>
          </cell>
        </row>
        <row r="2026">
          <cell r="A2026" t="str">
            <v>OMEGA INC</v>
          </cell>
          <cell r="B2026" t="str">
            <v>Group-4 ( Office Account)</v>
          </cell>
        </row>
        <row r="2027">
          <cell r="A2027" t="str">
            <v>Omega Industries</v>
          </cell>
          <cell r="B2027" t="str">
            <v>Group 1-Giridhar-Peenya</v>
          </cell>
        </row>
        <row r="2028">
          <cell r="A2028" t="str">
            <v>Omsham Mechatronics Systems</v>
          </cell>
          <cell r="B2028" t="str">
            <v>Group-2 (Veeresh- Bomsdr+Hosur)</v>
          </cell>
        </row>
        <row r="2029">
          <cell r="A2029" t="str">
            <v>OMTEC ENGINEERING AND CONSTRUCTIONS PRIVATE LIMITED</v>
          </cell>
          <cell r="B2029" t="str">
            <v>Group-2 (Veeresh- Bomsdr+Hosur)</v>
          </cell>
        </row>
        <row r="2030">
          <cell r="A2030" t="str">
            <v>ONE4SEVEN VENTURES LLP</v>
          </cell>
          <cell r="B2030" t="str">
            <v>Online Business</v>
          </cell>
        </row>
        <row r="2031">
          <cell r="A2031" t="str">
            <v>OORJA UDYOG ENTERPRISES</v>
          </cell>
          <cell r="B2031" t="str">
            <v>Online Business</v>
          </cell>
        </row>
        <row r="2032">
          <cell r="A2032" t="str">
            <v>OPTIMAL POWER SYNERGY INDIA PRIVATE LIMITED(K)</v>
          </cell>
          <cell r="B2032" t="str">
            <v>Group-4 ( Office Account)</v>
          </cell>
        </row>
        <row r="2033">
          <cell r="A2033" t="str">
            <v>Optimal Power Synergy India Pvt Ltd</v>
          </cell>
          <cell r="B2033" t="str">
            <v>Group 1-Giridhar-Peenya</v>
          </cell>
        </row>
        <row r="2034">
          <cell r="A2034" t="str">
            <v>Orb Energy Private Limited (Machohalli)</v>
          </cell>
          <cell r="B2034" t="str">
            <v>Group 1-Giridhar-Peenya</v>
          </cell>
        </row>
        <row r="2035">
          <cell r="A2035" t="str">
            <v>Orb Energy Private Limited (Yswntpr)</v>
          </cell>
          <cell r="B2035" t="str">
            <v>Group 1-Giridhar-Peenya</v>
          </cell>
        </row>
        <row r="2036">
          <cell r="A2036" t="str">
            <v>Orchid Laminates (P)Ltd</v>
          </cell>
          <cell r="B2036" t="str">
            <v>Group-2 (Veeresh- Bomsdr+Hosur)</v>
          </cell>
        </row>
        <row r="2037">
          <cell r="A2037" t="str">
            <v>Orchid Laminates Pvt. Ltd (Unit 2)</v>
          </cell>
          <cell r="B2037" t="str">
            <v>Group-2 (Veeresh- Bomsdr+Hosur)</v>
          </cell>
        </row>
        <row r="2038">
          <cell r="A2038" t="str">
            <v>Origami Cellulo Pvt. Ltd.,</v>
          </cell>
          <cell r="B2038" t="str">
            <v>Group - 5 (Ananthapadmanabha)</v>
          </cell>
        </row>
        <row r="2039">
          <cell r="A2039" t="str">
            <v>Orion Automation Pvt. Ltd.</v>
          </cell>
          <cell r="B2039" t="str">
            <v>Group-4 ( Office Account)</v>
          </cell>
        </row>
        <row r="2040">
          <cell r="A2040" t="str">
            <v>ORKAY INTERIOR AND MODULAR PVT LTD</v>
          </cell>
          <cell r="B2040" t="str">
            <v>Group - 5 (Ananthapadmanabha)</v>
          </cell>
        </row>
        <row r="2041">
          <cell r="A2041" t="str">
            <v>ORLUCK Aerospace Pvt. Ltd.,</v>
          </cell>
          <cell r="B2041" t="str">
            <v>Group - 5 (Ananthapadmanabha)</v>
          </cell>
        </row>
        <row r="2042">
          <cell r="A2042" t="str">
            <v>Otis Elevator Company Limited</v>
          </cell>
          <cell r="B2042" t="str">
            <v>Group-2 (Veeresh- Bomsdr+Hosur)</v>
          </cell>
        </row>
        <row r="2043">
          <cell r="A2043" t="str">
            <v>P S CONTROL &amp; SWITCH GEARS</v>
          </cell>
          <cell r="B2043" t="str">
            <v>Group-4 ( Office Account)</v>
          </cell>
        </row>
        <row r="2044">
          <cell r="A2044" t="str">
            <v>P S CONTROL &amp; SWITCHGEAR (B)</v>
          </cell>
          <cell r="B2044" t="str">
            <v>Group-4 ( Office Account)</v>
          </cell>
        </row>
        <row r="2045">
          <cell r="A2045" t="str">
            <v>P S CRANE SERVICE</v>
          </cell>
          <cell r="B2045" t="str">
            <v>Group-4 ( Office Account)</v>
          </cell>
        </row>
        <row r="2046">
          <cell r="A2046" t="str">
            <v>P SRINIVASA</v>
          </cell>
          <cell r="B2046" t="str">
            <v>Group-2 (Veeresh- Bomsdr+Hosur)</v>
          </cell>
        </row>
        <row r="2047">
          <cell r="A2047" t="str">
            <v>P.P.ABBAS</v>
          </cell>
          <cell r="B2047" t="str">
            <v>Group-4 ( Office Account)</v>
          </cell>
        </row>
        <row r="2048">
          <cell r="A2048" t="str">
            <v>Paama Agrico Private Limited - (Yelahanka)</v>
          </cell>
          <cell r="B2048" t="str">
            <v>Group 1-Giridhar-Peenya</v>
          </cell>
        </row>
        <row r="2049">
          <cell r="A2049" t="str">
            <v>PAAMA Agrico Private Limited ( Doddaballapura)</v>
          </cell>
          <cell r="B2049" t="str">
            <v>Group - 5 (Ananthapadmanabha)</v>
          </cell>
        </row>
        <row r="2050">
          <cell r="A2050" t="str">
            <v>PACIFIC INDUSTRIAL ELECTRICALS</v>
          </cell>
          <cell r="B2050" t="str">
            <v>Group 1-Giridhar-Peenya</v>
          </cell>
        </row>
        <row r="2051">
          <cell r="A2051" t="str">
            <v>Padma Enterprises</v>
          </cell>
          <cell r="B2051" t="str">
            <v>Group-4 ( Office Account)</v>
          </cell>
        </row>
        <row r="2052">
          <cell r="A2052" t="str">
            <v>Padmavathi Agencies (Cust)</v>
          </cell>
          <cell r="B2052" t="str">
            <v>Group-4 ( Office Account)</v>
          </cell>
        </row>
        <row r="2053">
          <cell r="A2053" t="str">
            <v>PADMAVATI AGENCIES</v>
          </cell>
          <cell r="B2053" t="str">
            <v>Group-4 ( Office Account)</v>
          </cell>
        </row>
        <row r="2054">
          <cell r="A2054" t="str">
            <v>PAGARIA AGENCIES</v>
          </cell>
          <cell r="B2054" t="str">
            <v>Group-4 ( Office Account)</v>
          </cell>
        </row>
        <row r="2055">
          <cell r="A2055" t="str">
            <v>Panacea Medical Technologies Pvt  Ltd  (M)</v>
          </cell>
          <cell r="B2055" t="str">
            <v>Group - 5 (Ananthapadmanabha)</v>
          </cell>
        </row>
        <row r="2056">
          <cell r="A2056" t="str">
            <v>Panacea Medical Technologies Pvt Ltd  (W)</v>
          </cell>
          <cell r="B2056" t="str">
            <v>Group-2 (Veeresh- Bomsdr+Hosur)</v>
          </cell>
        </row>
        <row r="2057">
          <cell r="A2057" t="str">
            <v>Panasonic Life Solutions India Pvt.Ltd.,</v>
          </cell>
          <cell r="B2057" t="str">
            <v>Group 1-Giridhar-Peenya</v>
          </cell>
        </row>
        <row r="2058">
          <cell r="A2058" t="str">
            <v>PANTECH CONTROLS</v>
          </cell>
          <cell r="B2058" t="str">
            <v>Online Business</v>
          </cell>
        </row>
        <row r="2059">
          <cell r="A2059" t="str">
            <v>PARADISE ENTERPRISES</v>
          </cell>
          <cell r="B2059" t="str">
            <v>Group-4 ( Office Account)</v>
          </cell>
        </row>
        <row r="2060">
          <cell r="A2060" t="str">
            <v>PARAM ENTERPRISES</v>
          </cell>
          <cell r="B2060" t="str">
            <v>Online Business</v>
          </cell>
        </row>
        <row r="2061">
          <cell r="A2061" t="str">
            <v>Paramount Enterprises</v>
          </cell>
          <cell r="B2061" t="str">
            <v>Group-4 ( Office Account)</v>
          </cell>
        </row>
        <row r="2062">
          <cell r="A2062" t="str">
            <v>Paranga Charitable Trust</v>
          </cell>
          <cell r="B2062" t="str">
            <v>Group-4 ( Office Account)</v>
          </cell>
        </row>
        <row r="2063">
          <cell r="A2063" t="str">
            <v>PARAS WIRES (P) LTD</v>
          </cell>
          <cell r="B2063" t="str">
            <v>Group-4 ( Office Account)</v>
          </cell>
        </row>
        <row r="2064">
          <cell r="A2064" t="str">
            <v>PARC TECHNOLOGIES</v>
          </cell>
          <cell r="B2064" t="str">
            <v>Group-2 (Veeresh- Bomsdr+Hosur)</v>
          </cell>
        </row>
        <row r="2065">
          <cell r="A2065" t="str">
            <v>Parijatha Floorings</v>
          </cell>
          <cell r="B2065" t="str">
            <v>Group 1-Giridhar-Peenya</v>
          </cell>
        </row>
        <row r="2066">
          <cell r="A2066" t="str">
            <v>Parkinson San System Pvt. Ltd.,</v>
          </cell>
          <cell r="B2066" t="str">
            <v>Group - 5 (Ananthapadmanabha)</v>
          </cell>
        </row>
        <row r="2067">
          <cell r="A2067" t="str">
            <v>PARTH EQUIPMENT LTD.</v>
          </cell>
          <cell r="B2067" t="str">
            <v>Group-4 ( Office Account)</v>
          </cell>
        </row>
        <row r="2068">
          <cell r="A2068" t="str">
            <v>PASCAL SYSTEM TECHNIK PVT LTD</v>
          </cell>
          <cell r="B2068" t="str">
            <v>Group 1-Giridhar-Peenya</v>
          </cell>
        </row>
        <row r="2069">
          <cell r="A2069" t="str">
            <v>PAVAN ELECTRIC COMPANY</v>
          </cell>
          <cell r="B2069" t="str">
            <v>Group-4 ( Office Account)</v>
          </cell>
        </row>
        <row r="2070">
          <cell r="A2070" t="str">
            <v>Pavan Electriclas</v>
          </cell>
          <cell r="B2070" t="str">
            <v>Group-4 ( Office Account)</v>
          </cell>
        </row>
        <row r="2071">
          <cell r="A2071" t="str">
            <v>PAVANA POWERS TECHNOLOGIES</v>
          </cell>
          <cell r="B2071" t="str">
            <v>Group - 5 (Ananthapadmanabha)</v>
          </cell>
        </row>
        <row r="2072">
          <cell r="A2072" t="str">
            <v>PAWAR ENTERPRISES</v>
          </cell>
          <cell r="B2072" t="str">
            <v>Group-4 ( Office Account)</v>
          </cell>
        </row>
        <row r="2073">
          <cell r="A2073" t="str">
            <v>PEE GEE ENTERPRISES</v>
          </cell>
          <cell r="B2073" t="str">
            <v>Online Business</v>
          </cell>
        </row>
        <row r="2074">
          <cell r="A2074" t="str">
            <v>Pee Vee Textiles Ltd</v>
          </cell>
          <cell r="B2074" t="str">
            <v>Group-4 ( Office Account)</v>
          </cell>
        </row>
        <row r="2075">
          <cell r="A2075" t="str">
            <v>Pena Power Engineering And Automation (P) Ltd</v>
          </cell>
          <cell r="B2075" t="str">
            <v>Group 1-Giridhar-Peenya</v>
          </cell>
        </row>
        <row r="2076">
          <cell r="A2076" t="str">
            <v>PENTAGON SYSTEMS &amp; AUTOMATION</v>
          </cell>
          <cell r="B2076" t="str">
            <v>Group 1-Giridhar-Peenya</v>
          </cell>
        </row>
        <row r="2077">
          <cell r="A2077" t="str">
            <v>Pentair Technical</v>
          </cell>
          <cell r="B2077" t="str">
            <v>Group 1-Giridhar-Peenya</v>
          </cell>
        </row>
        <row r="2078">
          <cell r="A2078" t="str">
            <v>PEOPLE INTERNATIONAL</v>
          </cell>
          <cell r="B2078" t="str">
            <v>Group 1-Giridhar-Peenya</v>
          </cell>
        </row>
        <row r="2079">
          <cell r="A2079" t="str">
            <v>Pepperl &amp; Fuchs Factory Automation Pvt Ltd.,</v>
          </cell>
          <cell r="B2079" t="str">
            <v>Group 1-Giridhar-Peenya</v>
          </cell>
        </row>
        <row r="2080">
          <cell r="A2080" t="str">
            <v>Pepperl &amp; Fuchs Mnfg (India) Pvt  Ltd  (C)</v>
          </cell>
          <cell r="B2080" t="str">
            <v>Group 1-Giridhar-Peenya</v>
          </cell>
        </row>
        <row r="2081">
          <cell r="A2081" t="str">
            <v>Pepperl+Fuchs (India) Pvt  Ltd</v>
          </cell>
          <cell r="B2081" t="str">
            <v>Group 1-Giridhar-Peenya</v>
          </cell>
        </row>
        <row r="2082">
          <cell r="A2082" t="str">
            <v>PEPPERL+FUCHS INDIA PVT.LTD(II)</v>
          </cell>
          <cell r="B2082" t="str">
            <v>Group 1-Giridhar-Peenya</v>
          </cell>
        </row>
        <row r="2083">
          <cell r="A2083" t="str">
            <v>Pepsico India Holdings Pvt  Ltd</v>
          </cell>
          <cell r="B2083" t="str">
            <v>Group 1-Giridhar-Peenya</v>
          </cell>
        </row>
        <row r="2084">
          <cell r="A2084" t="str">
            <v>Perfect Machine Solutions</v>
          </cell>
          <cell r="B2084" t="str">
            <v>Group 1-Giridhar-Peenya</v>
          </cell>
        </row>
        <row r="2085">
          <cell r="A2085" t="str">
            <v>PERFECT ROBO TECH</v>
          </cell>
          <cell r="B2085" t="str">
            <v>Online Business</v>
          </cell>
        </row>
        <row r="2086">
          <cell r="A2086" t="str">
            <v>Perfint Healthcare Pvt Ltd</v>
          </cell>
          <cell r="B2086" t="str">
            <v>Group-4 ( Office Account)</v>
          </cell>
        </row>
        <row r="2087">
          <cell r="A2087" t="str">
            <v>PERKAN FOOD PROCESSORS PVT LTD</v>
          </cell>
          <cell r="B2087" t="str">
            <v>Online Business</v>
          </cell>
        </row>
        <row r="2088">
          <cell r="A2088" t="str">
            <v>Petroleum Safety Products Industries Pvt Ltd</v>
          </cell>
          <cell r="B2088" t="str">
            <v>Group-4 ( Office Account)</v>
          </cell>
        </row>
        <row r="2089">
          <cell r="A2089" t="str">
            <v>PGS ENTERPRISES</v>
          </cell>
          <cell r="B2089" t="str">
            <v>Group 1-Giridhar-Peenya</v>
          </cell>
        </row>
        <row r="2090">
          <cell r="A2090" t="str">
            <v>PHANTOMATION INTELLIGENCE PRIVATE LIMITED</v>
          </cell>
          <cell r="B2090" t="str">
            <v>Online Business</v>
          </cell>
        </row>
        <row r="2091">
          <cell r="A2091" t="str">
            <v>Phase Power Products</v>
          </cell>
          <cell r="B2091" t="str">
            <v>Group-4 ( Office Account)</v>
          </cell>
        </row>
        <row r="2092">
          <cell r="A2092" t="str">
            <v>PHASE PRODUCTS AND SOLUTIONS</v>
          </cell>
          <cell r="B2092" t="str">
            <v>Group-4 ( Office Account)</v>
          </cell>
        </row>
        <row r="2093">
          <cell r="A2093" t="str">
            <v>PHOENIX CONTROLS (CBE)</v>
          </cell>
          <cell r="B2093" t="str">
            <v>Group 1-Giridhar-Peenya</v>
          </cell>
        </row>
        <row r="2094">
          <cell r="A2094" t="str">
            <v>PHOENIX ENGINEERING SOLUTIONS</v>
          </cell>
          <cell r="B2094" t="str">
            <v>Group-2 (Veeresh- Bomsdr+Hosur)</v>
          </cell>
        </row>
        <row r="2095">
          <cell r="A2095" t="str">
            <v>Phoenix INC</v>
          </cell>
          <cell r="B2095" t="str">
            <v>Group-4 ( Office Account)</v>
          </cell>
        </row>
        <row r="2096">
          <cell r="A2096" t="str">
            <v>PHOENIX TECHNICAL SERVICES</v>
          </cell>
          <cell r="B2096" t="str">
            <v>Group - 5 (Ananthapadmanabha)</v>
          </cell>
        </row>
        <row r="2097">
          <cell r="A2097" t="str">
            <v>PHOLUS GLOBOS FACILITY SERVICE PRIVATE LIMITED</v>
          </cell>
          <cell r="B2097" t="str">
            <v>Group 1-Giridhar-Peenya</v>
          </cell>
        </row>
        <row r="2098">
          <cell r="A2098" t="str">
            <v>PHYRIAGEN TECHNOLOGIES</v>
          </cell>
          <cell r="B2098" t="str">
            <v>Group-4 ( Office Account)</v>
          </cell>
        </row>
        <row r="2099">
          <cell r="A2099" t="str">
            <v>PILLER POWER INDIA PRIVATE LIMITED(G)</v>
          </cell>
          <cell r="B2099" t="str">
            <v>Group - 5 (Ananthapadmanabha)</v>
          </cell>
        </row>
        <row r="2100">
          <cell r="A2100" t="str">
            <v>Piller Power India Pvt. Ltd.,</v>
          </cell>
          <cell r="B2100" t="str">
            <v>Group 1-Giridhar-Peenya</v>
          </cell>
        </row>
        <row r="2101">
          <cell r="A2101" t="str">
            <v>PLANET MECH</v>
          </cell>
          <cell r="B2101" t="str">
            <v>Online Business</v>
          </cell>
        </row>
        <row r="2102">
          <cell r="A2102" t="str">
            <v>Planex Interior Design Solutions</v>
          </cell>
          <cell r="B2102" t="str">
            <v>Group-2 (Veeresh- Bomsdr+Hosur)</v>
          </cell>
        </row>
        <row r="2103">
          <cell r="A2103" t="str">
            <v>Plant-Tech Industrial Services Ltd.</v>
          </cell>
          <cell r="B2103" t="str">
            <v>Online Business</v>
          </cell>
        </row>
        <row r="2104">
          <cell r="A2104" t="str">
            <v>Plus-One Machine Fabrik</v>
          </cell>
          <cell r="B2104" t="str">
            <v>Group-4 ( Office Account)</v>
          </cell>
        </row>
        <row r="2105">
          <cell r="A2105" t="str">
            <v>PM Industrial  Automation</v>
          </cell>
          <cell r="B2105" t="str">
            <v>Group 1-Giridhar-Peenya</v>
          </cell>
        </row>
        <row r="2106">
          <cell r="A2106" t="str">
            <v>Pmt Machines Limited</v>
          </cell>
          <cell r="B2106" t="str">
            <v>Group-4 ( Office Account)</v>
          </cell>
        </row>
        <row r="2107">
          <cell r="A2107" t="str">
            <v>PN INDUSTRIES</v>
          </cell>
          <cell r="B2107" t="str">
            <v>Group-4 ( Office Account)</v>
          </cell>
        </row>
        <row r="2108">
          <cell r="A2108" t="str">
            <v>PNR INTERIOR SOLUTIONS PRIVATE LIMITED</v>
          </cell>
          <cell r="B2108" t="str">
            <v>Group-2 (Veeresh- Bomsdr+Hosur)</v>
          </cell>
        </row>
        <row r="2109">
          <cell r="A2109" t="str">
            <v>POLYPHASE ENGINEERING PVT LTD</v>
          </cell>
          <cell r="B2109" t="str">
            <v>Group 1-Giridhar-Peenya</v>
          </cell>
        </row>
        <row r="2110">
          <cell r="A2110" t="str">
            <v>Pooja Automation &amp; Control Systems</v>
          </cell>
          <cell r="B2110" t="str">
            <v>Group-2 (Veeresh- Bomsdr+Hosur)</v>
          </cell>
        </row>
        <row r="2111">
          <cell r="A2111" t="str">
            <v>Pooja Enterprises</v>
          </cell>
          <cell r="B2111" t="str">
            <v>Group 1-Giridhar-Peenya</v>
          </cell>
        </row>
        <row r="2112">
          <cell r="A2112" t="str">
            <v>POOJA POWER PRODUCTS (OLD)</v>
          </cell>
          <cell r="B2112" t="str">
            <v>Group 1-Giridhar-Peenya</v>
          </cell>
        </row>
        <row r="2113">
          <cell r="A2113" t="str">
            <v>POOJAPOWER CONTROL &amp; AUTOMATION LLP</v>
          </cell>
          <cell r="B2113" t="str">
            <v>Group 1-Giridhar-Peenya</v>
          </cell>
        </row>
        <row r="2114">
          <cell r="A2114" t="str">
            <v>POORNIMA ENTERPRISES</v>
          </cell>
          <cell r="B2114" t="str">
            <v>Group-4 ( Office Account)</v>
          </cell>
        </row>
        <row r="2115">
          <cell r="A2115" t="str">
            <v>POPULAR AUTO WORKS PVT LTD</v>
          </cell>
          <cell r="B2115" t="str">
            <v>Group-2 (Veeresh- Bomsdr+Hosur)</v>
          </cell>
        </row>
        <row r="2116">
          <cell r="A2116" t="str">
            <v>Pors And Rao Studio Pvt Ltd (VKL)</v>
          </cell>
          <cell r="B2116" t="str">
            <v>Group-4 ( Office Account)</v>
          </cell>
        </row>
        <row r="2117">
          <cell r="A2117" t="str">
            <v>Positive Packaging United (M E)A</v>
          </cell>
          <cell r="B2117" t="str">
            <v>Group-4 ( Office Account)</v>
          </cell>
        </row>
        <row r="2118">
          <cell r="A2118" t="str">
            <v>POWER CONTROL ELECTRICALS</v>
          </cell>
          <cell r="B2118" t="str">
            <v>Group-4 ( Office Account)</v>
          </cell>
        </row>
        <row r="2119">
          <cell r="A2119" t="str">
            <v>POWER CONTROL EQUIPMENT</v>
          </cell>
          <cell r="B2119" t="str">
            <v>Group-2 (Veeresh- Bomsdr+Hosur)</v>
          </cell>
        </row>
        <row r="2120">
          <cell r="A2120" t="str">
            <v>POWER DRIVE SERVICES</v>
          </cell>
          <cell r="B2120" t="str">
            <v>Group-4 ( Office Account)</v>
          </cell>
        </row>
        <row r="2121">
          <cell r="A2121" t="str">
            <v>POWER EN QUEST SERVICES PVT.LTD.</v>
          </cell>
          <cell r="B2121" t="str">
            <v>Group - 5 (Ananthapadmanabha)</v>
          </cell>
        </row>
        <row r="2122">
          <cell r="A2122" t="str">
            <v>POWER ENGINEERS</v>
          </cell>
          <cell r="B2122" t="str">
            <v>Group-2 (Veeresh- Bomsdr+Hosur)</v>
          </cell>
        </row>
        <row r="2123">
          <cell r="A2123" t="str">
            <v>POWER ENGINEERS (New)</v>
          </cell>
          <cell r="B2123" t="str">
            <v>Group-2 (Veeresh- Bomsdr+Hosur)</v>
          </cell>
        </row>
        <row r="2124">
          <cell r="A2124" t="str">
            <v>POWER HOUSE</v>
          </cell>
          <cell r="B2124" t="str">
            <v>Group-4 ( Office Account)</v>
          </cell>
        </row>
        <row r="2125">
          <cell r="A2125" t="str">
            <v>POWER INFRA LINKS</v>
          </cell>
          <cell r="B2125" t="str">
            <v>Group-2 (Veeresh- Bomsdr+Hosur)</v>
          </cell>
        </row>
        <row r="2126">
          <cell r="A2126" t="str">
            <v>POWER INTEGRATIONS INDIA PVT LTD</v>
          </cell>
          <cell r="B2126" t="str">
            <v>Group - 5 (Ananthapadmanabha)</v>
          </cell>
        </row>
        <row r="2127">
          <cell r="A2127" t="str">
            <v>Power Links</v>
          </cell>
          <cell r="B2127" t="str">
            <v>Group-4 ( Office Account)</v>
          </cell>
        </row>
        <row r="2128">
          <cell r="A2128" t="str">
            <v>Power Max</v>
          </cell>
          <cell r="B2128" t="str">
            <v>Group-4 ( Office Account)</v>
          </cell>
        </row>
        <row r="2129">
          <cell r="A2129" t="str">
            <v>POWER PACKS ASSOCIATES</v>
          </cell>
          <cell r="B2129" t="str">
            <v>Group-4 ( Office Account)</v>
          </cell>
        </row>
        <row r="2130">
          <cell r="A2130" t="str">
            <v>Power Tech</v>
          </cell>
          <cell r="B2130" t="str">
            <v>Group-4 ( Office Account)</v>
          </cell>
        </row>
        <row r="2131">
          <cell r="A2131" t="str">
            <v>POWER TECH LASER</v>
          </cell>
          <cell r="B2131" t="str">
            <v>Group 1-Giridhar-Peenya</v>
          </cell>
        </row>
        <row r="2132">
          <cell r="A2132" t="str">
            <v>POWERFLOW ENGINEERS PVT.LTD</v>
          </cell>
          <cell r="B2132" t="str">
            <v>Group-4 ( Office Account)</v>
          </cell>
        </row>
        <row r="2133">
          <cell r="A2133" t="str">
            <v>POWERICA LIMITED</v>
          </cell>
          <cell r="B2133" t="str">
            <v>Group - 5 (Ananthapadmanabha)</v>
          </cell>
        </row>
        <row r="2134">
          <cell r="A2134" t="str">
            <v>POWERINN</v>
          </cell>
          <cell r="B2134" t="str">
            <v>Group 1-Giridhar-Peenya</v>
          </cell>
        </row>
        <row r="2135">
          <cell r="A2135" t="str">
            <v>POWERNEXT CONTROL SYSTEMS</v>
          </cell>
          <cell r="B2135" t="str">
            <v>Group 1-Giridhar-Peenya</v>
          </cell>
        </row>
        <row r="2136">
          <cell r="A2136" t="str">
            <v>POWERNEXT CONTROL SYSTEMS (OLD)</v>
          </cell>
          <cell r="B2136" t="str">
            <v>Group 1-Giridhar-Peenya</v>
          </cell>
        </row>
        <row r="2137">
          <cell r="A2137" t="str">
            <v>POWERSAFETY ENTERPRISES</v>
          </cell>
          <cell r="B2137" t="str">
            <v>Online Business</v>
          </cell>
        </row>
        <row r="2138">
          <cell r="A2138" t="str">
            <v>POWERSONIC ELECTRIC SOLUTION INDIA PRIVATE LTD</v>
          </cell>
          <cell r="B2138" t="str">
            <v>Group-4 ( Office Account)</v>
          </cell>
        </row>
        <row r="2139">
          <cell r="A2139" t="str">
            <v>Powertech Electrical Works</v>
          </cell>
          <cell r="B2139" t="str">
            <v>Group-2 (Veeresh- Bomsdr+Hosur)</v>
          </cell>
        </row>
        <row r="2140">
          <cell r="A2140" t="str">
            <v>Powertech Engineering Enterprises (61)</v>
          </cell>
          <cell r="B2140" t="str">
            <v>Group-4 ( Office Account)</v>
          </cell>
        </row>
        <row r="2141">
          <cell r="A2141" t="str">
            <v>Powertech Engineering Enterprises (9)</v>
          </cell>
          <cell r="B2141" t="str">
            <v>Group-4 ( Office Account)</v>
          </cell>
        </row>
        <row r="2142">
          <cell r="A2142" t="str">
            <v>Powertech Pollution Controls Pvt Ltd</v>
          </cell>
          <cell r="B2142" t="str">
            <v>Group 1-Giridhar-Peenya</v>
          </cell>
        </row>
        <row r="2143">
          <cell r="A2143" t="str">
            <v>PRABHATH ENTERPRISES</v>
          </cell>
          <cell r="B2143" t="str">
            <v>Group - 5 (Ananthapadmanabha)</v>
          </cell>
        </row>
        <row r="2144">
          <cell r="A2144" t="str">
            <v>PRADEEP TRADING CO</v>
          </cell>
          <cell r="B2144" t="str">
            <v>Group-4 ( Office Account)</v>
          </cell>
        </row>
        <row r="2145">
          <cell r="A2145" t="str">
            <v>PRAGATHI ENGINEERS</v>
          </cell>
          <cell r="B2145" t="str">
            <v>Group-4 ( Office Account)</v>
          </cell>
        </row>
        <row r="2146">
          <cell r="A2146" t="str">
            <v>Pragati Automation Pvt Ltd</v>
          </cell>
          <cell r="B2146" t="str">
            <v>Group 1-Giridhar-Peenya</v>
          </cell>
        </row>
        <row r="2147">
          <cell r="A2147" t="str">
            <v>PRAGATI ENGINEERING WORKS</v>
          </cell>
          <cell r="B2147" t="str">
            <v>Group 1-Giridhar-Peenya</v>
          </cell>
        </row>
        <row r="2148">
          <cell r="A2148" t="str">
            <v>Prahaar Automation</v>
          </cell>
          <cell r="B2148" t="str">
            <v>Group-4 ( Office Account)</v>
          </cell>
        </row>
        <row r="2149">
          <cell r="A2149" t="str">
            <v>PRAJAY ELECTROTECH</v>
          </cell>
          <cell r="B2149" t="str">
            <v>Group-4 ( Office Account)</v>
          </cell>
        </row>
        <row r="2150">
          <cell r="A2150" t="str">
            <v>PRAJWAL ELECTRICALS</v>
          </cell>
          <cell r="B2150" t="str">
            <v>Group 1-Giridhar-Peenya</v>
          </cell>
        </row>
        <row r="2151">
          <cell r="A2151" t="str">
            <v>PRAJWAL LOGIC CONTROLS</v>
          </cell>
          <cell r="B2151" t="str">
            <v>Group 1-Giridhar-Peenya</v>
          </cell>
        </row>
        <row r="2152">
          <cell r="A2152" t="str">
            <v>Prajwal Pacovation</v>
          </cell>
          <cell r="B2152" t="str">
            <v>Group 1-Giridhar-Peenya</v>
          </cell>
        </row>
        <row r="2153">
          <cell r="A2153" t="str">
            <v>Prakash Electricals</v>
          </cell>
          <cell r="B2153" t="str">
            <v>Group-4 ( Office Account)</v>
          </cell>
        </row>
        <row r="2154">
          <cell r="A2154" t="str">
            <v>Prakash Industrial Suppliers</v>
          </cell>
          <cell r="B2154" t="str">
            <v>Group 1-Giridhar-Peenya</v>
          </cell>
        </row>
        <row r="2155">
          <cell r="A2155" t="str">
            <v>Prakash Power Planning Private Limited</v>
          </cell>
          <cell r="B2155" t="str">
            <v>Group-2 (Veeresh- Bomsdr+Hosur)</v>
          </cell>
        </row>
        <row r="2156">
          <cell r="A2156" t="str">
            <v>PRAKHYATH MACHINES &amp; MACHINE TOOLS PRIVATE LIMITED</v>
          </cell>
          <cell r="B2156" t="str">
            <v>Group 1-Giridhar-Peenya</v>
          </cell>
        </row>
        <row r="2157">
          <cell r="A2157" t="str">
            <v>PRAKHYATH MACHINES &amp; MACHINE TOOLS PVT LTD (Old)</v>
          </cell>
          <cell r="B2157" t="str">
            <v>Group 1-Giridhar-Peenya</v>
          </cell>
        </row>
        <row r="2158">
          <cell r="A2158" t="str">
            <v>PRANAM MARKETING</v>
          </cell>
          <cell r="B2158" t="str">
            <v>Online Business</v>
          </cell>
        </row>
        <row r="2159">
          <cell r="A2159" t="str">
            <v>PRANATA POWER SOLUTIONS</v>
          </cell>
          <cell r="B2159" t="str">
            <v>Group-4 ( Office Account)</v>
          </cell>
        </row>
        <row r="2160">
          <cell r="A2160" t="str">
            <v>PRANATA POWER SOLUTIONS (Old)</v>
          </cell>
          <cell r="B2160" t="str">
            <v>Group-4 ( Office Account)</v>
          </cell>
        </row>
        <row r="2161">
          <cell r="A2161" t="str">
            <v>Pranshu Electricals Pvt Ltd</v>
          </cell>
          <cell r="B2161" t="str">
            <v>Group-4 ( Office Account)</v>
          </cell>
        </row>
        <row r="2162">
          <cell r="A2162" t="str">
            <v>PRARTHANA PRECISION ENGINEERING</v>
          </cell>
          <cell r="B2162" t="str">
            <v>Group 1-Giridhar-Peenya</v>
          </cell>
        </row>
        <row r="2163">
          <cell r="A2163" t="str">
            <v>Prateetya Electronics (Old)</v>
          </cell>
          <cell r="B2163" t="str">
            <v>Group-2 (Veeresh- Bomsdr+Hosur)</v>
          </cell>
        </row>
        <row r="2164">
          <cell r="A2164" t="str">
            <v>PRATEETYA ELECTRONICS (OPC) PRIVATE LIMITED</v>
          </cell>
          <cell r="B2164" t="str">
            <v>Group-2 (Veeresh- Bomsdr+Hosur)</v>
          </cell>
        </row>
        <row r="2165">
          <cell r="A2165" t="str">
            <v>Prathap Industrial Suppliers</v>
          </cell>
          <cell r="B2165" t="str">
            <v>Group-4 ( Office Account)</v>
          </cell>
        </row>
        <row r="2166">
          <cell r="A2166" t="str">
            <v>Pratt Automation Private Limited</v>
          </cell>
          <cell r="B2166" t="str">
            <v>Group - 5 (Ananthapadmanabha)</v>
          </cell>
        </row>
        <row r="2167">
          <cell r="A2167" t="str">
            <v>PRAXIS ELECTRIC PVT LTD.</v>
          </cell>
          <cell r="B2167" t="str">
            <v>Group 1-Giridhar-Peenya</v>
          </cell>
        </row>
        <row r="2168">
          <cell r="A2168" t="str">
            <v>PRECIFY IMPEX PRIVATE LIMITED</v>
          </cell>
          <cell r="B2168" t="str">
            <v>Online Business</v>
          </cell>
        </row>
        <row r="2169">
          <cell r="A2169" t="str">
            <v>Precimeasure Controls Pvt Ltd   (DBpet)</v>
          </cell>
          <cell r="B2169" t="str">
            <v>Group 1-Giridhar-Peenya</v>
          </cell>
        </row>
        <row r="2170">
          <cell r="A2170" t="str">
            <v>Precimeasure Controls Pvt Ltd  (Peenya)</v>
          </cell>
          <cell r="B2170" t="str">
            <v>Group 1-Giridhar-Peenya</v>
          </cell>
        </row>
        <row r="2171">
          <cell r="A2171" t="str">
            <v>Precise Techno Services</v>
          </cell>
          <cell r="B2171" t="str">
            <v>Online Business</v>
          </cell>
        </row>
        <row r="2172">
          <cell r="A2172" t="str">
            <v>PRECISION ELECTROMECH</v>
          </cell>
          <cell r="B2172" t="str">
            <v>Group 1-Giridhar-Peenya</v>
          </cell>
        </row>
        <row r="2173">
          <cell r="A2173" t="str">
            <v>Precision Machinekraft Pvt Ltd</v>
          </cell>
          <cell r="B2173" t="str">
            <v>Group 1-Giridhar-Peenya</v>
          </cell>
        </row>
        <row r="2174">
          <cell r="A2174" t="str">
            <v>Precision Mouldtech</v>
          </cell>
          <cell r="B2174" t="str">
            <v>Group 1-Giridhar-Peenya</v>
          </cell>
        </row>
        <row r="2175">
          <cell r="A2175" t="str">
            <v>PRECITEC PRECISION MACHINERIES PVT LTD</v>
          </cell>
          <cell r="B2175" t="str">
            <v>Group 1-Giridhar-Peenya</v>
          </cell>
        </row>
        <row r="2176">
          <cell r="A2176" t="str">
            <v>PREETHI ELECTRICALS</v>
          </cell>
          <cell r="B2176" t="str">
            <v>Group-4 ( Office Account)</v>
          </cell>
        </row>
        <row r="2177">
          <cell r="A2177" t="str">
            <v>PREETHI ELECTRICALS AND SERVICES</v>
          </cell>
          <cell r="B2177" t="str">
            <v>Group-2 (Veeresh- Bomsdr+Hosur)</v>
          </cell>
        </row>
        <row r="2178">
          <cell r="A2178" t="str">
            <v>Prem Chand and Company</v>
          </cell>
          <cell r="B2178" t="str">
            <v>Group-4 ( Office Account)</v>
          </cell>
        </row>
        <row r="2179">
          <cell r="A2179" t="str">
            <v>PREM ENTERPRISES</v>
          </cell>
          <cell r="B2179" t="str">
            <v>Group-4 ( Office Account)</v>
          </cell>
        </row>
        <row r="2180">
          <cell r="A2180" t="str">
            <v>PREMISYS</v>
          </cell>
          <cell r="B2180" t="str">
            <v>Group-4 ( Office Account)</v>
          </cell>
        </row>
        <row r="2181">
          <cell r="A2181" t="str">
            <v>PRESTIGE ENTERPRISES</v>
          </cell>
          <cell r="B2181" t="str">
            <v>Group-4 ( Office Account)</v>
          </cell>
        </row>
        <row r="2182">
          <cell r="A2182" t="str">
            <v>Prestige Solitaire</v>
          </cell>
          <cell r="B2182" t="str">
            <v>Group-2 (Veeresh- Bomsdr+Hosur)</v>
          </cell>
        </row>
        <row r="2183">
          <cell r="A2183" t="str">
            <v>PRESTIGE SOUTH RIDGE APARTMENT OWNERS' ASSOCIATION</v>
          </cell>
          <cell r="B2183" t="str">
            <v>Group-4 ( Office Account)</v>
          </cell>
        </row>
        <row r="2184">
          <cell r="A2184" t="str">
            <v>Pride  Machine Tools Pvt Ltd</v>
          </cell>
          <cell r="B2184" t="str">
            <v>Group 1-Giridhar-Peenya</v>
          </cell>
        </row>
        <row r="2185">
          <cell r="A2185" t="str">
            <v>PRIDE MACHINERY Mgf. PVT.LTD</v>
          </cell>
          <cell r="B2185" t="str">
            <v>Group 1-Giridhar-Peenya</v>
          </cell>
        </row>
        <row r="2186">
          <cell r="A2186" t="str">
            <v>Prima Systec</v>
          </cell>
          <cell r="B2186" t="str">
            <v>Group 1-Giridhar-Peenya</v>
          </cell>
        </row>
        <row r="2187">
          <cell r="A2187" t="str">
            <v>PRIME ELECTRICALS ENTERPRISES</v>
          </cell>
          <cell r="B2187" t="str">
            <v>Group 1-Giridhar-Peenya</v>
          </cell>
        </row>
        <row r="2188">
          <cell r="A2188" t="str">
            <v>Prime Peoples Engineering Pvt Ltd.</v>
          </cell>
          <cell r="B2188" t="str">
            <v>Group-2 (Veeresh- Bomsdr+Hosur)</v>
          </cell>
        </row>
        <row r="2189">
          <cell r="A2189" t="str">
            <v>PRIME TECH SOLUTIONS</v>
          </cell>
          <cell r="B2189" t="str">
            <v>Group-4 ( Office Account)</v>
          </cell>
        </row>
        <row r="2190">
          <cell r="A2190" t="str">
            <v>Prince Electrical and Hardware</v>
          </cell>
          <cell r="B2190" t="str">
            <v>Group-2 (Veeresh- Bomsdr+Hosur)</v>
          </cell>
        </row>
        <row r="2191">
          <cell r="A2191" t="str">
            <v>Prince Roller Flour Mlls Private Limited</v>
          </cell>
          <cell r="B2191" t="str">
            <v>Group-4 ( Office Account)</v>
          </cell>
        </row>
        <row r="2192">
          <cell r="A2192" t="str">
            <v>PRINTEK SYSTEMS</v>
          </cell>
          <cell r="B2192" t="str">
            <v>Group-4 ( Office Account)</v>
          </cell>
        </row>
        <row r="2193">
          <cell r="A2193" t="str">
            <v>PRISM JOHNSON LIMITED</v>
          </cell>
          <cell r="B2193" t="str">
            <v>Group 1-Giridhar-Peenya</v>
          </cell>
        </row>
        <row r="2194">
          <cell r="A2194" t="str">
            <v>PRITHVI CONTAMINATION CONTROL SYSTEMS</v>
          </cell>
          <cell r="B2194" t="str">
            <v>Group - 5 (Ananthapadmanabha)</v>
          </cell>
        </row>
        <row r="2195">
          <cell r="A2195" t="str">
            <v>PRITHVI SALES CORPORATION</v>
          </cell>
          <cell r="B2195" t="str">
            <v>Group-4 ( Office Account)</v>
          </cell>
        </row>
        <row r="2196">
          <cell r="A2196" t="str">
            <v>PRIYA AUTOMATION</v>
          </cell>
          <cell r="B2196" t="str">
            <v>Online Business</v>
          </cell>
        </row>
        <row r="2197">
          <cell r="A2197" t="str">
            <v>Priyanka Electricals</v>
          </cell>
          <cell r="B2197" t="str">
            <v>Group-2 (Veeresh- Bomsdr+Hosur)</v>
          </cell>
        </row>
        <row r="2198">
          <cell r="A2198" t="str">
            <v>PRIYANKA ELECTRICALS (K)</v>
          </cell>
          <cell r="B2198" t="str">
            <v>Online Business</v>
          </cell>
        </row>
        <row r="2199">
          <cell r="A2199" t="str">
            <v>PRO B MACHINES PRIVATE LIMITED</v>
          </cell>
          <cell r="B2199" t="str">
            <v>Group 1-Giridhar-Peenya</v>
          </cell>
        </row>
        <row r="2200">
          <cell r="A2200" t="str">
            <v>PROBAT INDIA PRIVATE LIMITED</v>
          </cell>
          <cell r="B2200" t="str">
            <v>Group - 5 (Ananthapadmanabha)</v>
          </cell>
        </row>
        <row r="2201">
          <cell r="A2201" t="str">
            <v>PROBAT INDIA PRIVATE LIMITED (Old)</v>
          </cell>
          <cell r="B2201" t="str">
            <v>Group - 5 (Ananthapadmanabha)</v>
          </cell>
        </row>
        <row r="2202">
          <cell r="A2202" t="str">
            <v>PROBAT KAAPI INDIA PVT LTD (Old)</v>
          </cell>
          <cell r="B2202" t="str">
            <v>Group 1-Giridhar-Peenya</v>
          </cell>
        </row>
        <row r="2203">
          <cell r="A2203" t="str">
            <v>Process Automation And Engineering Solutions</v>
          </cell>
          <cell r="B2203" t="str">
            <v>Online Business</v>
          </cell>
        </row>
        <row r="2204">
          <cell r="A2204" t="str">
            <v>PROCYON TECHSOLUTIONS PVT LTD</v>
          </cell>
          <cell r="B2204" t="str">
            <v>Group-2 (Veeresh- Bomsdr+Hosur)</v>
          </cell>
        </row>
        <row r="2205">
          <cell r="A2205" t="str">
            <v>Procyon Techsolutions Pvt Ltd (Old)</v>
          </cell>
          <cell r="B2205" t="str">
            <v>Group-2 (Veeresh- Bomsdr+Hosur)</v>
          </cell>
        </row>
        <row r="2206">
          <cell r="A2206" t="str">
            <v>PRODDHA TECHNOLOGIES PRIVATE LIMITED</v>
          </cell>
          <cell r="B2206" t="str">
            <v>Group-2 (Veeresh- Bomsdr+Hosur)</v>
          </cell>
        </row>
        <row r="2207">
          <cell r="A2207" t="str">
            <v>PROFAB</v>
          </cell>
          <cell r="B2207" t="str">
            <v>Group-4 ( Office Account)</v>
          </cell>
        </row>
        <row r="2208">
          <cell r="A2208" t="str">
            <v>Profisolutions Private Limited</v>
          </cell>
          <cell r="B2208" t="str">
            <v>Group 1-Giridhar-Peenya</v>
          </cell>
        </row>
        <row r="2209">
          <cell r="A2209" t="str">
            <v>Prognosys Medical Systems Pvt Ltd</v>
          </cell>
          <cell r="B2209" t="str">
            <v>Group 1-Giridhar-Peenya</v>
          </cell>
        </row>
        <row r="2210">
          <cell r="A2210" t="str">
            <v>Progressive Systems</v>
          </cell>
          <cell r="B2210" t="str">
            <v>Group 1-Giridhar-Peenya</v>
          </cell>
        </row>
        <row r="2211">
          <cell r="A2211" t="str">
            <v>Proins Technologies Pvt  Ltd</v>
          </cell>
          <cell r="B2211" t="str">
            <v>Group 1-Giridhar-Peenya</v>
          </cell>
        </row>
        <row r="2212">
          <cell r="A2212" t="str">
            <v>Promac Engineering Industries Limited (OLD)</v>
          </cell>
          <cell r="B2212" t="str">
            <v>Group-4 ( Office Account)</v>
          </cell>
        </row>
        <row r="2213">
          <cell r="A2213" t="str">
            <v>PROMAC ENGINEERING INDUSTRIES LTD</v>
          </cell>
          <cell r="B2213" t="str">
            <v>Group-4 ( Office Account)</v>
          </cell>
        </row>
        <row r="2214">
          <cell r="A2214" t="str">
            <v>Prompt Dosing Pumps And Systems</v>
          </cell>
          <cell r="B2214" t="str">
            <v>Group 1-Giridhar-Peenya</v>
          </cell>
        </row>
        <row r="2215">
          <cell r="A2215" t="str">
            <v>PROMPT REFRIGERATION MEP SOLUTIONS</v>
          </cell>
          <cell r="B2215" t="str">
            <v>Group-2 (Veeresh- Bomsdr+Hosur)</v>
          </cell>
        </row>
        <row r="2216">
          <cell r="A2216" t="str">
            <v>PROQUIP TECHNOLOGIES PVT LTD</v>
          </cell>
          <cell r="B2216" t="str">
            <v>Group-4 ( Office Account)</v>
          </cell>
        </row>
        <row r="2217">
          <cell r="A2217" t="str">
            <v>ProRef Scientific Private Limited</v>
          </cell>
          <cell r="B2217" t="str">
            <v>Group-4 ( Office Account)</v>
          </cell>
        </row>
        <row r="2218">
          <cell r="A2218" t="str">
            <v>Proseal Closures Ltd</v>
          </cell>
          <cell r="B2218" t="str">
            <v>Group-2 (Veeresh- Bomsdr+Hosur)</v>
          </cell>
        </row>
        <row r="2219">
          <cell r="A2219" t="str">
            <v>PROSUPPLYR GLOBAL PRIVATE LIMITED</v>
          </cell>
          <cell r="B2219" t="str">
            <v>Group - 5 (Ananthapadmanabha)</v>
          </cell>
        </row>
        <row r="2220">
          <cell r="A2220" t="str">
            <v>Protectron Electromech (P) Ltd   (BSK)</v>
          </cell>
          <cell r="B2220" t="str">
            <v>Group-4 ( Office Account)</v>
          </cell>
        </row>
        <row r="2221">
          <cell r="A2221" t="str">
            <v>Proton Technologies</v>
          </cell>
          <cell r="B2221" t="str">
            <v>Group-4 ( Office Account)</v>
          </cell>
        </row>
        <row r="2222">
          <cell r="A2222" t="str">
            <v>Prowin Corporation</v>
          </cell>
          <cell r="B2222" t="str">
            <v>Online Business</v>
          </cell>
        </row>
        <row r="2223">
          <cell r="A2223" t="str">
            <v>Prowork Engineers and Contractors</v>
          </cell>
          <cell r="B2223" t="str">
            <v>Group - 5 (Ananthapadmanabha)</v>
          </cell>
        </row>
        <row r="2224">
          <cell r="A2224" t="str">
            <v>PRUDENTIAL ELECTRONIC</v>
          </cell>
          <cell r="B2224" t="str">
            <v>Group-4 ( Office Account)</v>
          </cell>
        </row>
        <row r="2225">
          <cell r="A2225" t="str">
            <v>PS Control and Switchgear (OLD)</v>
          </cell>
          <cell r="B2225" t="str">
            <v>Group-4 ( Office Account)</v>
          </cell>
        </row>
        <row r="2226">
          <cell r="A2226" t="str">
            <v>PSSD CABLE TECH PRIVATE LIMITED</v>
          </cell>
          <cell r="B2226" t="str">
            <v>Online Business</v>
          </cell>
        </row>
        <row r="2227">
          <cell r="A2227" t="str">
            <v>P-TECH PROJECTS AND SERVICES</v>
          </cell>
          <cell r="B2227" t="str">
            <v>Group-4 ( Office Account)</v>
          </cell>
        </row>
        <row r="2228">
          <cell r="A2228" t="str">
            <v>Pullela Gopichand Badminton Academy</v>
          </cell>
          <cell r="B2228" t="str">
            <v>Group-4 ( Office Account)</v>
          </cell>
        </row>
        <row r="2229">
          <cell r="A2229" t="str">
            <v>PUMA LIFT TRUCKS Pvt Ltd</v>
          </cell>
          <cell r="B2229" t="str">
            <v>Group-2 (Veeresh- Bomsdr+Hosur)</v>
          </cell>
        </row>
        <row r="2230">
          <cell r="A2230" t="str">
            <v>PUNCTUATE WORLD PRIVATE LIMITED</v>
          </cell>
          <cell r="B2230" t="str">
            <v>Group-4 ( Office Account)</v>
          </cell>
        </row>
        <row r="2231">
          <cell r="A2231" t="str">
            <v>PUNE INTEGRATED SOLUTIONS</v>
          </cell>
          <cell r="B2231" t="str">
            <v>Online Business</v>
          </cell>
        </row>
        <row r="2232">
          <cell r="A2232" t="str">
            <v>PUNJ LIOYD LIMITED</v>
          </cell>
          <cell r="B2232" t="str">
            <v>Group-2 (Veeresh- Bomsdr+Hosur)</v>
          </cell>
        </row>
        <row r="2233">
          <cell r="A2233" t="str">
            <v>Punya Automation</v>
          </cell>
          <cell r="B2233" t="str">
            <v>Group 1-Giridhar-Peenya</v>
          </cell>
        </row>
        <row r="2234">
          <cell r="A2234" t="str">
            <v>Punya Automation (Old)</v>
          </cell>
          <cell r="B2234" t="str">
            <v>Group 1-Giridhar-Peenya</v>
          </cell>
        </row>
        <row r="2235">
          <cell r="A2235" t="str">
            <v>PURE AUTOMATION</v>
          </cell>
          <cell r="B2235" t="str">
            <v>Group-4 ( Office Account)</v>
          </cell>
        </row>
        <row r="2236">
          <cell r="A2236" t="str">
            <v>Pushkala Technologies Pvt. Ltd.,</v>
          </cell>
          <cell r="B2236" t="str">
            <v>Group-4 ( Office Account)</v>
          </cell>
        </row>
        <row r="2237">
          <cell r="A2237" t="str">
            <v>PYRAMID ROTO PRINT PRIVATE LIMITED</v>
          </cell>
          <cell r="B2237" t="str">
            <v>Group-2 (Veeresh- Bomsdr+Hosur)</v>
          </cell>
        </row>
        <row r="2238">
          <cell r="A2238" t="str">
            <v>Q.C.D.ELECTRONICS</v>
          </cell>
          <cell r="B2238" t="str">
            <v>Group-4 ( Office Account)</v>
          </cell>
        </row>
        <row r="2239">
          <cell r="A2239" t="str">
            <v>QA BANGALORE PRIVATE LIMITED</v>
          </cell>
          <cell r="B2239" t="str">
            <v>Online Business</v>
          </cell>
        </row>
        <row r="2240">
          <cell r="A2240" t="str">
            <v>Qlar Technology India Private Limited</v>
          </cell>
          <cell r="B2240" t="str">
            <v>Group 1-Giridhar-Peenya</v>
          </cell>
        </row>
        <row r="2241">
          <cell r="A2241" t="str">
            <v>Qqqqq</v>
          </cell>
          <cell r="B2241" t="str">
            <v>Group-4 ( Office Account)</v>
          </cell>
        </row>
        <row r="2242">
          <cell r="A2242" t="str">
            <v>Qualimech Engineering Services</v>
          </cell>
          <cell r="B2242" t="str">
            <v>Group 1-Giridhar-Peenya</v>
          </cell>
        </row>
        <row r="2243">
          <cell r="A2243" t="str">
            <v>QUALITY SENSE TECHNOLOGIES</v>
          </cell>
          <cell r="B2243" t="str">
            <v>Group 1-Giridhar-Peenya</v>
          </cell>
        </row>
        <row r="2244">
          <cell r="A2244" t="str">
            <v>QUALTECH TELESYS PRIVATE LIMITED</v>
          </cell>
          <cell r="B2244" t="str">
            <v>Group-4 ( Office Account)</v>
          </cell>
        </row>
        <row r="2245">
          <cell r="A2245" t="str">
            <v>Quantum Engineering</v>
          </cell>
          <cell r="B2245" t="str">
            <v>Group-4 ( Office Account)</v>
          </cell>
        </row>
        <row r="2246">
          <cell r="A2246" t="str">
            <v>Quantum Engineering (Old)</v>
          </cell>
          <cell r="B2246" t="str">
            <v>Group-4 ( Office Account)</v>
          </cell>
        </row>
        <row r="2247">
          <cell r="A2247" t="str">
            <v>QUBIX MEDICARE PRIVATE LIMITED</v>
          </cell>
          <cell r="B2247" t="str">
            <v>Group - 5 (Ananthapadmanabha)</v>
          </cell>
        </row>
        <row r="2248">
          <cell r="A2248" t="str">
            <v>QUEST EMS PRIVATE LIMITED</v>
          </cell>
          <cell r="B2248" t="str">
            <v>Group 1-Giridhar-Peenya</v>
          </cell>
        </row>
        <row r="2249">
          <cell r="A2249" t="str">
            <v>Quest Global Automotive Mfg  Pvt Ltd</v>
          </cell>
          <cell r="B2249" t="str">
            <v>Group-2 (Veeresh- Bomsdr+Hosur)</v>
          </cell>
        </row>
        <row r="2250">
          <cell r="A2250" t="str">
            <v>Quick Turn Consultancy Solutions</v>
          </cell>
          <cell r="B2250" t="str">
            <v>Group - 5 (Ananthapadmanabha)</v>
          </cell>
        </row>
        <row r="2251">
          <cell r="A2251" t="str">
            <v>R &amp; M Associates ( Cust )</v>
          </cell>
          <cell r="B2251" t="str">
            <v>Group - 5 (Ananthapadmanabha)</v>
          </cell>
        </row>
        <row r="2252">
          <cell r="A2252" t="str">
            <v>R H EQUIPMENT RENTALS</v>
          </cell>
          <cell r="B2252" t="str">
            <v>Group-4 ( Office Account)</v>
          </cell>
        </row>
        <row r="2253">
          <cell r="A2253" t="str">
            <v>R J ELECTRICAL</v>
          </cell>
          <cell r="B2253" t="str">
            <v>Online Business</v>
          </cell>
        </row>
        <row r="2254">
          <cell r="A2254" t="str">
            <v>R K Enterprises</v>
          </cell>
          <cell r="B2254" t="str">
            <v>Group-4 ( Office Account)</v>
          </cell>
        </row>
        <row r="2255">
          <cell r="A2255" t="str">
            <v>R M Asbestos &amp; Engineering Products</v>
          </cell>
          <cell r="B2255" t="str">
            <v>Group-4 ( Office Account)</v>
          </cell>
        </row>
        <row r="2256">
          <cell r="A2256" t="str">
            <v>R P ENGINEERS</v>
          </cell>
          <cell r="B2256" t="str">
            <v>Group 1-Giridhar-Peenya</v>
          </cell>
        </row>
        <row r="2257">
          <cell r="A2257" t="str">
            <v>R R Electro Systems</v>
          </cell>
          <cell r="B2257" t="str">
            <v>Group-4 ( Office Account)</v>
          </cell>
        </row>
        <row r="2258">
          <cell r="A2258" t="str">
            <v>R R TECHNOLOGIES</v>
          </cell>
          <cell r="B2258" t="str">
            <v>Online Business</v>
          </cell>
        </row>
        <row r="2259">
          <cell r="A2259" t="str">
            <v>R.K.ENTERPRISES (M)</v>
          </cell>
          <cell r="B2259" t="str">
            <v>Group 1-Giridhar-Peenya</v>
          </cell>
        </row>
        <row r="2260">
          <cell r="A2260" t="str">
            <v>R.K.Fabricators</v>
          </cell>
          <cell r="B2260" t="str">
            <v>Group-2 (Veeresh- Bomsdr+Hosur)</v>
          </cell>
        </row>
        <row r="2261">
          <cell r="A2261" t="str">
            <v>R.M.S Service</v>
          </cell>
          <cell r="B2261" t="str">
            <v>Online Business</v>
          </cell>
        </row>
        <row r="2262">
          <cell r="A2262" t="str">
            <v>R.N.INDUSTRIAL ELECTRICALS PVT LTD</v>
          </cell>
          <cell r="B2262" t="str">
            <v>Group-4 ( Office Account)</v>
          </cell>
        </row>
        <row r="2263">
          <cell r="A2263" t="str">
            <v>R.N.SWITCHGEAR</v>
          </cell>
          <cell r="B2263" t="str">
            <v>Group-2 (Veeresh- Bomsdr+Hosur)</v>
          </cell>
        </row>
        <row r="2264">
          <cell r="A2264" t="str">
            <v>R.R. Enterprises</v>
          </cell>
          <cell r="B2264" t="str">
            <v>Group-4 ( Office Account)</v>
          </cell>
        </row>
        <row r="2265">
          <cell r="A2265" t="str">
            <v>RAAD SYSTEM INC</v>
          </cell>
          <cell r="B2265" t="str">
            <v>Group - 5 (Ananthapadmanabha)</v>
          </cell>
        </row>
        <row r="2266">
          <cell r="A2266" t="str">
            <v>Raad Systems Private Limited</v>
          </cell>
          <cell r="B2266" t="str">
            <v>Group - 5 (Ananthapadmanabha)</v>
          </cell>
        </row>
        <row r="2267">
          <cell r="A2267" t="str">
            <v>RAAS ELECTRIC Inc</v>
          </cell>
          <cell r="B2267" t="str">
            <v>Group-4 ( Office Account)</v>
          </cell>
        </row>
        <row r="2268">
          <cell r="A2268" t="str">
            <v>Rachana Enterprises</v>
          </cell>
          <cell r="B2268" t="str">
            <v>Group-2 (Veeresh- Bomsdr+Hosur)</v>
          </cell>
        </row>
        <row r="2269">
          <cell r="A2269" t="str">
            <v>RADHA ENGINEERING ENTERPRISES</v>
          </cell>
          <cell r="B2269" t="str">
            <v>Group-2 (Veeresh- Bomsdr+Hosur)</v>
          </cell>
        </row>
        <row r="2270">
          <cell r="A2270" t="str">
            <v>RADIANT ELECTRIC AGENCY PVT LTD</v>
          </cell>
          <cell r="B2270" t="str">
            <v>Group-4 ( Office Account)</v>
          </cell>
        </row>
        <row r="2271">
          <cell r="A2271" t="str">
            <v>RADIANT MANUFACTURING SOLUTIONS</v>
          </cell>
          <cell r="B2271" t="str">
            <v>Online Business</v>
          </cell>
        </row>
        <row r="2272">
          <cell r="A2272" t="str">
            <v>Radius Engineering Solutions Pvt Ltd</v>
          </cell>
          <cell r="B2272" t="str">
            <v>Group 1-Giridhar-Peenya</v>
          </cell>
        </row>
        <row r="2273">
          <cell r="A2273" t="str">
            <v>RAGA RENEWABLE ENERGY</v>
          </cell>
          <cell r="B2273" t="str">
            <v>Group-4 ( Office Account)</v>
          </cell>
        </row>
        <row r="2274">
          <cell r="A2274" t="str">
            <v>RAGHA SAI TECHNOLOGIES</v>
          </cell>
          <cell r="B2274" t="str">
            <v>Group-4 ( Office Account)</v>
          </cell>
        </row>
        <row r="2275">
          <cell r="A2275" t="str">
            <v>RAHEE TRACK TECHNOLOGIES PVT. LTD.</v>
          </cell>
          <cell r="B2275" t="str">
            <v>Online Business</v>
          </cell>
        </row>
        <row r="2276">
          <cell r="A2276" t="str">
            <v>Rail Wheel Factory</v>
          </cell>
          <cell r="B2276" t="str">
            <v>Group - 5 (Ananthapadmanabha)</v>
          </cell>
        </row>
        <row r="2277">
          <cell r="A2277" t="str">
            <v>Raj Industry Supplies</v>
          </cell>
          <cell r="B2277" t="str">
            <v>Group-4 ( Office Account)</v>
          </cell>
        </row>
        <row r="2278">
          <cell r="A2278" t="str">
            <v>RAJA FLEX DN</v>
          </cell>
          <cell r="B2278" t="str">
            <v>Group-4 ( Office Account)</v>
          </cell>
        </row>
        <row r="2279">
          <cell r="A2279" t="str">
            <v>Rajadhani Electricals And Electronics</v>
          </cell>
          <cell r="B2279" t="str">
            <v>Group 1-Giridhar-Peenya</v>
          </cell>
        </row>
        <row r="2280">
          <cell r="A2280" t="str">
            <v>RAJALAKSHMI STAMPINGS</v>
          </cell>
          <cell r="B2280" t="str">
            <v>Online Business</v>
          </cell>
        </row>
        <row r="2281">
          <cell r="A2281" t="str">
            <v>RAJALAXMI ELECTRICALS</v>
          </cell>
          <cell r="B2281" t="str">
            <v>Group-4 ( Office Account)</v>
          </cell>
        </row>
        <row r="2282">
          <cell r="A2282" t="str">
            <v>Rajarajeswari Medical College &amp; Hospital</v>
          </cell>
          <cell r="B2282" t="str">
            <v>Group-2 (Veeresh- Bomsdr+Hosur)</v>
          </cell>
        </row>
        <row r="2283">
          <cell r="A2283" t="str">
            <v>RAJASRI SYSTEMS</v>
          </cell>
          <cell r="B2283" t="str">
            <v>Group-4 ( Office Account)</v>
          </cell>
        </row>
        <row r="2284">
          <cell r="A2284" t="str">
            <v>RAJHANS ENTERPRISES</v>
          </cell>
          <cell r="B2284" t="str">
            <v>Group 1-Giridhar-Peenya</v>
          </cell>
        </row>
        <row r="2285">
          <cell r="A2285" t="str">
            <v>Raksha Ortho and Trauma Hospital</v>
          </cell>
          <cell r="B2285" t="str">
            <v>Group 1-Giridhar-Peenya</v>
          </cell>
        </row>
        <row r="2286">
          <cell r="A2286" t="str">
            <v>Rakshan Enterprises</v>
          </cell>
          <cell r="B2286" t="str">
            <v>Group-4 ( Office Account)</v>
          </cell>
        </row>
        <row r="2287">
          <cell r="A2287" t="str">
            <v>Ramakrishna Engineering</v>
          </cell>
          <cell r="B2287" t="str">
            <v>Group-4 ( Office Account)</v>
          </cell>
        </row>
        <row r="2288">
          <cell r="A2288" t="str">
            <v>Ramesh Electricals</v>
          </cell>
          <cell r="B2288" t="str">
            <v>Group-4 ( Office Account)</v>
          </cell>
        </row>
        <row r="2289">
          <cell r="A2289" t="str">
            <v>RAMKRISHNA CASTING SOLUTIONS LIMITED</v>
          </cell>
          <cell r="B2289" t="str">
            <v>Group-4 ( Office Account)</v>
          </cell>
        </row>
        <row r="2290">
          <cell r="A2290" t="str">
            <v>RAMKRISHNA CASTING SOLUTIONS LIMITED (VI)</v>
          </cell>
          <cell r="B2290" t="str">
            <v>Group 1-Giridhar-Peenya</v>
          </cell>
        </row>
        <row r="2291">
          <cell r="A2291" t="str">
            <v>Ramkrishna Forgings Limited</v>
          </cell>
          <cell r="B2291" t="str">
            <v>Group-4 ( Office Account)</v>
          </cell>
        </row>
        <row r="2292">
          <cell r="A2292" t="str">
            <v>Ramkrishna Forgings Limited (A)</v>
          </cell>
          <cell r="B2292" t="str">
            <v>Group-4 ( Office Account)</v>
          </cell>
        </row>
        <row r="2293">
          <cell r="A2293" t="str">
            <v>RAMKRISHNA FORGINGS LTD (P V)</v>
          </cell>
          <cell r="B2293" t="str">
            <v>Group-4 ( Office Account)</v>
          </cell>
        </row>
        <row r="2294">
          <cell r="A2294" t="str">
            <v>RAMKRISHNA FORGINGS LTD (P VIII)</v>
          </cell>
          <cell r="B2294" t="str">
            <v>Group-4 ( Office Account)</v>
          </cell>
        </row>
        <row r="2295">
          <cell r="A2295" t="str">
            <v>RAMKRISHNA FORGINGS LTD. P-I</v>
          </cell>
          <cell r="B2295" t="str">
            <v>Group-4 ( Office Account)</v>
          </cell>
        </row>
        <row r="2296">
          <cell r="A2296" t="str">
            <v>Ramkrishna Forgings Ltd., (Old)</v>
          </cell>
          <cell r="B2296" t="str">
            <v>Group-4 ( Office Account)</v>
          </cell>
        </row>
        <row r="2297">
          <cell r="A2297" t="str">
            <v>RAMU CRANE &amp; HYDRALIC SERVICES</v>
          </cell>
          <cell r="B2297" t="str">
            <v>Group-4 ( Office Account)</v>
          </cell>
        </row>
        <row r="2298">
          <cell r="A2298" t="str">
            <v>Ranganatha Swamy Prasanna(Cust)</v>
          </cell>
          <cell r="B2298" t="str">
            <v>Group-4 ( Office Account)</v>
          </cell>
        </row>
        <row r="2299">
          <cell r="A2299" t="str">
            <v>RANI SATI AGROTECH INDUSTRIES</v>
          </cell>
          <cell r="B2299" t="str">
            <v>Group-4 ( Office Account)</v>
          </cell>
        </row>
        <row r="2300">
          <cell r="A2300" t="str">
            <v>Ranna Solar Pvt.Ltd.,</v>
          </cell>
          <cell r="B2300" t="str">
            <v>Group-4 ( Office Account)</v>
          </cell>
        </row>
        <row r="2301">
          <cell r="A2301" t="str">
            <v>RAO INTELLIGENT MANUFACTURING SOLUTIONS</v>
          </cell>
          <cell r="B2301" t="str">
            <v>Group-4 ( Office Account)</v>
          </cell>
        </row>
        <row r="2302">
          <cell r="A2302" t="str">
            <v>RARE INDUSTRIAL SOLUTIONS</v>
          </cell>
          <cell r="B2302" t="str">
            <v>Online Business</v>
          </cell>
        </row>
        <row r="2303">
          <cell r="A2303" t="str">
            <v>Rashi Granite Exports India Limited</v>
          </cell>
          <cell r="B2303" t="str">
            <v>Group-2 (Veeresh- Bomsdr+Hosur)</v>
          </cell>
        </row>
        <row r="2304">
          <cell r="A2304" t="str">
            <v>Rathna Engineering</v>
          </cell>
          <cell r="B2304" t="str">
            <v>Group-4 ( Office Account)</v>
          </cell>
        </row>
        <row r="2305">
          <cell r="A2305" t="str">
            <v>RATHNA ENGINEERING (Old)</v>
          </cell>
          <cell r="B2305" t="str">
            <v>Group-4 ( Office Account)</v>
          </cell>
        </row>
        <row r="2306">
          <cell r="A2306" t="str">
            <v>RAVISUTHA TECHNOLOGIES</v>
          </cell>
          <cell r="B2306" t="str">
            <v>Group 1-Giridhar-Peenya</v>
          </cell>
        </row>
        <row r="2307">
          <cell r="A2307" t="str">
            <v>RCUBE ELECTRIC PVT LTD</v>
          </cell>
          <cell r="B2307" t="str">
            <v>Group 1-Giridhar-Peenya</v>
          </cell>
        </row>
        <row r="2308">
          <cell r="A2308" t="str">
            <v>REAL TECH SYSTEMS</v>
          </cell>
          <cell r="B2308" t="str">
            <v>Group-4 ( Office Account)</v>
          </cell>
        </row>
        <row r="2309">
          <cell r="A2309" t="str">
            <v>Real Teck Solutions</v>
          </cell>
          <cell r="B2309" t="str">
            <v>Group-4 ( Office Account)</v>
          </cell>
        </row>
        <row r="2310">
          <cell r="A2310" t="str">
            <v>Recipharm Pharmaservices Pvt.Ltd.,</v>
          </cell>
          <cell r="B2310" t="str">
            <v>Group 1-Giridhar-Peenya</v>
          </cell>
        </row>
        <row r="2311">
          <cell r="A2311" t="str">
            <v>REF CARE</v>
          </cell>
          <cell r="B2311" t="str">
            <v>Group-4 ( Office Account)</v>
          </cell>
        </row>
        <row r="2312">
          <cell r="A2312" t="str">
            <v>Regency Electricals Pvt.Ltd</v>
          </cell>
          <cell r="B2312" t="str">
            <v>Group-4 ( Office Account)</v>
          </cell>
        </row>
        <row r="2313">
          <cell r="A2313" t="str">
            <v>REGMEN IMPEX</v>
          </cell>
          <cell r="B2313" t="str">
            <v>Group 1-Giridhar-Peenya</v>
          </cell>
        </row>
        <row r="2314">
          <cell r="A2314" t="str">
            <v>Reitzel India Private Limited</v>
          </cell>
          <cell r="B2314" t="str">
            <v>Group - 5 (Ananthapadmanabha)</v>
          </cell>
        </row>
        <row r="2315">
          <cell r="A2315" t="str">
            <v>RELIABLE AUTO MACHINES</v>
          </cell>
          <cell r="B2315" t="str">
            <v>Group 1-Giridhar-Peenya</v>
          </cell>
        </row>
        <row r="2316">
          <cell r="A2316" t="str">
            <v>Reliance Packaging</v>
          </cell>
          <cell r="B2316" t="str">
            <v>Group 1-Giridhar-Peenya</v>
          </cell>
        </row>
        <row r="2317">
          <cell r="A2317" t="str">
            <v>RELIC INDUSTRIES</v>
          </cell>
          <cell r="B2317" t="str">
            <v>Group-4 ( Office Account)</v>
          </cell>
        </row>
        <row r="2318">
          <cell r="A2318" t="str">
            <v>RENEWSYS INDIA PRIVATE LIMITED</v>
          </cell>
          <cell r="B2318" t="str">
            <v>Group-4 ( Office Account)</v>
          </cell>
        </row>
        <row r="2319">
          <cell r="A2319" t="str">
            <v>Renishaw Metrology Systems Limited</v>
          </cell>
          <cell r="B2319" t="str">
            <v>Group-4 ( Office Account)</v>
          </cell>
        </row>
        <row r="2320">
          <cell r="A2320" t="str">
            <v>RENK GEARS PRIVATE LIMITED</v>
          </cell>
          <cell r="B2320" t="str">
            <v>Group-2 (Veeresh- Bomsdr+Hosur)</v>
          </cell>
        </row>
        <row r="2321">
          <cell r="A2321" t="str">
            <v>RENK GEARS PRIVATE LIMITED (TN)</v>
          </cell>
          <cell r="B2321" t="str">
            <v>Group-2 (Veeresh- Bomsdr+Hosur)</v>
          </cell>
        </row>
        <row r="2322">
          <cell r="A2322" t="str">
            <v>RENNOVA SOLUTIONS</v>
          </cell>
          <cell r="B2322" t="str">
            <v>Online Business</v>
          </cell>
        </row>
        <row r="2323">
          <cell r="A2323" t="str">
            <v>Renuka Engineering &amp; Service (Bo)</v>
          </cell>
          <cell r="B2323" t="str">
            <v>Group-2 (Veeresh- Bomsdr+Hosur)</v>
          </cell>
        </row>
        <row r="2324">
          <cell r="A2324" t="str">
            <v>Renuka Engineering Services</v>
          </cell>
          <cell r="B2324" t="str">
            <v>Group-2 (Veeresh- Bomsdr+Hosur)</v>
          </cell>
        </row>
        <row r="2325">
          <cell r="A2325" t="str">
            <v>REPUBLIC HOSPITAL</v>
          </cell>
          <cell r="B2325" t="str">
            <v>Group-4 ( Office Account)</v>
          </cell>
        </row>
        <row r="2326">
          <cell r="A2326" t="str">
            <v>RESHMI INDUSTRIES (INDIA) PVT. LTD.</v>
          </cell>
          <cell r="B2326" t="str">
            <v>Group-4 ( Office Account)</v>
          </cell>
        </row>
        <row r="2327">
          <cell r="A2327" t="str">
            <v>RESOLVED SOLUTIONS ENGINEERED</v>
          </cell>
          <cell r="B2327" t="str">
            <v>Group-2 (Veeresh- Bomsdr+Hosur)</v>
          </cell>
        </row>
        <row r="2328">
          <cell r="A2328" t="str">
            <v>Reva Electric Co.Ltd</v>
          </cell>
          <cell r="B2328" t="str">
            <v>Group-2 (Veeresh- Bomsdr+Hosur)</v>
          </cell>
        </row>
        <row r="2329">
          <cell r="A2329" t="str">
            <v>REVANSH RENEWABLE ENERGY</v>
          </cell>
          <cell r="B2329" t="str">
            <v>Group-4 ( Office Account)</v>
          </cell>
        </row>
        <row r="2330">
          <cell r="A2330" t="str">
            <v>REVOMATION TECHNOLOGIES(BELGAUM) PVT.LTD</v>
          </cell>
          <cell r="B2330" t="str">
            <v>Group-4 ( Office Account)</v>
          </cell>
        </row>
        <row r="2331">
          <cell r="A2331" t="str">
            <v>REYA TECHNOLOGIES</v>
          </cell>
          <cell r="B2331" t="str">
            <v>Group 1-Giridhar-Peenya</v>
          </cell>
        </row>
        <row r="2332">
          <cell r="A2332" t="str">
            <v>Reya Technologies (Old)</v>
          </cell>
          <cell r="B2332" t="str">
            <v>Group 1-Giridhar-Peenya</v>
          </cell>
        </row>
        <row r="2333">
          <cell r="A2333" t="str">
            <v>Reynolds sound and lighting pvt Ltd</v>
          </cell>
          <cell r="B2333" t="str">
            <v>Group - 5 (Ananthapadmanabha)</v>
          </cell>
        </row>
        <row r="2334">
          <cell r="A2334" t="str">
            <v>REYOCTO INFOTECH PRIVATE LIMITED</v>
          </cell>
          <cell r="B2334" t="str">
            <v>Group 1-Giridhar-Peenya</v>
          </cell>
        </row>
        <row r="2335">
          <cell r="A2335" t="str">
            <v>RHEWUM INDIA PRIVATE LIMITED</v>
          </cell>
          <cell r="B2335" t="str">
            <v>Group-4 ( Office Account)</v>
          </cell>
        </row>
        <row r="2336">
          <cell r="A2336" t="str">
            <v>RHYTHM TECHNOLOGIES</v>
          </cell>
          <cell r="B2336" t="str">
            <v>Group-4 ( Office Account)</v>
          </cell>
        </row>
        <row r="2337">
          <cell r="A2337" t="str">
            <v>RINAC INDIA LIMITED</v>
          </cell>
          <cell r="B2337" t="str">
            <v>Group 1-Giridhar-Peenya</v>
          </cell>
        </row>
        <row r="2338">
          <cell r="A2338" t="str">
            <v>Rinac India Limited (B)</v>
          </cell>
          <cell r="B2338" t="str">
            <v>Group 1-Giridhar-Peenya</v>
          </cell>
        </row>
        <row r="2339">
          <cell r="A2339" t="str">
            <v>Rinac India Limited (C)</v>
          </cell>
          <cell r="B2339" t="str">
            <v>Group 1-Giridhar-Peenya</v>
          </cell>
        </row>
        <row r="2340">
          <cell r="A2340" t="str">
            <v>RINAC INDIA LIMITED (CJ)</v>
          </cell>
          <cell r="B2340" t="str">
            <v>Group 1-Giridhar-Peenya</v>
          </cell>
        </row>
        <row r="2341">
          <cell r="A2341" t="str">
            <v>RINAC INDIA LIMITED (K)</v>
          </cell>
          <cell r="B2341" t="str">
            <v>Group 1-Giridhar-Peenya</v>
          </cell>
        </row>
        <row r="2342">
          <cell r="A2342" t="str">
            <v>Rinac India Limited (M)</v>
          </cell>
          <cell r="B2342" t="str">
            <v>Group 1-Giridhar-Peenya</v>
          </cell>
        </row>
        <row r="2343">
          <cell r="A2343" t="str">
            <v>RINAC INDIA LIMITED (S)</v>
          </cell>
          <cell r="B2343" t="str">
            <v>Group 1-Giridhar-Peenya</v>
          </cell>
        </row>
        <row r="2344">
          <cell r="A2344" t="str">
            <v>RINAC INDIA LIMITED (T)</v>
          </cell>
          <cell r="B2344" t="str">
            <v>Group 1-Giridhar-Peenya</v>
          </cell>
        </row>
        <row r="2345">
          <cell r="A2345" t="str">
            <v>Rinac India Limited(Off)</v>
          </cell>
          <cell r="B2345" t="str">
            <v>Group-4 ( Office Account)</v>
          </cell>
        </row>
        <row r="2346">
          <cell r="A2346" t="str">
            <v>RINFRA K4</v>
          </cell>
          <cell r="B2346" t="str">
            <v>Group-4 ( Office Account)</v>
          </cell>
        </row>
        <row r="2347">
          <cell r="A2347" t="str">
            <v>RINFRA SOUTH</v>
          </cell>
          <cell r="B2347" t="str">
            <v>Group-4 ( Office Account)</v>
          </cell>
        </row>
        <row r="2348">
          <cell r="A2348" t="str">
            <v>Risco Industrial Supplies Pvt  Ltd</v>
          </cell>
          <cell r="B2348" t="str">
            <v>Group-4 ( Office Account)</v>
          </cell>
        </row>
        <row r="2349">
          <cell r="A2349" t="str">
            <v>Rishab Electricals Industrial Supplires</v>
          </cell>
          <cell r="B2349" t="str">
            <v>Group-4 ( Office Account)</v>
          </cell>
        </row>
        <row r="2350">
          <cell r="A2350" t="str">
            <v>Rishab Industrial Supplier</v>
          </cell>
          <cell r="B2350" t="str">
            <v>Group-4 ( Office Account)</v>
          </cell>
        </row>
        <row r="2351">
          <cell r="A2351" t="str">
            <v>Rishabh Cables And Electricals Pvt. Ltd.,</v>
          </cell>
          <cell r="B2351" t="str">
            <v>Group-4 ( Office Account)</v>
          </cell>
        </row>
        <row r="2352">
          <cell r="A2352" t="str">
            <v>RITE ASSOCIATES</v>
          </cell>
          <cell r="B2352" t="str">
            <v>Group 1-Giridhar-Peenya</v>
          </cell>
        </row>
        <row r="2353">
          <cell r="A2353" t="str">
            <v>Rittal Pvt Ltd</v>
          </cell>
          <cell r="B2353" t="str">
            <v>Group - 5 (Ananthapadmanabha)</v>
          </cell>
        </row>
        <row r="2354">
          <cell r="A2354" t="str">
            <v>Rizzin Technology Pvt Ltd (OPC)</v>
          </cell>
          <cell r="B2354" t="str">
            <v>Group-2 (Veeresh- Bomsdr+Hosur)</v>
          </cell>
        </row>
        <row r="2355">
          <cell r="A2355" t="str">
            <v>RK Electricals</v>
          </cell>
          <cell r="B2355" t="str">
            <v>Group-4 ( Office Account)</v>
          </cell>
        </row>
        <row r="2356">
          <cell r="A2356" t="str">
            <v>RL Enterprises</v>
          </cell>
          <cell r="B2356" t="str">
            <v>Group 1-Giridhar-Peenya</v>
          </cell>
        </row>
        <row r="2357">
          <cell r="A2357" t="str">
            <v>RLA ELECTRICALS</v>
          </cell>
          <cell r="B2357" t="str">
            <v>Group-4 ( Office Account)</v>
          </cell>
        </row>
        <row r="2358">
          <cell r="A2358" t="str">
            <v>RMB Automation</v>
          </cell>
          <cell r="B2358" t="str">
            <v>Group-2 (Veeresh- Bomsdr+Hosur)</v>
          </cell>
        </row>
        <row r="2359">
          <cell r="A2359" t="str">
            <v>Rms Electrical And Electronics</v>
          </cell>
          <cell r="B2359" t="str">
            <v>Group-4 ( Office Account)</v>
          </cell>
        </row>
        <row r="2360">
          <cell r="A2360" t="str">
            <v>RN EMBEDDED SOLUTIONS PRIVATE LIMITED</v>
          </cell>
          <cell r="B2360" t="str">
            <v>Online Business</v>
          </cell>
        </row>
        <row r="2361">
          <cell r="A2361" t="str">
            <v>RNS MOTOR ENGINEERING WORKS</v>
          </cell>
          <cell r="B2361" t="str">
            <v>Group-4 ( Office Account)</v>
          </cell>
        </row>
        <row r="2362">
          <cell r="A2362" t="str">
            <v>Robbi &amp; Co..</v>
          </cell>
          <cell r="B2362" t="str">
            <v>Group 1-Giridhar-Peenya</v>
          </cell>
        </row>
        <row r="2363">
          <cell r="A2363" t="str">
            <v>Robbins Global TBM Private Limited</v>
          </cell>
          <cell r="B2363" t="str">
            <v>Online Business</v>
          </cell>
        </row>
        <row r="2364">
          <cell r="A2364" t="str">
            <v>ROBOSTATS BUSINESS SOLUTIONS</v>
          </cell>
          <cell r="B2364" t="str">
            <v>Group-4 ( Office Account)</v>
          </cell>
        </row>
        <row r="2365">
          <cell r="A2365" t="str">
            <v>ROLLSEL TECHNOLOGIES</v>
          </cell>
          <cell r="B2365" t="str">
            <v>Group 1-Giridhar-Peenya</v>
          </cell>
        </row>
        <row r="2366">
          <cell r="A2366" t="str">
            <v>ROMAS ELECTRIC PRIVATE LIMITED</v>
          </cell>
          <cell r="B2366" t="str">
            <v>Group 1-Giridhar-Peenya</v>
          </cell>
        </row>
        <row r="2367">
          <cell r="A2367" t="str">
            <v>Rose Electricals</v>
          </cell>
          <cell r="B2367" t="str">
            <v>Group-4 ( Office Account)</v>
          </cell>
        </row>
        <row r="2368">
          <cell r="A2368" t="str">
            <v>ROSHAN ELECTRICALS</v>
          </cell>
          <cell r="B2368" t="str">
            <v>Group 1-Giridhar-Peenya</v>
          </cell>
        </row>
        <row r="2369">
          <cell r="A2369" t="str">
            <v>ROSSELL TECHSYS (DIVISION OF ROSSELL INDIA LTD)</v>
          </cell>
          <cell r="B2369" t="str">
            <v>Group - 5 (Ananthapadmanabha)</v>
          </cell>
        </row>
        <row r="2370">
          <cell r="A2370" t="str">
            <v>ROSSELL TECHSYS LIMITED</v>
          </cell>
          <cell r="B2370" t="str">
            <v>Group - 5 (Ananthapadmanabha)</v>
          </cell>
        </row>
        <row r="2371">
          <cell r="A2371" t="str">
            <v>ROTARY CONNECTORS PVT LTD.,</v>
          </cell>
          <cell r="B2371" t="str">
            <v>Group 1-Giridhar-Peenya</v>
          </cell>
        </row>
        <row r="2372">
          <cell r="A2372" t="str">
            <v>Rotary Electronics Pvt. Ltd.,</v>
          </cell>
          <cell r="B2372" t="str">
            <v>Group 1-Giridhar-Peenya</v>
          </cell>
        </row>
        <row r="2373">
          <cell r="A2373" t="str">
            <v>Rotomaan Automation Private Limited (OLD)</v>
          </cell>
          <cell r="B2373" t="str">
            <v>Group-2 (Veeresh- Bomsdr+Hosur)</v>
          </cell>
        </row>
        <row r="2374">
          <cell r="A2374" t="str">
            <v>ROTOMAAN AUTOMATIONS PRIVATE LIMITED</v>
          </cell>
          <cell r="B2374" t="str">
            <v>Group-2 (Veeresh- Bomsdr+Hosur)</v>
          </cell>
        </row>
        <row r="2375">
          <cell r="A2375" t="str">
            <v>Rotomaan Automations Private Limited (Old)</v>
          </cell>
          <cell r="B2375" t="str">
            <v>Group-2 (Veeresh- Bomsdr+Hosur)</v>
          </cell>
        </row>
        <row r="2376">
          <cell r="A2376" t="str">
            <v>Rotoman Automation (Old)</v>
          </cell>
          <cell r="B2376" t="str">
            <v>Group-2 (Veeresh- Bomsdr+Hosur)</v>
          </cell>
        </row>
        <row r="2377">
          <cell r="A2377" t="str">
            <v>Roy Brothers</v>
          </cell>
          <cell r="B2377" t="str">
            <v>Group-4 ( Office Account)</v>
          </cell>
        </row>
        <row r="2378">
          <cell r="A2378" t="str">
            <v>ROY SOLUTIONS</v>
          </cell>
          <cell r="B2378" t="str">
            <v>Online Business</v>
          </cell>
        </row>
        <row r="2379">
          <cell r="A2379" t="str">
            <v>ROYAL CRANES</v>
          </cell>
          <cell r="B2379" t="str">
            <v>Group-4 ( Office Account)</v>
          </cell>
        </row>
        <row r="2380">
          <cell r="A2380" t="str">
            <v>RPA UNIBAKES PRIVATE LIMITED</v>
          </cell>
          <cell r="B2380" t="str">
            <v>Group-4 ( Office Account)</v>
          </cell>
        </row>
        <row r="2381">
          <cell r="A2381" t="str">
            <v>RR CONNECTICS</v>
          </cell>
          <cell r="B2381" t="str">
            <v>Group-4 ( Office Account)</v>
          </cell>
        </row>
        <row r="2382">
          <cell r="A2382" t="str">
            <v>RS Constructions</v>
          </cell>
          <cell r="B2382" t="str">
            <v>Group-4 ( Office Account)</v>
          </cell>
        </row>
        <row r="2383">
          <cell r="A2383" t="str">
            <v>RSA Automation</v>
          </cell>
          <cell r="B2383" t="str">
            <v>Group-4 ( Office Account)</v>
          </cell>
        </row>
        <row r="2384">
          <cell r="A2384" t="str">
            <v>Rsb</v>
          </cell>
          <cell r="B2384" t="str">
            <v>Group-4 ( Office Account)</v>
          </cell>
        </row>
        <row r="2385">
          <cell r="A2385" t="str">
            <v>RTEC-INSTRUMENTS INDIA PRIVATE LIMITED</v>
          </cell>
          <cell r="B2385" t="str">
            <v>Group-2 (Veeresh- Bomsdr+Hosur)</v>
          </cell>
        </row>
        <row r="2386">
          <cell r="A2386" t="str">
            <v>RUBIX</v>
          </cell>
          <cell r="B2386" t="str">
            <v>Group - 5 (Ananthapadmanabha)</v>
          </cell>
        </row>
        <row r="2387">
          <cell r="A2387" t="str">
            <v>Rupesh Technologies Pvt.Ltd.,</v>
          </cell>
          <cell r="B2387" t="str">
            <v>Group 1-Giridhar-Peenya</v>
          </cell>
        </row>
        <row r="2388">
          <cell r="A2388" t="str">
            <v>S &amp; S TECHNOLOGIES (H)</v>
          </cell>
          <cell r="B2388" t="str">
            <v>Group-4 ( Office Account)</v>
          </cell>
        </row>
        <row r="2389">
          <cell r="A2389" t="str">
            <v>S A S CONSRTUCTION AND ENGINEERING</v>
          </cell>
          <cell r="B2389" t="str">
            <v>Group-4 ( Office Account)</v>
          </cell>
        </row>
        <row r="2390">
          <cell r="A2390" t="str">
            <v>S C S Technologies</v>
          </cell>
          <cell r="B2390" t="str">
            <v>Online Business</v>
          </cell>
        </row>
        <row r="2391">
          <cell r="A2391" t="str">
            <v>S D CONTROLS</v>
          </cell>
          <cell r="B2391" t="str">
            <v>Group 1-Giridhar-Peenya</v>
          </cell>
        </row>
        <row r="2392">
          <cell r="A2392" t="str">
            <v>S J TRADING COMPANY</v>
          </cell>
          <cell r="B2392" t="str">
            <v>Group-4 ( Office Account)</v>
          </cell>
        </row>
        <row r="2393">
          <cell r="A2393" t="str">
            <v>S K C Power Controls Pvt Ltd</v>
          </cell>
          <cell r="B2393" t="str">
            <v>Group-4 ( Office Account)</v>
          </cell>
        </row>
        <row r="2394">
          <cell r="A2394" t="str">
            <v>S K K ELECTRIC CO</v>
          </cell>
          <cell r="B2394" t="str">
            <v>Online Business</v>
          </cell>
        </row>
        <row r="2395">
          <cell r="A2395" t="str">
            <v>S K Solutions</v>
          </cell>
          <cell r="B2395" t="str">
            <v>Group 1-Giridhar-Peenya</v>
          </cell>
        </row>
        <row r="2396">
          <cell r="A2396" t="str">
            <v>S L V Enterprises</v>
          </cell>
          <cell r="B2396" t="str">
            <v>Group-4 ( Office Account)</v>
          </cell>
        </row>
        <row r="2397">
          <cell r="A2397" t="str">
            <v>S M CONSTRUCTIONS</v>
          </cell>
          <cell r="B2397" t="str">
            <v>Group-2 (Veeresh- Bomsdr+Hosur)</v>
          </cell>
        </row>
        <row r="2398">
          <cell r="A2398" t="str">
            <v>S M S ENTERPRISES</v>
          </cell>
          <cell r="B2398" t="str">
            <v>Group-4 ( Office Account)</v>
          </cell>
        </row>
        <row r="2399">
          <cell r="A2399" t="str">
            <v>S P INDUSTRIES</v>
          </cell>
          <cell r="B2399" t="str">
            <v>Group - 5 (Ananthapadmanabha)</v>
          </cell>
        </row>
        <row r="2400">
          <cell r="A2400" t="str">
            <v>S R ENTERPRISES (M)</v>
          </cell>
          <cell r="B2400" t="str">
            <v>Group-4 ( Office Account)</v>
          </cell>
        </row>
        <row r="2401">
          <cell r="A2401" t="str">
            <v>S R SALEH BROTHERS</v>
          </cell>
          <cell r="B2401" t="str">
            <v>Group-4 ( Office Account)</v>
          </cell>
        </row>
        <row r="2402">
          <cell r="A2402" t="str">
            <v>S R V Conveyors &amp; Filtration System</v>
          </cell>
          <cell r="B2402" t="str">
            <v>Group-4 ( Office Account)</v>
          </cell>
        </row>
        <row r="2403">
          <cell r="A2403" t="str">
            <v>S Suresh Babu</v>
          </cell>
          <cell r="B2403" t="str">
            <v>Group-4 ( Office Account)</v>
          </cell>
        </row>
        <row r="2404">
          <cell r="A2404" t="str">
            <v>S V Concrete Products Pvt Ltd   ( Jigani)</v>
          </cell>
          <cell r="B2404" t="str">
            <v>Group-2 (Veeresh- Bomsdr+Hosur)</v>
          </cell>
        </row>
        <row r="2405">
          <cell r="A2405" t="str">
            <v>S V Concrete Products Pvt Ltd ( Bidadi )</v>
          </cell>
          <cell r="B2405" t="str">
            <v>Group-4 ( Office Account)</v>
          </cell>
        </row>
        <row r="2406">
          <cell r="A2406" t="str">
            <v>S V ELECTRICALS</v>
          </cell>
          <cell r="B2406" t="str">
            <v>Group-4 ( Office Account)</v>
          </cell>
        </row>
        <row r="2407">
          <cell r="A2407" t="str">
            <v>S V ELECTRONICS</v>
          </cell>
          <cell r="B2407" t="str">
            <v>Group-4 ( Office Account)</v>
          </cell>
        </row>
        <row r="2408">
          <cell r="A2408" t="str">
            <v>S V INDUSTRIES</v>
          </cell>
          <cell r="B2408" t="str">
            <v>Group 1-Giridhar-Peenya</v>
          </cell>
        </row>
        <row r="2409">
          <cell r="A2409" t="str">
            <v>S VIJAYARAM</v>
          </cell>
          <cell r="B2409" t="str">
            <v>Group-4 ( Office Account)</v>
          </cell>
        </row>
        <row r="2410">
          <cell r="A2410" t="str">
            <v>S.B. POWER SYSTEMS</v>
          </cell>
          <cell r="B2410" t="str">
            <v>Group 1-Giridhar-Peenya</v>
          </cell>
        </row>
        <row r="2411">
          <cell r="A2411" t="str">
            <v>S.B.Electrical Controls</v>
          </cell>
          <cell r="B2411" t="str">
            <v>Group-4 ( Office Account)</v>
          </cell>
        </row>
        <row r="2412">
          <cell r="A2412" t="str">
            <v>S.B.ELECTRICALS SYSTEMS</v>
          </cell>
          <cell r="B2412" t="str">
            <v>Group-4 ( Office Account)</v>
          </cell>
        </row>
        <row r="2413">
          <cell r="A2413" t="str">
            <v>S.G. EQUIPMENTS AND MACHINES PRIVATE LIMITED</v>
          </cell>
          <cell r="B2413" t="str">
            <v>Online Business</v>
          </cell>
        </row>
        <row r="2414">
          <cell r="A2414" t="str">
            <v>S.G.K. INDUSTRIES</v>
          </cell>
          <cell r="B2414" t="str">
            <v>Group-4 ( Office Account)</v>
          </cell>
        </row>
        <row r="2415">
          <cell r="A2415" t="str">
            <v>S.M ENTERPRISES</v>
          </cell>
          <cell r="B2415" t="str">
            <v>Group-4 ( Office Account)</v>
          </cell>
        </row>
        <row r="2416">
          <cell r="A2416" t="str">
            <v>S.R.RAVI</v>
          </cell>
          <cell r="B2416" t="str">
            <v>Group - 5 (Ananthapadmanabha)</v>
          </cell>
        </row>
        <row r="2417">
          <cell r="A2417" t="str">
            <v>S.R.V. AUTOMATION</v>
          </cell>
          <cell r="B2417" t="str">
            <v>Group-4 ( Office Account)</v>
          </cell>
        </row>
        <row r="2418">
          <cell r="A2418" t="str">
            <v>S.S. TEMPLE TRUST</v>
          </cell>
          <cell r="B2418" t="str">
            <v>Group-4 ( Office Account)</v>
          </cell>
        </row>
        <row r="2419">
          <cell r="A2419" t="str">
            <v>S.V. ELECTRICALS (MA)</v>
          </cell>
          <cell r="B2419" t="str">
            <v>Group-4 ( Office Account)</v>
          </cell>
        </row>
        <row r="2420">
          <cell r="A2420" t="str">
            <v>SA SOLUTIONS INC</v>
          </cell>
          <cell r="B2420" t="str">
            <v>Group-4 ( Office Account)</v>
          </cell>
        </row>
        <row r="2421">
          <cell r="A2421" t="str">
            <v>SACHIN ENTERPRISES</v>
          </cell>
          <cell r="B2421" t="str">
            <v>Online Business</v>
          </cell>
        </row>
        <row r="2422">
          <cell r="A2422" t="str">
            <v>SACRIA ENGINEERING PRIVATE LIMITED</v>
          </cell>
          <cell r="B2422" t="str">
            <v>Group-4 ( Office Account)</v>
          </cell>
        </row>
        <row r="2423">
          <cell r="A2423" t="str">
            <v>Safe Electricals &amp; Engineers</v>
          </cell>
          <cell r="B2423" t="str">
            <v>Group-2 (Veeresh- Bomsdr+Hosur)</v>
          </cell>
        </row>
        <row r="2424">
          <cell r="A2424" t="str">
            <v>SAFE WAY POWER SYSTEMS</v>
          </cell>
          <cell r="B2424" t="str">
            <v>Group-4 ( Office Account)</v>
          </cell>
        </row>
        <row r="2425">
          <cell r="A2425" t="str">
            <v>Safecon Systems LLP</v>
          </cell>
          <cell r="B2425" t="str">
            <v>Group-2 (Veeresh- Bomsdr+Hosur)</v>
          </cell>
        </row>
        <row r="2426">
          <cell r="A2426" t="str">
            <v>Safeline Enterprises ( Cust )</v>
          </cell>
          <cell r="B2426" t="str">
            <v>Group-4 ( Office Account)</v>
          </cell>
        </row>
        <row r="2427">
          <cell r="A2427" t="str">
            <v>Safex Electric Cables Co.</v>
          </cell>
          <cell r="B2427" t="str">
            <v>Group-4 ( Office Account)</v>
          </cell>
        </row>
        <row r="2428">
          <cell r="A2428" t="str">
            <v>SAFRAN DATA SYSTEMS INDIA PRIVATE LIMITED</v>
          </cell>
          <cell r="B2428" t="str">
            <v>Group - 5 (Ananthapadmanabha)</v>
          </cell>
        </row>
        <row r="2429">
          <cell r="A2429" t="str">
            <v>SAFRAN DATA SYSTEMS INDIA PRIVATE LIMITED (C)</v>
          </cell>
          <cell r="B2429" t="str">
            <v>Group - 5 (Ananthapadmanabha)</v>
          </cell>
        </row>
        <row r="2430">
          <cell r="A2430" t="str">
            <v>SAFRAN DATA SYSTEMS INDIA PRIVATE LIMITED (C) (OLD)</v>
          </cell>
          <cell r="B2430" t="str">
            <v>Group-2 (Veeresh- Bomsdr+Hosur)</v>
          </cell>
        </row>
        <row r="2431">
          <cell r="A2431" t="str">
            <v>SAHAJ MARG SPIRITUALITY FOUNDATION</v>
          </cell>
          <cell r="B2431" t="str">
            <v>Group-4 ( Office Account)</v>
          </cell>
        </row>
        <row r="2432">
          <cell r="A2432" t="str">
            <v>Sahajanand Impex Pvt Ltd</v>
          </cell>
          <cell r="B2432" t="str">
            <v>Group 1-Giridhar-Peenya</v>
          </cell>
        </row>
        <row r="2433">
          <cell r="A2433" t="str">
            <v>Sahana Graphics</v>
          </cell>
          <cell r="B2433" t="str">
            <v>Group-4 ( Office Account)</v>
          </cell>
        </row>
        <row r="2434">
          <cell r="A2434" t="str">
            <v>SAHASRA AUTOMATION</v>
          </cell>
          <cell r="B2434" t="str">
            <v>Group-2 (Veeresh- Bomsdr+Hosur)</v>
          </cell>
        </row>
        <row r="2435">
          <cell r="A2435" t="str">
            <v>SAI ASSOCIATES</v>
          </cell>
          <cell r="B2435" t="str">
            <v>Group-4 ( Office Account)</v>
          </cell>
        </row>
        <row r="2436">
          <cell r="A2436" t="str">
            <v>SAI CRANE AUTOMATION</v>
          </cell>
          <cell r="B2436" t="str">
            <v>Group-4 ( Office Account)</v>
          </cell>
        </row>
        <row r="2437">
          <cell r="A2437" t="str">
            <v>SAI ENTERPRISES</v>
          </cell>
          <cell r="B2437" t="str">
            <v>Group-4 ( Office Account)</v>
          </cell>
        </row>
        <row r="2438">
          <cell r="A2438" t="str">
            <v>Sai Enterprises(Old)</v>
          </cell>
          <cell r="B2438" t="str">
            <v>Group 1-Giridhar-Peenya</v>
          </cell>
        </row>
        <row r="2439">
          <cell r="A2439" t="str">
            <v>SAI FACILITY MANAGEMENT SERVICES</v>
          </cell>
          <cell r="B2439" t="str">
            <v>Group-4 ( Office Account)</v>
          </cell>
        </row>
        <row r="2440">
          <cell r="A2440" t="str">
            <v>SAI LIFE SCIENCES LIMITED</v>
          </cell>
          <cell r="B2440" t="str">
            <v>Group-4 ( Office Account)</v>
          </cell>
        </row>
        <row r="2441">
          <cell r="A2441" t="str">
            <v>Sai Projects And Systems Pvt  Ltd</v>
          </cell>
          <cell r="B2441" t="str">
            <v>Group 1-Giridhar-Peenya</v>
          </cell>
        </row>
        <row r="2442">
          <cell r="A2442" t="str">
            <v>Sai Ruthu Enterprises</v>
          </cell>
          <cell r="B2442" t="str">
            <v>Group-2 (Veeresh- Bomsdr+Hosur)</v>
          </cell>
        </row>
        <row r="2443">
          <cell r="A2443" t="str">
            <v>SAI SAM ELECTRICALS &amp; AUTOMATION SOLUTIONS</v>
          </cell>
          <cell r="B2443" t="str">
            <v>Group-4 ( Office Account)</v>
          </cell>
        </row>
        <row r="2444">
          <cell r="A2444" t="str">
            <v>SAI THISHA INDUSTRIES PRIVATE LIMITED</v>
          </cell>
          <cell r="B2444" t="str">
            <v>Online Business</v>
          </cell>
        </row>
        <row r="2445">
          <cell r="A2445" t="str">
            <v>Saibaba Spiritual Centre</v>
          </cell>
          <cell r="B2445" t="str">
            <v>Group-4 ( Office Account)</v>
          </cell>
        </row>
        <row r="2446">
          <cell r="A2446" t="str">
            <v>SAIFEE INDUSTRIAL STORES</v>
          </cell>
          <cell r="B2446" t="str">
            <v>Online Business</v>
          </cell>
        </row>
        <row r="2447">
          <cell r="A2447" t="str">
            <v>Saint Gobain Glass India</v>
          </cell>
          <cell r="B2447" t="str">
            <v>Group-2 (Veeresh- Bomsdr+Hosur)</v>
          </cell>
        </row>
        <row r="2448">
          <cell r="A2448" t="str">
            <v>Saint Gobin Crystals &amp; Detectors India Ltd</v>
          </cell>
          <cell r="B2448" t="str">
            <v>Group - 5 (Ananthapadmanabha)</v>
          </cell>
        </row>
        <row r="2449">
          <cell r="A2449" t="str">
            <v>SAINT-GOBAIN INDIA PRIVATE LIMITED-GYPROC (C)</v>
          </cell>
          <cell r="B2449" t="str">
            <v>Group-2 (Veeresh- Bomsdr+Hosur)</v>
          </cell>
        </row>
        <row r="2450">
          <cell r="A2450" t="str">
            <v>Saint-Gobain India Pvt Ltd-Gyproc</v>
          </cell>
          <cell r="B2450" t="str">
            <v>Group-2 (Veeresh- Bomsdr+Hosur)</v>
          </cell>
        </row>
        <row r="2451">
          <cell r="A2451" t="str">
            <v>Saint-gobain Seva Engineering India Limited</v>
          </cell>
          <cell r="B2451" t="str">
            <v>Group-2 (Veeresh- Bomsdr+Hosur)</v>
          </cell>
        </row>
        <row r="2452">
          <cell r="A2452" t="str">
            <v>SAIRAM ELECTRICALS</v>
          </cell>
          <cell r="B2452" t="str">
            <v>Group-4 ( Office Account)</v>
          </cell>
        </row>
        <row r="2453">
          <cell r="A2453" t="str">
            <v>SAKSHI ELECTRICAL ENGINEERS</v>
          </cell>
          <cell r="B2453" t="str">
            <v>Group-2 (Veeresh- Bomsdr+Hosur)</v>
          </cell>
        </row>
        <row r="2454">
          <cell r="A2454" t="str">
            <v>Salanki Associates</v>
          </cell>
          <cell r="B2454" t="str">
            <v>Group-4 ( Office Account)</v>
          </cell>
        </row>
        <row r="2455">
          <cell r="A2455" t="str">
            <v>Salapuria Properties Pvt Limited</v>
          </cell>
          <cell r="B2455" t="str">
            <v>Group-2 (Veeresh- Bomsdr+Hosur)</v>
          </cell>
        </row>
        <row r="2456">
          <cell r="A2456" t="str">
            <v xml:space="preserve">Saloc Manufactruing_x000D_
</v>
          </cell>
          <cell r="B2456" t="str">
            <v>Group-2 (Veeresh- Bomsdr+Hosur)</v>
          </cell>
        </row>
        <row r="2457">
          <cell r="A2457" t="str">
            <v>Saloc Technologies Pvt Ltd</v>
          </cell>
          <cell r="B2457" t="str">
            <v>Group-2 (Veeresh- Bomsdr+Hosur)</v>
          </cell>
        </row>
        <row r="2458">
          <cell r="A2458" t="str">
            <v>Samar Life Style Private Limited</v>
          </cell>
          <cell r="B2458" t="str">
            <v>Group-2 (Veeresh- Bomsdr+Hosur)</v>
          </cell>
        </row>
        <row r="2459">
          <cell r="A2459" t="str">
            <v>SAMARTHA ELECTRICALS</v>
          </cell>
          <cell r="B2459" t="str">
            <v>Online Business</v>
          </cell>
        </row>
        <row r="2460">
          <cell r="A2460" t="str">
            <v>SAMARTHA TRUST FOR THE DISABLED</v>
          </cell>
          <cell r="B2460" t="str">
            <v>Group-4 ( Office Account)</v>
          </cell>
        </row>
        <row r="2461">
          <cell r="A2461" t="str">
            <v>Samprid Infra</v>
          </cell>
          <cell r="B2461" t="str">
            <v>Group-2 (Veeresh- Bomsdr+Hosur)</v>
          </cell>
        </row>
        <row r="2462">
          <cell r="A2462" t="str">
            <v>SAMRAT ELECTRICAL</v>
          </cell>
          <cell r="B2462" t="str">
            <v>Group-4 ( Office Account)</v>
          </cell>
        </row>
        <row r="2463">
          <cell r="A2463" t="str">
            <v>SAMRUDDHI CREATION</v>
          </cell>
          <cell r="B2463" t="str">
            <v>Group 1-Giridhar-Peenya</v>
          </cell>
        </row>
        <row r="2464">
          <cell r="A2464" t="str">
            <v>SAMRUDDHI ELECTRICALS</v>
          </cell>
          <cell r="B2464" t="str">
            <v>Online Business</v>
          </cell>
        </row>
        <row r="2465">
          <cell r="A2465" t="str">
            <v>SAMYUKTHA</v>
          </cell>
          <cell r="B2465" t="str">
            <v>Group-2 (Veeresh- Bomsdr+Hosur)</v>
          </cell>
        </row>
        <row r="2466">
          <cell r="A2466" t="str">
            <v>SAMYUKTHA ELECTRO CONTROLS PRIVATE LIMITED</v>
          </cell>
          <cell r="B2466" t="str">
            <v>Group 1-Giridhar-Peenya</v>
          </cell>
        </row>
        <row r="2467">
          <cell r="A2467" t="str">
            <v>San Electromec Industries</v>
          </cell>
          <cell r="B2467" t="str">
            <v>Group - 5 (Ananthapadmanabha)</v>
          </cell>
        </row>
        <row r="2468">
          <cell r="A2468" t="str">
            <v>SAN ENGINEERING &amp; LOCOMOTIVE COMPANY LIMITED</v>
          </cell>
          <cell r="B2468" t="str">
            <v>Group - 5 (Ananthapadmanabha)</v>
          </cell>
        </row>
        <row r="2469">
          <cell r="A2469" t="str">
            <v>SANCHANA GURU DISTRIBUTORS</v>
          </cell>
          <cell r="B2469" t="str">
            <v>Group-4 ( Office Account)</v>
          </cell>
        </row>
        <row r="2470">
          <cell r="A2470" t="str">
            <v>Sandhya Enterprises</v>
          </cell>
          <cell r="B2470" t="str">
            <v>Group-4 ( Office Account)</v>
          </cell>
        </row>
        <row r="2471">
          <cell r="A2471" t="str">
            <v>Sands Precision Pvt  Ltd</v>
          </cell>
          <cell r="B2471" t="str">
            <v>Group 1-Giridhar-Peenya</v>
          </cell>
        </row>
        <row r="2472">
          <cell r="A2472" t="str">
            <v>Sandvik Asia Pvt Ltd</v>
          </cell>
          <cell r="B2472" t="str">
            <v>Group-4 ( Office Account)</v>
          </cell>
        </row>
        <row r="2473">
          <cell r="A2473" t="str">
            <v>Sanky Technical Consulting (P) Ltd (Old)</v>
          </cell>
          <cell r="B2473" t="str">
            <v>Group-4 ( Office Account)</v>
          </cell>
        </row>
        <row r="2474">
          <cell r="A2474" t="str">
            <v>SANKY TECHNICAL CONSULTING PVT LTD</v>
          </cell>
          <cell r="B2474" t="str">
            <v>Online Business</v>
          </cell>
        </row>
        <row r="2475">
          <cell r="A2475" t="str">
            <v>Sanpro Technologies</v>
          </cell>
          <cell r="B2475" t="str">
            <v>Group 1-Giridhar-Peenya</v>
          </cell>
        </row>
        <row r="2476">
          <cell r="A2476" t="str">
            <v>Sansera Engineering Limited - Plant 14</v>
          </cell>
          <cell r="B2476" t="str">
            <v>Group-2 (Veeresh- Bomsdr+Hosur)</v>
          </cell>
        </row>
        <row r="2477">
          <cell r="A2477" t="str">
            <v>Sansera Engineering Limited - Plant-7</v>
          </cell>
          <cell r="B2477" t="str">
            <v>Group-2 (Veeresh- Bomsdr+Hosur)</v>
          </cell>
        </row>
        <row r="2478">
          <cell r="A2478" t="str">
            <v>Sansera Engineering Limited Plant 2</v>
          </cell>
          <cell r="B2478" t="str">
            <v>Group-2 (Veeresh- Bomsdr+Hosur)</v>
          </cell>
        </row>
        <row r="2479">
          <cell r="A2479" t="str">
            <v>Sansera Engineering Limited., Plant 12</v>
          </cell>
          <cell r="B2479" t="str">
            <v>Group-2 (Veeresh- Bomsdr+Hosur)</v>
          </cell>
        </row>
        <row r="2480">
          <cell r="A2480" t="str">
            <v>Sansera Engineering Ltd Plant-3</v>
          </cell>
          <cell r="B2480" t="str">
            <v>Group-2 (Veeresh- Bomsdr+Hosur)</v>
          </cell>
        </row>
        <row r="2481">
          <cell r="A2481" t="str">
            <v>SANSERA ENGINEERING LTD PLANT-71</v>
          </cell>
          <cell r="B2481" t="str">
            <v>Group-2 (Veeresh- Bomsdr+Hosur)</v>
          </cell>
        </row>
        <row r="2482">
          <cell r="A2482" t="str">
            <v>Sansera Engineering Ltd., Plant -1</v>
          </cell>
          <cell r="B2482" t="str">
            <v>Group-2 (Veeresh- Bomsdr+Hosur)</v>
          </cell>
        </row>
        <row r="2483">
          <cell r="A2483" t="str">
            <v>Sansera Engineering Ltd., Plant 11</v>
          </cell>
          <cell r="B2483" t="str">
            <v>Group-2 (Veeresh- Bomsdr+Hosur)</v>
          </cell>
        </row>
        <row r="2484">
          <cell r="A2484" t="str">
            <v>Sansera Engineering Ltd., Plant-10</v>
          </cell>
          <cell r="B2484" t="str">
            <v>Group-2 (Veeresh- Bomsdr+Hosur)</v>
          </cell>
        </row>
        <row r="2485">
          <cell r="A2485" t="str">
            <v>Sansera Engineering Ltd., Plant-8</v>
          </cell>
          <cell r="B2485" t="str">
            <v>Group-2 (Veeresh- Bomsdr+Hosur)</v>
          </cell>
        </row>
        <row r="2486">
          <cell r="A2486" t="str">
            <v>Sansera Engineering Ltd.,Plant-9</v>
          </cell>
          <cell r="B2486" t="str">
            <v>Group-2 (Veeresh- Bomsdr+Hosur)</v>
          </cell>
        </row>
        <row r="2487">
          <cell r="A2487" t="str">
            <v>Santhosh</v>
          </cell>
          <cell r="B2487" t="str">
            <v>Group-4 ( Office Account)</v>
          </cell>
        </row>
        <row r="2488">
          <cell r="A2488" t="str">
            <v>SAPS ELECTRIC</v>
          </cell>
          <cell r="B2488" t="str">
            <v>Group 1-Giridhar-Peenya</v>
          </cell>
        </row>
        <row r="2489">
          <cell r="A2489" t="str">
            <v>Saps-Electric (OLD)</v>
          </cell>
          <cell r="B2489" t="str">
            <v>Group 1-Giridhar-Peenya</v>
          </cell>
        </row>
        <row r="2490">
          <cell r="A2490" t="str">
            <v>Saptagiri Enterprises</v>
          </cell>
          <cell r="B2490" t="str">
            <v>Group-4 ( Office Account)</v>
          </cell>
        </row>
        <row r="2491">
          <cell r="A2491" t="str">
            <v>SAPTAGIRI MICRO ENGINEERING INDUSTRY</v>
          </cell>
          <cell r="B2491" t="str">
            <v>Group 1-Giridhar-Peenya</v>
          </cell>
        </row>
        <row r="2492">
          <cell r="A2492" t="str">
            <v>SAPTHAM FOOD AND BEVERAGES PVT.LTD.</v>
          </cell>
          <cell r="B2492" t="str">
            <v>Group-4 ( Office Account)</v>
          </cell>
        </row>
        <row r="2493">
          <cell r="A2493" t="str">
            <v>SAR SYSTEMS</v>
          </cell>
          <cell r="B2493" t="str">
            <v>Group-4 ( Office Account)</v>
          </cell>
        </row>
        <row r="2494">
          <cell r="A2494" t="str">
            <v>SARAH INTERNATIONAL</v>
          </cell>
          <cell r="B2494" t="str">
            <v>Online Business</v>
          </cell>
        </row>
        <row r="2495">
          <cell r="A2495" t="str">
            <v>SARAH TECHNOLOGIES</v>
          </cell>
          <cell r="B2495" t="str">
            <v>Online Business</v>
          </cell>
        </row>
        <row r="2496">
          <cell r="A2496" t="str">
            <v>Saravana Electricals</v>
          </cell>
          <cell r="B2496" t="str">
            <v>Group 1-Giridhar-Peenya</v>
          </cell>
        </row>
        <row r="2497">
          <cell r="A2497" t="str">
            <v>Sartorius Mechatronics India Pvt  Ltd  (P)</v>
          </cell>
          <cell r="B2497" t="str">
            <v>Group 1-Giridhar-Peenya</v>
          </cell>
        </row>
        <row r="2498">
          <cell r="A2498" t="str">
            <v>Sartorius Mechatronics India Pvt  Ltd (N)</v>
          </cell>
          <cell r="B2498" t="str">
            <v>Group 1-Giridhar-Peenya</v>
          </cell>
        </row>
        <row r="2499">
          <cell r="A2499" t="str">
            <v>SARTORIUS STEDIM INDIA PVT LTD</v>
          </cell>
          <cell r="B2499" t="str">
            <v>Group 1-Giridhar-Peenya</v>
          </cell>
        </row>
        <row r="2500">
          <cell r="A2500" t="str">
            <v>Sasira Automation</v>
          </cell>
          <cell r="B2500" t="str">
            <v>Group-2 (Veeresh- Bomsdr+Hosur)</v>
          </cell>
        </row>
        <row r="2501">
          <cell r="A2501" t="str">
            <v>SASMOS CIS FIBER OPTICS LIMITED</v>
          </cell>
          <cell r="B2501" t="str">
            <v>Group - 5 (Ananthapadmanabha)</v>
          </cell>
        </row>
        <row r="2502">
          <cell r="A2502" t="str">
            <v>SASMOS HET TECHNOLOGIES LIMITED</v>
          </cell>
          <cell r="B2502" t="str">
            <v>Group - 5 (Ananthapadmanabha)</v>
          </cell>
        </row>
        <row r="2503">
          <cell r="A2503" t="str">
            <v>Sasyaka Engineering Solutions Pvt. Ltd.,</v>
          </cell>
          <cell r="B2503" t="str">
            <v>Group 1-Giridhar-Peenya</v>
          </cell>
        </row>
        <row r="2504">
          <cell r="A2504" t="str">
            <v>SATHVIK DESIGNS</v>
          </cell>
          <cell r="B2504" t="str">
            <v>Group - 5 (Ananthapadmanabha)</v>
          </cell>
        </row>
        <row r="2505">
          <cell r="A2505" t="str">
            <v>SATHYA INDUSTRIES</v>
          </cell>
          <cell r="B2505" t="str">
            <v>Group 1-Giridhar-Peenya</v>
          </cell>
        </row>
        <row r="2506">
          <cell r="A2506" t="str">
            <v>SATISH ENGINEERING</v>
          </cell>
          <cell r="B2506" t="str">
            <v>Group 1-Giridhar-Peenya</v>
          </cell>
        </row>
        <row r="2507">
          <cell r="A2507" t="str">
            <v>Satrac Engineering Pvt. Ltd</v>
          </cell>
          <cell r="B2507" t="str">
            <v>Group-4 ( Office Account)</v>
          </cell>
        </row>
        <row r="2508">
          <cell r="A2508" t="str">
            <v>Saturn Sales Corporation</v>
          </cell>
          <cell r="B2508" t="str">
            <v>Group-4 ( Office Account)</v>
          </cell>
        </row>
        <row r="2509">
          <cell r="A2509" t="str">
            <v>SAVE N SAFE ENERGY ENTERPRISES</v>
          </cell>
          <cell r="B2509" t="str">
            <v>Group-2 (Veeresh- Bomsdr+Hosur)</v>
          </cell>
        </row>
        <row r="2510">
          <cell r="A2510" t="str">
            <v>SAVI AUTOMATION &amp; CONTROL (Old)</v>
          </cell>
          <cell r="B2510" t="str">
            <v>Group 1-Giridhar-Peenya</v>
          </cell>
        </row>
        <row r="2511">
          <cell r="A2511" t="str">
            <v>SAVI AUTOMATION AND CONTROL</v>
          </cell>
          <cell r="B2511" t="str">
            <v>Group 1-Giridhar-Peenya</v>
          </cell>
        </row>
        <row r="2512">
          <cell r="A2512" t="str">
            <v>SB Power Controls</v>
          </cell>
          <cell r="B2512" t="str">
            <v>Group 1-Giridhar-Peenya</v>
          </cell>
        </row>
        <row r="2513">
          <cell r="A2513" t="str">
            <v>SBEE CABLES (INDIA) LIMITED</v>
          </cell>
          <cell r="B2513" t="str">
            <v>Group-2 (Veeresh- Bomsdr+Hosur)</v>
          </cell>
        </row>
        <row r="2514">
          <cell r="A2514" t="str">
            <v>SBN Engineers LLP</v>
          </cell>
          <cell r="B2514" t="str">
            <v>Group-2 (Veeresh- Bomsdr+Hosur)</v>
          </cell>
        </row>
        <row r="2515">
          <cell r="A2515" t="str">
            <v>SBR Group</v>
          </cell>
          <cell r="B2515" t="str">
            <v>Group - 5 (Ananthapadmanabha)</v>
          </cell>
        </row>
        <row r="2516">
          <cell r="A2516" t="str">
            <v>SBR Power Solutions</v>
          </cell>
          <cell r="B2516" t="str">
            <v>Group 1-Giridhar-Peenya</v>
          </cell>
        </row>
        <row r="2517">
          <cell r="A2517" t="str">
            <v>SBVP CNC Solutions</v>
          </cell>
          <cell r="B2517" t="str">
            <v>Group-4 ( Office Account)</v>
          </cell>
        </row>
        <row r="2518">
          <cell r="A2518" t="str">
            <v>Scalene Automation And Robotics Center</v>
          </cell>
          <cell r="B2518" t="str">
            <v>Group - 5 (Ananthapadmanabha)</v>
          </cell>
        </row>
        <row r="2519">
          <cell r="A2519" t="str">
            <v>Scalene Cybernetics Limited</v>
          </cell>
          <cell r="B2519" t="str">
            <v>Group 1-Giridhar-Peenya</v>
          </cell>
        </row>
        <row r="2520">
          <cell r="A2520" t="str">
            <v>Scalene Energy Water Corp Limited</v>
          </cell>
          <cell r="B2520" t="str">
            <v>Group - 5 (Ananthapadmanabha)</v>
          </cell>
        </row>
        <row r="2521">
          <cell r="A2521" t="str">
            <v>Schenck Process Solutions India Private Limited</v>
          </cell>
          <cell r="B2521" t="str">
            <v>Group 1-Giridhar-Peenya</v>
          </cell>
        </row>
        <row r="2522">
          <cell r="A2522" t="str">
            <v>Schneider Electric India P.Ltd, (Old)</v>
          </cell>
          <cell r="B2522" t="str">
            <v>Group-2 (Veeresh- Bomsdr+Hosur)</v>
          </cell>
        </row>
        <row r="2523">
          <cell r="A2523" t="str">
            <v>Schneider Electric India Pvt Ltd</v>
          </cell>
          <cell r="B2523" t="str">
            <v>Group-2 (Veeresh- Bomsdr+Hosur)</v>
          </cell>
        </row>
        <row r="2524">
          <cell r="A2524" t="str">
            <v>Schott Kaisha Pvt. Ltd.,</v>
          </cell>
          <cell r="B2524" t="str">
            <v>Group-4 ( Office Account)</v>
          </cell>
        </row>
        <row r="2525">
          <cell r="A2525" t="str">
            <v>Schunk Intec India Pvt Ltd.,</v>
          </cell>
          <cell r="B2525" t="str">
            <v>Group 1-Giridhar-Peenya</v>
          </cell>
        </row>
        <row r="2526">
          <cell r="A2526" t="str">
            <v>Scientific Research Instruments Company Pvt. Ltd.,</v>
          </cell>
          <cell r="B2526" t="str">
            <v>Group-4 ( Office Account)</v>
          </cell>
        </row>
        <row r="2527">
          <cell r="A2527" t="str">
            <v>SCIIENTIFIC-CONTROLS TECHKNO PRIVATE LIMITED</v>
          </cell>
          <cell r="B2527" t="str">
            <v>Group 1-Giridhar-Peenya</v>
          </cell>
        </row>
        <row r="2528">
          <cell r="A2528" t="str">
            <v>Scita Solution</v>
          </cell>
          <cell r="B2528" t="str">
            <v>Group-4 ( Office Account)</v>
          </cell>
        </row>
        <row r="2529">
          <cell r="A2529" t="str">
            <v>SD WELDING EQUIPMENTS</v>
          </cell>
          <cell r="B2529" t="str">
            <v>Group-4 ( Office Account)</v>
          </cell>
        </row>
        <row r="2530">
          <cell r="A2530" t="str">
            <v>SDM CORPORATION</v>
          </cell>
          <cell r="B2530" t="str">
            <v>Online Business</v>
          </cell>
        </row>
        <row r="2531">
          <cell r="A2531" t="str">
            <v>SDM TECHNOLOGIES</v>
          </cell>
          <cell r="B2531" t="str">
            <v>Group-4 ( Office Account)</v>
          </cell>
        </row>
        <row r="2532">
          <cell r="A2532" t="str">
            <v>SEA6 ENERGY PRIVATE LIMITED</v>
          </cell>
          <cell r="B2532" t="str">
            <v>Group-4 ( Office Account)</v>
          </cell>
        </row>
        <row r="2533">
          <cell r="A2533" t="str">
            <v>SEAVEON ROBOTICS &amp; AUTOMATION</v>
          </cell>
          <cell r="B2533" t="str">
            <v>Group-4 ( Office Account)</v>
          </cell>
        </row>
        <row r="2534">
          <cell r="A2534" t="str">
            <v>SECON TECHNOLOGICAL SOLUTIONS INC</v>
          </cell>
          <cell r="B2534" t="str">
            <v>Group 1-Giridhar-Peenya</v>
          </cell>
        </row>
        <row r="2535">
          <cell r="A2535" t="str">
            <v>SECURITAS ENGINEERS</v>
          </cell>
          <cell r="B2535" t="str">
            <v>Group-4 ( Office Account)</v>
          </cell>
        </row>
        <row r="2536">
          <cell r="A2536" t="str">
            <v>SEEB ENGINEERING INDIA PVT LTD</v>
          </cell>
          <cell r="B2536" t="str">
            <v>Group 1-Giridhar-Peenya</v>
          </cell>
        </row>
        <row r="2537">
          <cell r="A2537" t="str">
            <v>SEG AUTOMOTIVE INDIA PRIVATE LIMITED</v>
          </cell>
          <cell r="B2537" t="str">
            <v>Group-4 ( Office Account)</v>
          </cell>
        </row>
        <row r="2538">
          <cell r="A2538" t="str">
            <v>SEIKOMEC AUTOMATION SOLUTIONS PVT LTD</v>
          </cell>
          <cell r="B2538" t="str">
            <v>Group-4 ( Office Account)</v>
          </cell>
        </row>
        <row r="2539">
          <cell r="A2539" t="str">
            <v>SELVAM ELECTRICALS BANGALORE</v>
          </cell>
          <cell r="B2539" t="str">
            <v>Group - 5 (Ananthapadmanabha)</v>
          </cell>
        </row>
        <row r="2540">
          <cell r="A2540" t="str">
            <v>SENSE PROJECTS PRIVATE LIMITED</v>
          </cell>
          <cell r="B2540" t="str">
            <v>Group-4 ( Office Account)</v>
          </cell>
        </row>
        <row r="2541">
          <cell r="A2541" t="str">
            <v>Seqronics (Ind) Pvt Ltd</v>
          </cell>
          <cell r="B2541" t="str">
            <v>Group-2 (Veeresh- Bomsdr+Hosur)</v>
          </cell>
        </row>
        <row r="2542">
          <cell r="A2542" t="str">
            <v>SEQUENT AUTOMATION P. LTD.</v>
          </cell>
          <cell r="B2542" t="str">
            <v>Group 1-Giridhar-Peenya</v>
          </cell>
        </row>
        <row r="2543">
          <cell r="A2543" t="str">
            <v>SEQUENT ELECTRICALS</v>
          </cell>
          <cell r="B2543" t="str">
            <v>Group 1-Giridhar-Peenya</v>
          </cell>
        </row>
        <row r="2544">
          <cell r="A2544" t="str">
            <v>SEQUENT SYSTEM INTEGRATORS PVT. LTD</v>
          </cell>
          <cell r="B2544" t="str">
            <v>Group 1-Giridhar-Peenya</v>
          </cell>
        </row>
        <row r="2545">
          <cell r="A2545" t="str">
            <v>Servomax India Limited</v>
          </cell>
          <cell r="B2545" t="str">
            <v>Group-4 ( Office Account)</v>
          </cell>
        </row>
        <row r="2546">
          <cell r="A2546" t="str">
            <v>SETH ELECTRICALS</v>
          </cell>
          <cell r="B2546" t="str">
            <v>Online Business</v>
          </cell>
        </row>
        <row r="2547">
          <cell r="A2547" t="str">
            <v>SEUNDO ENERGY PRIVATE LIMITED</v>
          </cell>
          <cell r="B2547" t="str">
            <v>Group 1-Giridhar-Peenya</v>
          </cell>
        </row>
        <row r="2548">
          <cell r="A2548" t="str">
            <v>SFO Technologies Pvt. Ltd., - Mech</v>
          </cell>
          <cell r="B2548" t="str">
            <v>Group-2 (Veeresh- Bomsdr+Hosur)</v>
          </cell>
        </row>
        <row r="2549">
          <cell r="A2549" t="str">
            <v>SFO Technologies Pvt.Ltd.,</v>
          </cell>
          <cell r="B2549" t="str">
            <v>Group-2 (Veeresh- Bomsdr+Hosur)</v>
          </cell>
        </row>
        <row r="2550">
          <cell r="A2550" t="str">
            <v>SGR Electric &amp; Control Automation</v>
          </cell>
          <cell r="B2550" t="str">
            <v>Online Business</v>
          </cell>
        </row>
        <row r="2551">
          <cell r="A2551" t="str">
            <v>SGS TECHNICAL SOLUTIONS</v>
          </cell>
          <cell r="B2551" t="str">
            <v>Group-2 (Veeresh- Bomsdr+Hosur)</v>
          </cell>
        </row>
        <row r="2552">
          <cell r="A2552" t="str">
            <v>SHAARVI TECHNOLOGIES</v>
          </cell>
          <cell r="B2552" t="str">
            <v>Group 1-Giridhar-Peenya</v>
          </cell>
        </row>
        <row r="2553">
          <cell r="A2553" t="str">
            <v>Shah &amp; Shah</v>
          </cell>
          <cell r="B2553" t="str">
            <v>Group-4 ( Office Account)</v>
          </cell>
        </row>
        <row r="2554">
          <cell r="A2554" t="str">
            <v>Shah &amp; Shah (OLD)</v>
          </cell>
          <cell r="B2554" t="str">
            <v>Group-4 ( Office Account)</v>
          </cell>
        </row>
        <row r="2555">
          <cell r="A2555" t="str">
            <v>Shah Energy Inc.</v>
          </cell>
          <cell r="B2555" t="str">
            <v>Group-4 ( Office Account)</v>
          </cell>
        </row>
        <row r="2556">
          <cell r="A2556" t="str">
            <v>Shah Eye Care Pvt. Ltd.,</v>
          </cell>
          <cell r="B2556" t="str">
            <v>Group-4 ( Office Account)</v>
          </cell>
        </row>
        <row r="2557">
          <cell r="A2557" t="str">
            <v>SHAH INFRA TOWERS PVT.LTD</v>
          </cell>
          <cell r="B2557" t="str">
            <v>Group-4 ( Office Account)</v>
          </cell>
        </row>
        <row r="2558">
          <cell r="A2558" t="str">
            <v>SHAHI ELECTRICALS</v>
          </cell>
          <cell r="B2558" t="str">
            <v>Group-4 ( Office Account)</v>
          </cell>
        </row>
        <row r="2559">
          <cell r="A2559" t="str">
            <v>SHAHUL HAMEED VARIKKODAN</v>
          </cell>
          <cell r="B2559" t="str">
            <v>Group-4 ( Office Account)</v>
          </cell>
        </row>
        <row r="2560">
          <cell r="A2560" t="str">
            <v>SHAKTHI AUTO-CAM PVT LTD</v>
          </cell>
          <cell r="B2560" t="str">
            <v>Group-2 (Veeresh- Bomsdr+Hosur)</v>
          </cell>
        </row>
        <row r="2561">
          <cell r="A2561" t="str">
            <v>SHAKTHI HEALTHY FRESH MEATS PRIVATE LIMITED</v>
          </cell>
          <cell r="B2561" t="str">
            <v>Group - 5 (Ananthapadmanabha)</v>
          </cell>
        </row>
        <row r="2562">
          <cell r="A2562" t="str">
            <v>Shakti Hydair</v>
          </cell>
          <cell r="B2562" t="str">
            <v>Group-4 ( Office Account)</v>
          </cell>
        </row>
        <row r="2563">
          <cell r="A2563" t="str">
            <v>Shakti Precision Comp India P L</v>
          </cell>
          <cell r="B2563" t="str">
            <v>Group-4 ( Office Account)</v>
          </cell>
        </row>
        <row r="2564">
          <cell r="A2564" t="str">
            <v>SHANKAR ELECTRICALS</v>
          </cell>
          <cell r="B2564" t="str">
            <v>Group - 5 (Ananthapadmanabha)</v>
          </cell>
        </row>
        <row r="2565">
          <cell r="A2565" t="str">
            <v>Shanthi Feeds Private Limited</v>
          </cell>
          <cell r="B2565" t="str">
            <v>Group-4 ( Office Account)</v>
          </cell>
        </row>
        <row r="2566">
          <cell r="A2566" t="str">
            <v>Sharada Electro Chem</v>
          </cell>
          <cell r="B2566" t="str">
            <v>Group-4 ( Office Account)</v>
          </cell>
        </row>
        <row r="2567">
          <cell r="A2567" t="str">
            <v>SHARK ENGINEERING PVT LTD</v>
          </cell>
          <cell r="B2567" t="str">
            <v>Group-4 ( Office Account)</v>
          </cell>
        </row>
        <row r="2568">
          <cell r="A2568" t="str">
            <v>SHARPLINE AUTOMATION PVT LTD</v>
          </cell>
          <cell r="B2568" t="str">
            <v>Group-4 ( Office Account)</v>
          </cell>
        </row>
        <row r="2569">
          <cell r="A2569" t="str">
            <v>SHEETAL ENGINEERING ASSOCIATES</v>
          </cell>
          <cell r="B2569" t="str">
            <v>Online Business</v>
          </cell>
        </row>
        <row r="2570">
          <cell r="A2570" t="str">
            <v>SHENCO PROJECTS</v>
          </cell>
          <cell r="B2570" t="str">
            <v>Group-2 (Veeresh- Bomsdr+Hosur)</v>
          </cell>
        </row>
        <row r="2571">
          <cell r="A2571" t="str">
            <v>SHIBA CONTAINERS PVT LTD</v>
          </cell>
          <cell r="B2571" t="str">
            <v>Group-4 ( Office Account)</v>
          </cell>
        </row>
        <row r="2572">
          <cell r="A2572" t="str">
            <v>SHIKRITI INFRATECH</v>
          </cell>
          <cell r="B2572" t="str">
            <v>Group-2 (Veeresh- Bomsdr+Hosur)</v>
          </cell>
        </row>
        <row r="2573">
          <cell r="A2573" t="str">
            <v>SHINE AUTOMATIONS</v>
          </cell>
          <cell r="B2573" t="str">
            <v>Group-4 ( Office Account)</v>
          </cell>
        </row>
        <row r="2574">
          <cell r="A2574" t="str">
            <v>SHIVA AND SHIVA ORTHOPAED HOSPITAL PRIVATE LIMITED</v>
          </cell>
          <cell r="B2574" t="str">
            <v>Group-4 ( Office Account)</v>
          </cell>
        </row>
        <row r="2575">
          <cell r="A2575" t="str">
            <v>Shiva Enterprises</v>
          </cell>
          <cell r="B2575" t="str">
            <v>Group 1-Giridhar-Peenya</v>
          </cell>
        </row>
        <row r="2576">
          <cell r="A2576" t="str">
            <v>Shiva Shakati Engineering Works</v>
          </cell>
          <cell r="B2576" t="str">
            <v>Group-4 ( Office Account)</v>
          </cell>
        </row>
        <row r="2577">
          <cell r="A2577" t="str">
            <v>SHIVA SHAKTI ENTERPRISES</v>
          </cell>
          <cell r="B2577" t="str">
            <v>Online Business</v>
          </cell>
        </row>
        <row r="2578">
          <cell r="A2578" t="str">
            <v>Shivakar Developers Private Limited</v>
          </cell>
          <cell r="B2578" t="str">
            <v>Online Business</v>
          </cell>
        </row>
        <row r="2579">
          <cell r="A2579" t="str">
            <v>SHIVAM ELECTRO TECH</v>
          </cell>
          <cell r="B2579" t="str">
            <v>Group-4 ( Office Account)</v>
          </cell>
        </row>
        <row r="2580">
          <cell r="A2580" t="str">
            <v>SHIVAM ENGINEERING COMPANY</v>
          </cell>
          <cell r="B2580" t="str">
            <v>Group-4 ( Office Account)</v>
          </cell>
        </row>
        <row r="2581">
          <cell r="A2581" t="str">
            <v>Shivamani Industries</v>
          </cell>
          <cell r="B2581" t="str">
            <v>Group 1-Giridhar-Peenya</v>
          </cell>
        </row>
        <row r="2582">
          <cell r="A2582" t="str">
            <v>Shivon India</v>
          </cell>
          <cell r="B2582" t="str">
            <v>Group 1-Giridhar-Peenya</v>
          </cell>
        </row>
        <row r="2583">
          <cell r="A2583" t="str">
            <v>SHOBHA DEVELOPERS</v>
          </cell>
          <cell r="B2583" t="str">
            <v>Group-2 (Veeresh- Bomsdr+Hosur)</v>
          </cell>
        </row>
        <row r="2584">
          <cell r="A2584" t="str">
            <v>Shobha Electricals</v>
          </cell>
          <cell r="B2584" t="str">
            <v>Group - 5 (Ananthapadmanabha)</v>
          </cell>
        </row>
        <row r="2585">
          <cell r="A2585" t="str">
            <v>SHOBHA ENGINEERING Enterprises</v>
          </cell>
          <cell r="B2585" t="str">
            <v>Group 1-Giridhar-Peenya</v>
          </cell>
        </row>
        <row r="2586">
          <cell r="A2586" t="str">
            <v>Shopelect Pvt. Ltd.,</v>
          </cell>
          <cell r="B2586" t="str">
            <v>Group-4 ( Office Account)</v>
          </cell>
        </row>
        <row r="2587">
          <cell r="A2587" t="str">
            <v>SHRADHA AUTOMATION</v>
          </cell>
          <cell r="B2587" t="str">
            <v>Group-4 ( Office Account)</v>
          </cell>
        </row>
        <row r="2588">
          <cell r="A2588" t="str">
            <v>Shravan Enterprises</v>
          </cell>
          <cell r="B2588" t="str">
            <v>Group-4 ( Office Account)</v>
          </cell>
        </row>
        <row r="2589">
          <cell r="A2589" t="str">
            <v>Shree A.V Enterprises</v>
          </cell>
          <cell r="B2589" t="str">
            <v>Group 1-Giridhar-Peenya</v>
          </cell>
        </row>
        <row r="2590">
          <cell r="A2590" t="str">
            <v>SHREE ANJANEYASWAMY TEMPLE TRUST</v>
          </cell>
          <cell r="B2590" t="str">
            <v>Group-4 ( Office Account)</v>
          </cell>
        </row>
        <row r="2591">
          <cell r="A2591" t="str">
            <v>Shree Beereshwara Electricals</v>
          </cell>
          <cell r="B2591" t="str">
            <v>Group-4 ( Office Account)</v>
          </cell>
        </row>
        <row r="2592">
          <cell r="A2592" t="str">
            <v>SHREE CPSV ELECTRICALS</v>
          </cell>
          <cell r="B2592" t="str">
            <v>Group - 5 (Ananthapadmanabha)</v>
          </cell>
        </row>
        <row r="2593">
          <cell r="A2593" t="str">
            <v>Shree Electricals (Old)</v>
          </cell>
          <cell r="B2593" t="str">
            <v>Group-4 ( Office Account)</v>
          </cell>
        </row>
        <row r="2594">
          <cell r="A2594" t="str">
            <v>SHREE ELETRICALS</v>
          </cell>
          <cell r="B2594" t="str">
            <v>Group - 5 (Ananthapadmanabha)</v>
          </cell>
        </row>
        <row r="2595">
          <cell r="A2595" t="str">
            <v>Shree Engineering</v>
          </cell>
          <cell r="B2595" t="str">
            <v>Group 1-Giridhar-Peenya</v>
          </cell>
        </row>
        <row r="2596">
          <cell r="A2596" t="str">
            <v>Shree Enterprises</v>
          </cell>
          <cell r="B2596" t="str">
            <v>Group 1-Giridhar-Peenya</v>
          </cell>
        </row>
        <row r="2597">
          <cell r="A2597" t="str">
            <v>SHREE KRISHNA ENTERPRISES</v>
          </cell>
          <cell r="B2597" t="str">
            <v>Group-4 ( Office Account)</v>
          </cell>
        </row>
        <row r="2598">
          <cell r="A2598" t="str">
            <v>Shree Laxmi Sales Corporation</v>
          </cell>
          <cell r="B2598" t="str">
            <v>Group-4 ( Office Account)</v>
          </cell>
        </row>
        <row r="2599">
          <cell r="A2599" t="str">
            <v>SHREE M INDUSTRIES (Old)</v>
          </cell>
          <cell r="B2599" t="str">
            <v>Group - 5 (Ananthapadmanabha)</v>
          </cell>
        </row>
        <row r="2600">
          <cell r="A2600" t="str">
            <v>SHREE M INDUSTRIES (Oldd)</v>
          </cell>
          <cell r="B2600" t="str">
            <v>Group - 5 (Ananthapadmanabha)</v>
          </cell>
        </row>
        <row r="2601">
          <cell r="A2601" t="str">
            <v>Shree Raksha Engineers</v>
          </cell>
          <cell r="B2601" t="str">
            <v>Group-4 ( Office Account)</v>
          </cell>
        </row>
        <row r="2602">
          <cell r="A2602" t="str">
            <v>Shree Renuka Engineering Company</v>
          </cell>
          <cell r="B2602" t="str">
            <v>Group-4 ( Office Account)</v>
          </cell>
        </row>
        <row r="2603">
          <cell r="A2603" t="str">
            <v>Shree Renuka Sales Corporation</v>
          </cell>
          <cell r="B2603" t="str">
            <v>Group-4 ( Office Account)</v>
          </cell>
        </row>
        <row r="2604">
          <cell r="A2604" t="str">
            <v>Shree Sai Trading Co.</v>
          </cell>
          <cell r="B2604" t="str">
            <v>Group-4 ( Office Account)</v>
          </cell>
        </row>
        <row r="2605">
          <cell r="A2605" t="str">
            <v>SHREE SENTHUR KNIT FINISHERS</v>
          </cell>
          <cell r="B2605" t="str">
            <v>Group-4 ( Office Account)</v>
          </cell>
        </row>
        <row r="2606">
          <cell r="A2606" t="str">
            <v>SHREE SIDDHIVINAYAK ENTERPRISES</v>
          </cell>
          <cell r="B2606" t="str">
            <v>Group-4 ( Office Account)</v>
          </cell>
        </row>
        <row r="2607">
          <cell r="A2607" t="str">
            <v>SHREE SURYA TECHNOLOGIES</v>
          </cell>
          <cell r="B2607" t="str">
            <v>Group 1-Giridhar-Peenya</v>
          </cell>
        </row>
        <row r="2608">
          <cell r="A2608" t="str">
            <v>Shree Tubes &amp; Steels Pvt Ltd</v>
          </cell>
          <cell r="B2608" t="str">
            <v>Group-4 ( Office Account)</v>
          </cell>
        </row>
        <row r="2609">
          <cell r="A2609" t="str">
            <v>Shree Vee Tex Spares</v>
          </cell>
          <cell r="B2609" t="str">
            <v>Group-4 ( Office Account)</v>
          </cell>
        </row>
        <row r="2610">
          <cell r="A2610" t="str">
            <v>SHREE VENKATESHWARA ELECTRICS</v>
          </cell>
          <cell r="B2610" t="str">
            <v>Group-4 ( Office Account)</v>
          </cell>
        </row>
        <row r="2611">
          <cell r="A2611" t="str">
            <v>SHREEDHAR ENGINEERING</v>
          </cell>
          <cell r="B2611" t="str">
            <v>Group-4 ( Office Account)</v>
          </cell>
        </row>
        <row r="2612">
          <cell r="A2612" t="str">
            <v>SHREEJI ELECTRICAL</v>
          </cell>
          <cell r="B2612" t="str">
            <v>Online Business</v>
          </cell>
        </row>
        <row r="2613">
          <cell r="A2613" t="str">
            <v>SHREENATH AUTOMATIONS</v>
          </cell>
          <cell r="B2613" t="str">
            <v>Group-4 ( Office Account)</v>
          </cell>
        </row>
        <row r="2614">
          <cell r="A2614" t="str">
            <v>SHREEUSHA ENTERPRISES</v>
          </cell>
          <cell r="B2614" t="str">
            <v>Group 1-Giridhar-Peenya</v>
          </cell>
        </row>
        <row r="2615">
          <cell r="A2615" t="str">
            <v>SHREEYAA CREATIONS</v>
          </cell>
          <cell r="B2615" t="str">
            <v>Group-4 ( Office Account)</v>
          </cell>
        </row>
        <row r="2616">
          <cell r="A2616" t="str">
            <v>Shreya Power Controls</v>
          </cell>
          <cell r="B2616" t="str">
            <v>Group-4 ( Office Account)</v>
          </cell>
        </row>
        <row r="2617">
          <cell r="A2617" t="str">
            <v>SHREYAS CONTROL SYSTEM</v>
          </cell>
          <cell r="B2617" t="str">
            <v>Group-4 ( Office Account)</v>
          </cell>
        </row>
        <row r="2618">
          <cell r="A2618" t="str">
            <v>SHREYAS ELECTRICALS</v>
          </cell>
          <cell r="B2618" t="str">
            <v>Online Business</v>
          </cell>
        </row>
        <row r="2619">
          <cell r="A2619" t="str">
            <v>Shreyas Engineering</v>
          </cell>
          <cell r="B2619" t="str">
            <v>Group 1-Giridhar-Peenya</v>
          </cell>
        </row>
        <row r="2620">
          <cell r="A2620" t="str">
            <v>SHREYAS LAMPS &amp; SHADES</v>
          </cell>
          <cell r="B2620" t="str">
            <v>Group-4 ( Office Account)</v>
          </cell>
        </row>
        <row r="2621">
          <cell r="A2621" t="str">
            <v>SHREYAS MACHINE TOOLS</v>
          </cell>
          <cell r="B2621" t="str">
            <v>Group 1-Giridhar-Peenya</v>
          </cell>
        </row>
        <row r="2622">
          <cell r="A2622" t="str">
            <v>SHRI - SIMPLE HEAT &amp; REFRIGERATION INDUS.</v>
          </cell>
          <cell r="B2622" t="str">
            <v>Group-4 ( Office Account)</v>
          </cell>
        </row>
        <row r="2623">
          <cell r="A2623" t="str">
            <v>SHRI Balaji International</v>
          </cell>
          <cell r="B2623" t="str">
            <v>Group-4 ( Office Account)</v>
          </cell>
        </row>
        <row r="2624">
          <cell r="A2624" t="str">
            <v>Shri Dhan Automation Pvt. Ltd.</v>
          </cell>
          <cell r="B2624" t="str">
            <v>Group-2 (Veeresh- Bomsdr+Hosur)</v>
          </cell>
        </row>
        <row r="2625">
          <cell r="A2625" t="str">
            <v>Shri Jagdhamba Enterprises</v>
          </cell>
          <cell r="B2625" t="str">
            <v>Group-4 ( Office Account)</v>
          </cell>
        </row>
        <row r="2626">
          <cell r="A2626" t="str">
            <v>SHRI KRUSHNA ENTERPRISES</v>
          </cell>
          <cell r="B2626" t="str">
            <v>Online Business</v>
          </cell>
        </row>
        <row r="2627">
          <cell r="A2627" t="str">
            <v>SHRI MGM INDUSTRIAL SUPPLIERS</v>
          </cell>
          <cell r="B2627" t="str">
            <v>Online Business</v>
          </cell>
        </row>
        <row r="2628">
          <cell r="A2628" t="str">
            <v>SHRI SAI CONNECTRONICS</v>
          </cell>
          <cell r="B2628" t="str">
            <v>Group-2 (Veeresh- Bomsdr+Hosur)</v>
          </cell>
        </row>
        <row r="2629">
          <cell r="A2629" t="str">
            <v>SHRI SARU ELECTRICALS</v>
          </cell>
          <cell r="B2629" t="str">
            <v>Group - 5 (Ananthapadmanabha)</v>
          </cell>
        </row>
        <row r="2630">
          <cell r="A2630" t="str">
            <v>SHRI SHYAM ENTERPRISES</v>
          </cell>
          <cell r="B2630" t="str">
            <v>Group-4 ( Office Account)</v>
          </cell>
        </row>
        <row r="2631">
          <cell r="A2631" t="str">
            <v>Shri Venkatesh Traders</v>
          </cell>
          <cell r="B2631" t="str">
            <v>Group-4 ( Office Account)</v>
          </cell>
        </row>
        <row r="2632">
          <cell r="A2632" t="str">
            <v>Shriya Control Solutions</v>
          </cell>
          <cell r="B2632" t="str">
            <v>Group 1-Giridhar-Peenya</v>
          </cell>
        </row>
        <row r="2633">
          <cell r="A2633" t="str">
            <v>Shrusti Controls</v>
          </cell>
          <cell r="B2633" t="str">
            <v>Group 1-Giridhar-Peenya</v>
          </cell>
        </row>
        <row r="2634">
          <cell r="A2634" t="str">
            <v>Shubham Flexible Packing M/Cs (P) Ltd</v>
          </cell>
          <cell r="B2634" t="str">
            <v>Group-4 ( Office Account)</v>
          </cell>
        </row>
        <row r="2635">
          <cell r="A2635" t="str">
            <v>SHUBHAM INDUSTRIAL SUPPLIER</v>
          </cell>
          <cell r="B2635" t="str">
            <v>Online Business</v>
          </cell>
        </row>
        <row r="2636">
          <cell r="A2636" t="str">
            <v>SHV Energy Pvt. Ltd.,</v>
          </cell>
          <cell r="B2636" t="str">
            <v>Group-4 ( Office Account)</v>
          </cell>
        </row>
        <row r="2637">
          <cell r="A2637" t="str">
            <v>SHYAM SUNDER ENTERPRISES</v>
          </cell>
          <cell r="B2637" t="str">
            <v>Group-4 ( Office Account)</v>
          </cell>
        </row>
        <row r="2638">
          <cell r="A2638" t="str">
            <v>SI GLOBAL PRIVATE LIMITED</v>
          </cell>
          <cell r="B2638" t="str">
            <v>Group-2 (Veeresh- Bomsdr+Hosur)</v>
          </cell>
        </row>
        <row r="2639">
          <cell r="A2639" t="str">
            <v>SICAGEN INDIA LTD</v>
          </cell>
          <cell r="B2639" t="str">
            <v>Online Business</v>
          </cell>
        </row>
        <row r="2640">
          <cell r="A2640" t="str">
            <v>SICK India Private Limited</v>
          </cell>
          <cell r="B2640" t="str">
            <v>Group-2 (Veeresh- Bomsdr+Hosur)</v>
          </cell>
        </row>
        <row r="2641">
          <cell r="A2641" t="str">
            <v>SIDDESHWARA CONTROLS</v>
          </cell>
          <cell r="B2641" t="str">
            <v>Group 1-Giridhar-Peenya</v>
          </cell>
        </row>
        <row r="2642">
          <cell r="A2642" t="str">
            <v>SIDDESHWARA ELECTRICALS</v>
          </cell>
          <cell r="B2642" t="str">
            <v>Group-4 ( Office Account)</v>
          </cell>
        </row>
        <row r="2643">
          <cell r="A2643" t="str">
            <v>SIDDHANATH ENTERPRISES</v>
          </cell>
          <cell r="B2643" t="str">
            <v>Group-4 ( Office Account)</v>
          </cell>
        </row>
        <row r="2644">
          <cell r="A2644" t="str">
            <v>Siddhanatha Textiles P  Ltd</v>
          </cell>
          <cell r="B2644" t="str">
            <v>Group-4 ( Office Account)</v>
          </cell>
        </row>
        <row r="2645">
          <cell r="A2645" t="str">
            <v>SIDDHARTH ELECTRICALS</v>
          </cell>
          <cell r="B2645" t="str">
            <v>Group-4 ( Office Account)</v>
          </cell>
        </row>
        <row r="2646">
          <cell r="A2646" t="str">
            <v>SIDDIQUE.V</v>
          </cell>
          <cell r="B2646" t="str">
            <v>Group-4 ( Office Account)</v>
          </cell>
        </row>
        <row r="2647">
          <cell r="A2647" t="str">
            <v>SIDNAG CABLES</v>
          </cell>
          <cell r="B2647" t="str">
            <v>Group-4 ( Office Account)</v>
          </cell>
        </row>
        <row r="2648">
          <cell r="A2648" t="str">
            <v>SIEMENS TECHNOLOGY AND SERVICES PRIVATE LIMITED</v>
          </cell>
          <cell r="B2648" t="str">
            <v>Group-2 (Veeresh- Bomsdr+Hosur)</v>
          </cell>
        </row>
        <row r="2649">
          <cell r="A2649" t="str">
            <v>Siemens Technology and Services Pvt. Ltd., (OLD)</v>
          </cell>
          <cell r="B2649" t="str">
            <v>Group-2 (Veeresh- Bomsdr+Hosur)</v>
          </cell>
        </row>
        <row r="2650">
          <cell r="A2650" t="str">
            <v>SIGMA AUTOMATION</v>
          </cell>
          <cell r="B2650" t="str">
            <v>Group-4 ( Office Account)</v>
          </cell>
        </row>
        <row r="2651">
          <cell r="A2651" t="str">
            <v>SIGN TECH</v>
          </cell>
          <cell r="B2651" t="str">
            <v>Online Business</v>
          </cell>
        </row>
        <row r="2652">
          <cell r="A2652" t="str">
            <v>SIKA INTERPLANT SYSTEMS LIMITED</v>
          </cell>
          <cell r="B2652" t="str">
            <v>Group-4 ( Office Account)</v>
          </cell>
        </row>
        <row r="2653">
          <cell r="A2653" t="str">
            <v>SILVER LINE CONTROLS AND AUTOMATION TECHNOLOGIES PRIVATE LIMITED</v>
          </cell>
          <cell r="B2653" t="str">
            <v>Group 1-Giridhar-Peenya</v>
          </cell>
        </row>
        <row r="2654">
          <cell r="A2654" t="str">
            <v>Silver Spark Apparel  Ltd</v>
          </cell>
          <cell r="B2654" t="str">
            <v>Group - 5 (Ananthapadmanabha)</v>
          </cell>
        </row>
        <row r="2655">
          <cell r="A2655" t="str">
            <v>Sim Control And Engineering</v>
          </cell>
          <cell r="B2655" t="str">
            <v>Group 1-Giridhar-Peenya</v>
          </cell>
        </row>
        <row r="2656">
          <cell r="A2656" t="str">
            <v>SIM LANKA PVT. LTD.</v>
          </cell>
          <cell r="B2656" t="str">
            <v>Group-4 ( Office Account)</v>
          </cell>
        </row>
        <row r="2657">
          <cell r="A2657" t="str">
            <v>SINAR SHEETMETAL SOLUTIONS PRIVATE LIMITED</v>
          </cell>
          <cell r="B2657" t="str">
            <v>Group 1-Giridhar-Peenya</v>
          </cell>
        </row>
        <row r="2658">
          <cell r="A2658" t="str">
            <v>Sindhu Engineering Company</v>
          </cell>
          <cell r="B2658" t="str">
            <v>Group-2 (Veeresh- Bomsdr+Hosur)</v>
          </cell>
        </row>
        <row r="2659">
          <cell r="A2659" t="str">
            <v>SIRI AUTOMATION SOLUTIONS</v>
          </cell>
          <cell r="B2659" t="str">
            <v>Group-4 ( Office Account)</v>
          </cell>
        </row>
        <row r="2660">
          <cell r="A2660" t="str">
            <v>SIRI ENTERPRISES</v>
          </cell>
          <cell r="B2660" t="str">
            <v>Group-2 (Veeresh- Bomsdr+Hosur)</v>
          </cell>
        </row>
        <row r="2661">
          <cell r="A2661" t="str">
            <v>SIRIUS CONTROLS PVT.LTD</v>
          </cell>
          <cell r="B2661" t="str">
            <v>Group-2 (Veeresh- Bomsdr+Hosur)</v>
          </cell>
        </row>
        <row r="2662">
          <cell r="A2662" t="str">
            <v>Sivara Automation And Controls (P) Ltd</v>
          </cell>
          <cell r="B2662" t="str">
            <v>Group 1-Giridhar-Peenya</v>
          </cell>
        </row>
        <row r="2663">
          <cell r="A2663" t="str">
            <v>SKANDA CONTROLS</v>
          </cell>
          <cell r="B2663" t="str">
            <v>Group-4 ( Office Account)</v>
          </cell>
        </row>
        <row r="2664">
          <cell r="A2664" t="str">
            <v>SKANDA MACHINE TOOLS PVT.LTD</v>
          </cell>
          <cell r="B2664" t="str">
            <v>Group 1-Giridhar-Peenya</v>
          </cell>
        </row>
        <row r="2665">
          <cell r="A2665" t="str">
            <v>Skanda Manufactruing Systems Pvt Ltd</v>
          </cell>
          <cell r="B2665" t="str">
            <v>Group 1-Giridhar-Peenya</v>
          </cell>
        </row>
        <row r="2666">
          <cell r="A2666" t="str">
            <v>Skanray Healthcare Pvt Ltd</v>
          </cell>
          <cell r="B2666" t="str">
            <v>Group-4 ( Office Account)</v>
          </cell>
        </row>
        <row r="2667">
          <cell r="A2667" t="str">
            <v>Skanray Technologies Limited</v>
          </cell>
          <cell r="B2667" t="str">
            <v>Group - 5 (Ananthapadmanabha)</v>
          </cell>
        </row>
        <row r="2668">
          <cell r="A2668" t="str">
            <v>SKANRAY TECHNOLOGIES PVT LTD (HC)</v>
          </cell>
          <cell r="B2668" t="str">
            <v>Group - 5 (Ananthapadmanabha)</v>
          </cell>
        </row>
        <row r="2669">
          <cell r="A2669" t="str">
            <v>SKF BEARINGS INDIA LTD</v>
          </cell>
          <cell r="B2669" t="str">
            <v>Group-2 (Veeresh- Bomsdr+Hosur)</v>
          </cell>
        </row>
        <row r="2670">
          <cell r="A2670" t="str">
            <v>SKF TECHNOLOGIES (INDIA) PVT.LTD</v>
          </cell>
          <cell r="B2670" t="str">
            <v>Group-2 (Veeresh- Bomsdr+Hosur)</v>
          </cell>
        </row>
        <row r="2671">
          <cell r="A2671" t="str">
            <v>SKP SERVICE SOLUTIONS</v>
          </cell>
          <cell r="B2671" t="str">
            <v>Group-4 ( Office Account)</v>
          </cell>
        </row>
        <row r="2672">
          <cell r="A2672" t="str">
            <v>SKYTECH INFINITE PLATFORM LIMITED</v>
          </cell>
          <cell r="B2672" t="str">
            <v>Group - 5 (Ananthapadmanabha)</v>
          </cell>
        </row>
        <row r="2673">
          <cell r="A2673" t="str">
            <v>Skytech Infinite Platform Pvt. Ltd., (OLD)</v>
          </cell>
          <cell r="B2673" t="str">
            <v>Group - 5 (Ananthapadmanabha)</v>
          </cell>
        </row>
        <row r="2674">
          <cell r="A2674" t="str">
            <v>SKYVOLT SYSTEM INTEGRATORS</v>
          </cell>
          <cell r="B2674" t="str">
            <v>Group 1-Giridhar-Peenya</v>
          </cell>
        </row>
        <row r="2675">
          <cell r="A2675" t="str">
            <v>SLN ENGINEERS</v>
          </cell>
          <cell r="B2675" t="str">
            <v>Group 1-Giridhar-Peenya</v>
          </cell>
        </row>
        <row r="2676">
          <cell r="A2676" t="str">
            <v>SLN TRADERS</v>
          </cell>
          <cell r="B2676" t="str">
            <v>Group-4 ( Office Account)</v>
          </cell>
        </row>
        <row r="2677">
          <cell r="A2677" t="str">
            <v>SLOKI SOFTWARE TECHNOLOGIES LLP</v>
          </cell>
          <cell r="B2677" t="str">
            <v>Online Business</v>
          </cell>
        </row>
        <row r="2678">
          <cell r="A2678" t="str">
            <v>SLV POWER CONTROL</v>
          </cell>
          <cell r="B2678" t="str">
            <v>Group-4 ( Office Account)</v>
          </cell>
        </row>
        <row r="2679">
          <cell r="A2679" t="str">
            <v>SLVS Electro Control &amp; Automation (Old)</v>
          </cell>
          <cell r="B2679" t="str">
            <v>Group 1-Giridhar-Peenya</v>
          </cell>
        </row>
        <row r="2680">
          <cell r="A2680" t="str">
            <v>SLVS ELECTRO CONTROLS &amp; AUTOMATION</v>
          </cell>
          <cell r="B2680" t="str">
            <v>Online Business</v>
          </cell>
        </row>
        <row r="2681">
          <cell r="A2681" t="str">
            <v>SM Autotech</v>
          </cell>
          <cell r="B2681" t="str">
            <v>Group-2 (Veeresh- Bomsdr+Hosur)</v>
          </cell>
        </row>
        <row r="2682">
          <cell r="A2682" t="str">
            <v>SM Power Controls</v>
          </cell>
          <cell r="B2682" t="str">
            <v>Group 1-Giridhar-Peenya</v>
          </cell>
        </row>
        <row r="2683">
          <cell r="A2683" t="str">
            <v>SMARTEDGE AUTOMATOIN</v>
          </cell>
          <cell r="B2683" t="str">
            <v>Group 1-Giridhar-Peenya</v>
          </cell>
        </row>
        <row r="2684">
          <cell r="A2684" t="str">
            <v>SMITH ENGINEERINGS WORKS</v>
          </cell>
          <cell r="B2684" t="str">
            <v>Group 1-Giridhar-Peenya</v>
          </cell>
        </row>
        <row r="2685">
          <cell r="A2685" t="str">
            <v>SMR Engineering Works</v>
          </cell>
          <cell r="B2685" t="str">
            <v>Group-4 ( Office Account)</v>
          </cell>
        </row>
        <row r="2686">
          <cell r="A2686" t="str">
            <v>Smt. Girija S</v>
          </cell>
          <cell r="B2686" t="str">
            <v>Group-4 ( Office Account)</v>
          </cell>
        </row>
        <row r="2687">
          <cell r="A2687" t="str">
            <v>Smt. Latha</v>
          </cell>
          <cell r="B2687" t="str">
            <v>Group-4 ( Office Account)</v>
          </cell>
        </row>
        <row r="2688">
          <cell r="A2688" t="str">
            <v>SMV Beverages Private Limited</v>
          </cell>
          <cell r="B2688" t="str">
            <v>Group-4 ( Office Account)</v>
          </cell>
        </row>
        <row r="2689">
          <cell r="A2689" t="str">
            <v>SN Associates</v>
          </cell>
          <cell r="B2689" t="str">
            <v>Group-2 (Veeresh- Bomsdr+Hosur)</v>
          </cell>
        </row>
        <row r="2690">
          <cell r="A2690" t="str">
            <v>SNEHA CONTROLS</v>
          </cell>
          <cell r="B2690" t="str">
            <v>Group 1-Giridhar-Peenya</v>
          </cell>
        </row>
        <row r="2691">
          <cell r="A2691" t="str">
            <v>SNEHA CONTROLS (OLD)</v>
          </cell>
          <cell r="B2691" t="str">
            <v>Group 1-Giridhar-Peenya</v>
          </cell>
        </row>
        <row r="2692">
          <cell r="A2692" t="str">
            <v>SNN ARJUN BUILDERS LLP</v>
          </cell>
          <cell r="B2692" t="str">
            <v>Group-2 (Veeresh- Bomsdr+Hosur)</v>
          </cell>
        </row>
        <row r="2693">
          <cell r="A2693" t="str">
            <v>SNRV Electrical and Electronic Solutions</v>
          </cell>
          <cell r="B2693" t="str">
            <v>Group-4 ( Office Account)</v>
          </cell>
        </row>
        <row r="2694">
          <cell r="A2694" t="str">
            <v>Sobha Casa Paradiso</v>
          </cell>
          <cell r="B2694" t="str">
            <v>Group - 5 (Ananthapadmanabha)</v>
          </cell>
        </row>
        <row r="2695">
          <cell r="A2695" t="str">
            <v>Sobha Limited</v>
          </cell>
          <cell r="B2695" t="str">
            <v>Group - 5 (Ananthapadmanabha)</v>
          </cell>
        </row>
        <row r="2696">
          <cell r="A2696" t="str">
            <v>SOLANKI LIGHT HOUSE</v>
          </cell>
          <cell r="B2696" t="str">
            <v>Group-4 ( Office Account)</v>
          </cell>
        </row>
        <row r="2697">
          <cell r="A2697" t="str">
            <v>SOLAR</v>
          </cell>
          <cell r="B2697" t="str">
            <v>Group-4 ( Office Account)</v>
          </cell>
        </row>
        <row r="2698">
          <cell r="A2698" t="str">
            <v>SOLAR CORONA ENERGY PVT LTD</v>
          </cell>
          <cell r="B2698" t="str">
            <v>Group-4 ( Office Account)</v>
          </cell>
        </row>
        <row r="2699">
          <cell r="A2699" t="str">
            <v>Solar vidyuth Engineers</v>
          </cell>
          <cell r="B2699" t="str">
            <v>Group-4 ( Office Account)</v>
          </cell>
        </row>
        <row r="2700">
          <cell r="A2700" t="str">
            <v>SOLARTECH SYSTEMS PRIVATE LIMITED</v>
          </cell>
          <cell r="B2700" t="str">
            <v>Group-4 ( Office Account)</v>
          </cell>
        </row>
        <row r="2701">
          <cell r="A2701" t="str">
            <v>SOLIND SERVICES PRIVATE LIMITED</v>
          </cell>
          <cell r="B2701" t="str">
            <v>Group-4 ( Office Account)</v>
          </cell>
        </row>
        <row r="2702">
          <cell r="A2702" t="str">
            <v>SOLIND SERVICES PRIVATE LIMITED (Old)</v>
          </cell>
          <cell r="B2702" t="str">
            <v>Group-4 ( Office Account)</v>
          </cell>
        </row>
        <row r="2703">
          <cell r="A2703" t="str">
            <v>SOMERSET THERAPEUTICS LIMITED</v>
          </cell>
          <cell r="B2703" t="str">
            <v>Group 1-Giridhar-Peenya</v>
          </cell>
        </row>
        <row r="2704">
          <cell r="A2704" t="str">
            <v>Somu Chemicals and Pharmaceuticals (P) Ltd.,</v>
          </cell>
          <cell r="B2704" t="str">
            <v>Group-4 ( Office Account)</v>
          </cell>
        </row>
        <row r="2705">
          <cell r="A2705" t="str">
            <v>Somu Solvents Pvt. Ltd., (H)</v>
          </cell>
          <cell r="B2705" t="str">
            <v>Group-4 ( Office Account)</v>
          </cell>
        </row>
        <row r="2706">
          <cell r="A2706" t="str">
            <v>Sonal Enterprises</v>
          </cell>
          <cell r="B2706" t="str">
            <v>Group-4 ( Office Account)</v>
          </cell>
        </row>
        <row r="2707">
          <cell r="A2707" t="str">
            <v>SONCE TECHNOLOGIES (INDIA) PVT. LTD,</v>
          </cell>
          <cell r="B2707" t="str">
            <v>Group 1-Giridhar-Peenya</v>
          </cell>
        </row>
        <row r="2708">
          <cell r="A2708" t="str">
            <v>SONEPAR INDIA PVT LTD</v>
          </cell>
          <cell r="B2708" t="str">
            <v>Group-4 ( Office Account)</v>
          </cell>
        </row>
        <row r="2709">
          <cell r="A2709" t="str">
            <v>Soplar India Pvt  Ltd   (N)</v>
          </cell>
          <cell r="B2709" t="str">
            <v>Group 1-Giridhar-Peenya</v>
          </cell>
        </row>
        <row r="2710">
          <cell r="A2710" t="str">
            <v>Sorters Pvt Ltd</v>
          </cell>
          <cell r="B2710" t="str">
            <v>Group-4 ( Office Account)</v>
          </cell>
        </row>
        <row r="2711">
          <cell r="A2711" t="str">
            <v>Sound Track</v>
          </cell>
          <cell r="B2711" t="str">
            <v>Group-4 ( Office Account)</v>
          </cell>
        </row>
        <row r="2712">
          <cell r="A2712" t="str">
            <v>SOUTHERN CHIPS &amp; CIRCUITS PVT LTD</v>
          </cell>
          <cell r="B2712" t="str">
            <v>Group-2 (Veeresh- Bomsdr+Hosur)</v>
          </cell>
        </row>
        <row r="2713">
          <cell r="A2713" t="str">
            <v>SOUTHERN ELECTRIC COMPANY</v>
          </cell>
          <cell r="B2713" t="str">
            <v>Group 1-Giridhar-Peenya</v>
          </cell>
        </row>
        <row r="2714">
          <cell r="A2714" t="str">
            <v>Southern Electric Company (G)</v>
          </cell>
          <cell r="B2714" t="str">
            <v>Group 1-Giridhar-Peenya</v>
          </cell>
        </row>
        <row r="2715">
          <cell r="A2715" t="str">
            <v>Southern Electrical &amp; Automobiles</v>
          </cell>
          <cell r="B2715" t="str">
            <v>Group-4 ( Office Account)</v>
          </cell>
        </row>
        <row r="2716">
          <cell r="A2716" t="str">
            <v>Southern Electronics (B) Pvt ltd</v>
          </cell>
          <cell r="B2716" t="str">
            <v>Group 1-Giridhar-Peenya</v>
          </cell>
        </row>
        <row r="2717">
          <cell r="A2717" t="str">
            <v>SOUTHERN LUBRICATION PVT LTD</v>
          </cell>
          <cell r="B2717" t="str">
            <v>Group-4 ( Office Account)</v>
          </cell>
        </row>
        <row r="2718">
          <cell r="A2718" t="str">
            <v>SOUTHERN LUBRICATION PVT LTD (Kor)</v>
          </cell>
          <cell r="B2718" t="str">
            <v>Group-2 (Veeresh- Bomsdr+Hosur)</v>
          </cell>
        </row>
        <row r="2719">
          <cell r="A2719" t="str">
            <v>SOUTHERN RAILWAYS</v>
          </cell>
          <cell r="B2719" t="str">
            <v>Group-4 ( Office Account)</v>
          </cell>
        </row>
        <row r="2720">
          <cell r="A2720" t="str">
            <v>Souza Enterprises</v>
          </cell>
          <cell r="B2720" t="str">
            <v>Group-4 ( Office Account)</v>
          </cell>
        </row>
        <row r="2721">
          <cell r="A2721" t="str">
            <v>SP ELECTRICALS</v>
          </cell>
          <cell r="B2721" t="str">
            <v>Group-4 ( Office Account)</v>
          </cell>
        </row>
        <row r="2722">
          <cell r="A2722" t="str">
            <v>SP Engineers</v>
          </cell>
          <cell r="B2722" t="str">
            <v>Group-2 (Veeresh- Bomsdr+Hosur)</v>
          </cell>
        </row>
        <row r="2723">
          <cell r="A2723" t="str">
            <v>SP LEAK TEST AND AUTOMATION PRIVATE LIMITED</v>
          </cell>
          <cell r="B2723" t="str">
            <v>Group 1-Giridhar-Peenya</v>
          </cell>
        </row>
        <row r="2724">
          <cell r="A2724" t="str">
            <v>SPARETEX SUPPLIES</v>
          </cell>
          <cell r="B2724" t="str">
            <v>Group-2 (Veeresh- Bomsdr+Hosur)</v>
          </cell>
        </row>
        <row r="2725">
          <cell r="A2725" t="str">
            <v>Sparr Electronics Ltd</v>
          </cell>
          <cell r="B2725" t="str">
            <v>Group 1-Giridhar-Peenya</v>
          </cell>
        </row>
        <row r="2726">
          <cell r="A2726" t="str">
            <v>SPARSH Hospital</v>
          </cell>
          <cell r="B2726" t="str">
            <v>Group-4 ( Office Account)</v>
          </cell>
        </row>
        <row r="2727">
          <cell r="A2727" t="str">
            <v>SPARTAMECH MACHINES LLP</v>
          </cell>
          <cell r="B2727" t="str">
            <v>Group-2 (Veeresh- Bomsdr+Hosur)</v>
          </cell>
        </row>
        <row r="2728">
          <cell r="A2728" t="str">
            <v>SPG Autotech</v>
          </cell>
          <cell r="B2728" t="str">
            <v>Group 1-Giridhar-Peenya</v>
          </cell>
        </row>
        <row r="2729">
          <cell r="A2729" t="str">
            <v>SPG Systems (Cust)</v>
          </cell>
          <cell r="B2729" t="str">
            <v>Group-4 ( Office Account)</v>
          </cell>
        </row>
        <row r="2730">
          <cell r="A2730" t="str">
            <v>SPIRO GEARS</v>
          </cell>
          <cell r="B2730" t="str">
            <v>Group 1-Giridhar-Peenya</v>
          </cell>
        </row>
        <row r="2731">
          <cell r="A2731" t="str">
            <v>Spm India Limited (Unit-2)</v>
          </cell>
          <cell r="B2731" t="str">
            <v>Group-2 (Veeresh- Bomsdr+Hosur)</v>
          </cell>
        </row>
        <row r="2732">
          <cell r="A2732" t="str">
            <v>SPM INDIA LTD</v>
          </cell>
          <cell r="B2732" t="str">
            <v>Group-4 ( Office Account)</v>
          </cell>
        </row>
        <row r="2733">
          <cell r="A2733" t="str">
            <v>Spm India Ltd (Unit-1)</v>
          </cell>
          <cell r="B2733" t="str">
            <v>Group-2 (Veeresh- Bomsdr+Hosur)</v>
          </cell>
        </row>
        <row r="2734">
          <cell r="A2734" t="str">
            <v>Spraying Systems India Pvt Ltd</v>
          </cell>
          <cell r="B2734" t="str">
            <v>Group 1-Giridhar-Peenya</v>
          </cell>
        </row>
        <row r="2735">
          <cell r="A2735" t="str">
            <v>SPS ENTERPRISES</v>
          </cell>
          <cell r="B2735" t="str">
            <v>Group-4 ( Office Account)</v>
          </cell>
        </row>
        <row r="2736">
          <cell r="A2736" t="str">
            <v>SQUAD ENTERPRISES PRIVATE LIMITED</v>
          </cell>
          <cell r="B2736" t="str">
            <v>Group-4 ( Office Account)</v>
          </cell>
        </row>
        <row r="2737">
          <cell r="A2737" t="str">
            <v>SR CONTROL SYSTEMS</v>
          </cell>
          <cell r="B2737" t="str">
            <v>Group 1-Giridhar-Peenya</v>
          </cell>
        </row>
        <row r="2738">
          <cell r="A2738" t="str">
            <v>SR CONTROLTEK PRIVATE LIMITED</v>
          </cell>
          <cell r="B2738" t="str">
            <v>Online Business</v>
          </cell>
        </row>
        <row r="2739">
          <cell r="A2739" t="str">
            <v>SR ENTERPRISES</v>
          </cell>
          <cell r="B2739" t="str">
            <v>Group 1-Giridhar-Peenya</v>
          </cell>
        </row>
        <row r="2740">
          <cell r="A2740" t="str">
            <v>SR Enterprises (B)</v>
          </cell>
          <cell r="B2740" t="str">
            <v>Group 1-Giridhar-Peenya</v>
          </cell>
        </row>
        <row r="2741">
          <cell r="A2741" t="str">
            <v>SR ENTERPRISES (H)</v>
          </cell>
          <cell r="B2741" t="str">
            <v>Group 1-Giridhar-Peenya</v>
          </cell>
        </row>
        <row r="2742">
          <cell r="A2742" t="str">
            <v>SR Industries</v>
          </cell>
          <cell r="B2742" t="str">
            <v>Group 1-Giridhar-Peenya</v>
          </cell>
        </row>
        <row r="2743">
          <cell r="A2743" t="str">
            <v>SREE BALAJI ENTERPRISES</v>
          </cell>
          <cell r="B2743" t="str">
            <v>Group-4 ( Office Account)</v>
          </cell>
        </row>
        <row r="2744">
          <cell r="A2744" t="str">
            <v>SREE DEVI ELECTRICALS</v>
          </cell>
          <cell r="B2744" t="str">
            <v>Group-4 ( Office Account)</v>
          </cell>
        </row>
        <row r="2745">
          <cell r="A2745" t="str">
            <v>Sree Electricals</v>
          </cell>
          <cell r="B2745" t="str">
            <v>Group - 5 (Ananthapadmanabha)</v>
          </cell>
        </row>
        <row r="2746">
          <cell r="A2746" t="str">
            <v>Sree Maatha Automation Service</v>
          </cell>
          <cell r="B2746" t="str">
            <v>Group-4 ( Office Account)</v>
          </cell>
        </row>
        <row r="2747">
          <cell r="A2747" t="str">
            <v>SREE MURUGAN ENTERPRISES</v>
          </cell>
          <cell r="B2747" t="str">
            <v>Online Business</v>
          </cell>
        </row>
        <row r="2748">
          <cell r="A2748" t="str">
            <v>SREE RAMA SUPER SURFACTANTS</v>
          </cell>
          <cell r="B2748" t="str">
            <v>Group-4 ( Office Account)</v>
          </cell>
        </row>
        <row r="2749">
          <cell r="A2749" t="str">
            <v>SREE SUMUKHA ENGINEERING</v>
          </cell>
          <cell r="B2749" t="str">
            <v>Group-2 (Veeresh- Bomsdr+Hosur)</v>
          </cell>
        </row>
        <row r="2750">
          <cell r="A2750" t="str">
            <v>Sree Technologies</v>
          </cell>
          <cell r="B2750" t="str">
            <v>Group-4 ( Office Account)</v>
          </cell>
        </row>
        <row r="2751">
          <cell r="A2751" t="str">
            <v>SREE TOOLS &amp; HARDWARES</v>
          </cell>
          <cell r="B2751" t="str">
            <v>Group-4 ( Office Account)</v>
          </cell>
        </row>
        <row r="2752">
          <cell r="A2752" t="str">
            <v>Sree Umashankar Electricals (J)</v>
          </cell>
          <cell r="B2752" t="str">
            <v>Group - 5 (Ananthapadmanabha)</v>
          </cell>
        </row>
        <row r="2753">
          <cell r="A2753" t="str">
            <v>SREE UMASHANKAR ELECTRICALS (M)</v>
          </cell>
          <cell r="B2753" t="str">
            <v>Group - 5 (Ananthapadmanabha)</v>
          </cell>
        </row>
        <row r="2754">
          <cell r="A2754" t="str">
            <v>SREE UMASHANKAR ELECTRICALS (OLD)</v>
          </cell>
          <cell r="B2754" t="str">
            <v>Group - 5 (Ananthapadmanabha)</v>
          </cell>
        </row>
        <row r="2755">
          <cell r="A2755" t="str">
            <v>SREE VENKATESHWARA CRANES</v>
          </cell>
          <cell r="B2755" t="str">
            <v>Group-4 ( Office Account)</v>
          </cell>
        </row>
        <row r="2756">
          <cell r="A2756" t="str">
            <v>Sree Venugopal Flour Mills</v>
          </cell>
          <cell r="B2756" t="str">
            <v>Online Business</v>
          </cell>
        </row>
        <row r="2757">
          <cell r="A2757" t="str">
            <v>Sree Vidyanikethan Educational Trust</v>
          </cell>
          <cell r="B2757" t="str">
            <v>Group - 5 (Ananthapadmanabha)</v>
          </cell>
        </row>
        <row r="2758">
          <cell r="A2758" t="str">
            <v>Sreeram Facility</v>
          </cell>
          <cell r="B2758" t="str">
            <v>Group 1-Giridhar-Peenya</v>
          </cell>
        </row>
        <row r="2759">
          <cell r="A2759" t="str">
            <v>Sri  V G Suman</v>
          </cell>
          <cell r="B2759" t="str">
            <v>Group-4 ( Office Account)</v>
          </cell>
        </row>
        <row r="2760">
          <cell r="A2760" t="str">
            <v>SRI AMOGH INC</v>
          </cell>
          <cell r="B2760" t="str">
            <v>Online Business</v>
          </cell>
        </row>
        <row r="2761">
          <cell r="A2761" t="str">
            <v>SRI BALAJI ENTERPRISES</v>
          </cell>
          <cell r="B2761" t="str">
            <v>Group-4 ( Office Account)</v>
          </cell>
        </row>
        <row r="2762">
          <cell r="A2762" t="str">
            <v>SRI BALAJI ENTERPRISES (Chp)</v>
          </cell>
          <cell r="B2762" t="str">
            <v>Group-4 ( Office Account)</v>
          </cell>
        </row>
        <row r="2763">
          <cell r="A2763" t="str">
            <v>SRI BALAJI METAL WORKS</v>
          </cell>
          <cell r="B2763" t="str">
            <v>Group-4 ( Office Account)</v>
          </cell>
        </row>
        <row r="2764">
          <cell r="A2764" t="str">
            <v>SRI BALAJI SOLUTIONS</v>
          </cell>
          <cell r="B2764" t="str">
            <v>Group 1-Giridhar-Peenya</v>
          </cell>
        </row>
        <row r="2765">
          <cell r="A2765" t="str">
            <v>Sri Basaveshwara Enterprises</v>
          </cell>
          <cell r="B2765" t="str">
            <v>Group-2 (Veeresh- Bomsdr+Hosur)</v>
          </cell>
        </row>
        <row r="2766">
          <cell r="A2766" t="str">
            <v>SRI BENAKA ELECTRICALS</v>
          </cell>
          <cell r="B2766" t="str">
            <v>Group - 5 (Ananthapadmanabha)</v>
          </cell>
        </row>
        <row r="2767">
          <cell r="A2767" t="str">
            <v>SRI BYRAVESHWARA CONTROLS</v>
          </cell>
          <cell r="B2767" t="str">
            <v>Group 1-Giridhar-Peenya</v>
          </cell>
        </row>
        <row r="2768">
          <cell r="A2768" t="str">
            <v>Sri Chakra Engineering Equipments</v>
          </cell>
          <cell r="B2768" t="str">
            <v>Group 1-Giridhar-Peenya</v>
          </cell>
        </row>
        <row r="2769">
          <cell r="A2769" t="str">
            <v>Sri Chamundeswari Agencies</v>
          </cell>
          <cell r="B2769" t="str">
            <v>Group-4 ( Office Account)</v>
          </cell>
        </row>
        <row r="2770">
          <cell r="A2770" t="str">
            <v>Sri Chowdeshwari Electricals</v>
          </cell>
          <cell r="B2770" t="str">
            <v>Group-4 ( Office Account)</v>
          </cell>
        </row>
        <row r="2771">
          <cell r="A2771" t="str">
            <v>Sri Devi Electricals</v>
          </cell>
          <cell r="B2771" t="str">
            <v>Group - 5 (Ananthapadmanabha)</v>
          </cell>
        </row>
        <row r="2772">
          <cell r="A2772" t="str">
            <v>Sri Durga Solution</v>
          </cell>
          <cell r="B2772" t="str">
            <v>Group 1-Giridhar-Peenya</v>
          </cell>
        </row>
        <row r="2773">
          <cell r="A2773" t="str">
            <v>SRI GANESH KRISHNA ENTERPRISES</v>
          </cell>
          <cell r="B2773" t="str">
            <v>Group-4 ( Office Account)</v>
          </cell>
        </row>
        <row r="2774">
          <cell r="A2774" t="str">
            <v>SRI GANESH SWITCHGEARS (P) LTD</v>
          </cell>
          <cell r="B2774" t="str">
            <v>Group 1-Giridhar-Peenya</v>
          </cell>
        </row>
        <row r="2775">
          <cell r="A2775" t="str">
            <v>SRI GANESH TRADE LINK</v>
          </cell>
          <cell r="B2775" t="str">
            <v>Group-4 ( Office Account)</v>
          </cell>
        </row>
        <row r="2776">
          <cell r="A2776" t="str">
            <v>SRI GANGADARESHWARA WOOD WORK</v>
          </cell>
          <cell r="B2776" t="str">
            <v>Group-4 ( Office Account)</v>
          </cell>
        </row>
        <row r="2777">
          <cell r="A2777" t="str">
            <v>SRI GURURAJ ENTERPRISES</v>
          </cell>
          <cell r="B2777" t="str">
            <v>Group-4 ( Office Account)</v>
          </cell>
        </row>
        <row r="2778">
          <cell r="A2778" t="str">
            <v>SRI HARI MANOJ AUTOMATION SYSTEMS</v>
          </cell>
          <cell r="B2778" t="str">
            <v>Group 1-Giridhar-Peenya</v>
          </cell>
        </row>
        <row r="2779">
          <cell r="A2779" t="str">
            <v>SRI HARI TRADERS</v>
          </cell>
          <cell r="B2779" t="str">
            <v>Group-4 ( Office Account)</v>
          </cell>
        </row>
        <row r="2780">
          <cell r="A2780" t="str">
            <v>SRI JALADI ELECTRICALS</v>
          </cell>
          <cell r="B2780" t="str">
            <v>Group 1-Giridhar-Peenya</v>
          </cell>
        </row>
        <row r="2781">
          <cell r="A2781" t="str">
            <v>SRI KALABHAIRAVA AUTOMATION</v>
          </cell>
          <cell r="B2781" t="str">
            <v>Online Business</v>
          </cell>
        </row>
        <row r="2782">
          <cell r="A2782" t="str">
            <v>SRI KESHAVA AGENCIES</v>
          </cell>
          <cell r="B2782" t="str">
            <v>Group 1-Giridhar-Peenya</v>
          </cell>
        </row>
        <row r="2783">
          <cell r="A2783" t="str">
            <v>SRI LAKSHMI GANESH DISTRIBUTORS</v>
          </cell>
          <cell r="B2783" t="str">
            <v>Group-4 ( Office Account)</v>
          </cell>
        </row>
        <row r="2784">
          <cell r="A2784" t="str">
            <v>SRI LAKSHMI TOOLS</v>
          </cell>
          <cell r="B2784" t="str">
            <v>Group-4 ( Office Account)</v>
          </cell>
        </row>
        <row r="2785">
          <cell r="A2785" t="str">
            <v>Sri Laven Engineering Pvt Ltd</v>
          </cell>
          <cell r="B2785" t="str">
            <v>Group 1-Giridhar-Peenya</v>
          </cell>
        </row>
        <row r="2786">
          <cell r="A2786" t="str">
            <v>SRI MAHADEV ENTERPRISES</v>
          </cell>
          <cell r="B2786" t="str">
            <v>Online Business</v>
          </cell>
        </row>
        <row r="2787">
          <cell r="A2787" t="str">
            <v>SRI MAHAVISHNU AUTOMATION</v>
          </cell>
          <cell r="B2787" t="str">
            <v>Group 1-Giridhar-Peenya</v>
          </cell>
        </row>
        <row r="2788">
          <cell r="A2788" t="str">
            <v>Sri Manjunatha Automation</v>
          </cell>
          <cell r="B2788" t="str">
            <v>Group 1-Giridhar-Peenya</v>
          </cell>
        </row>
        <row r="2789">
          <cell r="A2789" t="str">
            <v>SRI MANJUNATHA ELECTRICAL ENTERPRISES</v>
          </cell>
          <cell r="B2789" t="str">
            <v>Group-4 ( Office Account)</v>
          </cell>
        </row>
        <row r="2790">
          <cell r="A2790" t="str">
            <v>SRI MANJUNATHA ELECTRICALS</v>
          </cell>
          <cell r="B2790" t="str">
            <v>Group-4 ( Office Account)</v>
          </cell>
        </row>
        <row r="2791">
          <cell r="A2791" t="str">
            <v>SRI MANJUNATHA HYDRAULIC SERVICES</v>
          </cell>
          <cell r="B2791" t="str">
            <v>Group-4 ( Office Account)</v>
          </cell>
        </row>
        <row r="2792">
          <cell r="A2792" t="str">
            <v>Sri Maruthi Electronics</v>
          </cell>
          <cell r="B2792" t="str">
            <v>Group-4 ( Office Account)</v>
          </cell>
        </row>
        <row r="2793">
          <cell r="A2793" t="str">
            <v>Sri Murugan Enterprises</v>
          </cell>
          <cell r="B2793" t="str">
            <v>Group-4 ( Office Account)</v>
          </cell>
        </row>
        <row r="2794">
          <cell r="A2794" t="str">
            <v>SRI MURUGAN LIFT MOVERS</v>
          </cell>
          <cell r="B2794" t="str">
            <v>Online Business</v>
          </cell>
        </row>
        <row r="2795">
          <cell r="A2795" t="str">
            <v>Sri Nanjundeshwara Enterprises</v>
          </cell>
          <cell r="B2795" t="str">
            <v>Group 1-Giridhar-Peenya</v>
          </cell>
        </row>
        <row r="2796">
          <cell r="A2796" t="str">
            <v>SRI NAVODAYA AUTOMATION</v>
          </cell>
          <cell r="B2796" t="str">
            <v>Group-2 (Veeresh- Bomsdr+Hosur)</v>
          </cell>
        </row>
        <row r="2797">
          <cell r="A2797" t="str">
            <v>SRI NEXTGEN CNC TECH</v>
          </cell>
          <cell r="B2797" t="str">
            <v>Group-4 ( Office Account)</v>
          </cell>
        </row>
        <row r="2798">
          <cell r="A2798" t="str">
            <v>Sri Nidhi Industrial Suppliers</v>
          </cell>
          <cell r="B2798" t="str">
            <v>Group-4 ( Office Account)</v>
          </cell>
        </row>
        <row r="2799">
          <cell r="A2799" t="str">
            <v>SRI OM MARKETING</v>
          </cell>
          <cell r="B2799" t="str">
            <v>Group-4 ( Office Account)</v>
          </cell>
        </row>
        <row r="2800">
          <cell r="A2800" t="str">
            <v>SRI PADA DATA SERVICES</v>
          </cell>
          <cell r="B2800" t="str">
            <v>Group-4 ( Office Account)</v>
          </cell>
        </row>
        <row r="2801">
          <cell r="A2801" t="str">
            <v>Sri Parijatha Hotels (BNG) Pvt. Ltd.,</v>
          </cell>
          <cell r="B2801" t="str">
            <v>Group 1-Giridhar-Peenya</v>
          </cell>
        </row>
        <row r="2802">
          <cell r="A2802" t="str">
            <v>Sri Parijatha Machinery Works</v>
          </cell>
          <cell r="B2802" t="str">
            <v>Group 1-Giridhar-Peenya</v>
          </cell>
        </row>
        <row r="2803">
          <cell r="A2803" t="str">
            <v>Sri Parijatha Machinery Works Pvt Ltd</v>
          </cell>
          <cell r="B2803" t="str">
            <v>Group 1-Giridhar-Peenya</v>
          </cell>
        </row>
        <row r="2804">
          <cell r="A2804" t="str">
            <v>SRI PRAKASH ENTERPRISES</v>
          </cell>
          <cell r="B2804" t="str">
            <v>Group-4 ( Office Account)</v>
          </cell>
        </row>
        <row r="2805">
          <cell r="A2805" t="str">
            <v>SRI RAGHAVENDRA TRANSFORMERS</v>
          </cell>
          <cell r="B2805" t="str">
            <v>Group 1-Giridhar-Peenya</v>
          </cell>
        </row>
        <row r="2806">
          <cell r="A2806" t="str">
            <v>Sri Sadguru Agencies</v>
          </cell>
          <cell r="B2806" t="str">
            <v>Group-4 ( Office Account)</v>
          </cell>
        </row>
        <row r="2807">
          <cell r="A2807" t="str">
            <v>Sri Sadguru Sainath Seva Samithi</v>
          </cell>
          <cell r="B2807" t="str">
            <v>Group-2 (Veeresh- Bomsdr+Hosur)</v>
          </cell>
        </row>
        <row r="2808">
          <cell r="A2808" t="str">
            <v>SRI SAI ASSOCIATES</v>
          </cell>
          <cell r="B2808" t="str">
            <v>Group-4 ( Office Account)</v>
          </cell>
        </row>
        <row r="2809">
          <cell r="A2809" t="str">
            <v>Sri Sai Automation</v>
          </cell>
          <cell r="B2809" t="str">
            <v>Group 1-Giridhar-Peenya</v>
          </cell>
        </row>
        <row r="2810">
          <cell r="A2810" t="str">
            <v>SRI SAI MACHINE CARETAKERS</v>
          </cell>
          <cell r="B2810" t="str">
            <v>Online Business</v>
          </cell>
        </row>
        <row r="2811">
          <cell r="A2811" t="str">
            <v>Sri Sai Ram Prasanna Engineers</v>
          </cell>
          <cell r="B2811" t="str">
            <v>Online Business</v>
          </cell>
        </row>
        <row r="2812">
          <cell r="A2812" t="str">
            <v>SRI SAI TECHNOLOGIES</v>
          </cell>
          <cell r="B2812" t="str">
            <v>Group-4 ( Office Account)</v>
          </cell>
        </row>
        <row r="2813">
          <cell r="A2813" t="str">
            <v>SRI SAPTHAGIRI ELECTRICAL SERVICES</v>
          </cell>
          <cell r="B2813" t="str">
            <v>Group-4 ( Office Account)</v>
          </cell>
        </row>
        <row r="2814">
          <cell r="A2814" t="str">
            <v>Sri Shirdi Sai Controls</v>
          </cell>
          <cell r="B2814" t="str">
            <v>Group-4 ( Office Account)</v>
          </cell>
        </row>
        <row r="2815">
          <cell r="A2815" t="str">
            <v>SRI SHIVA PARVATHI ENTERPRISES</v>
          </cell>
          <cell r="B2815" t="str">
            <v>Group-4 ( Office Account)</v>
          </cell>
        </row>
        <row r="2816">
          <cell r="A2816" t="str">
            <v>Sri Shriya Control Systems (Old)</v>
          </cell>
          <cell r="B2816" t="str">
            <v>Group 1-Giridhar-Peenya</v>
          </cell>
        </row>
        <row r="2817">
          <cell r="A2817" t="str">
            <v>Sri Siddarameshwara Krupa</v>
          </cell>
          <cell r="B2817" t="str">
            <v>Group 1-Giridhar-Peenya</v>
          </cell>
        </row>
        <row r="2818">
          <cell r="A2818" t="str">
            <v>Sri Siddhi Vinayaka Agencies</v>
          </cell>
          <cell r="B2818" t="str">
            <v>Group-4 ( Office Account)</v>
          </cell>
        </row>
        <row r="2819">
          <cell r="A2819" t="str">
            <v>SRI SRI CRANES</v>
          </cell>
          <cell r="B2819" t="str">
            <v>Group-4 ( Office Account)</v>
          </cell>
        </row>
        <row r="2820">
          <cell r="A2820" t="str">
            <v>Sri Srinivasa Therapeutic Services Pvt Ltd</v>
          </cell>
          <cell r="B2820" t="str">
            <v>Group-4 ( Office Account)</v>
          </cell>
        </row>
        <row r="2821">
          <cell r="A2821" t="str">
            <v>Sri Srinivasa Therapeutic Services Pvt Ltd (Old)</v>
          </cell>
          <cell r="B2821" t="str">
            <v>Group-4 ( Office Account)</v>
          </cell>
        </row>
        <row r="2822">
          <cell r="A2822" t="str">
            <v>Sri Sumukha Engineering</v>
          </cell>
          <cell r="B2822" t="str">
            <v>Group-4 ( Office Account)</v>
          </cell>
        </row>
        <row r="2823">
          <cell r="A2823" t="str">
            <v>SRI SURYA SAI INDUSTRISES</v>
          </cell>
          <cell r="B2823" t="str">
            <v>Group 1-Giridhar-Peenya</v>
          </cell>
        </row>
        <row r="2824">
          <cell r="A2824" t="str">
            <v>SRI SUSAMYUTA KNITS PRIVATE LIMITED</v>
          </cell>
          <cell r="B2824" t="str">
            <v>Group 1-Giridhar-Peenya</v>
          </cell>
        </row>
        <row r="2825">
          <cell r="A2825" t="str">
            <v>SRI TULASI TECHNICAL AND ENGINEERING SERVICES</v>
          </cell>
          <cell r="B2825" t="str">
            <v>Group-4 ( Office Account)</v>
          </cell>
        </row>
        <row r="2826">
          <cell r="A2826" t="str">
            <v>SRI UNNEBASAVESHWARA ELECTRICALS</v>
          </cell>
          <cell r="B2826" t="str">
            <v>Online Business</v>
          </cell>
        </row>
        <row r="2827">
          <cell r="A2827" t="str">
            <v>Sri Varada Electricals</v>
          </cell>
          <cell r="B2827" t="str">
            <v>Group-4 ( Office Account)</v>
          </cell>
        </row>
        <row r="2828">
          <cell r="A2828" t="str">
            <v>SRI VASAVI ADHESIVE TAPES LIMITED (D)</v>
          </cell>
          <cell r="B2828" t="str">
            <v>Online Business</v>
          </cell>
        </row>
        <row r="2829">
          <cell r="A2829" t="str">
            <v>SRI VASUKI POWER SYSTEMS PRIVATE LIMITED</v>
          </cell>
          <cell r="B2829" t="str">
            <v>Group - 5 (Ananthapadmanabha)</v>
          </cell>
        </row>
        <row r="2830">
          <cell r="A2830" t="str">
            <v>Sri Venkateshwara Engineers</v>
          </cell>
          <cell r="B2830" t="str">
            <v>Group 1-Giridhar-Peenya</v>
          </cell>
        </row>
        <row r="2831">
          <cell r="A2831" t="str">
            <v>Sri Vidya Nikethan</v>
          </cell>
          <cell r="B2831" t="str">
            <v>Group-4 ( Office Account)</v>
          </cell>
        </row>
        <row r="2832">
          <cell r="A2832" t="str">
            <v>SRI VINAYAKA ENGINEERING</v>
          </cell>
          <cell r="B2832" t="str">
            <v>Online Business</v>
          </cell>
        </row>
        <row r="2833">
          <cell r="A2833" t="str">
            <v>SRI VINAYAKA ENGINEERING WORKS</v>
          </cell>
          <cell r="B2833" t="str">
            <v>Group - 5 (Ananthapadmanabha)</v>
          </cell>
        </row>
        <row r="2834">
          <cell r="A2834" t="str">
            <v>Sri Vinayaka Machine Tools</v>
          </cell>
          <cell r="B2834" t="str">
            <v>Group-4 ( Office Account)</v>
          </cell>
        </row>
        <row r="2835">
          <cell r="A2835" t="str">
            <v>Sri Vishnu Industries</v>
          </cell>
          <cell r="B2835" t="str">
            <v>Group-4 ( Office Account)</v>
          </cell>
        </row>
        <row r="2836">
          <cell r="A2836" t="str">
            <v>Sri Yantra Engineers Pvt Ltd.,</v>
          </cell>
          <cell r="B2836" t="str">
            <v>Group 1-Giridhar-Peenya</v>
          </cell>
        </row>
        <row r="2837">
          <cell r="A2837" t="str">
            <v>Sricharan Engineering</v>
          </cell>
          <cell r="B2837" t="str">
            <v>Group-4 ( Office Account)</v>
          </cell>
        </row>
        <row r="2838">
          <cell r="A2838" t="str">
            <v>SRIKANTH MARKETING</v>
          </cell>
          <cell r="B2838" t="str">
            <v>Group-4 ( Office Account)</v>
          </cell>
        </row>
        <row r="2839">
          <cell r="A2839" t="str">
            <v>Srinidhi Enterprises</v>
          </cell>
          <cell r="B2839" t="str">
            <v>Group-4 ( Office Account)</v>
          </cell>
        </row>
        <row r="2840">
          <cell r="A2840" t="str">
            <v>SRINIVASA ELECTRICALS (Old)</v>
          </cell>
          <cell r="B2840" t="str">
            <v>Online Business</v>
          </cell>
        </row>
        <row r="2841">
          <cell r="A2841" t="str">
            <v>SRIRAJ TRADING COMPANY</v>
          </cell>
          <cell r="B2841" t="str">
            <v>Group 1-Giridhar-Peenya</v>
          </cell>
        </row>
        <row r="2842">
          <cell r="A2842" t="str">
            <v>SRIRATANA ELECTRICAL SOLUTIONS PVT LTD</v>
          </cell>
          <cell r="B2842" t="str">
            <v>Group-2 (Veeresh- Bomsdr+Hosur)</v>
          </cell>
        </row>
        <row r="2843">
          <cell r="A2843" t="str">
            <v>SRIVARDHAN ENTERPRISES</v>
          </cell>
          <cell r="B2843" t="str">
            <v>Online Business</v>
          </cell>
        </row>
        <row r="2844">
          <cell r="A2844" t="str">
            <v>SRIVASAVI ADHESIVE TAPES LIMITED</v>
          </cell>
          <cell r="B2844" t="str">
            <v>Online Business</v>
          </cell>
        </row>
        <row r="2845">
          <cell r="A2845" t="str">
            <v>SRM POWER PRODUCTS</v>
          </cell>
          <cell r="B2845" t="str">
            <v>Group-4 ( Office Account)</v>
          </cell>
        </row>
        <row r="2846">
          <cell r="A2846" t="str">
            <v>SRUJAN INFOTECH</v>
          </cell>
          <cell r="B2846" t="str">
            <v>Group - 5 (Ananthapadmanabha)</v>
          </cell>
        </row>
        <row r="2847">
          <cell r="A2847" t="str">
            <v>Srushti Automation and Controls</v>
          </cell>
          <cell r="B2847" t="str">
            <v>Group 1-Giridhar-Peenya</v>
          </cell>
        </row>
        <row r="2848">
          <cell r="A2848" t="str">
            <v>SRUSTI AUTOMATION</v>
          </cell>
          <cell r="B2848" t="str">
            <v>Group-4 ( Office Account)</v>
          </cell>
        </row>
        <row r="2849">
          <cell r="A2849" t="str">
            <v>SS Automation Solutions P Ltd</v>
          </cell>
          <cell r="B2849" t="str">
            <v>Group 1-Giridhar-Peenya</v>
          </cell>
        </row>
        <row r="2850">
          <cell r="A2850" t="str">
            <v>SS Fab-Tech</v>
          </cell>
          <cell r="B2850" t="str">
            <v>Group-4 ( Office Account)</v>
          </cell>
        </row>
        <row r="2851">
          <cell r="A2851" t="str">
            <v>SS INFFOTEK</v>
          </cell>
          <cell r="B2851" t="str">
            <v>Group-4 ( Office Account)</v>
          </cell>
        </row>
        <row r="2852">
          <cell r="A2852" t="str">
            <v>SSE ENTERPRISES</v>
          </cell>
          <cell r="B2852" t="str">
            <v>Group-4 ( Office Account)</v>
          </cell>
        </row>
        <row r="2853">
          <cell r="A2853" t="str">
            <v>SSF PLASTICS INDIA PVT.LTD.,</v>
          </cell>
          <cell r="B2853" t="str">
            <v>Group - 5 (Ananthapadmanabha)</v>
          </cell>
        </row>
        <row r="2854">
          <cell r="A2854" t="str">
            <v>St. Philomena's Memorial High School</v>
          </cell>
          <cell r="B2854" t="str">
            <v>Group-4 ( Office Account)</v>
          </cell>
        </row>
        <row r="2855">
          <cell r="A2855" t="str">
            <v>STANDARDS INTERNATIONAL PRECISION ENGINEERS PVT LTD</v>
          </cell>
          <cell r="B2855" t="str">
            <v>Group 1-Giridhar-Peenya</v>
          </cell>
        </row>
        <row r="2856">
          <cell r="A2856" t="str">
            <v>Starrag India Pvt  Ltd</v>
          </cell>
          <cell r="B2856" t="str">
            <v>Group - 5 (Ananthapadmanabha)</v>
          </cell>
        </row>
        <row r="2857">
          <cell r="A2857" t="str">
            <v>Starvish Mechatronics</v>
          </cell>
          <cell r="B2857" t="str">
            <v>Group-4 ( Office Account)</v>
          </cell>
        </row>
        <row r="2858">
          <cell r="A2858" t="str">
            <v>Starya Mobility Private Limited</v>
          </cell>
          <cell r="B2858" t="str">
            <v>Group - 5 (Ananthapadmanabha)</v>
          </cell>
        </row>
        <row r="2859">
          <cell r="A2859" t="str">
            <v>Starya Mobility Private Limited (Old)</v>
          </cell>
          <cell r="B2859" t="str">
            <v>Group - 5 (Ananthapadmanabha)</v>
          </cell>
        </row>
        <row r="2860">
          <cell r="A2860" t="str">
            <v>S-Tech Automation and Engineering Services</v>
          </cell>
          <cell r="B2860" t="str">
            <v>Group 1-Giridhar-Peenya</v>
          </cell>
        </row>
        <row r="2861">
          <cell r="A2861" t="str">
            <v>STech Automation Private Limited</v>
          </cell>
          <cell r="B2861" t="str">
            <v>Group-2 (Veeresh- Bomsdr+Hosur)</v>
          </cell>
        </row>
        <row r="2862">
          <cell r="A2862" t="str">
            <v>STEEL O FAB ENGINEERS</v>
          </cell>
          <cell r="B2862" t="str">
            <v>Group-4 ( Office Account)</v>
          </cell>
        </row>
        <row r="2863">
          <cell r="A2863" t="str">
            <v>STEER ENGINEERING (P) LTD</v>
          </cell>
          <cell r="B2863" t="str">
            <v>Group 1-Giridhar-Peenya</v>
          </cell>
        </row>
        <row r="2864">
          <cell r="A2864" t="str">
            <v>Stelis Biopharma Pvt Ltd., - Unit II</v>
          </cell>
          <cell r="B2864" t="str">
            <v>Group - 5 (Ananthapadmanabha)</v>
          </cell>
        </row>
        <row r="2865">
          <cell r="A2865" t="str">
            <v>STELLAR POWER CONTROLS</v>
          </cell>
          <cell r="B2865" t="str">
            <v>Group-4 ( Office Account)</v>
          </cell>
        </row>
        <row r="2866">
          <cell r="A2866" t="str">
            <v>Stellent Systems Pvt. Ltd.,</v>
          </cell>
          <cell r="B2866" t="str">
            <v>Group 1-Giridhar-Peenya</v>
          </cell>
        </row>
        <row r="2867">
          <cell r="A2867" t="str">
            <v>STELZ Multiparking Private Limited</v>
          </cell>
          <cell r="B2867" t="str">
            <v>Group 1-Giridhar-Peenya</v>
          </cell>
        </row>
        <row r="2868">
          <cell r="A2868" t="str">
            <v>STEON INDIA PRIVATE LIMITED</v>
          </cell>
          <cell r="B2868" t="str">
            <v>Group 1-Giridhar-Peenya</v>
          </cell>
        </row>
        <row r="2869">
          <cell r="A2869" t="str">
            <v>STERLING AND WILSON LTD</v>
          </cell>
          <cell r="B2869" t="str">
            <v>Group - 5 (Ananthapadmanabha)</v>
          </cell>
        </row>
        <row r="2870">
          <cell r="A2870" t="str">
            <v>Stock Redler India Private Limited</v>
          </cell>
          <cell r="B2870" t="str">
            <v>Group 1-Giridhar-Peenya</v>
          </cell>
        </row>
        <row r="2871">
          <cell r="A2871" t="str">
            <v>Strategi Automation Solution (P) Ltd</v>
          </cell>
          <cell r="B2871" t="str">
            <v>Group - 5 (Ananthapadmanabha)</v>
          </cell>
        </row>
        <row r="2872">
          <cell r="A2872" t="str">
            <v>Strategi Automation Solutions Pvt.Ltd ( Mys)</v>
          </cell>
          <cell r="B2872" t="str">
            <v>Group - 5 (Ananthapadmanabha)</v>
          </cell>
        </row>
        <row r="2873">
          <cell r="A2873" t="str">
            <v>Strides Shasun Limited</v>
          </cell>
          <cell r="B2873" t="str">
            <v>Group-2 (Veeresh- Bomsdr+Hosur)</v>
          </cell>
        </row>
        <row r="2874">
          <cell r="A2874" t="str">
            <v>STUDIO JITSAH</v>
          </cell>
          <cell r="B2874" t="str">
            <v>Group-2 (Veeresh- Bomsdr+Hosur)</v>
          </cell>
        </row>
        <row r="2875">
          <cell r="A2875" t="str">
            <v>STUDIO V INTERIORS</v>
          </cell>
          <cell r="B2875" t="str">
            <v>Online Business</v>
          </cell>
        </row>
        <row r="2876">
          <cell r="A2876" t="str">
            <v>Stumpp Schuele &amp; Somappa Springs Pvt Ltd</v>
          </cell>
          <cell r="B2876" t="str">
            <v>Group-4 ( Office Account)</v>
          </cell>
        </row>
        <row r="2877">
          <cell r="A2877" t="str">
            <v>STUTI AUTOMATION</v>
          </cell>
          <cell r="B2877" t="str">
            <v>Group-2 (Veeresh- Bomsdr+Hosur)</v>
          </cell>
        </row>
        <row r="2878">
          <cell r="A2878" t="str">
            <v>SUAYUD MACHINE TOOLS PVT LTD</v>
          </cell>
          <cell r="B2878" t="str">
            <v>Group 1-Giridhar-Peenya</v>
          </cell>
        </row>
        <row r="2879">
          <cell r="A2879" t="str">
            <v>SUBAASH ELECTRICALS</v>
          </cell>
          <cell r="B2879" t="str">
            <v>Group-4 ( Office Account)</v>
          </cell>
        </row>
        <row r="2880">
          <cell r="A2880" t="str">
            <v>Sudarshan Auto Electrical Comp Pvt Ltd</v>
          </cell>
          <cell r="B2880" t="str">
            <v>Group-2 (Veeresh- Bomsdr+Hosur)</v>
          </cell>
        </row>
        <row r="2881">
          <cell r="A2881" t="str">
            <v>SUDARSHAN ENTERPRISES</v>
          </cell>
          <cell r="B2881" t="str">
            <v>Group-4 ( Office Account)</v>
          </cell>
        </row>
        <row r="2882">
          <cell r="A2882" t="str">
            <v>Sudarshan Enterprises ( Cust)</v>
          </cell>
          <cell r="B2882" t="str">
            <v>Group-4 ( Office Account)</v>
          </cell>
        </row>
        <row r="2883">
          <cell r="A2883" t="str">
            <v>SUDHA ELECTRICALS AND ENTERPRISES</v>
          </cell>
          <cell r="B2883" t="str">
            <v>Group-2 (Veeresh- Bomsdr+Hosur)</v>
          </cell>
        </row>
        <row r="2884">
          <cell r="A2884" t="str">
            <v>Sugama Automation</v>
          </cell>
          <cell r="B2884" t="str">
            <v>Group-4 ( Office Account)</v>
          </cell>
        </row>
        <row r="2885">
          <cell r="A2885" t="str">
            <v>Sugi Systems &amp; Controls</v>
          </cell>
          <cell r="B2885" t="str">
            <v>Group-2 (Veeresh- Bomsdr+Hosur)</v>
          </cell>
        </row>
        <row r="2886">
          <cell r="A2886" t="str">
            <v>Suguna Foods Private Limited</v>
          </cell>
          <cell r="B2886" t="str">
            <v>Group-4 ( Office Account)</v>
          </cell>
        </row>
        <row r="2887">
          <cell r="A2887" t="str">
            <v>Sulochana Enterprises</v>
          </cell>
          <cell r="B2887" t="str">
            <v>Group-4 ( Office Account)</v>
          </cell>
        </row>
        <row r="2888">
          <cell r="A2888" t="str">
            <v>Suma Spring Pvt. Ltd.,</v>
          </cell>
          <cell r="B2888" t="str">
            <v>Group-4 ( Office Account)</v>
          </cell>
        </row>
        <row r="2889">
          <cell r="A2889" t="str">
            <v>SUMADHURA CAPITOL TOWERS PRIVATE LIMITED</v>
          </cell>
          <cell r="B2889" t="str">
            <v>Group - 5 (Ananthapadmanabha)</v>
          </cell>
        </row>
        <row r="2890">
          <cell r="A2890" t="str">
            <v>Suman Electric Udyog (Cust)</v>
          </cell>
          <cell r="B2890" t="str">
            <v>Group-4 ( Office Account)</v>
          </cell>
        </row>
        <row r="2891">
          <cell r="A2891" t="str">
            <v>SUMEET TRANS LOGISTICS PRIVATE LIMITED</v>
          </cell>
          <cell r="B2891" t="str">
            <v>Online Business</v>
          </cell>
        </row>
        <row r="2892">
          <cell r="A2892" t="str">
            <v>SUMUKHA ELECTROMECH ENTERPRISES</v>
          </cell>
          <cell r="B2892" t="str">
            <v>Group-4 ( Office Account)</v>
          </cell>
        </row>
        <row r="2893">
          <cell r="A2893" t="str">
            <v>SUMUKHA SILICON CONCRETE</v>
          </cell>
          <cell r="B2893" t="str">
            <v>Group-4 ( Office Account)</v>
          </cell>
        </row>
        <row r="2894">
          <cell r="A2894" t="str">
            <v>SUN ELECTRIC</v>
          </cell>
          <cell r="B2894" t="str">
            <v>Group-2 (Veeresh- Bomsdr+Hosur)</v>
          </cell>
        </row>
        <row r="2895">
          <cell r="A2895" t="str">
            <v>SUN ELECTRO CONTROL SYSTEMS (P) LTD (Old)</v>
          </cell>
          <cell r="B2895" t="str">
            <v>Group 1-Giridhar-Peenya</v>
          </cell>
        </row>
        <row r="2896">
          <cell r="A2896" t="str">
            <v>Sun Electro Control Systems Private Limited</v>
          </cell>
          <cell r="B2896" t="str">
            <v>Group 1-Giridhar-Peenya</v>
          </cell>
        </row>
        <row r="2897">
          <cell r="A2897" t="str">
            <v>SUN MANUFACTURING SOLUTIONS</v>
          </cell>
          <cell r="B2897" t="str">
            <v>Group 1-Giridhar-Peenya</v>
          </cell>
        </row>
        <row r="2898">
          <cell r="A2898" t="str">
            <v>Sun Mobility Private Limited</v>
          </cell>
          <cell r="B2898" t="str">
            <v>Group - 5 (Ananthapadmanabha)</v>
          </cell>
        </row>
        <row r="2899">
          <cell r="A2899" t="str">
            <v>Sun Tech Electricals</v>
          </cell>
          <cell r="B2899" t="str">
            <v>Group-2 (Veeresh- Bomsdr+Hosur)</v>
          </cell>
        </row>
        <row r="2900">
          <cell r="A2900" t="str">
            <v>SUNBEAM APPLIANCES</v>
          </cell>
          <cell r="B2900" t="str">
            <v>Group-4 ( Office Account)</v>
          </cell>
        </row>
        <row r="2901">
          <cell r="A2901" t="str">
            <v>SUNDARAM FASTENERS</v>
          </cell>
          <cell r="B2901" t="str">
            <v>Group-2 (Veeresh- Bomsdr+Hosur)</v>
          </cell>
        </row>
        <row r="2902">
          <cell r="A2902" t="str">
            <v>Sunder Electricals</v>
          </cell>
          <cell r="B2902" t="str">
            <v>Group-4 ( Office Account)</v>
          </cell>
        </row>
        <row r="2903">
          <cell r="A2903" t="str">
            <v>Sundram Bleistahl Ltd</v>
          </cell>
          <cell r="B2903" t="str">
            <v>Group-4 ( Office Account)</v>
          </cell>
        </row>
        <row r="2904">
          <cell r="A2904" t="str">
            <v>Sunitronics</v>
          </cell>
          <cell r="B2904" t="str">
            <v>Online Business</v>
          </cell>
        </row>
        <row r="2905">
          <cell r="A2905" t="str">
            <v>Sunleo Power Networks</v>
          </cell>
          <cell r="B2905" t="str">
            <v>Group - 5 (Ananthapadmanabha)</v>
          </cell>
        </row>
        <row r="2906">
          <cell r="A2906" t="str">
            <v>SUNLIGHT ENTERPRISES</v>
          </cell>
          <cell r="B2906" t="str">
            <v>Group-4 ( Office Account)</v>
          </cell>
        </row>
        <row r="2907">
          <cell r="A2907" t="str">
            <v>SUNLUX TECHNOLOGIES PVT LTD</v>
          </cell>
          <cell r="B2907" t="str">
            <v>Group-2 (Veeresh- Bomsdr+Hosur)</v>
          </cell>
        </row>
        <row r="2908">
          <cell r="A2908" t="str">
            <v>SUNMAS MACHINE TOOLS PVT. LTD.</v>
          </cell>
          <cell r="B2908" t="str">
            <v>Group 1-Giridhar-Peenya</v>
          </cell>
        </row>
        <row r="2909">
          <cell r="A2909" t="str">
            <v>SUNNIDHI ENGINEERING SOLUTIONS</v>
          </cell>
          <cell r="B2909" t="str">
            <v>Group 1-Giridhar-Peenya</v>
          </cell>
        </row>
        <row r="2910">
          <cell r="A2910" t="str">
            <v>SUNSHINE AUTOTECH</v>
          </cell>
          <cell r="B2910" t="str">
            <v>Group-4 ( Office Account)</v>
          </cell>
        </row>
        <row r="2911">
          <cell r="A2911" t="str">
            <v>Sunworks Energy Private Limited.,</v>
          </cell>
          <cell r="B2911" t="str">
            <v>Group-4 ( Office Account)</v>
          </cell>
        </row>
        <row r="2912">
          <cell r="A2912" t="str">
            <v>Super Trading Company</v>
          </cell>
          <cell r="B2912" t="str">
            <v>Group-4 ( Office Account)</v>
          </cell>
        </row>
        <row r="2913">
          <cell r="A2913" t="str">
            <v>Superior Electric Machines Pvt. Ltd.</v>
          </cell>
          <cell r="B2913" t="str">
            <v>Group 1-Giridhar-Peenya</v>
          </cell>
        </row>
        <row r="2914">
          <cell r="A2914" t="str">
            <v>SUPREME ENERGY</v>
          </cell>
          <cell r="B2914" t="str">
            <v>Online Business</v>
          </cell>
        </row>
        <row r="2915">
          <cell r="A2915" t="str">
            <v>SUPREME ENTERPRISES</v>
          </cell>
          <cell r="B2915" t="str">
            <v>Online Business</v>
          </cell>
        </row>
        <row r="2916">
          <cell r="A2916" t="str">
            <v>Suraj Electric Corp</v>
          </cell>
          <cell r="B2916" t="str">
            <v>Group-4 ( Office Account)</v>
          </cell>
        </row>
        <row r="2917">
          <cell r="A2917" t="str">
            <v>Suraj Electric Services</v>
          </cell>
          <cell r="B2917" t="str">
            <v>Group-2 (Veeresh- Bomsdr+Hosur)</v>
          </cell>
        </row>
        <row r="2918">
          <cell r="A2918" t="str">
            <v>SURAJ ELECTROTECH Inc</v>
          </cell>
          <cell r="B2918" t="str">
            <v>Group-4 ( Office Account)</v>
          </cell>
        </row>
        <row r="2919">
          <cell r="A2919" t="str">
            <v>Suraj Industrial Supply</v>
          </cell>
          <cell r="B2919" t="str">
            <v>Group-4 ( Office Account)</v>
          </cell>
        </row>
        <row r="2920">
          <cell r="A2920" t="str">
            <v>SURAKSHA CNC MFG PVT LTD</v>
          </cell>
          <cell r="B2920" t="str">
            <v>Group 1-Giridhar-Peenya</v>
          </cell>
        </row>
        <row r="2921">
          <cell r="A2921" t="str">
            <v>SURAKSHA SENSORS</v>
          </cell>
          <cell r="B2921" t="str">
            <v>Group 1-Giridhar-Peenya</v>
          </cell>
        </row>
        <row r="2922">
          <cell r="A2922" t="str">
            <v>Surana Enterprises</v>
          </cell>
          <cell r="B2922" t="str">
            <v>Group-4 ( Office Account)</v>
          </cell>
        </row>
        <row r="2923">
          <cell r="A2923" t="str">
            <v>Surgident Corporation</v>
          </cell>
          <cell r="B2923" t="str">
            <v>Group 1-Giridhar-Peenya</v>
          </cell>
        </row>
        <row r="2924">
          <cell r="A2924" t="str">
            <v>SURRAL PAINTING EQUIPMENTS &amp; SYSTEMS</v>
          </cell>
          <cell r="B2924" t="str">
            <v>Group 1-Giridhar-Peenya</v>
          </cell>
        </row>
        <row r="2925">
          <cell r="A2925" t="str">
            <v>SURYA BUILDTECH</v>
          </cell>
          <cell r="B2925" t="str">
            <v>Online Business</v>
          </cell>
        </row>
        <row r="2926">
          <cell r="A2926" t="str">
            <v>SURYA CONSTRUCTIONS</v>
          </cell>
          <cell r="B2926" t="str">
            <v>Group-2 (Veeresh- Bomsdr+Hosur)</v>
          </cell>
        </row>
        <row r="2927">
          <cell r="A2927" t="str">
            <v>SURYA ELECTRICAL</v>
          </cell>
          <cell r="B2927" t="str">
            <v>Group 1-Giridhar-Peenya</v>
          </cell>
        </row>
        <row r="2928">
          <cell r="A2928" t="str">
            <v>Surya Marketing Corporation</v>
          </cell>
          <cell r="B2928" t="str">
            <v>Group-4 ( Office Account)</v>
          </cell>
        </row>
        <row r="2929">
          <cell r="A2929" t="str">
            <v>SURYA SUPER THREADS PVT LTD</v>
          </cell>
          <cell r="B2929" t="str">
            <v>Group 1-Giridhar-Peenya</v>
          </cell>
        </row>
        <row r="2930">
          <cell r="A2930" t="str">
            <v>Sushma Industries Private Limited</v>
          </cell>
          <cell r="B2930" t="str">
            <v>Group 1-Giridhar-Peenya</v>
          </cell>
        </row>
        <row r="2931">
          <cell r="A2931" t="str">
            <v>SUTURES INDIA PVT LTD</v>
          </cell>
          <cell r="B2931" t="str">
            <v>Group 1-Giridhar-Peenya</v>
          </cell>
        </row>
        <row r="2932">
          <cell r="A2932" t="str">
            <v>Sutures India Pvt Ltd., (P)</v>
          </cell>
          <cell r="B2932" t="str">
            <v>Group 1-Giridhar-Peenya</v>
          </cell>
        </row>
        <row r="2933">
          <cell r="A2933" t="str">
            <v>SUV ENGINEERS</v>
          </cell>
          <cell r="B2933" t="str">
            <v>Group-2 (Veeresh- Bomsdr+Hosur)</v>
          </cell>
        </row>
        <row r="2934">
          <cell r="A2934" t="str">
            <v>SUVAN STEELS PRIVATE LIMITED</v>
          </cell>
          <cell r="B2934" t="str">
            <v>Online Business</v>
          </cell>
        </row>
        <row r="2935">
          <cell r="A2935" t="str">
            <v>SUVITH TECHNO SOLUTIONS PVT.LTD</v>
          </cell>
          <cell r="B2935" t="str">
            <v>Group-4 ( Office Account)</v>
          </cell>
        </row>
        <row r="2936">
          <cell r="A2936" t="str">
            <v>SVG EXPORTS PVT LTD</v>
          </cell>
          <cell r="B2936" t="str">
            <v>Group-4 ( Office Account)</v>
          </cell>
        </row>
        <row r="2937">
          <cell r="A2937" t="str">
            <v>SVGP ENTERPRISES</v>
          </cell>
          <cell r="B2937" t="str">
            <v>Online Business</v>
          </cell>
        </row>
        <row r="2938">
          <cell r="A2938" t="str">
            <v>SVP Enterprises</v>
          </cell>
          <cell r="B2938" t="str">
            <v>Group-2 (Veeresh- Bomsdr+Hosur)</v>
          </cell>
        </row>
        <row r="2939">
          <cell r="A2939" t="str">
            <v>SVR CONTROLS AND AUTOMATION</v>
          </cell>
          <cell r="B2939" t="str">
            <v>Online Business</v>
          </cell>
        </row>
        <row r="2940">
          <cell r="A2940" t="str">
            <v>SVS ENTERPRISES</v>
          </cell>
          <cell r="B2940" t="str">
            <v>Group-4 ( Office Account)</v>
          </cell>
        </row>
        <row r="2941">
          <cell r="A2941" t="str">
            <v>Swaki Electricals Pvt.Ltd.,</v>
          </cell>
          <cell r="B2941" t="str">
            <v>Group-4 ( Office Account)</v>
          </cell>
        </row>
        <row r="2942">
          <cell r="A2942" t="str">
            <v>SWAMY ENTERPRISES</v>
          </cell>
          <cell r="B2942" t="str">
            <v>Group-4 ( Office Account)</v>
          </cell>
        </row>
        <row r="2943">
          <cell r="A2943" t="str">
            <v>SWASTIK ELECTRICAL INDUSTRIES</v>
          </cell>
          <cell r="B2943" t="str">
            <v>Group-4 ( Office Account)</v>
          </cell>
        </row>
        <row r="2944">
          <cell r="A2944" t="str">
            <v>SWASTIK STUDIOS</v>
          </cell>
          <cell r="B2944" t="str">
            <v>Online Business</v>
          </cell>
        </row>
        <row r="2945">
          <cell r="A2945" t="str">
            <v>Swathi Enterprises</v>
          </cell>
          <cell r="B2945" t="str">
            <v>Online Business</v>
          </cell>
        </row>
        <row r="2946">
          <cell r="A2946" t="str">
            <v>Swetha Automation Technology</v>
          </cell>
          <cell r="B2946" t="str">
            <v>Group 1-Giridhar-Peenya</v>
          </cell>
        </row>
        <row r="2947">
          <cell r="A2947" t="str">
            <v>Switchgear And Control Technics Pvt Ltd</v>
          </cell>
          <cell r="B2947" t="str">
            <v>Group-2 (Veeresh- Bomsdr+Hosur)</v>
          </cell>
        </row>
        <row r="2948">
          <cell r="A2948" t="str">
            <v>SWITCHON</v>
          </cell>
          <cell r="B2948" t="str">
            <v>Group-2 (Veeresh- Bomsdr+Hosur)</v>
          </cell>
        </row>
        <row r="2949">
          <cell r="A2949" t="str">
            <v>SYD CONCRETE</v>
          </cell>
          <cell r="B2949" t="str">
            <v>Group-2 (Veeresh- Bomsdr+Hosur)</v>
          </cell>
        </row>
        <row r="2950">
          <cell r="A2950" t="str">
            <v>SYED AFZAL FABRICATORS</v>
          </cell>
          <cell r="B2950" t="str">
            <v>Group - 5 (Ananthapadmanabha)</v>
          </cell>
        </row>
        <row r="2951">
          <cell r="A2951" t="str">
            <v>SYMBIOTIC AUTOMATION SYSTEMS(P) LTD</v>
          </cell>
          <cell r="B2951" t="str">
            <v>Group 1-Giridhar-Peenya</v>
          </cell>
        </row>
        <row r="2952">
          <cell r="A2952" t="str">
            <v>Symbiotic Control &amp; Instrumentation (P) Ltd</v>
          </cell>
          <cell r="B2952" t="str">
            <v>Group 1-Giridhar-Peenya</v>
          </cell>
        </row>
        <row r="2953">
          <cell r="A2953" t="str">
            <v>SYNCSOLS PRIVATE LIMITED</v>
          </cell>
          <cell r="B2953" t="str">
            <v>Online Business</v>
          </cell>
        </row>
        <row r="2954">
          <cell r="A2954" t="str">
            <v>SYNEDYNE SYSTEMS PRIVATE LIMITED</v>
          </cell>
          <cell r="B2954" t="str">
            <v>Group-2 (Veeresh- Bomsdr+Hosur)</v>
          </cell>
        </row>
        <row r="2955">
          <cell r="A2955" t="str">
            <v>Synergies Castings Limited</v>
          </cell>
          <cell r="B2955" t="str">
            <v>Group-4 ( Office Account)</v>
          </cell>
        </row>
        <row r="2956">
          <cell r="A2956" t="str">
            <v>Synergy Power Control Pvt Ltd</v>
          </cell>
          <cell r="B2956" t="str">
            <v>Group 1-Giridhar-Peenya</v>
          </cell>
        </row>
        <row r="2957">
          <cell r="A2957" t="str">
            <v>Synthesis Winding Technologies (P)L</v>
          </cell>
          <cell r="B2957" t="str">
            <v>Group-2 (Veeresh- Bomsdr+Hosur)</v>
          </cell>
        </row>
        <row r="2958">
          <cell r="A2958" t="str">
            <v>SYP-TECH CONTROLS</v>
          </cell>
          <cell r="B2958" t="str">
            <v>Online Business</v>
          </cell>
        </row>
        <row r="2959">
          <cell r="A2959" t="str">
            <v>SYSAID TECHNOLOGIES PRIVATE LIMITED</v>
          </cell>
          <cell r="B2959" t="str">
            <v>Group-4 ( Office Account)</v>
          </cell>
        </row>
        <row r="2960">
          <cell r="A2960" t="str">
            <v>SYSCON AUTOMATION</v>
          </cell>
          <cell r="B2960" t="str">
            <v>Group 1-Giridhar-Peenya</v>
          </cell>
        </row>
        <row r="2961">
          <cell r="A2961" t="str">
            <v>SYSCON CALIBRATION CENTER PVT.LTD</v>
          </cell>
          <cell r="B2961" t="str">
            <v>Group-2 (Veeresh- Bomsdr+Hosur)</v>
          </cell>
        </row>
        <row r="2962">
          <cell r="A2962" t="str">
            <v>Syscon Instruments (P) Ltd</v>
          </cell>
          <cell r="B2962" t="str">
            <v>Group-2 (Veeresh- Bomsdr+Hosur)</v>
          </cell>
        </row>
        <row r="2963">
          <cell r="A2963" t="str">
            <v>Syscon Metering Solutions Pvt Ltd</v>
          </cell>
          <cell r="B2963" t="str">
            <v>Group-2 (Veeresh- Bomsdr+Hosur)</v>
          </cell>
        </row>
        <row r="2964">
          <cell r="A2964" t="str">
            <v>System  Intigration &amp; Process Control</v>
          </cell>
          <cell r="B2964" t="str">
            <v>Group-4 ( Office Account)</v>
          </cell>
        </row>
        <row r="2965">
          <cell r="A2965" t="str">
            <v>SYSTEM CONTROLS TECHNOLOGY SOLUTIONS PVT LTD</v>
          </cell>
          <cell r="B2965" t="str">
            <v>Group-4 ( Office Account)</v>
          </cell>
        </row>
        <row r="2966">
          <cell r="A2966" t="str">
            <v>System Infotech ( Peenya )</v>
          </cell>
          <cell r="B2966" t="str">
            <v>Group 1-Giridhar-Peenya</v>
          </cell>
        </row>
        <row r="2967">
          <cell r="A2967" t="str">
            <v>System Infotech (Unit II)</v>
          </cell>
          <cell r="B2967" t="str">
            <v>Group-2 (Veeresh- Bomsdr+Hosur)</v>
          </cell>
        </row>
        <row r="2968">
          <cell r="A2968" t="str">
            <v>Systematic Inc</v>
          </cell>
          <cell r="B2968" t="str">
            <v>Group-4 ( Office Account)</v>
          </cell>
        </row>
        <row r="2969">
          <cell r="A2969" t="str">
            <v>Systems Aids</v>
          </cell>
          <cell r="B2969" t="str">
            <v>Group - 5 (Ananthapadmanabha)</v>
          </cell>
        </row>
        <row r="2970">
          <cell r="A2970" t="str">
            <v>SYSTEMS AND COMPENENTS</v>
          </cell>
          <cell r="B2970" t="str">
            <v>Group-4 ( Office Account)</v>
          </cell>
        </row>
        <row r="2971">
          <cell r="A2971" t="str">
            <v>Systevin Metal Finishers</v>
          </cell>
          <cell r="B2971" t="str">
            <v>Group-2 (Veeresh- Bomsdr+Hosur)</v>
          </cell>
        </row>
        <row r="2972">
          <cell r="A2972" t="str">
            <v>T D ENTERPRISES</v>
          </cell>
          <cell r="B2972" t="str">
            <v>Group 1-Giridhar-Peenya</v>
          </cell>
        </row>
        <row r="2973">
          <cell r="A2973" t="str">
            <v>T L Component Solutions</v>
          </cell>
          <cell r="B2973" t="str">
            <v>Group-4 ( Office Account)</v>
          </cell>
        </row>
        <row r="2974">
          <cell r="A2974" t="str">
            <v>T2 Power Solutions (Cust)</v>
          </cell>
          <cell r="B2974" t="str">
            <v>Group-4 ( Office Account)</v>
          </cell>
        </row>
        <row r="2975">
          <cell r="A2975" t="str">
            <v>TACT SOLUTIONS</v>
          </cell>
          <cell r="B2975" t="str">
            <v>Group-4 ( Office Account)</v>
          </cell>
        </row>
        <row r="2976">
          <cell r="A2976" t="str">
            <v>Taegu Tec India Ltd</v>
          </cell>
          <cell r="B2976" t="str">
            <v>Group-2 (Veeresh- Bomsdr+Hosur)</v>
          </cell>
        </row>
        <row r="2977">
          <cell r="A2977" t="str">
            <v>TAKRAF INDIA PRIVATE LIMITED (DELKOR)</v>
          </cell>
          <cell r="B2977" t="str">
            <v>Group 1-Giridhar-Peenya</v>
          </cell>
        </row>
        <row r="2978">
          <cell r="A2978" t="str">
            <v>Tamilnadu Newsprint And  Papers Ltd</v>
          </cell>
          <cell r="B2978" t="str">
            <v>Group-4 ( Office Account)</v>
          </cell>
        </row>
        <row r="2979">
          <cell r="A2979" t="str">
            <v>Tangent Automation</v>
          </cell>
          <cell r="B2979" t="str">
            <v>Group 1-Giridhar-Peenya</v>
          </cell>
        </row>
        <row r="2980">
          <cell r="A2980" t="str">
            <v>TARACK ENGINEERING SERVICES</v>
          </cell>
          <cell r="B2980" t="str">
            <v>Online Business</v>
          </cell>
        </row>
        <row r="2981">
          <cell r="A2981" t="str">
            <v>TARGET MACHINERY</v>
          </cell>
          <cell r="B2981" t="str">
            <v>Group-4 ( Office Account)</v>
          </cell>
        </row>
        <row r="2982">
          <cell r="A2982" t="str">
            <v>TAS Engineering Co.</v>
          </cell>
          <cell r="B2982" t="str">
            <v>Group-4 ( Office Account)</v>
          </cell>
        </row>
        <row r="2983">
          <cell r="A2983" t="str">
            <v>TASS MAQUINA PRIVATE LIMITED</v>
          </cell>
          <cell r="B2983" t="str">
            <v>Online Business</v>
          </cell>
        </row>
        <row r="2984">
          <cell r="A2984" t="str">
            <v>Tata Advanced Materials Limited</v>
          </cell>
          <cell r="B2984" t="str">
            <v>Group-2 (Veeresh- Bomsdr+Hosur)</v>
          </cell>
        </row>
        <row r="2985">
          <cell r="A2985" t="str">
            <v>TATA ADVANCED SYSTEMS LIMITED (E)</v>
          </cell>
          <cell r="B2985" t="str">
            <v>Group-2 (Veeresh- Bomsdr+Hosur)</v>
          </cell>
        </row>
        <row r="2986">
          <cell r="A2986" t="str">
            <v>TATA ADVANCED SYSTEMS LIMITED (Jigini)</v>
          </cell>
          <cell r="B2986" t="str">
            <v>Group-2 (Veeresh- Bomsdr+Hosur)</v>
          </cell>
        </row>
        <row r="2987">
          <cell r="A2987" t="str">
            <v>Tata Motors Limited</v>
          </cell>
          <cell r="B2987" t="str">
            <v>Group - 5 (Ananthapadmanabha)</v>
          </cell>
        </row>
        <row r="2988">
          <cell r="A2988" t="str">
            <v>Taurus P  Ltd  (V)</v>
          </cell>
          <cell r="B2988" t="str">
            <v>Group-2 (Veeresh- Bomsdr+Hosur)</v>
          </cell>
        </row>
        <row r="2989">
          <cell r="A2989" t="str">
            <v>TAURUS POWERTRONICS PRIVATE LIMITED</v>
          </cell>
          <cell r="B2989" t="str">
            <v>Group 1-Giridhar-Peenya</v>
          </cell>
        </row>
        <row r="2990">
          <cell r="A2990" t="str">
            <v>TAURUS PRIVATE LIMITED</v>
          </cell>
          <cell r="B2990" t="str">
            <v>Group 1-Giridhar-Peenya</v>
          </cell>
        </row>
        <row r="2991">
          <cell r="A2991" t="str">
            <v>Taurus Private Ltd  (A) (OLD)</v>
          </cell>
          <cell r="B2991" t="str">
            <v>Group-2 (Veeresh- Bomsdr+Hosur)</v>
          </cell>
        </row>
        <row r="2992">
          <cell r="A2992" t="str">
            <v>TBS India Telematic and Biomedical Services Pvt Ltd</v>
          </cell>
          <cell r="B2992" t="str">
            <v>Group - 5 (Ananthapadmanabha)</v>
          </cell>
        </row>
        <row r="2993">
          <cell r="A2993" t="str">
            <v>Td Power Systems Limited</v>
          </cell>
          <cell r="B2993" t="str">
            <v>Group 1-Giridhar-Peenya</v>
          </cell>
        </row>
        <row r="2994">
          <cell r="A2994" t="str">
            <v>Td Power Systems Limited Unit-2</v>
          </cell>
          <cell r="B2994" t="str">
            <v>Group 1-Giridhar-Peenya</v>
          </cell>
        </row>
        <row r="2995">
          <cell r="A2995" t="str">
            <v>TE Connectivity India Pvt Ltd</v>
          </cell>
          <cell r="B2995" t="str">
            <v>Group 1-Giridhar-Peenya</v>
          </cell>
        </row>
        <row r="2996">
          <cell r="A2996" t="str">
            <v>Team Thermoformings &amp; Allieds</v>
          </cell>
          <cell r="B2996" t="str">
            <v>Group 1-Giridhar-Peenya</v>
          </cell>
        </row>
        <row r="2997">
          <cell r="A2997" t="str">
            <v>TEAMTEK TECHNOLOGIES</v>
          </cell>
          <cell r="B2997" t="str">
            <v>Group-4 ( Office Account)</v>
          </cell>
        </row>
        <row r="2998">
          <cell r="A2998" t="str">
            <v>Tech Sphere Engineering Pvt. Ltd.,</v>
          </cell>
          <cell r="B2998" t="str">
            <v>Group-4 ( Office Account)</v>
          </cell>
        </row>
        <row r="2999">
          <cell r="A2999" t="str">
            <v>TECH7 AUTOMATION SYSTEMS (I) PVT LTD</v>
          </cell>
          <cell r="B2999" t="str">
            <v>Group-4 ( Office Account)</v>
          </cell>
        </row>
        <row r="3000">
          <cell r="A3000" t="str">
            <v>TECHEN ELECTRICALS</v>
          </cell>
          <cell r="B3000" t="str">
            <v>Group-4 ( Office Account)</v>
          </cell>
        </row>
        <row r="3001">
          <cell r="A3001" t="str">
            <v>TECHION SYSTEMS</v>
          </cell>
          <cell r="B3001" t="str">
            <v>Group 1-Giridhar-Peenya</v>
          </cell>
        </row>
        <row r="3002">
          <cell r="A3002" t="str">
            <v>Techmatiks Engineering Pvt. Ltd.,</v>
          </cell>
          <cell r="B3002" t="str">
            <v>Group-2 (Veeresh- Bomsdr+Hosur)</v>
          </cell>
        </row>
        <row r="3003">
          <cell r="A3003" t="str">
            <v>TECHMECH ENGINEERS</v>
          </cell>
          <cell r="B3003" t="str">
            <v>Group 1-Giridhar-Peenya</v>
          </cell>
        </row>
        <row r="3004">
          <cell r="A3004" t="str">
            <v>Techmech NM Solutions LLP</v>
          </cell>
          <cell r="B3004" t="str">
            <v>Group 1-Giridhar-Peenya</v>
          </cell>
        </row>
        <row r="3005">
          <cell r="A3005" t="str">
            <v>Techminerva Machine Tools Pvt.Ltd.,</v>
          </cell>
          <cell r="B3005" t="str">
            <v>Group-4 ( Office Account)</v>
          </cell>
        </row>
        <row r="3006">
          <cell r="A3006" t="str">
            <v>TechniQ Solutios</v>
          </cell>
          <cell r="B3006" t="str">
            <v>Group 1-Giridhar-Peenya</v>
          </cell>
        </row>
        <row r="3007">
          <cell r="A3007" t="str">
            <v>TECHNO CONTROLS</v>
          </cell>
          <cell r="B3007" t="str">
            <v>Group-4 ( Office Account)</v>
          </cell>
        </row>
        <row r="3008">
          <cell r="A3008" t="str">
            <v>TECHNO CRAFT</v>
          </cell>
          <cell r="B3008" t="str">
            <v>Group-4 ( Office Account)</v>
          </cell>
        </row>
        <row r="3009">
          <cell r="A3009" t="str">
            <v>TECHNO CRAFT (K)</v>
          </cell>
          <cell r="B3009" t="str">
            <v>Group-4 ( Office Account)</v>
          </cell>
        </row>
        <row r="3010">
          <cell r="A3010" t="str">
            <v>TECHNO CRAFT INDUSTRIES</v>
          </cell>
          <cell r="B3010" t="str">
            <v>Group-4 ( Office Account)</v>
          </cell>
        </row>
        <row r="3011">
          <cell r="A3011" t="str">
            <v>Techno Tank Industries</v>
          </cell>
          <cell r="B3011" t="str">
            <v>Group-4 ( Office Account)</v>
          </cell>
        </row>
        <row r="3012">
          <cell r="A3012" t="str">
            <v>TECHNOCRAT VENTURES (Peenya)</v>
          </cell>
          <cell r="B3012" t="str">
            <v>Group-4 ( Office Account)</v>
          </cell>
        </row>
        <row r="3013">
          <cell r="A3013" t="str">
            <v>TECHNOSYS</v>
          </cell>
          <cell r="B3013" t="str">
            <v>Group-2 (Veeresh- Bomsdr+Hosur)</v>
          </cell>
        </row>
        <row r="3014">
          <cell r="A3014" t="str">
            <v>Techser Power Solutions Private Limited</v>
          </cell>
          <cell r="B3014" t="str">
            <v>Group 1-Giridhar-Peenya</v>
          </cell>
        </row>
        <row r="3015">
          <cell r="A3015" t="str">
            <v>TECHSOL ENGINEERS</v>
          </cell>
          <cell r="B3015" t="str">
            <v>Group-4 ( Office Account)</v>
          </cell>
        </row>
        <row r="3016">
          <cell r="A3016" t="str">
            <v>Tecsol Engineers Pvt. Ltd.,</v>
          </cell>
          <cell r="B3016" t="str">
            <v>Group-4 ( Office Account)</v>
          </cell>
        </row>
        <row r="3017">
          <cell r="A3017" t="str">
            <v>Tectronics</v>
          </cell>
          <cell r="B3017" t="str">
            <v>Group-4 ( Office Account)</v>
          </cell>
        </row>
        <row r="3018">
          <cell r="A3018" t="str">
            <v>Tej Control Systems Pvt  Ltd</v>
          </cell>
          <cell r="B3018" t="str">
            <v>Group-4 ( Office Account)</v>
          </cell>
        </row>
        <row r="3019">
          <cell r="A3019" t="str">
            <v>Tejas Associates</v>
          </cell>
          <cell r="B3019" t="str">
            <v>Group-4 ( Office Account)</v>
          </cell>
        </row>
        <row r="3020">
          <cell r="A3020" t="str">
            <v>TEJAS POWER SOLUTION</v>
          </cell>
          <cell r="B3020" t="str">
            <v>Online Business</v>
          </cell>
        </row>
        <row r="3021">
          <cell r="A3021" t="str">
            <v>Tejaswini Woodworks and Industries</v>
          </cell>
          <cell r="B3021" t="str">
            <v>Group-4 ( Office Account)</v>
          </cell>
        </row>
        <row r="3022">
          <cell r="A3022" t="str">
            <v>Tekcel Automation (P) Ltd</v>
          </cell>
          <cell r="B3022" t="str">
            <v>Group 1-Giridhar-Peenya</v>
          </cell>
        </row>
        <row r="3023">
          <cell r="A3023" t="str">
            <v>Tekcel Engineering Pvt  Ltd</v>
          </cell>
          <cell r="B3023" t="str">
            <v>Group 1-Giridhar-Peenya</v>
          </cell>
        </row>
        <row r="3024">
          <cell r="A3024" t="str">
            <v>TEKMEISTER (OPC) PRIVATE LIMITED</v>
          </cell>
          <cell r="B3024" t="str">
            <v>Group-4 ( Office Account)</v>
          </cell>
        </row>
        <row r="3025">
          <cell r="A3025" t="str">
            <v>Teknic Euchner Electronics Pvt Ltd</v>
          </cell>
          <cell r="B3025" t="str">
            <v>Group-2 (Veeresh- Bomsdr+Hosur)</v>
          </cell>
        </row>
        <row r="3026">
          <cell r="A3026" t="str">
            <v>Tenova India Private Limited (Delkor India)</v>
          </cell>
          <cell r="B3026" t="str">
            <v>Group 1-Giridhar-Peenya</v>
          </cell>
        </row>
        <row r="3027">
          <cell r="A3027" t="str">
            <v>TEVAH AUTOMATIONS PRIVATE LIMITED</v>
          </cell>
          <cell r="B3027" t="str">
            <v>Group 1-Giridhar-Peenya</v>
          </cell>
        </row>
        <row r="3028">
          <cell r="A3028" t="str">
            <v>TEXANA WORLD PRIVATE LIMITED</v>
          </cell>
          <cell r="B3028" t="str">
            <v>Group-4 ( Office Account)</v>
          </cell>
        </row>
        <row r="3029">
          <cell r="A3029" t="str">
            <v>TEXANA WORLD PRIVATE LIMITED (AP)</v>
          </cell>
          <cell r="B3029" t="str">
            <v>Group-4 ( Office Account)</v>
          </cell>
        </row>
        <row r="3030">
          <cell r="A3030" t="str">
            <v>Texcel Marketing Corparation</v>
          </cell>
          <cell r="B3030" t="str">
            <v>Group 1-Giridhar-Peenya</v>
          </cell>
        </row>
        <row r="3031">
          <cell r="A3031" t="str">
            <v>TEXEL MANUFACTRUING SYSTEMS</v>
          </cell>
          <cell r="B3031" t="str">
            <v>Group 1-Giridhar-Peenya</v>
          </cell>
        </row>
        <row r="3032">
          <cell r="A3032" t="str">
            <v>TEXPORT INDUSTRIAL PVT LTD</v>
          </cell>
          <cell r="B3032" t="str">
            <v>Group-4 ( Office Account)</v>
          </cell>
        </row>
        <row r="3033">
          <cell r="A3033" t="str">
            <v>Thayne Automation Pvt Ltd</v>
          </cell>
          <cell r="B3033" t="str">
            <v>Group-2 (Veeresh- Bomsdr+Hosur)</v>
          </cell>
        </row>
        <row r="3034">
          <cell r="A3034" t="str">
            <v>THE CENTRAL ARECANUT</v>
          </cell>
          <cell r="B3034" t="str">
            <v>Group-4 ( Office Account)</v>
          </cell>
        </row>
        <row r="3035">
          <cell r="A3035" t="str">
            <v>The Chairman</v>
          </cell>
          <cell r="B3035" t="str">
            <v>Group - 5 (Ananthapadmanabha)</v>
          </cell>
        </row>
        <row r="3036">
          <cell r="A3036" t="str">
            <v>THE EUROTECH</v>
          </cell>
          <cell r="B3036" t="str">
            <v>Group 1-Giridhar-Peenya</v>
          </cell>
        </row>
        <row r="3037">
          <cell r="A3037" t="str">
            <v>THE GARDENS APARTMENT OWNERS ASSOCIATION</v>
          </cell>
          <cell r="B3037" t="str">
            <v>Online Business</v>
          </cell>
        </row>
        <row r="3038">
          <cell r="A3038" t="str">
            <v>The Himalaya Drug Company</v>
          </cell>
          <cell r="B3038" t="str">
            <v>Group 1-Giridhar-Peenya</v>
          </cell>
        </row>
        <row r="3039">
          <cell r="A3039" t="str">
            <v>The Logic Electrical</v>
          </cell>
          <cell r="B3039" t="str">
            <v>Group-4 ( Office Account)</v>
          </cell>
        </row>
        <row r="3040">
          <cell r="A3040" t="str">
            <v>THE MULTI GREAT'S</v>
          </cell>
          <cell r="B3040" t="str">
            <v>Online Business</v>
          </cell>
        </row>
        <row r="3041">
          <cell r="A3041" t="str">
            <v>The Power Engineering Co.,</v>
          </cell>
          <cell r="B3041" t="str">
            <v>Group - 5 (Ananthapadmanabha)</v>
          </cell>
        </row>
        <row r="3042">
          <cell r="A3042" t="str">
            <v>THE PRINCIPAL</v>
          </cell>
          <cell r="B3042" t="str">
            <v>Group-4 ( Office Account)</v>
          </cell>
        </row>
        <row r="3043">
          <cell r="A3043" t="str">
            <v>THE PRINTERS(MYSORE) PRIVATE LIMITED</v>
          </cell>
          <cell r="B3043" t="str">
            <v>Group-2 (Veeresh- Bomsdr+Hosur)</v>
          </cell>
        </row>
        <row r="3044">
          <cell r="A3044" t="str">
            <v>The Tata Power Company Limited</v>
          </cell>
          <cell r="B3044" t="str">
            <v>Group-2 (Veeresh- Bomsdr+Hosur)</v>
          </cell>
        </row>
        <row r="3045">
          <cell r="A3045" t="str">
            <v>Therelek Engineers Private Limited</v>
          </cell>
          <cell r="B3045" t="str">
            <v>Group 1-Giridhar-Peenya</v>
          </cell>
        </row>
        <row r="3046">
          <cell r="A3046" t="str">
            <v>Therman India</v>
          </cell>
          <cell r="B3046" t="str">
            <v>Group-4 ( Office Account)</v>
          </cell>
        </row>
        <row r="3047">
          <cell r="A3047" t="str">
            <v>Thermodyne</v>
          </cell>
          <cell r="B3047" t="str">
            <v>Group-2 (Veeresh- Bomsdr+Hosur)</v>
          </cell>
        </row>
        <row r="3048">
          <cell r="A3048" t="str">
            <v>THIRUMALAIVASAN TECHNOLOGY</v>
          </cell>
          <cell r="B3048" t="str">
            <v>Group-4 ( Office Account)</v>
          </cell>
        </row>
        <row r="3049">
          <cell r="A3049" t="str">
            <v>THOMSON MUSIC HOUSE</v>
          </cell>
          <cell r="B3049" t="str">
            <v>Group-4 ( Office Account)</v>
          </cell>
        </row>
        <row r="3050">
          <cell r="A3050" t="str">
            <v>Thraiking Industrial Controls</v>
          </cell>
          <cell r="B3050" t="str">
            <v>Group - 5 (Ananthapadmanabha)</v>
          </cell>
        </row>
        <row r="3051">
          <cell r="A3051" t="str">
            <v>TIA TECHNOLOGY (INDIA) PVT. LTD.</v>
          </cell>
          <cell r="B3051" t="str">
            <v>Group 1-Giridhar-Peenya</v>
          </cell>
        </row>
        <row r="3052">
          <cell r="A3052" t="str">
            <v>Titan Company Limited (TN)</v>
          </cell>
          <cell r="B3052" t="str">
            <v>Group-2 (Veeresh- Bomsdr+Hosur)</v>
          </cell>
        </row>
        <row r="3053">
          <cell r="A3053" t="str">
            <v>Titan Company Limited(3 Sipcot)</v>
          </cell>
          <cell r="B3053" t="str">
            <v>Group-2 (Veeresh- Bomsdr+Hosur)</v>
          </cell>
        </row>
        <row r="3054">
          <cell r="A3054" t="str">
            <v>TITAN ENGINEERING &amp; AUTOMATION LIMITED (D)</v>
          </cell>
          <cell r="B3054" t="str">
            <v>Group-2 (Veeresh- Bomsdr+Hosur)</v>
          </cell>
        </row>
        <row r="3055">
          <cell r="A3055" t="str">
            <v>TITAN ENGINEERING &amp; AUTOMATION LIMITED (Plant  L-6)</v>
          </cell>
          <cell r="B3055" t="str">
            <v>Group-2 (Veeresh- Bomsdr+Hosur)</v>
          </cell>
        </row>
        <row r="3056">
          <cell r="A3056" t="str">
            <v>TITAN ENGINEERING &amp; AUTOMATION LTD</v>
          </cell>
          <cell r="B3056" t="str">
            <v>Group-2 (Veeresh- Bomsdr+Hosur)</v>
          </cell>
        </row>
        <row r="3057">
          <cell r="A3057" t="str">
            <v>Titan Engineering &amp; Automation Ltd (Unit1)</v>
          </cell>
          <cell r="B3057" t="str">
            <v>Group-2 (Veeresh- Bomsdr+Hosur)</v>
          </cell>
        </row>
        <row r="3058">
          <cell r="A3058" t="str">
            <v>TITAN ENGINEERINGS</v>
          </cell>
          <cell r="B3058" t="str">
            <v>Group-2 (Veeresh- Bomsdr+Hosur)</v>
          </cell>
        </row>
        <row r="3059">
          <cell r="A3059" t="str">
            <v>Titan Industrises Limited</v>
          </cell>
          <cell r="B3059" t="str">
            <v>Group-2 (Veeresh- Bomsdr+Hosur)</v>
          </cell>
        </row>
        <row r="3060">
          <cell r="A3060" t="str">
            <v>Titan Timeproducts Limited</v>
          </cell>
          <cell r="B3060" t="str">
            <v>Group-2 (Veeresh- Bomsdr+Hosur)</v>
          </cell>
        </row>
        <row r="3061">
          <cell r="A3061" t="str">
            <v>TKH PLASTICS PVT.LTD</v>
          </cell>
          <cell r="B3061" t="str">
            <v>Group-4 ( Office Account)</v>
          </cell>
        </row>
        <row r="3062">
          <cell r="A3062" t="str">
            <v>TMG INDUSTRIAL SOLUTIONS</v>
          </cell>
          <cell r="B3062" t="str">
            <v>Online Business</v>
          </cell>
        </row>
        <row r="3063">
          <cell r="A3063" t="str">
            <v>TMPL MACHINES</v>
          </cell>
          <cell r="B3063" t="str">
            <v>Group-4 ( Office Account)</v>
          </cell>
        </row>
        <row r="3064">
          <cell r="A3064" t="str">
            <v>TNK Enterprises</v>
          </cell>
          <cell r="B3064" t="str">
            <v>Group-2 (Veeresh- Bomsdr+Hosur)</v>
          </cell>
        </row>
        <row r="3065">
          <cell r="A3065" t="str">
            <v>TOFFLON (INDIA) PRIVATE LIMITED</v>
          </cell>
          <cell r="B3065" t="str">
            <v>Group-4 ( Office Account)</v>
          </cell>
        </row>
        <row r="3066">
          <cell r="A3066" t="str">
            <v>Tofflon (India) Pvt. Ltd.,</v>
          </cell>
          <cell r="B3066" t="str">
            <v>Group-4 ( Office Account)</v>
          </cell>
        </row>
        <row r="3067">
          <cell r="A3067" t="str">
            <v>TOOL GRINDING TECHNOLOGOES</v>
          </cell>
          <cell r="B3067" t="str">
            <v>Group 1-Giridhar-Peenya</v>
          </cell>
        </row>
        <row r="3068">
          <cell r="A3068" t="str">
            <v>Tools Engineering Co</v>
          </cell>
          <cell r="B3068" t="str">
            <v>Group-4 ( Office Account)</v>
          </cell>
        </row>
        <row r="3069">
          <cell r="A3069" t="str">
            <v>TOP-WERK INDIA PRIVATE LIMITED</v>
          </cell>
          <cell r="B3069" t="str">
            <v>Online Business</v>
          </cell>
        </row>
        <row r="3070">
          <cell r="A3070" t="str">
            <v>TORQUE ENERGY PRIVATE LIMITED</v>
          </cell>
          <cell r="B3070" t="str">
            <v>Online Business</v>
          </cell>
        </row>
        <row r="3071">
          <cell r="A3071" t="str">
            <v>Total Machining Solutions Inc</v>
          </cell>
          <cell r="B3071" t="str">
            <v>Group-4 ( Office Account)</v>
          </cell>
        </row>
        <row r="3072">
          <cell r="A3072" t="str">
            <v>TOUCH STONE INFRASTRUCTURE AND SOLUTIONS PVT. LTD.</v>
          </cell>
          <cell r="B3072" t="str">
            <v>Group-4 ( Office Account)</v>
          </cell>
        </row>
        <row r="3073">
          <cell r="A3073" t="str">
            <v>TOWLER ENTERPRISE SOLUTIONS P. LTD.</v>
          </cell>
          <cell r="B3073" t="str">
            <v>Group 1-Giridhar-Peenya</v>
          </cell>
        </row>
        <row r="3074">
          <cell r="A3074" t="str">
            <v>Toyota Boshoku Automotive India Pvt Ltd</v>
          </cell>
          <cell r="B3074" t="str">
            <v>Group-2 (Veeresh- Bomsdr+Hosur)</v>
          </cell>
        </row>
        <row r="3075">
          <cell r="A3075" t="str">
            <v>TOYOTA KIRLOSKAR AUTO PARTS PVT. LTD. (EOU)</v>
          </cell>
          <cell r="B3075" t="str">
            <v>Group-2 (Veeresh- Bomsdr+Hosur)</v>
          </cell>
        </row>
        <row r="3076">
          <cell r="A3076" t="str">
            <v>TOYOTA KIRLOSKAR AUTO PARTS PVT. LTD. (TMU)</v>
          </cell>
          <cell r="B3076" t="str">
            <v>Group-2 (Veeresh- Bomsdr+Hosur)</v>
          </cell>
        </row>
        <row r="3077">
          <cell r="A3077" t="str">
            <v>Toyota Kirloskar Motor Pvt Ltd</v>
          </cell>
          <cell r="B3077" t="str">
            <v>Group-2 (Veeresh- Bomsdr+Hosur)</v>
          </cell>
        </row>
        <row r="3078">
          <cell r="A3078" t="str">
            <v>Toyota Material Handling India Pvt Ltd</v>
          </cell>
          <cell r="B3078" t="str">
            <v>Group-2 (Veeresh- Bomsdr+Hosur)</v>
          </cell>
        </row>
        <row r="3079">
          <cell r="A3079" t="str">
            <v>Tractors And Farm Equipment Ltd</v>
          </cell>
          <cell r="B3079" t="str">
            <v>Group - 5 (Ananthapadmanabha)</v>
          </cell>
        </row>
        <row r="3080">
          <cell r="A3080" t="str">
            <v>TRANS POWER PRODUCTS</v>
          </cell>
          <cell r="B3080" t="str">
            <v>Group-4 ( Office Account)</v>
          </cell>
        </row>
        <row r="3081">
          <cell r="A3081" t="str">
            <v>Transcedence Automation Private Ltd.,</v>
          </cell>
          <cell r="B3081" t="str">
            <v>Group-4 ( Office Account)</v>
          </cell>
        </row>
        <row r="3082">
          <cell r="A3082" t="str">
            <v>Transcedence Automation Pvt.Ltd., (KAR)</v>
          </cell>
          <cell r="B3082" t="str">
            <v>Group 1-Giridhar-Peenya</v>
          </cell>
        </row>
        <row r="3083">
          <cell r="A3083" t="str">
            <v>TRANSDUCERS &amp; ALLIED PRODUCTS</v>
          </cell>
          <cell r="B3083" t="str">
            <v>Group 1-Giridhar-Peenya</v>
          </cell>
        </row>
        <row r="3084">
          <cell r="A3084" t="str">
            <v>Transline Conveyors Private Limited</v>
          </cell>
          <cell r="B3084" t="str">
            <v>Group 1-Giridhar-Peenya</v>
          </cell>
        </row>
        <row r="3085">
          <cell r="A3085" t="str">
            <v>TRANSLINE ENGINEERS PVT LTD</v>
          </cell>
          <cell r="B3085" t="str">
            <v>Group-4 ( Office Account)</v>
          </cell>
        </row>
        <row r="3086">
          <cell r="A3086" t="str">
            <v>Transpade Engineers Pvt Ltd</v>
          </cell>
          <cell r="B3086" t="str">
            <v>Group-2 (Veeresh- Bomsdr+Hosur)</v>
          </cell>
        </row>
        <row r="3087">
          <cell r="A3087" t="str">
            <v>TRANSPOWER ELECTRIC</v>
          </cell>
          <cell r="B3087" t="str">
            <v>Group-4 ( Office Account)</v>
          </cell>
        </row>
        <row r="3088">
          <cell r="A3088" t="str">
            <v>Transteel Seating Technologies Private Limited</v>
          </cell>
          <cell r="B3088" t="str">
            <v>Group 1-Giridhar-Peenya</v>
          </cell>
        </row>
        <row r="3089">
          <cell r="A3089" t="str">
            <v>Transwind Technologies</v>
          </cell>
          <cell r="B3089" t="str">
            <v>Group 1-Giridhar-Peenya</v>
          </cell>
        </row>
        <row r="3090">
          <cell r="A3090" t="str">
            <v>TRANSWORLD STAR</v>
          </cell>
          <cell r="B3090" t="str">
            <v>Group-4 ( Office Account)</v>
          </cell>
        </row>
        <row r="3091">
          <cell r="A3091" t="str">
            <v>Trasccon Interconnections System Pvt Ltd</v>
          </cell>
          <cell r="B3091" t="str">
            <v>Group-2 (Veeresh- Bomsdr+Hosur)</v>
          </cell>
        </row>
        <row r="3092">
          <cell r="A3092" t="str">
            <v>Trashcon Labs Private Limited</v>
          </cell>
          <cell r="B3092" t="str">
            <v>Group 1-Giridhar-Peenya</v>
          </cell>
        </row>
        <row r="3093">
          <cell r="A3093" t="str">
            <v>TRI MILLENNIAL DESIGN AND SERVICE ENGINEERS PVT LTD</v>
          </cell>
          <cell r="B3093" t="str">
            <v>Group-4 ( Office Account)</v>
          </cell>
        </row>
        <row r="3094">
          <cell r="A3094" t="str">
            <v>TRINITY COATING SYSTEMS LIMITED (OLD)</v>
          </cell>
          <cell r="B3094" t="str">
            <v>Group-2 (Veeresh- Bomsdr+Hosur)</v>
          </cell>
        </row>
        <row r="3095">
          <cell r="A3095" t="str">
            <v>Trinity Mobility Private Ltd</v>
          </cell>
          <cell r="B3095" t="str">
            <v>Group-4 ( Office Account)</v>
          </cell>
        </row>
        <row r="3096">
          <cell r="A3096" t="str">
            <v>TRINITY TECHNOLOGIES</v>
          </cell>
          <cell r="B3096" t="str">
            <v>Group-2 (Veeresh- Bomsdr+Hosur)</v>
          </cell>
        </row>
        <row r="3097">
          <cell r="A3097" t="str">
            <v>TRIPOWER SYSTEMS &amp; ENGINEERS</v>
          </cell>
          <cell r="B3097" t="str">
            <v>Group - 5 (Ananthapadmanabha)</v>
          </cell>
        </row>
        <row r="3098">
          <cell r="A3098" t="str">
            <v>Trishul Winding Solutions Pvt. Ltd.,</v>
          </cell>
          <cell r="B3098" t="str">
            <v>Group-2 (Veeresh- Bomsdr+Hosur)</v>
          </cell>
        </row>
        <row r="3099">
          <cell r="A3099" t="str">
            <v>Triton Valves Ltd.</v>
          </cell>
          <cell r="B3099" t="str">
            <v>Group-4 ( Office Account)</v>
          </cell>
        </row>
        <row r="3100">
          <cell r="A3100" t="str">
            <v>Triveni Engineering &amp; Industries Ltd</v>
          </cell>
          <cell r="B3100" t="str">
            <v>Group 1-Giridhar-Peenya</v>
          </cell>
        </row>
        <row r="3101">
          <cell r="A3101" t="str">
            <v>TRIVENI MACHINE TOOLS</v>
          </cell>
          <cell r="B3101" t="str">
            <v>Group 1-Giridhar-Peenya</v>
          </cell>
        </row>
        <row r="3102">
          <cell r="A3102" t="str">
            <v>TRIVENI TURBINE LIMITED</v>
          </cell>
          <cell r="B3102" t="str">
            <v>Group 1-Giridhar-Peenya</v>
          </cell>
        </row>
        <row r="3103">
          <cell r="A3103" t="str">
            <v>TRIVENY ENGINEERING COMPANY</v>
          </cell>
          <cell r="B3103" t="str">
            <v>Group-4 ( Office Account)</v>
          </cell>
        </row>
        <row r="3104">
          <cell r="A3104" t="str">
            <v>TROAX SAFETY SYSTEMS INDIA PVT LTD</v>
          </cell>
          <cell r="B3104" t="str">
            <v>Online Business</v>
          </cell>
        </row>
        <row r="3105">
          <cell r="A3105" t="str">
            <v>TROPICOOL FOODS PVT LTD</v>
          </cell>
          <cell r="B3105" t="str">
            <v>Group-4 ( Office Account)</v>
          </cell>
        </row>
        <row r="3106">
          <cell r="A3106" t="str">
            <v>TRUE CONTROL</v>
          </cell>
          <cell r="B3106" t="str">
            <v>Group-4 ( Office Account)</v>
          </cell>
        </row>
        <row r="3107">
          <cell r="A3107" t="str">
            <v>TRUPTI ENTERPRISES</v>
          </cell>
          <cell r="B3107" t="str">
            <v>Online Business</v>
          </cell>
        </row>
        <row r="3108">
          <cell r="A3108" t="str">
            <v>TRUSTWARE TECHNOLOGIES</v>
          </cell>
          <cell r="B3108" t="str">
            <v>Online Business</v>
          </cell>
        </row>
        <row r="3109">
          <cell r="A3109" t="str">
            <v>TT Steel Service India Pvt. Ltd.,</v>
          </cell>
          <cell r="B3109" t="str">
            <v>Group-2 (Veeresh- Bomsdr+Hosur)</v>
          </cell>
        </row>
        <row r="3110">
          <cell r="A3110" t="str">
            <v>Turbo Energy Ltd</v>
          </cell>
          <cell r="B3110" t="str">
            <v>Group-4 ( Office Account)</v>
          </cell>
        </row>
        <row r="3111">
          <cell r="A3111" t="str">
            <v>TURBO INDIA INTERCONNECT SOLUTIONS LLP</v>
          </cell>
          <cell r="B3111" t="str">
            <v>Online Business</v>
          </cell>
        </row>
        <row r="3112">
          <cell r="A3112" t="str">
            <v>TURTLE MENTORS PRIVATE LIMITED</v>
          </cell>
          <cell r="B3112" t="str">
            <v>Group 1-Giridhar-Peenya</v>
          </cell>
        </row>
        <row r="3113">
          <cell r="A3113" t="str">
            <v>TVC CONCRETE</v>
          </cell>
          <cell r="B3113" t="str">
            <v>Group-4 ( Office Account)</v>
          </cell>
        </row>
        <row r="3114">
          <cell r="A3114" t="str">
            <v>TVS MOTOR COMPANY (MYSORE)</v>
          </cell>
          <cell r="B3114" t="str">
            <v>Group - 5 (Ananthapadmanabha)</v>
          </cell>
        </row>
        <row r="3115">
          <cell r="A3115" t="str">
            <v>TVS MOTOR COMPANY LTD</v>
          </cell>
          <cell r="B3115" t="str">
            <v>Group-2 (Veeresh- Bomsdr+Hosur)</v>
          </cell>
        </row>
        <row r="3116">
          <cell r="A3116" t="str">
            <v>TVS Murthy</v>
          </cell>
          <cell r="B3116" t="str">
            <v>Group-2 (Veeresh- Bomsdr+Hosur)</v>
          </cell>
        </row>
        <row r="3117">
          <cell r="A3117" t="str">
            <v>TVS SIRIUS CONTROLS PRIVATE LIMITED</v>
          </cell>
          <cell r="B3117" t="str">
            <v>Group-2 (Veeresh- Bomsdr+Hosur)</v>
          </cell>
        </row>
        <row r="3118">
          <cell r="A3118" t="str">
            <v>TWILIGHT</v>
          </cell>
          <cell r="B3118" t="str">
            <v>Online Business</v>
          </cell>
        </row>
        <row r="3119">
          <cell r="A3119" t="str">
            <v>TWILIGHT (Old)</v>
          </cell>
          <cell r="B3119" t="str">
            <v>Online Business</v>
          </cell>
        </row>
        <row r="3120">
          <cell r="A3120" t="str">
            <v>T-Works Foundation</v>
          </cell>
          <cell r="B3120" t="str">
            <v>Group-4 ( Office Account)</v>
          </cell>
        </row>
        <row r="3121">
          <cell r="A3121" t="str">
            <v>TYCHE DIECAST PRIVATE LIMITED</v>
          </cell>
          <cell r="B3121" t="str">
            <v>Online Business</v>
          </cell>
        </row>
        <row r="3122">
          <cell r="A3122" t="str">
            <v>U -TECH UTPADAN</v>
          </cell>
          <cell r="B3122" t="str">
            <v>Group 1-Giridhar-Peenya</v>
          </cell>
        </row>
        <row r="3123">
          <cell r="A3123" t="str">
            <v>Ucam Pvt  Ltd</v>
          </cell>
          <cell r="B3123" t="str">
            <v>Group 1-Giridhar-Peenya</v>
          </cell>
        </row>
        <row r="3124">
          <cell r="A3124" t="str">
            <v>Ucam Pvt. Ltd.,(Peenya)</v>
          </cell>
          <cell r="B3124" t="str">
            <v>Group 1-Giridhar-Peenya</v>
          </cell>
        </row>
        <row r="3125">
          <cell r="A3125" t="str">
            <v>UCC ENGINEERING INDIA PRIVATE LIMITED</v>
          </cell>
          <cell r="B3125" t="str">
            <v>Group-2 (Veeresh- Bomsdr+Hosur)</v>
          </cell>
        </row>
        <row r="3126">
          <cell r="A3126" t="str">
            <v>UDAY POWER CONTROLS</v>
          </cell>
          <cell r="B3126" t="str">
            <v>Group-4 ( Office Account)</v>
          </cell>
        </row>
        <row r="3127">
          <cell r="A3127" t="str">
            <v>UDLY ENGINEERS</v>
          </cell>
          <cell r="B3127" t="str">
            <v>Group 1-Giridhar-Peenya</v>
          </cell>
        </row>
        <row r="3128">
          <cell r="A3128" t="str">
            <v>UDLY TECHNOLOGIES PRIVATE LIMITED</v>
          </cell>
          <cell r="B3128" t="str">
            <v>Group-4 ( Office Account)</v>
          </cell>
        </row>
        <row r="3129">
          <cell r="A3129" t="str">
            <v>UKB CONSTRUCTION MANAGEMENT PRIVATE LIMITED</v>
          </cell>
          <cell r="B3129" t="str">
            <v>Group-4 ( Office Account)</v>
          </cell>
        </row>
        <row r="3130">
          <cell r="A3130" t="str">
            <v>ULTRA</v>
          </cell>
          <cell r="B3130" t="str">
            <v>Group-4 ( Office Account)</v>
          </cell>
        </row>
        <row r="3131">
          <cell r="A3131" t="str">
            <v>ULTRAFAST CHARGERS PRIVATE LIMITED</v>
          </cell>
          <cell r="B3131" t="str">
            <v>Online Business</v>
          </cell>
        </row>
        <row r="3132">
          <cell r="A3132" t="str">
            <v>Ultrahigh Vacuum Solutions Llp</v>
          </cell>
          <cell r="B3132" t="str">
            <v>Group-4 ( Office Account)</v>
          </cell>
        </row>
        <row r="3133">
          <cell r="A3133" t="str">
            <v>UNI FLEX</v>
          </cell>
          <cell r="B3133" t="str">
            <v>Online Business</v>
          </cell>
        </row>
        <row r="3134">
          <cell r="A3134" t="str">
            <v>UNICO SPICE PRIVATE LIMITED</v>
          </cell>
          <cell r="B3134" t="str">
            <v>Group-2 (Veeresh- Bomsdr+Hosur)</v>
          </cell>
        </row>
        <row r="3135">
          <cell r="A3135" t="str">
            <v>Unicorn Industries Pvt Limited</v>
          </cell>
          <cell r="B3135" t="str">
            <v>Online Business</v>
          </cell>
        </row>
        <row r="3136">
          <cell r="A3136" t="str">
            <v>Unicorn Industries Pvt Limited (Old)</v>
          </cell>
          <cell r="B3136" t="str">
            <v>Group-4 ( Office Account)</v>
          </cell>
        </row>
        <row r="3137">
          <cell r="A3137" t="str">
            <v>Unified Electro Tech Pvt Ltd</v>
          </cell>
          <cell r="B3137" t="str">
            <v>Online Business</v>
          </cell>
        </row>
        <row r="3138">
          <cell r="A3138" t="str">
            <v>Unique Conmix</v>
          </cell>
          <cell r="B3138" t="str">
            <v>Group-4 ( Office Account)</v>
          </cell>
        </row>
        <row r="3139">
          <cell r="A3139" t="str">
            <v>Unique Enterprises</v>
          </cell>
          <cell r="B3139" t="str">
            <v>Group-4 ( Office Account)</v>
          </cell>
        </row>
        <row r="3140">
          <cell r="A3140" t="str">
            <v>Unique Trading</v>
          </cell>
          <cell r="B3140" t="str">
            <v>Group 1-Giridhar-Peenya</v>
          </cell>
        </row>
        <row r="3141">
          <cell r="A3141" t="str">
            <v>UNIT OF TUBE INVESTMENTS OF INDIA LIMITED</v>
          </cell>
          <cell r="B3141" t="str">
            <v>Group-4 ( Office Account)</v>
          </cell>
        </row>
        <row r="3142">
          <cell r="A3142" t="str">
            <v>UNITE INDUSTRIES</v>
          </cell>
          <cell r="B3142" t="str">
            <v>Group 1-Giridhar-Peenya</v>
          </cell>
        </row>
        <row r="3143">
          <cell r="A3143" t="str">
            <v>UNITED GRINDING Gmbh</v>
          </cell>
          <cell r="B3143" t="str">
            <v>Group-4 ( Office Account)</v>
          </cell>
        </row>
        <row r="3144">
          <cell r="A3144" t="str">
            <v>United Telecoms Limited</v>
          </cell>
          <cell r="B3144" t="str">
            <v>Group - 5 (Ananthapadmanabha)</v>
          </cell>
        </row>
        <row r="3145">
          <cell r="A3145" t="str">
            <v>UNITEX APPARELS PVT LTD</v>
          </cell>
          <cell r="B3145" t="str">
            <v>Group 1-Giridhar-Peenya</v>
          </cell>
        </row>
        <row r="3146">
          <cell r="A3146" t="str">
            <v>Unitherm Engineers Limited(M)</v>
          </cell>
          <cell r="B3146" t="str">
            <v>Group-2 (Veeresh- Bomsdr+Hosur)</v>
          </cell>
        </row>
        <row r="3147">
          <cell r="A3147" t="str">
            <v>UNITHERM ENGINEERS LTD.</v>
          </cell>
          <cell r="B3147" t="str">
            <v>Group-2 (Veeresh- Bomsdr+Hosur)</v>
          </cell>
        </row>
        <row r="3148">
          <cell r="A3148" t="str">
            <v>Universal Automation</v>
          </cell>
          <cell r="B3148" t="str">
            <v>Group-2 (Veeresh- Bomsdr+Hosur)</v>
          </cell>
        </row>
        <row r="3149">
          <cell r="A3149" t="str">
            <v>UNIVERSAL AUTOMATION SYSTEMS</v>
          </cell>
          <cell r="B3149" t="str">
            <v>Group-2 (Veeresh- Bomsdr+Hosur)</v>
          </cell>
        </row>
        <row r="3150">
          <cell r="A3150" t="str">
            <v>UNIVERSAL CONSTRUCTION COMPANY</v>
          </cell>
          <cell r="B3150" t="str">
            <v>Group - 5 (Ananthapadmanabha)</v>
          </cell>
        </row>
        <row r="3151">
          <cell r="A3151" t="str">
            <v>Universal Electrical</v>
          </cell>
          <cell r="B3151" t="str">
            <v>Group-2 (Veeresh- Bomsdr+Hosur)</v>
          </cell>
        </row>
        <row r="3152">
          <cell r="A3152" t="str">
            <v>UNIVERSAL ELECTRICALS</v>
          </cell>
          <cell r="B3152" t="str">
            <v>Group-4 ( Office Account)</v>
          </cell>
        </row>
        <row r="3153">
          <cell r="A3153" t="str">
            <v>Universal Electronics</v>
          </cell>
          <cell r="B3153" t="str">
            <v>Group-4 ( Office Account)</v>
          </cell>
        </row>
        <row r="3154">
          <cell r="A3154" t="str">
            <v>UNIVERSAL FACTORY AUTOMATION</v>
          </cell>
          <cell r="B3154" t="str">
            <v>Group-4 ( Office Account)</v>
          </cell>
        </row>
        <row r="3155">
          <cell r="A3155" t="str">
            <v>Universal Transformers</v>
          </cell>
          <cell r="B3155" t="str">
            <v>Group-4 ( Office Account)</v>
          </cell>
        </row>
        <row r="3156">
          <cell r="A3156" t="str">
            <v>UNIVERSAL URETHANES</v>
          </cell>
          <cell r="B3156" t="str">
            <v>Online Business</v>
          </cell>
        </row>
        <row r="3157">
          <cell r="A3157" t="str">
            <v>USHODAYA ELECTRICALS</v>
          </cell>
          <cell r="B3157" t="str">
            <v>Group-4 ( Office Account)</v>
          </cell>
        </row>
        <row r="3158">
          <cell r="A3158" t="str">
            <v>UTTHUNGA TECHNOLOGIES PRIVATE LIMITED</v>
          </cell>
          <cell r="B3158" t="str">
            <v>Group 1-Giridhar-Peenya</v>
          </cell>
        </row>
        <row r="3159">
          <cell r="A3159" t="str">
            <v>V K COOL TECH</v>
          </cell>
          <cell r="B3159" t="str">
            <v>Group 1-Giridhar-Peenya</v>
          </cell>
        </row>
        <row r="3160">
          <cell r="A3160" t="str">
            <v>V K S ELECTRONICS</v>
          </cell>
          <cell r="B3160" t="str">
            <v>Group-4 ( Office Account)</v>
          </cell>
        </row>
        <row r="3161">
          <cell r="A3161" t="str">
            <v>V POWER ENTERPRISES</v>
          </cell>
          <cell r="B3161" t="str">
            <v>Group-4 ( Office Account)</v>
          </cell>
        </row>
        <row r="3162">
          <cell r="A3162" t="str">
            <v>V Rize Industries</v>
          </cell>
          <cell r="B3162" t="str">
            <v>Group 1-Giridhar-Peenya</v>
          </cell>
        </row>
        <row r="3163">
          <cell r="A3163" t="str">
            <v>V S PROTO FABS</v>
          </cell>
          <cell r="B3163" t="str">
            <v>Group-4 ( Office Account)</v>
          </cell>
        </row>
        <row r="3164">
          <cell r="A3164" t="str">
            <v>V SHAHUL HAMEED Old</v>
          </cell>
          <cell r="B3164" t="str">
            <v>Group-4 ( Office Account)</v>
          </cell>
        </row>
        <row r="3165">
          <cell r="A3165" t="str">
            <v>V.G.K. Electric Service</v>
          </cell>
          <cell r="B3165" t="str">
            <v>Group-4 ( Office Account)</v>
          </cell>
        </row>
        <row r="3166">
          <cell r="A3166" t="str">
            <v>V.S.AUTOMATION</v>
          </cell>
          <cell r="B3166" t="str">
            <v>Group-4 ( Office Account)</v>
          </cell>
        </row>
        <row r="3167">
          <cell r="A3167" t="str">
            <v>V1-Energy</v>
          </cell>
          <cell r="B3167" t="str">
            <v>Group-2 (Veeresh- Bomsdr+Hosur)</v>
          </cell>
        </row>
        <row r="3168">
          <cell r="A3168" t="str">
            <v>V9 TECHNOLOGIES INC</v>
          </cell>
          <cell r="B3168" t="str">
            <v>Online Business</v>
          </cell>
        </row>
        <row r="3169">
          <cell r="A3169" t="str">
            <v>Vacuum Techniques Pvt.Ltd</v>
          </cell>
          <cell r="B3169" t="str">
            <v>Group 1-Giridhar-Peenya</v>
          </cell>
        </row>
        <row r="3170">
          <cell r="A3170" t="str">
            <v>Vaib Automation</v>
          </cell>
          <cell r="B3170" t="str">
            <v>Group 1-Giridhar-Peenya</v>
          </cell>
        </row>
        <row r="3171">
          <cell r="A3171" t="str">
            <v>VAIBHAV LIGHTRONICS(CUST)</v>
          </cell>
          <cell r="B3171" t="str">
            <v>Group-4 ( Office Account)</v>
          </cell>
        </row>
        <row r="3172">
          <cell r="A3172" t="str">
            <v>VAISHNAVI ELECTRICALS ( Cus )</v>
          </cell>
          <cell r="B3172" t="str">
            <v>Group-4 ( Office Account)</v>
          </cell>
        </row>
        <row r="3173">
          <cell r="A3173" t="str">
            <v>Vaishnavi Enterprises</v>
          </cell>
          <cell r="B3173" t="str">
            <v>Group-4 ( Office Account)</v>
          </cell>
        </row>
        <row r="3174">
          <cell r="A3174" t="str">
            <v>VAISHNAVI INFRASTRUCTURE AND PROPERTIES LLP</v>
          </cell>
          <cell r="B3174" t="str">
            <v>Group-4 ( Office Account)</v>
          </cell>
        </row>
        <row r="3175">
          <cell r="A3175" t="str">
            <v>VAISHNAVI MACHINE TOOLS</v>
          </cell>
          <cell r="B3175" t="str">
            <v>Group 1-Giridhar-Peenya</v>
          </cell>
        </row>
        <row r="3176">
          <cell r="A3176" t="str">
            <v>Vaishnavi Machine Tools (Old)</v>
          </cell>
          <cell r="B3176" t="str">
            <v>Group 1-Giridhar-Peenya</v>
          </cell>
        </row>
        <row r="3177">
          <cell r="A3177" t="str">
            <v>VALAR ASSOCIATES</v>
          </cell>
          <cell r="B3177" t="str">
            <v>Online Business</v>
          </cell>
        </row>
        <row r="3178">
          <cell r="A3178" t="str">
            <v>VALVE HOUSE</v>
          </cell>
          <cell r="B3178" t="str">
            <v>Group-4 ( Office Account)</v>
          </cell>
        </row>
        <row r="3179">
          <cell r="A3179" t="str">
            <v>VANAM ELECTRICAL SOLUTIONS</v>
          </cell>
          <cell r="B3179" t="str">
            <v>Group-2 (Veeresh- Bomsdr+Hosur)</v>
          </cell>
        </row>
        <row r="3180">
          <cell r="A3180" t="str">
            <v>Vani Graphtec</v>
          </cell>
          <cell r="B3180" t="str">
            <v>Group 1-Giridhar-Peenya</v>
          </cell>
        </row>
        <row r="3181">
          <cell r="A3181" t="str">
            <v>VARUN ENTERPRISES (Customer)</v>
          </cell>
          <cell r="B3181" t="str">
            <v>Group-4 ( Office Account)</v>
          </cell>
        </row>
        <row r="3182">
          <cell r="A3182" t="str">
            <v>VASHI INTEGRATED SOLUTIONS LIMITED</v>
          </cell>
          <cell r="B3182" t="str">
            <v>Group-4 ( Office Account)</v>
          </cell>
        </row>
        <row r="3183">
          <cell r="A3183" t="str">
            <v>VASPAL PACKAGING LLP</v>
          </cell>
          <cell r="B3183" t="str">
            <v>Online Business</v>
          </cell>
        </row>
        <row r="3184">
          <cell r="A3184" t="str">
            <v>VASUJAYITRI INFRACON PRIVATE LIMITED</v>
          </cell>
          <cell r="B3184" t="str">
            <v>Group - 5 (Ananthapadmanabha)</v>
          </cell>
        </row>
        <row r="3185">
          <cell r="A3185" t="str">
            <v>Vasundara Automation &amp; Engg Services Pvt Ltd (Old)</v>
          </cell>
          <cell r="B3185" t="str">
            <v>Group-2 (Veeresh- Bomsdr+Hosur)</v>
          </cell>
        </row>
        <row r="3186">
          <cell r="A3186" t="str">
            <v>Vasundara Automation &amp; Engg Services Pvt Ltd (P)</v>
          </cell>
          <cell r="B3186" t="str">
            <v>Group 1-Giridhar-Peenya</v>
          </cell>
        </row>
        <row r="3187">
          <cell r="A3187" t="str">
            <v>Vasundara Automation &amp; Engg Services Pvt Ltd (Unit 2)</v>
          </cell>
          <cell r="B3187" t="str">
            <v>Group-2 (Veeresh- Bomsdr+Hosur)</v>
          </cell>
        </row>
        <row r="3188">
          <cell r="A3188" t="str">
            <v>Vasundara Manufacturing Systems Pvt Ltd</v>
          </cell>
          <cell r="B3188" t="str">
            <v>Group 1-Giridhar-Peenya</v>
          </cell>
        </row>
        <row r="3189">
          <cell r="A3189" t="str">
            <v>VASUNDHARA TECHNOLOGIES</v>
          </cell>
          <cell r="B3189" t="str">
            <v>Group-4 ( Office Account)</v>
          </cell>
        </row>
        <row r="3190">
          <cell r="A3190" t="str">
            <v>VEAS (INDIA) PRIVATE LIMITED</v>
          </cell>
          <cell r="B3190" t="str">
            <v>Group-2 (Veeresh- Bomsdr+Hosur)</v>
          </cell>
        </row>
        <row r="3191">
          <cell r="A3191" t="str">
            <v>VED Engineers</v>
          </cell>
          <cell r="B3191" t="str">
            <v>Group-4 ( Office Account)</v>
          </cell>
        </row>
        <row r="3192">
          <cell r="A3192" t="str">
            <v>VEDHI CONTROLS</v>
          </cell>
          <cell r="B3192" t="str">
            <v>Group 1-Giridhar-Peenya</v>
          </cell>
        </row>
        <row r="3193">
          <cell r="A3193" t="str">
            <v>VEE VEE CONTROLS P. LTD.</v>
          </cell>
          <cell r="B3193" t="str">
            <v>Group 1-Giridhar-Peenya</v>
          </cell>
        </row>
        <row r="3194">
          <cell r="A3194" t="str">
            <v>Veecon</v>
          </cell>
          <cell r="B3194" t="str">
            <v>Group-4 ( Office Account)</v>
          </cell>
        </row>
        <row r="3195">
          <cell r="A3195" t="str">
            <v>VEER AUTOMATION AND POWER SYSTEM</v>
          </cell>
          <cell r="B3195" t="str">
            <v>Group-2 (Veeresh- Bomsdr+Hosur)</v>
          </cell>
        </row>
        <row r="3196">
          <cell r="A3196" t="str">
            <v>Veer Electricals</v>
          </cell>
          <cell r="B3196" t="str">
            <v>Group-4 ( Office Account)</v>
          </cell>
        </row>
        <row r="3197">
          <cell r="A3197" t="str">
            <v>VEER POWER</v>
          </cell>
          <cell r="B3197" t="str">
            <v>Group-4 ( Office Account)</v>
          </cell>
        </row>
        <row r="3198">
          <cell r="A3198" t="str">
            <v>VEERESH ELECTRICALS</v>
          </cell>
          <cell r="B3198" t="str">
            <v>Group 1-Giridhar-Peenya</v>
          </cell>
        </row>
        <row r="3199">
          <cell r="A3199" t="str">
            <v>VEER-O-METALS PVT LTD</v>
          </cell>
          <cell r="B3199" t="str">
            <v>Group 1-Giridhar-Peenya</v>
          </cell>
        </row>
        <row r="3200">
          <cell r="A3200" t="str">
            <v>VELNET NON CONVENTIONAL ENERGY SYSTEM PRIVATE LIMITED</v>
          </cell>
          <cell r="B3200" t="str">
            <v>Online Business</v>
          </cell>
        </row>
        <row r="3201">
          <cell r="A3201" t="str">
            <v>VELTEC SYSTEMS</v>
          </cell>
          <cell r="B3201" t="str">
            <v>Online Business</v>
          </cell>
        </row>
        <row r="3202">
          <cell r="A3202" t="str">
            <v>VEM ASSOCIATES</v>
          </cell>
          <cell r="B3202" t="str">
            <v>Online Business</v>
          </cell>
        </row>
        <row r="3203">
          <cell r="A3203" t="str">
            <v>VEM Technologies Pvt Ltd.,</v>
          </cell>
          <cell r="B3203" t="str">
            <v>Group-4 ( Office Account)</v>
          </cell>
        </row>
        <row r="3204">
          <cell r="A3204" t="str">
            <v>VENJAY AUTOMATION PRIVATE LIMITED</v>
          </cell>
          <cell r="B3204" t="str">
            <v>Group-4 ( Office Account)</v>
          </cell>
        </row>
        <row r="3205">
          <cell r="A3205" t="str">
            <v>VENK TECHNOLOGIES</v>
          </cell>
          <cell r="B3205" t="str">
            <v>Group-4 ( Office Account)</v>
          </cell>
        </row>
        <row r="3206">
          <cell r="A3206" t="str">
            <v>VENKAT ENGINEERING</v>
          </cell>
          <cell r="B3206" t="str">
            <v>Online Business</v>
          </cell>
        </row>
        <row r="3207">
          <cell r="A3207" t="str">
            <v>Venkateshwara Enterprises</v>
          </cell>
          <cell r="B3207" t="str">
            <v>Group-4 ( Office Account)</v>
          </cell>
        </row>
        <row r="3208">
          <cell r="A3208" t="str">
            <v>Venkateshwara Manufactuing Systems</v>
          </cell>
          <cell r="B3208" t="str">
            <v>Group 1-Giridhar-Peenya</v>
          </cell>
        </row>
        <row r="3209">
          <cell r="A3209" t="str">
            <v>Venugopal Flour Mills</v>
          </cell>
          <cell r="B3209" t="str">
            <v>Group-4 ( Office Account)</v>
          </cell>
        </row>
        <row r="3210">
          <cell r="A3210" t="str">
            <v>VERTEX CONTROL SOLUTIONS</v>
          </cell>
          <cell r="B3210" t="str">
            <v>Group 1-Giridhar-Peenya</v>
          </cell>
        </row>
        <row r="3211">
          <cell r="A3211" t="str">
            <v>Vevra Electricals LLP</v>
          </cell>
          <cell r="B3211" t="str">
            <v>Group-2 (Veeresh- Bomsdr+Hosur)</v>
          </cell>
        </row>
        <row r="3212">
          <cell r="A3212" t="str">
            <v>VHS MECHATRONICS SERVICES PRIVATE LIMITED</v>
          </cell>
          <cell r="B3212" t="str">
            <v>Online Business</v>
          </cell>
        </row>
        <row r="3213">
          <cell r="A3213" t="str">
            <v>VI Engineers</v>
          </cell>
          <cell r="B3213" t="str">
            <v>Group-2 (Veeresh- Bomsdr+Hosur)</v>
          </cell>
        </row>
        <row r="3214">
          <cell r="A3214" t="str">
            <v>Vibgyor Net-Connections</v>
          </cell>
          <cell r="B3214" t="str">
            <v>Group-4 ( Office Account)</v>
          </cell>
        </row>
        <row r="3215">
          <cell r="A3215" t="str">
            <v>VIBRANT ENGINEERS</v>
          </cell>
          <cell r="B3215" t="str">
            <v>Online Business</v>
          </cell>
        </row>
        <row r="3216">
          <cell r="A3216" t="str">
            <v>VIBRANT TECHNOLOGIES</v>
          </cell>
          <cell r="B3216" t="str">
            <v>Group-4 ( Office Account)</v>
          </cell>
        </row>
        <row r="3217">
          <cell r="A3217" t="str">
            <v>VIBRANT VENTURES</v>
          </cell>
          <cell r="B3217" t="str">
            <v>Group-2 (Veeresh- Bomsdr+Hosur)</v>
          </cell>
        </row>
        <row r="3218">
          <cell r="A3218" t="str">
            <v>VIDESHA POWER SOLUTIONS</v>
          </cell>
          <cell r="B3218" t="str">
            <v>Group-4 ( Office Account)</v>
          </cell>
        </row>
        <row r="3219">
          <cell r="A3219" t="str">
            <v>VIDHYA ELECTRONICS</v>
          </cell>
          <cell r="B3219" t="str">
            <v>Group-2 (Veeresh- Bomsdr+Hosur)</v>
          </cell>
        </row>
        <row r="3220">
          <cell r="A3220" t="str">
            <v>VIDISHA POWER SOLUTIONS</v>
          </cell>
          <cell r="B3220" t="str">
            <v>Group-4 ( Office Account)</v>
          </cell>
        </row>
        <row r="3221">
          <cell r="A3221" t="str">
            <v>Vidya Shankar</v>
          </cell>
          <cell r="B3221" t="str">
            <v>Group-4 ( Office Account)</v>
          </cell>
        </row>
        <row r="3222">
          <cell r="A3222" t="str">
            <v>Vidyut Controls</v>
          </cell>
          <cell r="B3222" t="str">
            <v>Group-2 (Veeresh- Bomsdr+Hosur)</v>
          </cell>
        </row>
        <row r="3223">
          <cell r="A3223" t="str">
            <v>Vidyut Engineers</v>
          </cell>
          <cell r="B3223" t="str">
            <v>Group-4 ( Office Account)</v>
          </cell>
        </row>
        <row r="3224">
          <cell r="A3224" t="str">
            <v>Vidyuth Engineers (Old)</v>
          </cell>
          <cell r="B3224" t="str">
            <v>Group-2 (Veeresh- Bomsdr+Hosur)</v>
          </cell>
        </row>
        <row r="3225">
          <cell r="A3225" t="str">
            <v>VIDYUTH ENTERPRISES</v>
          </cell>
          <cell r="B3225" t="str">
            <v>Group-4 ( Office Account)</v>
          </cell>
        </row>
        <row r="3226">
          <cell r="A3226" t="str">
            <v>Vidyuth Instrumentatuin Technology</v>
          </cell>
          <cell r="B3226" t="str">
            <v>Group 1-Giridhar-Peenya</v>
          </cell>
        </row>
        <row r="3227">
          <cell r="A3227" t="str">
            <v>VIEL INDUSTRIES</v>
          </cell>
          <cell r="B3227" t="str">
            <v>Group-2 (Veeresh- Bomsdr+Hosur)</v>
          </cell>
        </row>
        <row r="3228">
          <cell r="A3228" t="str">
            <v>VIGA Applications</v>
          </cell>
          <cell r="B3228" t="str">
            <v>Group-4 ( Office Account)</v>
          </cell>
        </row>
        <row r="3229">
          <cell r="A3229" t="str">
            <v>VIGNESHWARA ELECTRONICS</v>
          </cell>
          <cell r="B3229" t="str">
            <v>Online Business</v>
          </cell>
        </row>
        <row r="3230">
          <cell r="A3230" t="str">
            <v>Vignyanworx Private Limited.,</v>
          </cell>
          <cell r="B3230" t="str">
            <v>Group 1-Giridhar-Peenya</v>
          </cell>
        </row>
        <row r="3231">
          <cell r="A3231" t="str">
            <v>VIJAYA AUTOMOBILES</v>
          </cell>
          <cell r="B3231" t="str">
            <v>Group-4 ( Office Account)</v>
          </cell>
        </row>
        <row r="3232">
          <cell r="A3232" t="str">
            <v>VIJAYA ENERGY PLUS PRIVATE LIMITED</v>
          </cell>
          <cell r="B3232" t="str">
            <v>Group-2 (Veeresh- Bomsdr+Hosur)</v>
          </cell>
        </row>
        <row r="3233">
          <cell r="A3233" t="str">
            <v>VIJAYALAKSHMI ENGINEERING</v>
          </cell>
          <cell r="B3233" t="str">
            <v>Group-4 ( Office Account)</v>
          </cell>
        </row>
        <row r="3234">
          <cell r="A3234" t="str">
            <v>VIJESH ELECTRICALS</v>
          </cell>
          <cell r="B3234" t="str">
            <v>Group-2 (Veeresh- Bomsdr+Hosur)</v>
          </cell>
        </row>
        <row r="3235">
          <cell r="A3235" t="str">
            <v>Vikas Electrical &amp; Electronics</v>
          </cell>
          <cell r="B3235" t="str">
            <v>Group-4 ( Office Account)</v>
          </cell>
        </row>
        <row r="3236">
          <cell r="A3236" t="str">
            <v>VIKRAM PLASTICIZERS</v>
          </cell>
          <cell r="B3236" t="str">
            <v>Group-4 ( Office Account)</v>
          </cell>
        </row>
        <row r="3237">
          <cell r="A3237" t="str">
            <v>VINADITH CORPORATION PRIVATE LIMITED</v>
          </cell>
          <cell r="B3237" t="str">
            <v>Group 1-Giridhar-Peenya</v>
          </cell>
        </row>
        <row r="3238">
          <cell r="A3238" t="str">
            <v>Vinayak Assosiates</v>
          </cell>
          <cell r="B3238" t="str">
            <v>Group-4 ( Office Account)</v>
          </cell>
        </row>
        <row r="3239">
          <cell r="A3239" t="str">
            <v>VINAYAK CONTROLS</v>
          </cell>
          <cell r="B3239" t="str">
            <v>Group-4 ( Office Account)</v>
          </cell>
        </row>
        <row r="3240">
          <cell r="A3240" t="str">
            <v>VINAYAK ENTERPRISE</v>
          </cell>
          <cell r="B3240" t="str">
            <v>Group - 5 (Ananthapadmanabha)</v>
          </cell>
        </row>
        <row r="3241">
          <cell r="A3241" t="str">
            <v>VINAYAKA CONTROLS</v>
          </cell>
          <cell r="B3241" t="str">
            <v>Group 1-Giridhar-Peenya</v>
          </cell>
        </row>
        <row r="3242">
          <cell r="A3242" t="str">
            <v>Vinayaka Electronics</v>
          </cell>
          <cell r="B3242" t="str">
            <v>Group-4 ( Office Account)</v>
          </cell>
        </row>
        <row r="3243">
          <cell r="A3243" t="str">
            <v>Vinayaka Enterprises</v>
          </cell>
          <cell r="B3243" t="str">
            <v>Group-4 ( Office Account)</v>
          </cell>
        </row>
        <row r="3244">
          <cell r="A3244" t="str">
            <v>VINAYAKA ENTERPRISES (YEL)</v>
          </cell>
          <cell r="B3244" t="str">
            <v>Group-4 ( Office Account)</v>
          </cell>
        </row>
        <row r="3245">
          <cell r="A3245" t="str">
            <v>Vinayaka Industrial Corporation</v>
          </cell>
          <cell r="B3245" t="str">
            <v>Group 1-Giridhar-Peenya</v>
          </cell>
        </row>
        <row r="3246">
          <cell r="A3246" t="str">
            <v>Vinir Engineering Pvt.Ltd.,</v>
          </cell>
          <cell r="B3246" t="str">
            <v>Group-2 (Veeresh- Bomsdr+Hosur)</v>
          </cell>
        </row>
        <row r="3247">
          <cell r="A3247" t="str">
            <v>Vinoothana Electro Control Systems Pvt Ltd</v>
          </cell>
          <cell r="B3247" t="str">
            <v>Group 1-Giridhar-Peenya</v>
          </cell>
        </row>
        <row r="3248">
          <cell r="A3248" t="str">
            <v>Vinpack India Private Limited</v>
          </cell>
          <cell r="B3248" t="str">
            <v>Group-4 ( Office Account)</v>
          </cell>
        </row>
        <row r="3249">
          <cell r="A3249" t="str">
            <v>Vintek Automation  &amp; Controls Pvt.Ltd</v>
          </cell>
          <cell r="B3249" t="str">
            <v>Group-4 ( Office Account)</v>
          </cell>
        </row>
        <row r="3250">
          <cell r="A3250" t="str">
            <v>VINTEK CONTROL SYSTEMS</v>
          </cell>
          <cell r="B3250" t="str">
            <v>Group 1-Giridhar-Peenya</v>
          </cell>
        </row>
        <row r="3251">
          <cell r="A3251" t="str">
            <v>VINTEKK DYNAMICS INDIA PRIVATE LIMITED</v>
          </cell>
          <cell r="B3251" t="str">
            <v>Online Business</v>
          </cell>
        </row>
        <row r="3252">
          <cell r="A3252" t="str">
            <v>Vinyas Innovative Technologies Pvt  Ltd</v>
          </cell>
          <cell r="B3252" t="str">
            <v>Group-4 ( Office Account)</v>
          </cell>
        </row>
        <row r="3253">
          <cell r="A3253" t="str">
            <v>Virat Technologies</v>
          </cell>
          <cell r="B3253" t="str">
            <v>Group 1-Giridhar-Peenya</v>
          </cell>
        </row>
        <row r="3254">
          <cell r="A3254" t="str">
            <v>VIRGO TECHNOLOGIES</v>
          </cell>
          <cell r="B3254" t="str">
            <v>Group-4 ( Office Account)</v>
          </cell>
        </row>
        <row r="3255">
          <cell r="A3255" t="str">
            <v>VIRINCHI ELECTRICALS</v>
          </cell>
          <cell r="B3255" t="str">
            <v>Online Business</v>
          </cell>
        </row>
        <row r="3256">
          <cell r="A3256" t="str">
            <v>VIRYA MOBILITY 5.0 LLP</v>
          </cell>
          <cell r="B3256" t="str">
            <v>Group-2 (Veeresh- Bomsdr+Hosur)</v>
          </cell>
        </row>
        <row r="3257">
          <cell r="A3257" t="str">
            <v>Visaka Industries Ltd.</v>
          </cell>
          <cell r="B3257" t="str">
            <v>Group-4 ( Office Account)</v>
          </cell>
        </row>
        <row r="3258">
          <cell r="A3258" t="str">
            <v>VISHAAL ENGINEERING</v>
          </cell>
          <cell r="B3258" t="str">
            <v>Group-2 (Veeresh- Bomsdr+Hosur)</v>
          </cell>
        </row>
        <row r="3259">
          <cell r="A3259" t="str">
            <v>Vishal Builders</v>
          </cell>
          <cell r="B3259" t="str">
            <v>Group-4 ( Office Account)</v>
          </cell>
        </row>
        <row r="3260">
          <cell r="A3260" t="str">
            <v>Vishal Builders (P)</v>
          </cell>
          <cell r="B3260" t="str">
            <v>Group-4 ( Office Account)</v>
          </cell>
        </row>
        <row r="3261">
          <cell r="A3261" t="str">
            <v>Vishala Constructions and Interior Designs</v>
          </cell>
          <cell r="B3261" t="str">
            <v>Group-4 ( Office Account)</v>
          </cell>
        </row>
        <row r="3262">
          <cell r="A3262" t="str">
            <v>VISHALA SHANKAR ELECTRICALS</v>
          </cell>
          <cell r="B3262" t="str">
            <v>Group-2 (Veeresh- Bomsdr+Hosur)</v>
          </cell>
        </row>
        <row r="3263">
          <cell r="A3263" t="str">
            <v>VISHWA ELECTRICALS</v>
          </cell>
          <cell r="B3263" t="str">
            <v>Group 1-Giridhar-Peenya</v>
          </cell>
        </row>
        <row r="3264">
          <cell r="A3264" t="str">
            <v>VISHWAM CONSTRUCTION</v>
          </cell>
          <cell r="B3264" t="str">
            <v>Group-4 ( Office Account)</v>
          </cell>
        </row>
        <row r="3265">
          <cell r="A3265" t="str">
            <v>Vishwanath Electricals Pvt. Ltd.,</v>
          </cell>
          <cell r="B3265" t="str">
            <v>Group-4 ( Office Account)</v>
          </cell>
        </row>
        <row r="3266">
          <cell r="A3266" t="str">
            <v>VISHWAS ENTERPRISES</v>
          </cell>
          <cell r="B3266" t="str">
            <v>Online Business</v>
          </cell>
        </row>
        <row r="3267">
          <cell r="A3267" t="str">
            <v>VI-SON Cables Pvt Ltd</v>
          </cell>
          <cell r="B3267" t="str">
            <v>Group-2 (Veeresh- Bomsdr+Hosur)</v>
          </cell>
        </row>
        <row r="3268">
          <cell r="A3268" t="str">
            <v>VISUAL SOLUTIONS</v>
          </cell>
          <cell r="B3268" t="str">
            <v>Group - 5 (Ananthapadmanabha)</v>
          </cell>
        </row>
        <row r="3269">
          <cell r="A3269" t="str">
            <v>Visvesvaraya Technological University</v>
          </cell>
          <cell r="B3269" t="str">
            <v>Group-4 ( Office Account)</v>
          </cell>
        </row>
        <row r="3270">
          <cell r="A3270" t="str">
            <v>Vivikta Powertek</v>
          </cell>
          <cell r="B3270" t="str">
            <v>Online Business</v>
          </cell>
        </row>
        <row r="3271">
          <cell r="A3271" t="str">
            <v>VJ IMAGING TECHNOLOGIES PRIVATE LIMITED</v>
          </cell>
          <cell r="B3271" t="str">
            <v>Group-2 (Veeresh- Bomsdr+Hosur)</v>
          </cell>
        </row>
        <row r="3272">
          <cell r="A3272" t="str">
            <v>VK Building Services Pvt. Ltd.,</v>
          </cell>
          <cell r="B3272" t="str">
            <v>Group - 5 (Ananthapadmanabha)</v>
          </cell>
        </row>
        <row r="3273">
          <cell r="A3273" t="str">
            <v>VK Industrial Suppliers</v>
          </cell>
          <cell r="B3273" t="str">
            <v>Group-4 ( Office Account)</v>
          </cell>
        </row>
        <row r="3274">
          <cell r="A3274" t="str">
            <v>VMC Architect</v>
          </cell>
          <cell r="B3274" t="str">
            <v>Group - 5 (Ananthapadmanabha)</v>
          </cell>
        </row>
        <row r="3275">
          <cell r="A3275" t="str">
            <v>VMS GROUP</v>
          </cell>
          <cell r="B3275" t="str">
            <v>Group 1-Giridhar-Peenya</v>
          </cell>
        </row>
        <row r="3276">
          <cell r="A3276" t="str">
            <v>VNC AUTOMATION LLP</v>
          </cell>
          <cell r="B3276" t="str">
            <v>Group-2 (Veeresh- Bomsdr+Hosur)</v>
          </cell>
        </row>
        <row r="3277">
          <cell r="A3277" t="str">
            <v>VNC AUTOMATION LLP (OLD)</v>
          </cell>
          <cell r="B3277" t="str">
            <v>Group-2 (Veeresh- Bomsdr+Hosur)</v>
          </cell>
        </row>
        <row r="3278">
          <cell r="A3278" t="str">
            <v>Vollwert Electric Private Limited</v>
          </cell>
          <cell r="B3278" t="str">
            <v>Group-4 ( Office Account)</v>
          </cell>
        </row>
        <row r="3279">
          <cell r="A3279" t="str">
            <v>VRIZE AUTO COMP</v>
          </cell>
          <cell r="B3279" t="str">
            <v>Group-4 ( Office Account)</v>
          </cell>
        </row>
        <row r="3280">
          <cell r="A3280" t="str">
            <v>Vrvs Electrical Solutions Pvt  Ltd</v>
          </cell>
          <cell r="B3280" t="str">
            <v>Group-4 ( Office Account)</v>
          </cell>
        </row>
        <row r="3281">
          <cell r="A3281" t="str">
            <v>VSERVE ENERGY SYSTEMS</v>
          </cell>
          <cell r="B3281" t="str">
            <v>Group-4 ( Office Account)</v>
          </cell>
        </row>
        <row r="3282">
          <cell r="A3282" t="str">
            <v>VSINTERCONNECT INDIA PRIVATE LIMITED</v>
          </cell>
          <cell r="B3282" t="str">
            <v>Group-2 (Veeresh- Bomsdr+Hosur)</v>
          </cell>
        </row>
        <row r="3283">
          <cell r="A3283" t="str">
            <v>VSP Hardware &amp; Electrical</v>
          </cell>
          <cell r="B3283" t="str">
            <v>Group-4 ( Office Account)</v>
          </cell>
        </row>
        <row r="3284">
          <cell r="A3284" t="str">
            <v>VSS Electricals</v>
          </cell>
          <cell r="B3284" t="str">
            <v>Group 1-Giridhar-Peenya</v>
          </cell>
        </row>
        <row r="3285">
          <cell r="A3285" t="str">
            <v>V-Tech Engineering Enterprises</v>
          </cell>
          <cell r="B3285" t="str">
            <v>Group 1-Giridhar-Peenya</v>
          </cell>
        </row>
        <row r="3286">
          <cell r="A3286" t="str">
            <v>V-Tech Industries</v>
          </cell>
          <cell r="B3286" t="str">
            <v>Group-4 ( Office Account)</v>
          </cell>
        </row>
        <row r="3287">
          <cell r="A3287" t="str">
            <v>V-TECH POWER CONTROLS</v>
          </cell>
          <cell r="B3287" t="str">
            <v>Group-2 (Veeresh- Bomsdr+Hosur)</v>
          </cell>
        </row>
        <row r="3288">
          <cell r="A3288" t="str">
            <v>V-Tech Power Controls (Old)</v>
          </cell>
          <cell r="B3288" t="str">
            <v>Group-2 (Veeresh- Bomsdr+Hosur)</v>
          </cell>
        </row>
        <row r="3289">
          <cell r="A3289" t="str">
            <v>VV Switchgears</v>
          </cell>
          <cell r="B3289" t="str">
            <v>Group-4 ( Office Account)</v>
          </cell>
        </row>
        <row r="3290">
          <cell r="A3290" t="str">
            <v>Vybhav Control</v>
          </cell>
          <cell r="B3290" t="str">
            <v>Group-2 (Veeresh- Bomsdr+Hosur)</v>
          </cell>
        </row>
        <row r="3291">
          <cell r="A3291" t="str">
            <v>Vybhav Controls</v>
          </cell>
          <cell r="B3291" t="str">
            <v>Group 1-Giridhar-Peenya</v>
          </cell>
        </row>
        <row r="3292">
          <cell r="A3292" t="str">
            <v>Vyoma Excel</v>
          </cell>
          <cell r="B3292" t="str">
            <v>Group-4 ( Office Account)</v>
          </cell>
        </row>
        <row r="3293">
          <cell r="A3293" t="str">
            <v>VYOMA SWITCHGEAR</v>
          </cell>
          <cell r="B3293" t="str">
            <v>Group-2 (Veeresh- Bomsdr+Hosur)</v>
          </cell>
        </row>
        <row r="3294">
          <cell r="A3294" t="str">
            <v>VYTEC</v>
          </cell>
          <cell r="B3294" t="str">
            <v>Group-4 ( Office Account)</v>
          </cell>
        </row>
        <row r="3295">
          <cell r="A3295" t="str">
            <v>WADHWA BROTHERS ENGG</v>
          </cell>
          <cell r="B3295" t="str">
            <v>Group-4 ( Office Account)</v>
          </cell>
        </row>
        <row r="3296">
          <cell r="A3296" t="str">
            <v>WALMSLEYS INDIA PVT LTD</v>
          </cell>
          <cell r="B3296" t="str">
            <v>Group-4 ( Office Account)</v>
          </cell>
        </row>
        <row r="3297">
          <cell r="A3297" t="str">
            <v>WAVEULTRA ENGINEERS AUTOMATION PRIVATE LIMITED</v>
          </cell>
          <cell r="B3297" t="str">
            <v>Group 1-Giridhar-Peenya</v>
          </cell>
        </row>
        <row r="3298">
          <cell r="A3298" t="str">
            <v>Welburn Candles Pvt Ltd</v>
          </cell>
          <cell r="B3298" t="str">
            <v>Group-4 ( Office Account)</v>
          </cell>
        </row>
        <row r="3299">
          <cell r="A3299" t="str">
            <v>WELL CONTACTS CO</v>
          </cell>
          <cell r="B3299" t="str">
            <v>Group-4 ( Office Account)</v>
          </cell>
        </row>
        <row r="3300">
          <cell r="A3300" t="str">
            <v>WENDT (INDIA) LIMITED</v>
          </cell>
          <cell r="B3300" t="str">
            <v>Group-2 (Veeresh- Bomsdr+Hosur)</v>
          </cell>
        </row>
        <row r="3301">
          <cell r="A3301" t="str">
            <v>WERNER Electric Pvt Ltd</v>
          </cell>
          <cell r="B3301" t="str">
            <v>Group-4 ( Office Account)</v>
          </cell>
        </row>
        <row r="3302">
          <cell r="A3302" t="str">
            <v>Werner Finley Pvt Ltd (Unit 1)</v>
          </cell>
          <cell r="B3302" t="str">
            <v>Group 1-Giridhar-Peenya</v>
          </cell>
        </row>
        <row r="3303">
          <cell r="A3303" t="str">
            <v>Werner Finley Pvt Ltd (Unit 2)</v>
          </cell>
          <cell r="B3303" t="str">
            <v>Group 1-Giridhar-Peenya</v>
          </cell>
        </row>
        <row r="3304">
          <cell r="A3304" t="str">
            <v>Werner Finley Pvt Ltd (Unit 3)</v>
          </cell>
          <cell r="B3304" t="str">
            <v>Group 1-Giridhar-Peenya</v>
          </cell>
        </row>
        <row r="3305">
          <cell r="A3305" t="str">
            <v>Westtek Enterprises Private Limited</v>
          </cell>
          <cell r="B3305" t="str">
            <v>Online Business</v>
          </cell>
        </row>
        <row r="3306">
          <cell r="A3306" t="str">
            <v>WH TECHNOLOGY PRIVATE LIMITED</v>
          </cell>
          <cell r="B3306" t="str">
            <v>Group-2 (Veeresh- Bomsdr+Hosur)</v>
          </cell>
        </row>
        <row r="3307">
          <cell r="A3307" t="str">
            <v>Winarc Cutting System</v>
          </cell>
          <cell r="B3307" t="str">
            <v>Group 1-Giridhar-Peenya</v>
          </cell>
        </row>
        <row r="3308">
          <cell r="A3308" t="str">
            <v>Windson Controls and Solution</v>
          </cell>
          <cell r="B3308" t="str">
            <v>Online Business</v>
          </cell>
        </row>
        <row r="3309">
          <cell r="A3309" t="str">
            <v>WINTEQ SYSTEMS</v>
          </cell>
          <cell r="B3309" t="str">
            <v>Online Business</v>
          </cell>
        </row>
        <row r="3310">
          <cell r="A3310" t="str">
            <v>WIPRO ENTERPRISES PRIVATE LIMITED</v>
          </cell>
          <cell r="B3310" t="str">
            <v>Group 1-Giridhar-Peenya</v>
          </cell>
        </row>
        <row r="3311">
          <cell r="A3311" t="str">
            <v>Wipro Infrastructure Engg</v>
          </cell>
          <cell r="B3311" t="str">
            <v>Group 1-Giridhar-Peenya</v>
          </cell>
        </row>
        <row r="3312">
          <cell r="A3312" t="str">
            <v>Wipro Infrastucture Engg.Ltd</v>
          </cell>
          <cell r="B3312" t="str">
            <v>Group 1-Giridhar-Peenya</v>
          </cell>
        </row>
        <row r="3313">
          <cell r="A3313" t="str">
            <v>WIPRO PARI PRIVATE LIMITED</v>
          </cell>
          <cell r="B3313" t="str">
            <v>Group - 5 (Ananthapadmanabha)</v>
          </cell>
        </row>
        <row r="3314">
          <cell r="A3314" t="str">
            <v>Wistra Elementherm India Pvt  Ltd</v>
          </cell>
          <cell r="B3314" t="str">
            <v>Group 1-Giridhar-Peenya</v>
          </cell>
        </row>
        <row r="3315">
          <cell r="A3315" t="str">
            <v>Woodtech Consultants Pvt. Ltd.,</v>
          </cell>
          <cell r="B3315" t="str">
            <v>Group 1-Giridhar-Peenya</v>
          </cell>
        </row>
        <row r="3316">
          <cell r="A3316" t="str">
            <v>WUERTH ELEKTRONIK INDIA PRIVATE LIMITED</v>
          </cell>
          <cell r="B3316" t="str">
            <v>Group-4 ( Office Account)</v>
          </cell>
        </row>
        <row r="3317">
          <cell r="A3317" t="str">
            <v>X Flow Technologies</v>
          </cell>
          <cell r="B3317" t="str">
            <v>Group-4 ( Office Account)</v>
          </cell>
        </row>
        <row r="3318">
          <cell r="A3318" t="str">
            <v>XL CNC MACHINES</v>
          </cell>
          <cell r="B3318" t="str">
            <v>Group 1-Giridhar-Peenya</v>
          </cell>
        </row>
        <row r="3319">
          <cell r="A3319" t="str">
            <v>XNG AUTOMATION SOLUTIONS PRIVATE LIMITED</v>
          </cell>
          <cell r="B3319" t="str">
            <v>Group 1-Giridhar-Peenya</v>
          </cell>
        </row>
        <row r="3320">
          <cell r="A3320" t="str">
            <v>Xng Automation Solutions Pvt Ltd (Old)</v>
          </cell>
          <cell r="B3320" t="str">
            <v>Group 1-Giridhar-Peenya</v>
          </cell>
        </row>
        <row r="3321">
          <cell r="A3321" t="str">
            <v>Xylem Water Solutions India Private Limited</v>
          </cell>
          <cell r="B3321" t="str">
            <v>Group - 5 (Ananthapadmanabha)</v>
          </cell>
        </row>
        <row r="3322">
          <cell r="A3322" t="str">
            <v>XYLEM WATER SOLUTIONS INDIA PRIVATE LIMITED(V)</v>
          </cell>
          <cell r="B3322" t="str">
            <v>Group - 5 (Ananthapadmanabha)</v>
          </cell>
        </row>
        <row r="3323">
          <cell r="A3323" t="str">
            <v>Y S L ELECTRONICS</v>
          </cell>
          <cell r="B3323" t="str">
            <v>Group - 5 (Ananthapadmanabha)</v>
          </cell>
        </row>
        <row r="3324">
          <cell r="A3324" t="str">
            <v>YA LIGHT</v>
          </cell>
          <cell r="B3324" t="str">
            <v>Group-4 ( Office Account)</v>
          </cell>
        </row>
        <row r="3325">
          <cell r="A3325" t="str">
            <v>Yantech Controls and Automation</v>
          </cell>
          <cell r="B3325" t="str">
            <v>Group 1-Giridhar-Peenya</v>
          </cell>
        </row>
        <row r="3326">
          <cell r="A3326" t="str">
            <v>YANTHRA SERVICE SOLUTIONS</v>
          </cell>
          <cell r="B3326" t="str">
            <v>Group 1-Giridhar-Peenya</v>
          </cell>
        </row>
        <row r="3327">
          <cell r="A3327" t="str">
            <v>YANTRACON SYSTEMS AND SOLUTIONS LLP</v>
          </cell>
          <cell r="B3327" t="str">
            <v>Group-4 ( Office Account)</v>
          </cell>
        </row>
        <row r="3328">
          <cell r="A3328" t="str">
            <v>YANTRIK MACHINE TOOLS AND SERVICES</v>
          </cell>
          <cell r="B3328" t="str">
            <v>Group 1-Giridhar-Peenya</v>
          </cell>
        </row>
        <row r="3329">
          <cell r="A3329" t="str">
            <v>YASHAS SWITCHGEARS</v>
          </cell>
          <cell r="B3329" t="str">
            <v>Group-4 ( Office Account)</v>
          </cell>
        </row>
        <row r="3330">
          <cell r="A3330" t="str">
            <v>Yashasvi Enterprises</v>
          </cell>
          <cell r="B3330" t="str">
            <v>Group 1-Giridhar-Peenya</v>
          </cell>
        </row>
        <row r="3331">
          <cell r="A3331" t="str">
            <v>Y-COOK INDIA PRIVATE LIMITED</v>
          </cell>
          <cell r="B3331" t="str">
            <v>Group - 5 (Ananthapadmanabha)</v>
          </cell>
        </row>
        <row r="3332">
          <cell r="A3332" t="str">
            <v>Yele Electricals</v>
          </cell>
          <cell r="B3332" t="str">
            <v>Group-4 ( Office Account)</v>
          </cell>
        </row>
        <row r="3333">
          <cell r="A3333" t="str">
            <v>Yellow Stone Engineers India Pvt  Ltd</v>
          </cell>
          <cell r="B3333" t="str">
            <v>Group 1-Giridhar-Peenya</v>
          </cell>
        </row>
        <row r="3334">
          <cell r="A3334" t="str">
            <v>YG Cutting Tools Corporation Pvt. Ltd.,</v>
          </cell>
          <cell r="B3334" t="str">
            <v>Group 1-Giridhar-Peenya</v>
          </cell>
        </row>
        <row r="3335">
          <cell r="A3335" t="str">
            <v>YMC INDIA PRIVATE LIMITED</v>
          </cell>
          <cell r="B3335" t="str">
            <v>Group - 5 (Ananthapadmanabha)</v>
          </cell>
        </row>
        <row r="3336">
          <cell r="A3336" t="str">
            <v>Yogesh Packagings</v>
          </cell>
          <cell r="B3336" t="str">
            <v>Group 1-Giridhar-Peenya</v>
          </cell>
        </row>
        <row r="3337">
          <cell r="A3337" t="str">
            <v>YOKOGAWA INDIA LIMITED</v>
          </cell>
          <cell r="B3337" t="str">
            <v>Group 1-Giridhar-Peenya</v>
          </cell>
        </row>
        <row r="3338">
          <cell r="A3338" t="str">
            <v>YOKOGAWA INDIA LTD.- FACTORY</v>
          </cell>
          <cell r="B3338" t="str">
            <v>Group - 5 (Ananthapadmanabha)</v>
          </cell>
        </row>
        <row r="3339">
          <cell r="A3339" t="str">
            <v>YUKEN INDIA LTD.</v>
          </cell>
          <cell r="B3339" t="str">
            <v>Group - 5 (Ananthapadmanabha)</v>
          </cell>
        </row>
        <row r="3340">
          <cell r="A3340" t="str">
            <v>Z.N Enterprises</v>
          </cell>
          <cell r="B3340" t="str">
            <v>Group 1-Giridhar-Peenya</v>
          </cell>
        </row>
        <row r="3341">
          <cell r="A3341" t="str">
            <v>ZEALBOTS AUTOMATION PRIVATE LIMITED</v>
          </cell>
          <cell r="B3341" t="str">
            <v>Group-4 ( Office Account)</v>
          </cell>
        </row>
        <row r="3342">
          <cell r="A3342" t="str">
            <v>ZECO AIRCON LIMITED</v>
          </cell>
          <cell r="B3342" t="str">
            <v>Group - 5 (Ananthapadmanabha)</v>
          </cell>
        </row>
        <row r="3343">
          <cell r="A3343" t="str">
            <v>Zekko Automation</v>
          </cell>
          <cell r="B3343" t="str">
            <v>Group-2 (Veeresh- Bomsdr+Hosur)</v>
          </cell>
        </row>
        <row r="3344">
          <cell r="A3344" t="str">
            <v>ZENTRON LABS PRIVATE LIMITED</v>
          </cell>
          <cell r="B3344" t="str">
            <v>Group - 5 (Ananthapadmanabha)</v>
          </cell>
        </row>
        <row r="3345">
          <cell r="A3345" t="str">
            <v>ZENTRON LABS PVT LTD (C)</v>
          </cell>
          <cell r="B3345" t="str">
            <v>Group - 5 (Ananthapadmanabha)</v>
          </cell>
        </row>
        <row r="3346">
          <cell r="A3346" t="str">
            <v>ZENTRON LABS PVT LTD (T)</v>
          </cell>
          <cell r="B3346" t="str">
            <v>Group - 5 (Ananthapadmanabha)</v>
          </cell>
        </row>
        <row r="3347">
          <cell r="A3347" t="str">
            <v>ZENTRON LABS PVT LTD (V)</v>
          </cell>
          <cell r="B3347" t="str">
            <v>Group - 5 (Ananthapadmanabha)</v>
          </cell>
        </row>
        <row r="3348">
          <cell r="A3348" t="str">
            <v>ZEST AUTOMATION SYSTEMS</v>
          </cell>
          <cell r="B3348" t="str">
            <v>Group-4 ( Office Account)</v>
          </cell>
        </row>
        <row r="3349">
          <cell r="A3349" t="str">
            <v>ZETA BIOSYSTEM PRIVATE LIMITED</v>
          </cell>
          <cell r="B3349" t="str">
            <v>Group 1-Giridhar-Peenya</v>
          </cell>
        </row>
        <row r="3350">
          <cell r="A3350" t="str">
            <v>Zinco Electric Pvt. Ltd.,</v>
          </cell>
          <cell r="B3350" t="str">
            <v>Group-4 ( Office Account)</v>
          </cell>
        </row>
        <row r="3351">
          <cell r="A3351" t="str">
            <v>Eaton Power Quality Pvt Ltd ( All )</v>
          </cell>
          <cell r="B3351" t="str">
            <v>Group-4 ( Office Account)</v>
          </cell>
        </row>
        <row r="3352">
          <cell r="A3352" t="str">
            <v>IBEX ENGINEERING PVT.LTD</v>
          </cell>
          <cell r="B3352" t="str">
            <v>Online Business</v>
          </cell>
        </row>
        <row r="3353">
          <cell r="A3353" t="str">
            <v>INNOVATIVE INDUSTRIAL SOLUTIONS</v>
          </cell>
          <cell r="B3353" t="str">
            <v>Group 1-Giridhar-Peenya</v>
          </cell>
        </row>
        <row r="3354">
          <cell r="A3354" t="str">
            <v>REGENCY ELECTRICALS PVT LTD(SUP)</v>
          </cell>
          <cell r="B3354" t="str">
            <v>Group-4 ( Office Account)</v>
          </cell>
        </row>
        <row r="3355">
          <cell r="A3355" t="str">
            <v>(cancelled )</v>
          </cell>
          <cell r="B3355" t="str">
            <v>Group-4 ( Office Account)</v>
          </cell>
        </row>
        <row r="3356">
          <cell r="A3356" t="str">
            <v>AAGAM CONTROL TECHNOLOGIES PRIVATE LIMITED</v>
          </cell>
          <cell r="B3356" t="str">
            <v>Group-4 ( Office Account)</v>
          </cell>
        </row>
        <row r="3357">
          <cell r="A3357" t="str">
            <v>MAPLE SOFT SOLUTIONS</v>
          </cell>
          <cell r="B3357" t="str">
            <v>Group-4 ( Office Account)</v>
          </cell>
        </row>
        <row r="3358">
          <cell r="A3358" t="str">
            <v>Poornachandra Rao N</v>
          </cell>
          <cell r="B3358" t="str">
            <v>Group-4 ( Office Account)</v>
          </cell>
        </row>
        <row r="3359">
          <cell r="A3359" t="str">
            <v>MADOX TECHNOLOGIES PRIVATE LIMITED</v>
          </cell>
          <cell r="B3359" t="str">
            <v>Group 1-Giridhar-Peenya</v>
          </cell>
        </row>
        <row r="3360">
          <cell r="A3360" t="str">
            <v>ARUN POWER SOLUTIONS (N)</v>
          </cell>
          <cell r="B3360" t="str">
            <v>Group-4 ( Office Account)</v>
          </cell>
        </row>
        <row r="3361">
          <cell r="A3361" t="str">
            <v>HINDUSTAN CRANE SERVICES</v>
          </cell>
          <cell r="B3361" t="str">
            <v>Online Business</v>
          </cell>
        </row>
        <row r="3362">
          <cell r="A3362" t="str">
            <v>NAVYATA SOLUTIONS</v>
          </cell>
          <cell r="B3362" t="str">
            <v>Online Business</v>
          </cell>
        </row>
        <row r="3363">
          <cell r="A3363" t="str">
            <v>ARUN POWER SOLUTIONS (N)</v>
          </cell>
          <cell r="B3363" t="str">
            <v>Group-4 ( Office Account)</v>
          </cell>
        </row>
        <row r="3364">
          <cell r="A3364" t="str">
            <v>COLD FRONT SYSTEMS</v>
          </cell>
          <cell r="B3364" t="str">
            <v>Online Business</v>
          </cell>
        </row>
        <row r="3365">
          <cell r="A3365" t="str">
            <v>KENASKA</v>
          </cell>
          <cell r="B3365" t="str">
            <v>Group-2 (Veeresh- Bomsdr+Hosur)</v>
          </cell>
        </row>
        <row r="3366">
          <cell r="A3366" t="str">
            <v>ECI SYSTEMS PRIVATE LIMITED</v>
          </cell>
          <cell r="B3366" t="str">
            <v>Online Business</v>
          </cell>
        </row>
        <row r="3367">
          <cell r="A3367" t="str">
            <v>NS ENGINEERS AND MANAGEMENT CONSULTANTS</v>
          </cell>
          <cell r="B3367" t="str">
            <v>Online Business</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s>
    <sheetDataSet>
      <sheetData sheetId="0">
        <row r="1">
          <cell r="A1" t="str">
            <v>Description</v>
          </cell>
          <cell r="B1" t="str">
            <v>Part No</v>
          </cell>
          <cell r="C1" t="str">
            <v>Make</v>
          </cell>
          <cell r="D1" t="str">
            <v>Material Group</v>
          </cell>
        </row>
        <row r="2">
          <cell r="A2" t="str">
            <v>90401.0 (E01)</v>
          </cell>
          <cell r="B2" t="str">
            <v>90401.0(E01)</v>
          </cell>
          <cell r="C2" t="str">
            <v>EATON</v>
          </cell>
          <cell r="D2" t="str">
            <v>Eaton-ACE</v>
          </cell>
        </row>
        <row r="3">
          <cell r="A3" t="str">
            <v>Y7-90351_x000D_
 (E10_x000D_
)</v>
          </cell>
          <cell r="B3" t="str">
            <v>Y7-90351_x000D_
(E10_x000D_
)</v>
          </cell>
          <cell r="C3" t="str">
            <v>EATON</v>
          </cell>
          <cell r="D3" t="str">
            <v>Eaton-ACE</v>
          </cell>
        </row>
        <row r="4">
          <cell r="A4" t="str">
            <v>Y7-106824_x000D_
 (LS-S02-24DMT-ZBZ/X_x000D_
)</v>
          </cell>
          <cell r="B4" t="str">
            <v>Y7-106824_x000D_
(LS-S02-24DMT-ZBZ/X_x000D_
)</v>
          </cell>
          <cell r="C4" t="str">
            <v>EATON</v>
          </cell>
          <cell r="D4" t="str">
            <v>Eaton-ACE</v>
          </cell>
        </row>
        <row r="5">
          <cell r="A5" t="str">
            <v>106833 (LS-XG-ZBZ)</v>
          </cell>
          <cell r="B5" t="str">
            <v>106833(LS-XG-ZBZ)</v>
          </cell>
          <cell r="C5" t="str">
            <v>EATON</v>
          </cell>
          <cell r="D5" t="str">
            <v>Eaton-ACE</v>
          </cell>
        </row>
        <row r="6">
          <cell r="A6" t="str">
            <v>106835.0 (LS-XNW-ZBZ)</v>
          </cell>
          <cell r="B6" t="str">
            <v>106835.0(LS-XNW-ZBZ)</v>
          </cell>
          <cell r="C6" t="str">
            <v>EATON</v>
          </cell>
          <cell r="D6" t="str">
            <v>Eaton-ACE</v>
          </cell>
        </row>
        <row r="7">
          <cell r="A7" t="str">
            <v>86417.0 (Q18D-GE)</v>
          </cell>
          <cell r="B7" t="str">
            <v>86417.0(Q18D-GE)</v>
          </cell>
          <cell r="C7" t="str">
            <v>EATON</v>
          </cell>
          <cell r="D7" t="str">
            <v>Eaton-ACE</v>
          </cell>
        </row>
        <row r="8">
          <cell r="A8" t="str">
            <v>Y7-86713_x000D_
 (Q18D-RT_x000D_
)</v>
          </cell>
          <cell r="B8" t="str">
            <v>Y7-86713_x000D_
(Q18D-RT_x000D_
)</v>
          </cell>
          <cell r="C8" t="str">
            <v>EATON</v>
          </cell>
          <cell r="D8" t="str">
            <v>Eaton-ACE</v>
          </cell>
        </row>
        <row r="9">
          <cell r="A9" t="str">
            <v>86752.0 (Q18D-WS)</v>
          </cell>
          <cell r="B9" t="str">
            <v>86752.0(Q18D-WS)</v>
          </cell>
          <cell r="C9" t="str">
            <v>EATON</v>
          </cell>
          <cell r="D9" t="str">
            <v>Eaton-ACE</v>
          </cell>
        </row>
        <row r="10">
          <cell r="A10" t="str">
            <v>182975 (C22-PV-K02-P1)</v>
          </cell>
          <cell r="B10" t="str">
            <v>182975(C22-PV-K02-P1)</v>
          </cell>
          <cell r="C10" t="str">
            <v>EATON</v>
          </cell>
          <cell r="D10" t="str">
            <v>Eaton-Biesse</v>
          </cell>
        </row>
        <row r="11">
          <cell r="A11" t="str">
            <v>186006 (C30C-FDL-B-K10-24-P5)</v>
          </cell>
          <cell r="B11" t="str">
            <v>186006(C30C-FDL-B-K10-24-P5)</v>
          </cell>
          <cell r="C11" t="str">
            <v>EATON</v>
          </cell>
          <cell r="D11" t="str">
            <v>Eaton-Biesse</v>
          </cell>
        </row>
        <row r="12">
          <cell r="A12" t="str">
            <v>199314 (DILA-XHI11-PI)</v>
          </cell>
          <cell r="B12" t="str">
            <v>199314(DILA-XHI11-PI)</v>
          </cell>
          <cell r="C12" t="str">
            <v>EATON</v>
          </cell>
          <cell r="D12" t="str">
            <v>Eaton-Biesse</v>
          </cell>
        </row>
        <row r="13">
          <cell r="A13" t="str">
            <v>199317 (DILA-XHI40)</v>
          </cell>
          <cell r="B13" t="str">
            <v>199317(DILA-XHI40)</v>
          </cell>
          <cell r="C13" t="str">
            <v>EATON</v>
          </cell>
          <cell r="D13" t="str">
            <v>Eaton-Biesse</v>
          </cell>
        </row>
        <row r="14">
          <cell r="A14" t="str">
            <v>Y7-278748_x000D_
 (FAZ-C2/2_x000D_
)</v>
          </cell>
          <cell r="B14" t="str">
            <v>Y7-278748_x000D_
(FAZ-C2/2_x000D_
)</v>
          </cell>
          <cell r="C14" t="str">
            <v>EATON</v>
          </cell>
          <cell r="D14" t="str">
            <v>Eaton-Biesse</v>
          </cell>
        </row>
        <row r="15">
          <cell r="A15" t="str">
            <v>279063 (FAZ-C25/4)</v>
          </cell>
          <cell r="B15" t="str">
            <v>279063(FAZ-C25/4)</v>
          </cell>
          <cell r="C15" t="str">
            <v>EATON</v>
          </cell>
          <cell r="D15" t="str">
            <v>Eaton-Biesse</v>
          </cell>
        </row>
        <row r="16">
          <cell r="A16" t="str">
            <v>19626 (H-P14)</v>
          </cell>
          <cell r="B16" t="str">
            <v>19626(H-P14)</v>
          </cell>
          <cell r="C16" t="str">
            <v>EATON</v>
          </cell>
          <cell r="D16" t="str">
            <v>Eaton-Biesse</v>
          </cell>
        </row>
        <row r="17">
          <cell r="A17" t="str">
            <v>216374.0 (M22-A)</v>
          </cell>
          <cell r="B17" t="str">
            <v>216374.0(M22-A)</v>
          </cell>
          <cell r="C17" t="str">
            <v>EATON</v>
          </cell>
          <cell r="D17" t="str">
            <v>Eaton-Biesse</v>
          </cell>
        </row>
        <row r="18">
          <cell r="A18" t="str">
            <v>216385.0 (M22-CK01)</v>
          </cell>
          <cell r="B18" t="str">
            <v>216385.0(M22-CK01)</v>
          </cell>
          <cell r="C18" t="str">
            <v>EATON</v>
          </cell>
          <cell r="D18" t="str">
            <v>Eaton-Biesse</v>
          </cell>
        </row>
        <row r="19">
          <cell r="A19" t="str">
            <v>216384 (M22-CK10)</v>
          </cell>
          <cell r="B19" t="str">
            <v>216384(M22-CK10)</v>
          </cell>
          <cell r="C19" t="str">
            <v>EATON</v>
          </cell>
          <cell r="D19" t="str">
            <v>Eaton-Biesse</v>
          </cell>
        </row>
        <row r="20">
          <cell r="A20" t="str">
            <v>216386 (M22-CKC10_x000D_
)</v>
          </cell>
          <cell r="B20" t="str">
            <v>216386(M22-CKC10_x000D_
)</v>
          </cell>
          <cell r="C20" t="str">
            <v>EATON</v>
          </cell>
          <cell r="D20" t="str">
            <v>Eaton-Biesse</v>
          </cell>
        </row>
        <row r="21">
          <cell r="A21" t="str">
            <v>Y7-218061 (M22-CLED-B)</v>
          </cell>
          <cell r="B21" t="str">
            <v>Y7-218061(M22-CLED-B)</v>
          </cell>
          <cell r="C21" t="str">
            <v>EATON</v>
          </cell>
          <cell r="D21" t="str">
            <v>Eaton-Biesse</v>
          </cell>
        </row>
        <row r="22">
          <cell r="A22" t="str">
            <v>216571 (M22-CLED-G)</v>
          </cell>
          <cell r="B22" t="str">
            <v>216571(M22-CLED-G)</v>
          </cell>
          <cell r="C22" t="str">
            <v>EATON</v>
          </cell>
          <cell r="D22" t="str">
            <v>Eaton-Biesse</v>
          </cell>
        </row>
        <row r="23">
          <cell r="A23" t="str">
            <v>216569.0 (M22-CLED-W)</v>
          </cell>
          <cell r="B23" t="str">
            <v>216569.0(M22-CLED-W)</v>
          </cell>
          <cell r="C23" t="str">
            <v>EATON</v>
          </cell>
          <cell r="D23" t="str">
            <v>Eaton-Biesse</v>
          </cell>
        </row>
        <row r="24">
          <cell r="A24" t="str">
            <v>216706 (M22-DDL-WS-X1/X0)</v>
          </cell>
          <cell r="B24" t="str">
            <v>216706(M22-DDL-WS-X1/X0)</v>
          </cell>
          <cell r="C24" t="str">
            <v>EATON</v>
          </cell>
          <cell r="D24" t="str">
            <v>Eaton-Biesse</v>
          </cell>
        </row>
        <row r="25">
          <cell r="A25" t="str">
            <v>216931 (M22-DL-B)</v>
          </cell>
          <cell r="B25" t="str">
            <v>216931(M22-DL-B)</v>
          </cell>
          <cell r="C25" t="str">
            <v>EATON</v>
          </cell>
          <cell r="D25" t="str">
            <v>Eaton-Biesse</v>
          </cell>
        </row>
        <row r="26">
          <cell r="A26" t="str">
            <v>216927 (M22-DL-G)</v>
          </cell>
          <cell r="B26" t="str">
            <v>216927(M22-DL-G)</v>
          </cell>
          <cell r="C26" t="str">
            <v>EATON</v>
          </cell>
          <cell r="D26" t="str">
            <v>Eaton-Biesse</v>
          </cell>
        </row>
        <row r="27">
          <cell r="A27" t="str">
            <v>216922 (M22-DL-W)</v>
          </cell>
          <cell r="B27" t="str">
            <v>216922(M22-DL-W)</v>
          </cell>
          <cell r="C27" t="str">
            <v>EATON</v>
          </cell>
          <cell r="D27" t="str">
            <v>Eaton-Biesse</v>
          </cell>
        </row>
        <row r="28">
          <cell r="A28" t="str">
            <v>216535 (M22-I1)</v>
          </cell>
          <cell r="B28" t="str">
            <v>216535(M22-I1)</v>
          </cell>
          <cell r="C28" t="str">
            <v>EATON</v>
          </cell>
          <cell r="D28" t="str">
            <v>Eaton-Biesse</v>
          </cell>
        </row>
        <row r="29">
          <cell r="A29" t="str">
            <v>216538 (M22-I3)</v>
          </cell>
          <cell r="B29" t="str">
            <v>216538(M22-I3)</v>
          </cell>
          <cell r="C29" t="str">
            <v>EATON</v>
          </cell>
          <cell r="D29" t="str">
            <v>Eaton-Biesse</v>
          </cell>
        </row>
        <row r="30">
          <cell r="A30" t="str">
            <v>Y7-216562_x000D_
 (M22-LEDC-G_x000D_
)</v>
          </cell>
          <cell r="B30" t="str">
            <v>Y7-216562_x000D_
(M22-LEDC-G_x000D_
)</v>
          </cell>
          <cell r="C30" t="str">
            <v>EATON</v>
          </cell>
          <cell r="D30" t="str">
            <v>Eaton-Biesse</v>
          </cell>
        </row>
        <row r="31">
          <cell r="A31" t="str">
            <v>216772 (M22-L-R)</v>
          </cell>
          <cell r="B31" t="str">
            <v>216772(M22-L-R)</v>
          </cell>
          <cell r="C31" t="str">
            <v>EATON</v>
          </cell>
          <cell r="D31" t="str">
            <v>Eaton-Biesse</v>
          </cell>
        </row>
        <row r="32">
          <cell r="A32" t="str">
            <v>216774 (M22-L-Y)</v>
          </cell>
          <cell r="B32" t="str">
            <v>216774(M22-L-Y)</v>
          </cell>
          <cell r="C32" t="str">
            <v>EATON</v>
          </cell>
          <cell r="D32" t="str">
            <v>Eaton-Biesse</v>
          </cell>
        </row>
        <row r="33">
          <cell r="A33" t="str">
            <v>Y7-216402 (M22-MS_x000D_
)</v>
          </cell>
          <cell r="B33" t="str">
            <v>Y7-216402(M22-MS_x000D_
)</v>
          </cell>
          <cell r="C33" t="str">
            <v>EATON</v>
          </cell>
          <cell r="D33" t="str">
            <v>Eaton-Biesse</v>
          </cell>
        </row>
        <row r="34">
          <cell r="A34" t="str">
            <v>216876 (M22-PV)</v>
          </cell>
          <cell r="B34" t="str">
            <v>216876(M22-PV)</v>
          </cell>
          <cell r="C34" t="str">
            <v>EATON</v>
          </cell>
          <cell r="D34" t="str">
            <v>Eaton-Biesse</v>
          </cell>
        </row>
        <row r="35">
          <cell r="A35" t="str">
            <v>216390 (M22S-B)</v>
          </cell>
          <cell r="B35" t="str">
            <v>216390(M22S-B)</v>
          </cell>
          <cell r="C35" t="str">
            <v>EATON</v>
          </cell>
          <cell r="D35" t="str">
            <v>Eaton-Biesse</v>
          </cell>
        </row>
        <row r="36">
          <cell r="A36" t="str">
            <v>216713 (M22S-DP-S)</v>
          </cell>
          <cell r="B36" t="str">
            <v>216713(M22S-DP-S)</v>
          </cell>
          <cell r="C36" t="str">
            <v>EATON</v>
          </cell>
          <cell r="D36" t="str">
            <v>Eaton-Biesse</v>
          </cell>
        </row>
        <row r="37">
          <cell r="A37" t="str">
            <v>Y7-147543 (M22-USB-SA-150)</v>
          </cell>
          <cell r="B37" t="str">
            <v>Y7-147543(M22-USB-SA-150)</v>
          </cell>
          <cell r="C37" t="str">
            <v>EATON</v>
          </cell>
          <cell r="D37" t="str">
            <v>Eaton-Biesse</v>
          </cell>
        </row>
        <row r="38">
          <cell r="A38" t="str">
            <v>Y7-216874 (M22-WKV_x000D_
)</v>
          </cell>
          <cell r="B38" t="str">
            <v>Y7-216874(M22-WKV_x000D_
)</v>
          </cell>
          <cell r="C38" t="str">
            <v>EATON</v>
          </cell>
          <cell r="D38" t="str">
            <v>Eaton-Biesse</v>
          </cell>
        </row>
        <row r="39">
          <cell r="A39" t="str">
            <v>216867 (M22-WRK)</v>
          </cell>
          <cell r="B39" t="str">
            <v>216867(M22-WRK)</v>
          </cell>
          <cell r="C39" t="str">
            <v>EATON</v>
          </cell>
          <cell r="D39" t="str">
            <v>Eaton-Biesse</v>
          </cell>
        </row>
        <row r="40">
          <cell r="A40" t="str">
            <v>216823.0 (M22-WRLK-W)</v>
          </cell>
          <cell r="B40" t="str">
            <v>216823.0(M22-WRLK-W)</v>
          </cell>
          <cell r="C40" t="str">
            <v>EATON</v>
          </cell>
          <cell r="D40" t="str">
            <v>Eaton-Biesse</v>
          </cell>
        </row>
        <row r="41">
          <cell r="A41" t="str">
            <v>216829 (M22-WRLK-Y)</v>
          </cell>
          <cell r="B41" t="str">
            <v>216829(M22-WRLK-Y)</v>
          </cell>
          <cell r="C41" t="str">
            <v>EATON</v>
          </cell>
          <cell r="D41" t="str">
            <v>Eaton-Biesse</v>
          </cell>
        </row>
        <row r="42">
          <cell r="A42" t="str">
            <v>Y7-216887 (M22-WRS)</v>
          </cell>
          <cell r="B42" t="str">
            <v>Y7-216887(M22-WRS)</v>
          </cell>
          <cell r="C42" t="str">
            <v>EATON</v>
          </cell>
          <cell r="D42" t="str">
            <v>Eaton-Biesse</v>
          </cell>
        </row>
        <row r="43">
          <cell r="A43" t="str">
            <v>197203 (M22-XD-GR-X66)</v>
          </cell>
          <cell r="B43" t="str">
            <v>197203(M22-XD-GR-X66)</v>
          </cell>
          <cell r="C43" t="str">
            <v>EATON</v>
          </cell>
          <cell r="D43" t="str">
            <v>Eaton-Biesse</v>
          </cell>
        </row>
        <row r="44">
          <cell r="A44" t="str">
            <v>216443 (M22-XDL-G)</v>
          </cell>
          <cell r="B44" t="str">
            <v>216443(M22-XDL-G)</v>
          </cell>
          <cell r="C44" t="str">
            <v>EATON</v>
          </cell>
          <cell r="D44" t="str">
            <v>Eaton-Biesse</v>
          </cell>
        </row>
        <row r="45">
          <cell r="A45" t="str">
            <v>218295 (M22-XDL-G-X1)</v>
          </cell>
          <cell r="B45" t="str">
            <v>218295(M22-XDL-G-X1)</v>
          </cell>
          <cell r="C45" t="str">
            <v>EATON</v>
          </cell>
          <cell r="D45" t="str">
            <v>Eaton-Biesse</v>
          </cell>
        </row>
        <row r="46">
          <cell r="A46" t="str">
            <v>197202 (M22-XDL-W-X100)</v>
          </cell>
          <cell r="B46" t="str">
            <v>197202(M22-XDL-W-X100)</v>
          </cell>
          <cell r="C46" t="str">
            <v>EATON</v>
          </cell>
          <cell r="D46" t="str">
            <v>Eaton-Biesse</v>
          </cell>
        </row>
        <row r="47">
          <cell r="A47" t="str">
            <v>Y7-197243 (M22-XDL-W-X47)</v>
          </cell>
          <cell r="B47" t="str">
            <v>Y7-197243(M22-XDL-W-X47)</v>
          </cell>
          <cell r="C47" t="str">
            <v>EATON</v>
          </cell>
          <cell r="D47" t="str">
            <v>Eaton-Biesse</v>
          </cell>
        </row>
        <row r="48">
          <cell r="A48" t="str">
            <v>Y7-197200 (M22-XDL-Y-X162)</v>
          </cell>
          <cell r="B48" t="str">
            <v>Y7-197200(M22-XDL-Y-X162)</v>
          </cell>
          <cell r="C48" t="str">
            <v>EATON</v>
          </cell>
          <cell r="D48" t="str">
            <v>Eaton-Biesse</v>
          </cell>
        </row>
        <row r="49">
          <cell r="A49" t="str">
            <v>Y7-218154 (M22-XD-S-X0)</v>
          </cell>
          <cell r="B49" t="str">
            <v>Y7-218154(M22-XD-S-X0)</v>
          </cell>
          <cell r="C49" t="str">
            <v>EATON</v>
          </cell>
          <cell r="D49" t="str">
            <v>Eaton-Biesse</v>
          </cell>
        </row>
        <row r="50">
          <cell r="A50" t="str">
            <v>Y7-180471 (M22-XYK-ESS)</v>
          </cell>
          <cell r="B50" t="str">
            <v>Y7-180471(M22-XYK-ESS)</v>
          </cell>
          <cell r="C50" t="str">
            <v>EATON</v>
          </cell>
          <cell r="D50" t="str">
            <v>Eaton-Biesse</v>
          </cell>
        </row>
        <row r="51">
          <cell r="A51" t="str">
            <v>187068 (M30C-FWS)</v>
          </cell>
          <cell r="B51" t="str">
            <v>187068(M30C-FWS)</v>
          </cell>
          <cell r="C51" t="str">
            <v>EATON</v>
          </cell>
          <cell r="D51" t="str">
            <v>Eaton-Biesse</v>
          </cell>
        </row>
        <row r="52">
          <cell r="A52" t="str">
            <v>Y7-652_x000D_
 (N-P1Z_x000D_
)</v>
          </cell>
          <cell r="B52" t="str">
            <v>Y7-652_x000D_
(N-P1Z_x000D_
)</v>
          </cell>
          <cell r="C52" t="str">
            <v>EATON</v>
          </cell>
          <cell r="D52" t="str">
            <v>Eaton-Biesse</v>
          </cell>
        </row>
        <row r="53">
          <cell r="A53" t="str">
            <v>50738 (P1-25/V/SVB-SW)</v>
          </cell>
          <cell r="B53" t="str">
            <v>50738(P1-25/V/SVB-SW)</v>
          </cell>
          <cell r="C53" t="str">
            <v>EATON</v>
          </cell>
          <cell r="D53" t="str">
            <v>Eaton-Biesse</v>
          </cell>
        </row>
        <row r="54">
          <cell r="A54" t="str">
            <v>55484 (P1-32/V/SVB-SW)</v>
          </cell>
          <cell r="B54" t="str">
            <v>55484(P1-32/V/SVB-SW)</v>
          </cell>
          <cell r="C54" t="str">
            <v>EATON</v>
          </cell>
          <cell r="D54" t="str">
            <v>Eaton-Biesse</v>
          </cell>
        </row>
        <row r="55">
          <cell r="A55" t="str">
            <v>62603 (P3-100/EA/SVB-SW)</v>
          </cell>
          <cell r="B55" t="str">
            <v>62603(P3-100/EA/SVB-SW)</v>
          </cell>
          <cell r="C55" t="str">
            <v>EATON</v>
          </cell>
          <cell r="D55" t="str">
            <v>Eaton-Biesse</v>
          </cell>
        </row>
        <row r="56">
          <cell r="A56" t="str">
            <v>182717 (PLSM-C2/2-EI)</v>
          </cell>
          <cell r="B56" t="str">
            <v>182717(PLSM-C2/2-EI)</v>
          </cell>
          <cell r="C56" t="str">
            <v>EATON</v>
          </cell>
          <cell r="D56" t="str">
            <v>Eaton-Biesse</v>
          </cell>
        </row>
        <row r="57">
          <cell r="A57" t="str">
            <v>Y7-182688 (PLSM-C6-EI)</v>
          </cell>
          <cell r="B57" t="str">
            <v>Y7-182688(PLSM-C6-EI)</v>
          </cell>
          <cell r="C57" t="str">
            <v>EATON</v>
          </cell>
          <cell r="D57" t="str">
            <v>Eaton-Biesse</v>
          </cell>
        </row>
        <row r="58">
          <cell r="A58" t="str">
            <v>Y7-242200 (PLSM-C6-MW)</v>
          </cell>
          <cell r="B58" t="str">
            <v>Y7-242200(PLSM-C6-MW)</v>
          </cell>
          <cell r="C58" t="str">
            <v>EATON</v>
          </cell>
          <cell r="D58" t="str">
            <v>Eaton-Biesse</v>
          </cell>
        </row>
        <row r="59">
          <cell r="A59" t="str">
            <v>286052 (ZP-IHK)</v>
          </cell>
          <cell r="B59" t="str">
            <v>286052(ZP-IHK)</v>
          </cell>
          <cell r="C59" t="str">
            <v>EATON</v>
          </cell>
          <cell r="D59" t="str">
            <v>Eaton-Biesse</v>
          </cell>
        </row>
        <row r="60">
          <cell r="A60" t="str">
            <v>170537 (FRBMM-C16/1N/003)</v>
          </cell>
          <cell r="B60" t="str">
            <v>170537(FRBMM-C16/1N/003)</v>
          </cell>
          <cell r="C60" t="str">
            <v>EATON</v>
          </cell>
          <cell r="D60" t="str">
            <v>Eaton-Coffee Day</v>
          </cell>
        </row>
        <row r="61">
          <cell r="A61" t="str">
            <v>216378 (M22-K01)</v>
          </cell>
          <cell r="B61" t="str">
            <v>216378(M22-K01)</v>
          </cell>
          <cell r="C61" t="str">
            <v>EATON</v>
          </cell>
          <cell r="D61" t="str">
            <v>Eaton-ENRX Pvt Ltd</v>
          </cell>
        </row>
        <row r="62">
          <cell r="A62" t="str">
            <v>216378+216881+216374 (M22-K01+ M22-WS+ M22-A)</v>
          </cell>
          <cell r="B62" t="str">
            <v>216378+216881+216374(M22-K01+ M22-WS+ M22-A)</v>
          </cell>
          <cell r="C62" t="str">
            <v>EATON</v>
          </cell>
          <cell r="D62" t="str">
            <v>Eaton-ENRX Pvt Ltd</v>
          </cell>
        </row>
        <row r="63">
          <cell r="A63" t="str">
            <v>216376.0 (M22-K10)</v>
          </cell>
          <cell r="B63" t="str">
            <v>216376.0(M22-K10)</v>
          </cell>
          <cell r="C63" t="str">
            <v>EATON</v>
          </cell>
          <cell r="D63" t="str">
            <v>Eaton-ENRX Pvt Ltd</v>
          </cell>
        </row>
        <row r="64">
          <cell r="A64" t="str">
            <v>216392 (M22S-ST-X)</v>
          </cell>
          <cell r="B64" t="str">
            <v>216392(M22S-ST-X)</v>
          </cell>
          <cell r="C64" t="str">
            <v>EATON</v>
          </cell>
          <cell r="D64" t="str">
            <v>Eaton-ENRX Pvt Ltd</v>
          </cell>
        </row>
        <row r="65">
          <cell r="A65" t="str">
            <v>266025 (N4-800)</v>
          </cell>
          <cell r="B65" t="str">
            <v>266025(N4-800)</v>
          </cell>
          <cell r="C65" t="str">
            <v>EATON</v>
          </cell>
          <cell r="D65" t="str">
            <v>Eaton-ENRX Pvt Ltd</v>
          </cell>
        </row>
        <row r="66">
          <cell r="A66" t="str">
            <v>281593 (NZM4-XKV110)</v>
          </cell>
          <cell r="B66" t="str">
            <v>281593(NZM4-XKV110)</v>
          </cell>
          <cell r="C66" t="str">
            <v>EATON</v>
          </cell>
          <cell r="D66" t="str">
            <v>Eaton-ENRX Pvt Ltd</v>
          </cell>
        </row>
        <row r="67">
          <cell r="A67" t="str">
            <v>Y7-266006 (PN2-200)</v>
          </cell>
          <cell r="B67" t="str">
            <v>Y7-266006(PN2-200)</v>
          </cell>
          <cell r="C67" t="str">
            <v>EATON</v>
          </cell>
          <cell r="D67" t="str">
            <v>Eaton-ENRX Pvt Ltd</v>
          </cell>
        </row>
        <row r="68">
          <cell r="A68" t="str">
            <v>Y7-266017 (PN3-400)</v>
          </cell>
          <cell r="B68" t="str">
            <v>Y7-266017(PN3-400)</v>
          </cell>
          <cell r="C68" t="str">
            <v>EATON</v>
          </cell>
          <cell r="D68" t="str">
            <v>Eaton-ENRX Pvt Ltd</v>
          </cell>
        </row>
        <row r="69">
          <cell r="A69" t="str">
            <v>CCX00249 (BZMX1N-3AX100)</v>
          </cell>
          <cell r="B69" t="str">
            <v>CCX00249(BZMX1N-3AX100)</v>
          </cell>
          <cell r="C69" t="str">
            <v>EATON</v>
          </cell>
          <cell r="D69" t="str">
            <v>Eaton-ETA Technology</v>
          </cell>
        </row>
        <row r="70">
          <cell r="A70" t="str">
            <v>CCX09074 (BZMX2/CS1)</v>
          </cell>
          <cell r="B70" t="str">
            <v>CCX09074(BZMX2/CS1)</v>
          </cell>
          <cell r="C70" t="str">
            <v>EATON</v>
          </cell>
          <cell r="D70" t="str">
            <v>Eaton-ETA Technology</v>
          </cell>
        </row>
        <row r="71">
          <cell r="A71" t="str">
            <v>CCX00149 (BZMX2N-3-AX200)</v>
          </cell>
          <cell r="B71" t="str">
            <v>CCX00149(BZMX2N-3-AX200)</v>
          </cell>
          <cell r="C71" t="str">
            <v>EATON</v>
          </cell>
          <cell r="D71" t="str">
            <v>Eaton-ETA Technology</v>
          </cell>
        </row>
        <row r="72">
          <cell r="A72" t="str">
            <v>216700 (M22-DDL-GR-X1/X0)</v>
          </cell>
          <cell r="B72" t="str">
            <v>216700(M22-DDL-GR-X1/X0)</v>
          </cell>
          <cell r="C72" t="str">
            <v>EATON</v>
          </cell>
          <cell r="D72" t="str">
            <v>Eaton-ETA Technology</v>
          </cell>
        </row>
        <row r="73">
          <cell r="A73" t="str">
            <v>216641 (M22-DH-R)</v>
          </cell>
          <cell r="B73" t="str">
            <v>216641(M22-DH-R)</v>
          </cell>
          <cell r="C73" t="str">
            <v>EATON</v>
          </cell>
          <cell r="D73" t="str">
            <v>Eaton-ETA Technology</v>
          </cell>
        </row>
        <row r="74">
          <cell r="A74" t="str">
            <v>216929 (M22-DL-Y)</v>
          </cell>
          <cell r="B74" t="str">
            <v>216929(M22-DL-Y)</v>
          </cell>
          <cell r="C74" t="str">
            <v>EATON</v>
          </cell>
          <cell r="D74" t="str">
            <v>Eaton-ETA Technology</v>
          </cell>
        </row>
        <row r="75">
          <cell r="A75" t="str">
            <v>216594.0 (M22-D-R)</v>
          </cell>
          <cell r="B75" t="str">
            <v>216594.0(M22-D-R)</v>
          </cell>
          <cell r="C75" t="str">
            <v>EATON</v>
          </cell>
          <cell r="D75" t="str">
            <v>Eaton-ETA Technology</v>
          </cell>
        </row>
        <row r="76">
          <cell r="A76" t="str">
            <v>216598 (M22-D-Y)</v>
          </cell>
          <cell r="B76" t="str">
            <v>216598(M22-D-Y)</v>
          </cell>
          <cell r="C76" t="str">
            <v>EATON</v>
          </cell>
          <cell r="D76" t="str">
            <v>Eaton-ETA Technology</v>
          </cell>
        </row>
        <row r="77">
          <cell r="A77" t="str">
            <v>216557 (M22-LED-W)</v>
          </cell>
          <cell r="B77" t="str">
            <v>216557(M22-LED-W)</v>
          </cell>
          <cell r="C77" t="str">
            <v>EATON</v>
          </cell>
          <cell r="D77" t="str">
            <v>Eaton-ETA Technology</v>
          </cell>
        </row>
        <row r="78">
          <cell r="A78" t="str">
            <v>Y7-263467 (M22-PVT)</v>
          </cell>
          <cell r="B78" t="str">
            <v>Y7-263467(M22-PVT)</v>
          </cell>
          <cell r="C78" t="str">
            <v>EATON</v>
          </cell>
          <cell r="D78" t="str">
            <v>Eaton-ETA Technology</v>
          </cell>
        </row>
        <row r="79">
          <cell r="A79" t="str">
            <v>216394 (M22S-STDD-X)</v>
          </cell>
          <cell r="B79" t="str">
            <v>216394(M22S-STDD-X)</v>
          </cell>
          <cell r="C79" t="str">
            <v>EATON</v>
          </cell>
          <cell r="D79" t="str">
            <v>Eaton-ETA Technology</v>
          </cell>
        </row>
        <row r="80">
          <cell r="A80" t="str">
            <v>216480 (M22-XST)</v>
          </cell>
          <cell r="B80" t="str">
            <v>216480(M22-XST)</v>
          </cell>
          <cell r="C80" t="str">
            <v>EATON</v>
          </cell>
          <cell r="D80" t="str">
            <v>Eaton-ETA Technology</v>
          </cell>
        </row>
        <row r="81">
          <cell r="A81" t="str">
            <v>Y7-260045 (NZM3-XKSA)</v>
          </cell>
          <cell r="B81" t="str">
            <v>Y7-260045(NZM3-XKSA)</v>
          </cell>
          <cell r="C81" t="str">
            <v>EATON</v>
          </cell>
          <cell r="D81" t="str">
            <v>Eaton-ETA Technology</v>
          </cell>
        </row>
        <row r="82">
          <cell r="A82" t="str">
            <v>EIN-810157 (PLSI-C10/3 GI)</v>
          </cell>
          <cell r="B82" t="str">
            <v>EIN-810157(PLSI-C10/3 GI)</v>
          </cell>
          <cell r="C82" t="str">
            <v>EATON</v>
          </cell>
          <cell r="D82" t="str">
            <v>Eaton-ETA Technology</v>
          </cell>
        </row>
        <row r="83">
          <cell r="A83" t="str">
            <v>EIN-810160 (PLSI-C25/3-GI)</v>
          </cell>
          <cell r="B83" t="str">
            <v>EIN-810160(PLSI-C25/3-GI)</v>
          </cell>
          <cell r="C83" t="str">
            <v>EATON</v>
          </cell>
          <cell r="D83" t="str">
            <v>Eaton-ETA Technology</v>
          </cell>
        </row>
        <row r="84">
          <cell r="A84" t="str">
            <v>88527 + 203948 (1.5/2) (MCS-11+PMIN(1.5)/Pmax(2))</v>
          </cell>
          <cell r="B84" t="str">
            <v>88527 + 203948 (1.5/2)(MCS-11+PMIN(1.5)/Pmax(2))</v>
          </cell>
          <cell r="C84" t="str">
            <v>EATON</v>
          </cell>
          <cell r="D84" t="str">
            <v>Eaton-Faiveley-E70</v>
          </cell>
        </row>
        <row r="85">
          <cell r="A85" t="str">
            <v>88527 + 203948 (2.9/4.1) (MCS-11+PMIN(2.9)/Pmax(4.1))</v>
          </cell>
          <cell r="B85" t="str">
            <v>88527 + 203948 (2.9/4.1)(MCS-11+PMIN(2.9)/Pmax(4.1))</v>
          </cell>
          <cell r="C85" t="str">
            <v>EATON</v>
          </cell>
          <cell r="D85" t="str">
            <v>Eaton-Faiveley-E70</v>
          </cell>
        </row>
        <row r="86">
          <cell r="A86" t="str">
            <v>88527 + 203948 (3.9/4.9) (MCS-11+PMIN(3.9)/Pmax(4.9))</v>
          </cell>
          <cell r="B86" t="str">
            <v>88527 + 203948 (3.9/4.9)(MCS-11+PMIN(3.9)/Pmax(4.9))</v>
          </cell>
          <cell r="C86" t="str">
            <v>EATON</v>
          </cell>
          <cell r="D86" t="str">
            <v>Eaton-Faiveley-E70</v>
          </cell>
        </row>
        <row r="87">
          <cell r="A87" t="str">
            <v>88527 + 203948 (4.4/5.4) (MCS-11+PMIN(4.4)/Pmax(5.4))</v>
          </cell>
          <cell r="B87" t="str">
            <v>88527 + 203948 (4.4/5.4)(MCS-11+PMIN(4.4)/Pmax(5.4))</v>
          </cell>
          <cell r="C87" t="str">
            <v>EATON</v>
          </cell>
          <cell r="D87" t="str">
            <v>Eaton-Faiveley-E70</v>
          </cell>
        </row>
        <row r="88">
          <cell r="A88" t="str">
            <v>Y7-88527+203948 (4.9/5.5) (MCS-11+PMIN(4.9)/Pmax(5.5))</v>
          </cell>
          <cell r="B88" t="str">
            <v>Y7-88527+203948 (4.9/5.5)(MCS-11+PMIN(4.9)/Pmax(5.5))</v>
          </cell>
          <cell r="C88" t="str">
            <v>EATON</v>
          </cell>
          <cell r="D88" t="str">
            <v>Eaton-Faiveley-E70</v>
          </cell>
        </row>
        <row r="89">
          <cell r="A89" t="str">
            <v>Y7-88527+203948 (5.5/6.3) (MCS-11+PMIN(5.5)/Pmax(6.3))</v>
          </cell>
          <cell r="B89" t="str">
            <v>Y7-88527+203948 (5.5/6.3)(MCS-11+PMIN(5.5)/Pmax(6.3))</v>
          </cell>
          <cell r="C89" t="str">
            <v>EATON</v>
          </cell>
          <cell r="D89" t="str">
            <v>Eaton-Faiveley-E70</v>
          </cell>
        </row>
        <row r="90">
          <cell r="A90" t="str">
            <v>88527 + 203948 (6.9/7.9) (MCS-11+PMIN(6.9)/Pmax(7.9))</v>
          </cell>
          <cell r="B90" t="str">
            <v>88527 + 203948 (6.9/7.9)(MCS-11+PMIN(6.9)/Pmax(7.9))</v>
          </cell>
          <cell r="C90" t="str">
            <v>EATON</v>
          </cell>
          <cell r="D90" t="str">
            <v>Eaton-Faiveley-E70</v>
          </cell>
        </row>
        <row r="91">
          <cell r="A91" t="str">
            <v>88527 + 203948 (7.8/9.8) (MCS-11+PMIN(7.8)/Pmax(9.8))</v>
          </cell>
          <cell r="B91" t="str">
            <v>88527 + 203948 (7.8/9.8)(MCS-11+PMIN(7.8)/Pmax(9.8))</v>
          </cell>
          <cell r="C91" t="str">
            <v>EATON</v>
          </cell>
          <cell r="D91" t="str">
            <v>Eaton-Faiveley-E70</v>
          </cell>
        </row>
        <row r="92">
          <cell r="A92" t="str">
            <v>058693 + 203948_x000D_
 (MCS4-G+PMIN(0.2)/Pmax(0.6)_x000D_
)</v>
          </cell>
          <cell r="B92" t="str">
            <v>058693 + 203948_x000D_
(MCS4-G+PMIN(0.2)/Pmax(0.6)_x000D_
)</v>
          </cell>
          <cell r="C92" t="str">
            <v>EATON</v>
          </cell>
          <cell r="D92" t="str">
            <v>Eaton-Faiveley-E70</v>
          </cell>
        </row>
        <row r="93">
          <cell r="A93" t="str">
            <v>29011(45.1) (3Z132-11.45.1)</v>
          </cell>
          <cell r="B93" t="str">
            <v>29011(45.1) (3Z132-11.45.1)</v>
          </cell>
          <cell r="C93" t="str">
            <v>EATON</v>
          </cell>
          <cell r="D93" t="str">
            <v>Eaton-Faiveley-Non E70</v>
          </cell>
        </row>
        <row r="94">
          <cell r="A94" t="str">
            <v>29011 (3Z132-11.45.2)</v>
          </cell>
          <cell r="B94" t="str">
            <v>29011(3Z132-11.45.2)</v>
          </cell>
          <cell r="C94" t="str">
            <v>EATON</v>
          </cell>
          <cell r="D94" t="str">
            <v>Eaton-Faiveley-Non E70</v>
          </cell>
        </row>
        <row r="95">
          <cell r="A95" t="str">
            <v>31893 (4Z132-11.48)</v>
          </cell>
          <cell r="B95" t="str">
            <v>31893(4Z132-11.48)</v>
          </cell>
          <cell r="C95" t="str">
            <v>EATON</v>
          </cell>
          <cell r="D95" t="str">
            <v>Eaton-Faiveley-Non E70</v>
          </cell>
        </row>
        <row r="96">
          <cell r="A96" t="str">
            <v>126920 (4Z132-11.49.1)</v>
          </cell>
          <cell r="B96" t="str">
            <v>126920(4Z132-11.49.1)</v>
          </cell>
          <cell r="C96" t="str">
            <v>EATON</v>
          </cell>
          <cell r="D96" t="str">
            <v>Eaton-Faiveley-Non E70</v>
          </cell>
        </row>
        <row r="97">
          <cell r="A97" t="str">
            <v>Y7-58692 (0.2/0.5) (MCS11-G+PMIN(0.2)/PMAX(0.5)_x000D_
)</v>
          </cell>
          <cell r="B97" t="str">
            <v>Y7-58692(0.2/0.5)(MCS11-G+PMIN(0.2)/PMAX(0.5)_x000D_
)</v>
          </cell>
          <cell r="C97" t="str">
            <v>EATON</v>
          </cell>
          <cell r="D97" t="str">
            <v>Eaton-Faiveley-Non E70</v>
          </cell>
        </row>
        <row r="98">
          <cell r="A98" t="str">
            <v>Y7-58692+203948+201854 (3.5/5.0)_x000D_
 (MCS11-G+PMIN(3.5)/PMAX(5.0)+S3-MCS_x000D_
)</v>
          </cell>
          <cell r="B98" t="str">
            <v>Y7-87793+203948+201855 (3.5/5.0)_x000D_
(MCS11-SOND 910-G+PMIN(3.5)/PMAX(5.0)+S6-MCS_x000D_
)</v>
          </cell>
          <cell r="C98" t="str">
            <v>EATON</v>
          </cell>
          <cell r="D98" t="str">
            <v>Eaton-Faiveley-Non E70</v>
          </cell>
        </row>
        <row r="99">
          <cell r="A99" t="str">
            <v>Y7-58692+203948 (4.5/5.4) (MCS11-G+PMIN(4.5)/PMAX(5.4))</v>
          </cell>
          <cell r="B99" t="str">
            <v>Y7-58692+203948(4.5/5.4)(MCS11-G+PMIN(4.5)/PMAX(5.4))</v>
          </cell>
          <cell r="C99" t="str">
            <v>EATON</v>
          </cell>
          <cell r="D99" t="str">
            <v>Eaton-Faiveley-Non E70</v>
          </cell>
        </row>
        <row r="100">
          <cell r="A100" t="str">
            <v>058692+203948+201854 (MCS11-G+PMIN(6.0)/PMAX(7.0)+S3-MCS)</v>
          </cell>
          <cell r="B100" t="str">
            <v>058692+203948+201854(MCS11-G+PMIN(6.0)/PMAX(7.0)+S3-MCS)</v>
          </cell>
          <cell r="C100" t="str">
            <v>EATON</v>
          </cell>
          <cell r="D100" t="str">
            <v>Eaton-Faiveley-Non E70</v>
          </cell>
        </row>
        <row r="101">
          <cell r="A101" t="str">
            <v>Y7-58692+203948+201854 (7.5/9.5) (MCS11-G+PMIN(7.5)/PMAX(9.5)+S3-MCS)</v>
          </cell>
          <cell r="B101" t="str">
            <v>Y7-58692+203948+201854 (7.5/9.5)(MCS11-G+PMIN(7.5)/PMAX(9.5)+S3-MCS)</v>
          </cell>
          <cell r="C101" t="str">
            <v>EATON</v>
          </cell>
          <cell r="D101" t="str">
            <v>Eaton-Faiveley-Non E70</v>
          </cell>
        </row>
        <row r="102">
          <cell r="A102" t="str">
            <v>Y7-58692 (8.5/9.5) (MCS11-G+PMIN(8.5)/PMAX(9.5)+S3-MCS)</v>
          </cell>
          <cell r="B102" t="str">
            <v>Y7-58692 (8.5/9.5)(MCS11-G+PMIN(8.5)/PMAX(9.5)+S3-MCS)</v>
          </cell>
          <cell r="C102" t="str">
            <v>EATON</v>
          </cell>
          <cell r="D102" t="str">
            <v>Eaton-Faiveley-Non E70</v>
          </cell>
        </row>
        <row r="103">
          <cell r="A103" t="str">
            <v>Y7-058692+203948+201854 (MCS11-G + S3MCS Pmin (7.5) / Pmax (10.0))</v>
          </cell>
          <cell r="B103" t="str">
            <v>Y7-058692+203948+201854(MCS11-G + S3MCS Pmin (7.5) / Pmax (10.0))</v>
          </cell>
          <cell r="C103" t="str">
            <v>EATON</v>
          </cell>
          <cell r="D103" t="str">
            <v>Eaton-Faiveley-Non E70</v>
          </cell>
        </row>
        <row r="104">
          <cell r="A104" t="str">
            <v>Y7-58692 (8.5/10.0) (MCS11-G + S3MCS Pmin (8.5) / Pmax (10.0))</v>
          </cell>
          <cell r="B104" t="str">
            <v>Y7-58692 (8.5/10.0)(MCS11-G + S3MCS Pmin (8.5) / Pmax (10.0))</v>
          </cell>
          <cell r="C104" t="str">
            <v>EATON</v>
          </cell>
          <cell r="D104" t="str">
            <v>Eaton-Faiveley-Non E70</v>
          </cell>
        </row>
        <row r="105">
          <cell r="A105" t="str">
            <v>88527 + 203948 (0.2/0.6) (MCS-11+PMIN(0.2)/Pmax(0.6))</v>
          </cell>
          <cell r="B105" t="str">
            <v>88527 + 203948(0.2/0.6)(MCS-11+PMIN(0.2)/Pmax(0.6))</v>
          </cell>
          <cell r="C105" t="str">
            <v>EATON</v>
          </cell>
          <cell r="D105" t="str">
            <v>Eaton-Faiveley-Non E70</v>
          </cell>
        </row>
        <row r="106">
          <cell r="A106" t="str">
            <v>Y7-88527 (0.2/0.64) (MCS-11+PMIN(0.2)/Pmax(0.64))</v>
          </cell>
          <cell r="B106" t="str">
            <v>Y7-88527(0.2/0.64)(MCS-11+PMIN(0.2)/Pmax(0.64))</v>
          </cell>
          <cell r="C106" t="str">
            <v>EATON</v>
          </cell>
          <cell r="D106" t="str">
            <v>Eaton-Faiveley-Non E70</v>
          </cell>
        </row>
        <row r="107">
          <cell r="A107" t="str">
            <v>Y7-88527 (0.2/0.65)_x000D_
 (MCS11+PMIN(0.2)/PMAX(0.65)+S3-MCS_x000D_
)</v>
          </cell>
          <cell r="B107" t="str">
            <v>Y7-88527(0.2/0.65)_x000D_
(MCS11+PMIN(0.2)/PMAX(0.65)+S3-MCS_x000D_
)</v>
          </cell>
          <cell r="C107" t="str">
            <v>EATON</v>
          </cell>
          <cell r="D107" t="str">
            <v>Eaton-Faiveley-Non E70</v>
          </cell>
        </row>
        <row r="108">
          <cell r="A108" t="str">
            <v>88527+203948+201854 (0.2/0.6) (MCS11+PMIN(0.2)/PMAX(0.6)+S3-MCS_x000D_
)</v>
          </cell>
          <cell r="B108" t="str">
            <v>88527+203948+201854(0.2/0.6)(MCS11+PMIN(0.2)/PMAX(0.6)+S3-MCS_x000D_
)</v>
          </cell>
          <cell r="C108" t="str">
            <v>EATON</v>
          </cell>
          <cell r="D108" t="str">
            <v>Eaton-Faiveley-Non E70</v>
          </cell>
        </row>
        <row r="109">
          <cell r="A109" t="str">
            <v>Y7-88527+203948+201854(0.4/0.6)_x000D_
 (MCS11+PMIN(0.4)/PMAX(0.6)+S3-MCS)</v>
          </cell>
          <cell r="B109" t="str">
            <v>Y7-88527+203948+201854(0.4/0.6)_x000D_
(MCS11+PMIN(0.4)/PMAX(0.6)+S3-MCS)</v>
          </cell>
          <cell r="C109" t="str">
            <v>EATON</v>
          </cell>
          <cell r="D109" t="str">
            <v>Eaton-Faiveley-Non E70</v>
          </cell>
        </row>
        <row r="110">
          <cell r="A110" t="str">
            <v>Y7-88527+203948(1.0/3.9) (MCS-11+PMIN(1.0)/Pmax(3.9))</v>
          </cell>
          <cell r="B110" t="str">
            <v>Y7-88527+203948(1.0/3.9)(MCS-11+PMIN(1.0)/Pmax(3.9))</v>
          </cell>
          <cell r="C110" t="str">
            <v>EATON</v>
          </cell>
          <cell r="D110" t="str">
            <v>Eaton-Faiveley-Non E70</v>
          </cell>
        </row>
        <row r="111">
          <cell r="A111" t="str">
            <v>Y7-88527+203948+201854(1.3/1.8)_x000D_
 (MCS11+PMIN(1.3)/PMAX(1.8)+S3-MCS)</v>
          </cell>
          <cell r="B111" t="str">
            <v>Y7-88527+203948+201854(1.3/1.8)_x000D_
(MCS11+PMIN(1.3)/PMAX(1.8)+S3-MCS)</v>
          </cell>
          <cell r="C111" t="str">
            <v>EATON</v>
          </cell>
          <cell r="D111" t="str">
            <v>Eaton-Faiveley-Non E70</v>
          </cell>
        </row>
        <row r="112">
          <cell r="A112" t="str">
            <v>Y7-88527 (1.47/1.96) (MCS-11+PMIN(1.47)/Pmax(1.96))</v>
          </cell>
          <cell r="B112" t="str">
            <v>Y7-88527(1.47/1.96)(MCS-11+PMIN(1.47)/Pmax(1.96))</v>
          </cell>
          <cell r="C112" t="str">
            <v>EATON</v>
          </cell>
          <cell r="D112" t="str">
            <v>Eaton-Faiveley-Non E70</v>
          </cell>
        </row>
        <row r="113">
          <cell r="A113" t="str">
            <v>Y7-88527_x000D_
 (MCS-11+PMIN(1.47)/Pmax(1.96)_x000D_
)</v>
          </cell>
          <cell r="B113" t="str">
            <v>Y7-88527_x000D_
(MCS-11+PMIN(1.47)/Pmax(1.96)_x000D_
)</v>
          </cell>
          <cell r="C113" t="str">
            <v>EATON</v>
          </cell>
          <cell r="D113" t="str">
            <v>Eaton-Faiveley-Non E70</v>
          </cell>
        </row>
        <row r="114">
          <cell r="A114" t="str">
            <v>Y7-88527+203948(1.5/5.0) (MCS-11+PMIN(1.5)/Pmax(5.0))</v>
          </cell>
          <cell r="B114" t="str">
            <v>Y7-88527+203948(1.5/5.0)(MCS-11+PMIN(1.5)/Pmax(5.0))</v>
          </cell>
          <cell r="C114" t="str">
            <v>EATON</v>
          </cell>
          <cell r="D114" t="str">
            <v>Eaton-Faiveley-Non E70</v>
          </cell>
        </row>
        <row r="115">
          <cell r="A115" t="str">
            <v>88527 + 203948(1.7/2.3) (MCS-11+PMIN(1.7)/Pmax(2.3))</v>
          </cell>
          <cell r="B115" t="str">
            <v>88527 + 203948(1.7/2.3)(MCS-11+PMIN(1.7)/Pmax(2.3))</v>
          </cell>
          <cell r="C115" t="str">
            <v>EATON</v>
          </cell>
          <cell r="D115" t="str">
            <v>Eaton-Faiveley-Non E70</v>
          </cell>
        </row>
        <row r="116">
          <cell r="A116" t="str">
            <v>88527+203948(1.8/2.7) (MCS-11+PMIN(1.8)Pmax(2.7))</v>
          </cell>
          <cell r="B116" t="str">
            <v>88527+203948(1.8/2.7)(MCS-11+PMIN(1.8)Pmax(2.7))</v>
          </cell>
          <cell r="C116" t="str">
            <v>EATON</v>
          </cell>
          <cell r="D116" t="str">
            <v>Eaton-Faiveley-Non E70</v>
          </cell>
        </row>
        <row r="117">
          <cell r="A117" t="str">
            <v>Y7-88527+203948+2018542.3/2.6) (MCS11+Pmin(2.3)/Pmax(2.6)+S3MCS)</v>
          </cell>
          <cell r="B117" t="str">
            <v>Y7-88527+203948+2018542.3/2.6)(MCS11+Pmin(2.3)/Pmax(2.6)+S3MCS)</v>
          </cell>
          <cell r="C117" t="str">
            <v>EATON</v>
          </cell>
          <cell r="D117" t="str">
            <v>Eaton-Faiveley-Non E70</v>
          </cell>
        </row>
        <row r="118">
          <cell r="A118" t="str">
            <v>Y7-88527 (2.94/4.12) (MCS-11+PMIN(2.94)/Pmax(4.12))</v>
          </cell>
          <cell r="B118" t="str">
            <v>Y7-88527(2.94/4.12)(MCS-11+PMIN(2.94)/Pmax(4.12))</v>
          </cell>
          <cell r="C118" t="str">
            <v>EATON</v>
          </cell>
          <cell r="D118" t="str">
            <v>Eaton-Faiveley-Non E70</v>
          </cell>
        </row>
        <row r="119">
          <cell r="A119" t="str">
            <v>Y7-88527+203948+201854(3.0/4.2) (MCS11+PMIN(3.0)/PMAX(4.2)+S3-MCS)</v>
          </cell>
          <cell r="B119" t="str">
            <v>Y7-88527+203948+201854(3.0/4.2)(MCS11+PMIN(3.0)/PMAX(4.2)+S3-MCS)</v>
          </cell>
          <cell r="C119" t="str">
            <v>EATON</v>
          </cell>
          <cell r="D119" t="str">
            <v>Eaton-Faiveley-Non E70</v>
          </cell>
        </row>
        <row r="120">
          <cell r="A120" t="str">
            <v>Y7-88527+203948+201854(3.5/4.5)_x000D_
 (MCS11+PMIN(3.5)/PMAX(4.5)+S3-MCS_x000D_
)</v>
          </cell>
          <cell r="B120" t="str">
            <v>Y7-88527+203948+201854(3.5/4.5)_x000D_
(MCS11+PMIN(3.5)/PMAX(4.5)+S3-MCS_x000D_
)</v>
          </cell>
          <cell r="C120" t="str">
            <v>EATON</v>
          </cell>
          <cell r="D120" t="str">
            <v>Eaton-Faiveley-Non E70</v>
          </cell>
        </row>
        <row r="121">
          <cell r="A121" t="str">
            <v>88527+203948+201854 (3.5/5.0) (MCS11+PMIN(3.5)/PMAX(5.0)+S3-MCS)</v>
          </cell>
          <cell r="B121" t="str">
            <v>88527+203948+201854 (3.5/5.0)(MCS11+PMIN(3.5)/PMAX(5.0)+S3-MCS)</v>
          </cell>
          <cell r="C121" t="str">
            <v>EATON</v>
          </cell>
          <cell r="D121" t="str">
            <v>Eaton-Faiveley-Non E70</v>
          </cell>
        </row>
        <row r="122">
          <cell r="A122" t="str">
            <v>Y7-88527+203948+201854(3.8/4.5) (MCS11+PMIN(3.8)/PMAX(4.5)+S3-MCS)</v>
          </cell>
          <cell r="B122" t="str">
            <v>Y7-88527+203948+201854(3.8/4.5)(MCS11+PMIN(3.8)/PMAX(4.5)+S3-MCS)</v>
          </cell>
          <cell r="C122" t="str">
            <v>EATON</v>
          </cell>
          <cell r="D122" t="str">
            <v>Eaton-Faiveley-Non E70</v>
          </cell>
        </row>
        <row r="123">
          <cell r="A123" t="str">
            <v>Y7-88527 (3.92/4.9) (MCS-11+PMIN(3.92)/Pmax(4.9))</v>
          </cell>
          <cell r="B123" t="str">
            <v>Y7-88527(3.92/4.9)(MCS-11+PMIN(3.92)/Pmax(4.9))</v>
          </cell>
          <cell r="C123" t="str">
            <v>EATON</v>
          </cell>
          <cell r="D123" t="str">
            <v>Eaton-Faiveley-Non E70</v>
          </cell>
        </row>
        <row r="124">
          <cell r="A124" t="str">
            <v>Y7-88527 (4.41/5.39) (MCS-11+PMIN(4.41)/Pmax(5.39))</v>
          </cell>
          <cell r="B124" t="str">
            <v>Y7-88527(4.41/5.39)(MCS-11+PMIN(4.41)/Pmax(5.39))</v>
          </cell>
          <cell r="C124" t="str">
            <v>EATON</v>
          </cell>
          <cell r="D124" t="str">
            <v>Eaton-Faiveley-Non E70</v>
          </cell>
        </row>
        <row r="125">
          <cell r="A125" t="str">
            <v>Y7-88527 (4.5/5.5) (MCS11+PMIN(4.5)/PMAX(5.5)+S3-MCS)</v>
          </cell>
          <cell r="B125" t="str">
            <v>Y7-88527 (4.5/5.5)(MCS11+PMIN(4.5)/PMAX(5.5)+S3-MCS)</v>
          </cell>
          <cell r="C125" t="str">
            <v>EATON</v>
          </cell>
          <cell r="D125" t="str">
            <v>Eaton-Faiveley-Non E70</v>
          </cell>
        </row>
        <row r="126">
          <cell r="A126" t="str">
            <v>Y7-88527 (4.9/5.49) (MCS-11+PMIN(4.9)/Pmax(5.49))</v>
          </cell>
          <cell r="B126" t="str">
            <v>Y7-88527(4.9/5.49)(MCS-11+PMIN(4.9)/Pmax(5.49))</v>
          </cell>
          <cell r="C126" t="str">
            <v>EATON</v>
          </cell>
          <cell r="D126" t="str">
            <v>Eaton-Faiveley-Non E70</v>
          </cell>
        </row>
        <row r="127">
          <cell r="A127" t="str">
            <v>88527+203948 (5.0/6.0) (MCS11+PMIN(5.0)/PMAX(6.0))</v>
          </cell>
          <cell r="B127" t="str">
            <v>88527+203948 (5.0/6.0)(MCS11+PMIN(5.0)/PMAX(6.0))</v>
          </cell>
          <cell r="C127" t="str">
            <v>EATON</v>
          </cell>
          <cell r="D127" t="str">
            <v>Eaton-Faiveley-Non E70</v>
          </cell>
        </row>
        <row r="128">
          <cell r="A128" t="str">
            <v>88527+203948 (MCS11+PMIN(5.0)/PMAX(6.0)+S3-MCS)</v>
          </cell>
          <cell r="B128" t="str">
            <v>88527+203948(MCS11+PMIN(5.0)/PMAX(6.0)+S3-MCS)</v>
          </cell>
          <cell r="C128" t="str">
            <v>EATON</v>
          </cell>
          <cell r="D128" t="str">
            <v>Eaton-Faiveley-Non E70</v>
          </cell>
        </row>
        <row r="129">
          <cell r="A129" t="str">
            <v>Y7-88527 (5.49/6.28) (MCS-11+PMIN(5.49)/Pmax(6.28))</v>
          </cell>
          <cell r="B129" t="str">
            <v>Y7-88527(5.49/6.28)(MCS-11+PMIN(5.49)/Pmax(6.28))</v>
          </cell>
          <cell r="C129" t="str">
            <v>EATON</v>
          </cell>
          <cell r="D129" t="str">
            <v>Eaton-Faiveley-Non E70</v>
          </cell>
        </row>
        <row r="130">
          <cell r="A130" t="str">
            <v>Y7-88527 (5.6/6.4)_x000D_
 (MCS11+PMIN(5.6)/PMAX(6.4)+S3-MCS_x000D_
)</v>
          </cell>
          <cell r="B130" t="str">
            <v>Y7-88527(5.6/6.4)_x000D_
(MCS11+PMIN(5.6)/PMAX(6.4)+S3-MCS_x000D_
)</v>
          </cell>
          <cell r="C130" t="str">
            <v>EATON</v>
          </cell>
          <cell r="D130" t="str">
            <v>Eaton-Faiveley-Non E70</v>
          </cell>
        </row>
        <row r="131">
          <cell r="A131" t="str">
            <v>Y7-88527+203948+201854 (6.0/7.0) (MCS11+PMIN(6.0)/PMAX (7.0)+S3-MCS)</v>
          </cell>
          <cell r="B131" t="str">
            <v>Y7-88527+203948+201854 (6.0/7.0)(MCS11+PMIN(6.0)/PMAX (7.0)+S3-MCS)</v>
          </cell>
          <cell r="C131" t="str">
            <v>EATON</v>
          </cell>
          <cell r="D131" t="str">
            <v>Eaton-Faiveley-Non E70</v>
          </cell>
        </row>
        <row r="132">
          <cell r="A132" t="str">
            <v>88527+203948+201854(6.0/8.0) (MCS11+Pmin(6.0)/Pmax(8.0)+S3-MCS)</v>
          </cell>
          <cell r="B132" t="str">
            <v>88527+203948+201854(6.0/8.0)(MCS11+Pmin(6.0)/Pmax(8.0)+S3-MCS)</v>
          </cell>
          <cell r="C132" t="str">
            <v>EATON</v>
          </cell>
          <cell r="D132" t="str">
            <v>Eaton-Faiveley-Non E70</v>
          </cell>
        </row>
        <row r="133">
          <cell r="A133" t="str">
            <v>Y7-88527 (6.86/7.84) (MCS-11+PMIN(6.86)/Pmax(7.84))</v>
          </cell>
          <cell r="B133" t="str">
            <v>Y7-88527(6.86/7.84)(MCS-11+PMIN(6.86)/Pmax(7.84))</v>
          </cell>
          <cell r="C133" t="str">
            <v>EATON</v>
          </cell>
          <cell r="D133" t="str">
            <v>Eaton-Faiveley-Non E70</v>
          </cell>
        </row>
        <row r="134">
          <cell r="A134" t="str">
            <v>Y7-88527 (7.0/8.0) (MCS11+PMIN(7.0)/PMAX(8.0)+S3-MCS)</v>
          </cell>
          <cell r="B134" t="str">
            <v>88527+203948+201854_x000D_
(MCS11+PMIN(7.0)/PMAX(8.0)+S3-MCS_x000D_
)</v>
          </cell>
          <cell r="C134" t="str">
            <v>EATON</v>
          </cell>
          <cell r="D134" t="str">
            <v>Eaton-Faiveley-Non E70</v>
          </cell>
        </row>
        <row r="135">
          <cell r="A135" t="str">
            <v>Y7-88527+203948+201854 (7.5/10.0) (MCS11+PMIN(7.5)/PMAX(10.0)+S3-MCS_x000D_
)</v>
          </cell>
          <cell r="B135" t="str">
            <v>Y7-88527+203948+201854 (7.5/10.0)(MCS11+PMIN(7.5)/PMAX(10.0)+S3-MCS )</v>
          </cell>
          <cell r="C135" t="str">
            <v>EATON</v>
          </cell>
          <cell r="D135" t="str">
            <v>Eaton-Faiveley-Non E70</v>
          </cell>
        </row>
        <row r="136">
          <cell r="A136" t="str">
            <v>88527+203948+201854(7.5/10) (MCS11+PMIN(7.5)/PMAX(10)+S3-MCS)</v>
          </cell>
          <cell r="B136" t="str">
            <v>88527+203948+201854(7.5/10)(MCS11+PMIN(7.5)/PMAX(10)+S3-MCS)</v>
          </cell>
          <cell r="C136" t="str">
            <v>EATON</v>
          </cell>
          <cell r="D136" t="str">
            <v>Eaton-Faiveley-Non E70</v>
          </cell>
        </row>
        <row r="137">
          <cell r="A137" t="str">
            <v>88527+203948+201854(7.5/9.5) (MCS11+PMIN(7.5)/PMAX(9.5)+S3-MCS)</v>
          </cell>
          <cell r="B137" t="str">
            <v>88527+203948+201854(7.5/9.5)(MCS11+PMIN(7.5)/PMAX(9.5)+S3-MCS)</v>
          </cell>
          <cell r="C137" t="str">
            <v>EATON</v>
          </cell>
          <cell r="D137" t="str">
            <v>Eaton-Faiveley-Non E70</v>
          </cell>
        </row>
        <row r="138">
          <cell r="A138" t="str">
            <v>Y7-88527 (7.9/9.8) (MCS-11+PMIN(7.9)/Pmax(9.8))</v>
          </cell>
          <cell r="B138" t="str">
            <v>Y7-88527(7.9/9.8)(MCS-11+PMIN(7.9)/Pmax(9.8))</v>
          </cell>
          <cell r="C138" t="str">
            <v>EATON</v>
          </cell>
          <cell r="D138" t="str">
            <v>Eaton-Faiveley-Non E70</v>
          </cell>
        </row>
        <row r="139">
          <cell r="A139" t="str">
            <v>087793+203948(1.8/2,7) (MCS11-SOND 910-G+PMIN(1.8)/PMAX(2.7)_x000D_
)</v>
          </cell>
          <cell r="B139" t="str">
            <v>087793+203948(1.8/2,7)(MCS11-SOND 910-G+PMIN(1.8)/PMAX(2.7)_x000D_
)</v>
          </cell>
          <cell r="C139" t="str">
            <v>EATON</v>
          </cell>
          <cell r="D139" t="str">
            <v>Eaton-Faiveley-Non E70</v>
          </cell>
        </row>
        <row r="140">
          <cell r="A140" t="str">
            <v>Y7-87793+203948 (2.4/3.0)_x000D_
 (MCS11-SOND 910-G+PMIN(2.4)/PMAX(3.0)_x000D_
)</v>
          </cell>
          <cell r="B140" t="str">
            <v>Y7-87793+203948(2.4/3.0)_x000D_
(MCS11-SOND 910-G+PMIN(2.4)/PMAX(3.0)_x000D_
)</v>
          </cell>
          <cell r="C140" t="str">
            <v>EATON</v>
          </cell>
          <cell r="D140" t="str">
            <v>Eaton-Faiveley-Non E70</v>
          </cell>
        </row>
        <row r="141">
          <cell r="A141" t="str">
            <v>Y7-87793+203948 (2.8/4.5)_x000D_
 (MCS11-SOND 910-G+PMIN(2.8)/PMAX(4.5)_x000D_
)</v>
          </cell>
          <cell r="B141" t="str">
            <v>Y7-87793+203948(2.8/4.5)_x000D_
(MCS11-SOND 910-G+PMIN(2.8)/PMAX(4.5)_x000D_
)</v>
          </cell>
          <cell r="C141" t="str">
            <v>EATON</v>
          </cell>
          <cell r="D141" t="str">
            <v>Eaton-Faiveley-Non E70</v>
          </cell>
        </row>
        <row r="142">
          <cell r="A142" t="str">
            <v>087793+203948(3.0/4.0) (Mcs11-SOND 910-G+Pmin(3.0)/Pmax(4.0))</v>
          </cell>
          <cell r="B142" t="str">
            <v>087793+203948(3.0/4.0)(Mcs11-SOND 910-G+Pmin(3.0)/Pmax(4.0))</v>
          </cell>
          <cell r="C142" t="str">
            <v>EATON</v>
          </cell>
          <cell r="D142" t="str">
            <v>Eaton-Faiveley-Non E70</v>
          </cell>
        </row>
        <row r="143">
          <cell r="A143" t="str">
            <v>Y7-87793+203948 (3.5/5.0) (MCS11-SOND 910-G+PMIN(3.5)/PMAX(5.0))</v>
          </cell>
          <cell r="B143" t="str">
            <v>Y7-87793+203948 (3.5/5.0)(MCS11-SOND 910-G+PMIN(3.5)/PMAX(5.0))</v>
          </cell>
          <cell r="C143" t="str">
            <v>EATON</v>
          </cell>
          <cell r="D143" t="str">
            <v>Eaton-Faiveley-Non E70</v>
          </cell>
        </row>
        <row r="144">
          <cell r="A144" t="str">
            <v xml:space="preserve">MCS11-SOND 910-G+PMIN(3.5)/PMAX(5.0)+S6 MCS (Y7-87793+203948 (3.5/5.0))_x000D_
</v>
          </cell>
          <cell r="B144" t="str">
            <v xml:space="preserve">MCS11-SOND 910-G+PMIN(3.5)/PMAX(5.0)+S6 MCS(Y7-87793+203948(3.5/5.0))_x000D_
</v>
          </cell>
          <cell r="C144" t="str">
            <v>EATON</v>
          </cell>
          <cell r="D144" t="str">
            <v>Eaton-Faiveley-Non E70</v>
          </cell>
        </row>
        <row r="145">
          <cell r="A145" t="str">
            <v>Y7-87793+203948+201855 (6.0/7.0) (MCS11-SOND 910-G+PMIN(6.0)/PMAX(7.0)+S6-MCS_x000D_
)</v>
          </cell>
          <cell r="B145" t="str">
            <v>Y7-87793+203948+201855 (6.0/7.0)(MCS11-SOND 910-G+PMIN(6.0)/PMAX(7.0)+S6-MCS_x000D_
)</v>
          </cell>
          <cell r="C145" t="str">
            <v>EATON</v>
          </cell>
          <cell r="D145" t="str">
            <v>Eaton-Faiveley-Non E70</v>
          </cell>
        </row>
        <row r="146">
          <cell r="A146" t="str">
            <v>Y7-87793+203948+201855 (6.5/7.0) (MCS11-SOND 910-G+PMIN(6.5)/PMAX(7.0)+S6-MCS)</v>
          </cell>
          <cell r="B146" t="str">
            <v>Y7-87793+203948+201855 (6.5/7.0)(MCS11-SOND 910-G+PMIN(6.5)/PMAX(7.0)+S6-MCS)</v>
          </cell>
          <cell r="C146" t="str">
            <v>EATON</v>
          </cell>
          <cell r="D146" t="str">
            <v>Eaton-Faiveley-Non E70</v>
          </cell>
        </row>
        <row r="147">
          <cell r="A147" t="str">
            <v>087793+203948+201855 (8/9.5) (MCS11-SOND 910-G+PMIN(8.0)/PMAX(9.5)+S6-MCS)</v>
          </cell>
          <cell r="B147" t="str">
            <v>087793+203948+201855 (8/9.5)(MCS11-SOND 910-G+PMIN(8.0)/PMAX(9.5)+S6-MCS)</v>
          </cell>
          <cell r="C147" t="str">
            <v>EATON</v>
          </cell>
          <cell r="D147" t="str">
            <v>Eaton-Faiveley-Non E70</v>
          </cell>
        </row>
        <row r="148">
          <cell r="A148" t="str">
            <v>Y7-058693 + 203948_x000D_
 (MCS4-G+PMIN(0.4)/Pmax(0.6))</v>
          </cell>
          <cell r="B148" t="str">
            <v>Y7-058693 + 203948_x000D_
(MCS4-G+PMIN(0.4)/Pmax(0.6))</v>
          </cell>
          <cell r="C148" t="str">
            <v>EATON</v>
          </cell>
          <cell r="D148" t="str">
            <v>Eaton-Faiveley-Non E70</v>
          </cell>
        </row>
        <row r="149">
          <cell r="A149" t="str">
            <v>058693+203948 N (MCS4-G+PMIN(0.5)/Pmax(0.9))</v>
          </cell>
          <cell r="B149" t="str">
            <v>058693+203948 N(MCS4-G+PMIN(0.5)/Pmax(0.9))</v>
          </cell>
          <cell r="C149" t="str">
            <v>EATON</v>
          </cell>
          <cell r="D149" t="str">
            <v>Eaton-Faiveley-Non E70</v>
          </cell>
        </row>
        <row r="150">
          <cell r="A150" t="str">
            <v>58693+203948 (MCS4-G+PMIN(0.9)/Pmax(1.3))</v>
          </cell>
          <cell r="B150" t="str">
            <v>58693+203948(MCS4-G+PMIN(0.9)/Pmax(1.3))</v>
          </cell>
          <cell r="C150" t="str">
            <v>EATON</v>
          </cell>
          <cell r="D150" t="str">
            <v>Eaton-Faiveley-Non E70</v>
          </cell>
        </row>
        <row r="151">
          <cell r="A151" t="str">
            <v>087792+203948 (0.4/0.6) (MCS4-SOND 910-G+PMIN(0.4)/PMAX(0.6))</v>
          </cell>
          <cell r="B151" t="str">
            <v>087792+203948 (0.4/0.6)(MCS4-SOND 910-G+PMIN(0.4)/PMAX(0.6))</v>
          </cell>
          <cell r="C151" t="str">
            <v>EATON</v>
          </cell>
          <cell r="D151" t="str">
            <v>Eaton-Faiveley-Non E70</v>
          </cell>
        </row>
        <row r="152">
          <cell r="A152" t="str">
            <v>087792+203948+201855(0.4/0.6)+S6MCS (MCS4-SOND 910-G+PMIN(0.4)/PMAX(0.6)+S6 MCS)</v>
          </cell>
          <cell r="B152" t="str">
            <v>087792+203948+201855(0.4/0.6)+S6MCS(MCS4-SOND 910-G+PMIN(0.4)/PMAX(0.6)+S6 MCS)</v>
          </cell>
          <cell r="C152" t="str">
            <v>EATON</v>
          </cell>
          <cell r="D152" t="str">
            <v>Eaton-Faiveley-Non E70</v>
          </cell>
        </row>
        <row r="153">
          <cell r="A153" t="str">
            <v>087792+203948+201855(0.4/1.0) (MCS4-SOND 910-G+PMIN(0.4)/PMAX(1.0)+S6 MCS)</v>
          </cell>
          <cell r="B153" t="str">
            <v>087792+203948+201855(0.4/1.0)(MCS4-SOND 910-G+PMIN(0.4)/PMAX(1.0)+S6 MCS)</v>
          </cell>
          <cell r="C153" t="str">
            <v>EATON</v>
          </cell>
          <cell r="D153" t="str">
            <v>Eaton-Faiveley-Non E70</v>
          </cell>
        </row>
        <row r="154">
          <cell r="A154" t="str">
            <v>058692+203948 (1.5/2.0) (MCS11-G+PMIN(1.5)/PMAX(2.0))</v>
          </cell>
          <cell r="B154" t="str">
            <v>058692+203948 (1.5/2.0)(MCS11-G+PMIN(1.5)/PMAX(2.0))</v>
          </cell>
          <cell r="C154" t="str">
            <v>EATON</v>
          </cell>
          <cell r="D154" t="str">
            <v>Eaton-Faiveley Others</v>
          </cell>
        </row>
        <row r="155">
          <cell r="A155" t="str">
            <v>Y7-58692+203948 (2.0/2.5) (MCS11-G+PMIN(2.0)/PMAX(2.5)_x000D_
)</v>
          </cell>
          <cell r="B155" t="str">
            <v>Y7-58692+203948 (2.0/2.5)(MCS11-G+PMIN(2.0)/PMAX(2.5)_x000D_
)</v>
          </cell>
          <cell r="C155" t="str">
            <v>EATON</v>
          </cell>
          <cell r="D155" t="str">
            <v>Eaton-Faiveley Others</v>
          </cell>
        </row>
        <row r="156">
          <cell r="A156" t="str">
            <v>88527+203948+201854 (0.2/0.7) (MCS11+PMIN(0.2)/PMAX(0.7)+S3-MCS_x000D_
)</v>
          </cell>
          <cell r="B156" t="str">
            <v>88527+203948+201854 (0.2/0.7)(MCS11+PMIN(0.2)/PMAX(0.7)+S3-MCS_x000D_
)</v>
          </cell>
          <cell r="C156" t="str">
            <v>EATON</v>
          </cell>
          <cell r="D156" t="str">
            <v>Eaton-Faiveley Others</v>
          </cell>
        </row>
        <row r="157">
          <cell r="A157" t="str">
            <v>88527 + 203948 (0.4/0.6) (MCS-11+PMIN(0.4)PMAX(0.6))</v>
          </cell>
          <cell r="B157" t="str">
            <v>88527 + 203948(0.4/0.6)(MCS-11+PMIN(0.4)PMAX(0.6))</v>
          </cell>
          <cell r="C157" t="str">
            <v>EATON</v>
          </cell>
          <cell r="D157" t="str">
            <v>Eaton-Faiveley Others</v>
          </cell>
        </row>
        <row r="158">
          <cell r="A158" t="str">
            <v>Y7-88527+203948(1.3/1.8)_x000D_
 (MCS11+PMIN(1.3)/Pmax(1.8))</v>
          </cell>
          <cell r="B158" t="str">
            <v>Y7-88527+203948(1.3/1.8)_x000D_
(MCS11+PMIN(1.3)/Pmax(1.8))</v>
          </cell>
          <cell r="C158" t="str">
            <v>EATON</v>
          </cell>
          <cell r="D158" t="str">
            <v>Eaton-Faiveley Others</v>
          </cell>
        </row>
        <row r="159">
          <cell r="A159" t="str">
            <v>88527+203948+201854(4.0/4.5) (MCS11+PMIN(4.0)/ PMAX(4.5)+S3-MCS_x000D_
)</v>
          </cell>
          <cell r="B159" t="str">
            <v>88527+203948+201854(4.0/4.5)(MCS11+PMIN(4.0)/ PMAX(4.5)+S3-MCS_x000D_
)</v>
          </cell>
          <cell r="C159" t="str">
            <v>EATON</v>
          </cell>
          <cell r="D159" t="str">
            <v>Eaton-Faiveley Others</v>
          </cell>
        </row>
        <row r="160">
          <cell r="A160" t="str">
            <v>Y7-88527 (4.0/5.0) (MCS11+PMIN(4.0)/PMAX(5.0)+S3-MCS)</v>
          </cell>
          <cell r="B160" t="str">
            <v>Y7-88527 (4.0/5.0)(MCS11+PMIN(4.0)/PMAX(5.0)+S3-MCS)</v>
          </cell>
          <cell r="C160" t="str">
            <v>EATON</v>
          </cell>
          <cell r="D160" t="str">
            <v>Eaton-Faiveley Others</v>
          </cell>
        </row>
        <row r="161">
          <cell r="A161" t="str">
            <v>Y7-88527+203948+201854(5.0/5.6)_x000D_
 (MCS11+PMIN(5.0)/PMAX(5.6)+S3-MCS)</v>
          </cell>
          <cell r="B161" t="str">
            <v>Y7-88527+203948+201854(5.0/5.6)_x000D_
(MCS11+PMIN(5.0)/PMAX(5.6)+S3-MCS)</v>
          </cell>
          <cell r="C161" t="str">
            <v>EATON</v>
          </cell>
          <cell r="D161" t="str">
            <v>Eaton-Faiveley Others</v>
          </cell>
        </row>
        <row r="162">
          <cell r="A162" t="str">
            <v>Y7-88527+203948+201854(5.3/7.5) (MCS11+Pmin(5.3)/Pmax(7.5)+S3MCS)</v>
          </cell>
          <cell r="B162" t="str">
            <v>Y7-88527+203948+201854(5.3/7.5)(MCS11+Pmin(5.3)/Pmax(7.5)+S3MCS)</v>
          </cell>
          <cell r="C162" t="str">
            <v>EATON</v>
          </cell>
          <cell r="D162" t="str">
            <v>Eaton-Faiveley Others</v>
          </cell>
        </row>
        <row r="163">
          <cell r="A163" t="str">
            <v>88527+203948+201854(5.6/6.4) (MCS11+Pmin(5.6)/Pmax(6.4)+S3-MCS)</v>
          </cell>
          <cell r="B163" t="str">
            <v>88527+203948+201854(5.6/6.4)(MCS11+Pmin(5.6)/Pmax(6.4)+S3-MCS)</v>
          </cell>
          <cell r="C163" t="str">
            <v>EATON</v>
          </cell>
          <cell r="D163" t="str">
            <v>Eaton-Faiveley Others</v>
          </cell>
        </row>
        <row r="164">
          <cell r="A164" t="str">
            <v>88527+203948+201854(6.5/7.0) (MCS11+PMIN(6.5)/ PMAX(7.0)+S3-MCS_x000D_
)</v>
          </cell>
          <cell r="B164" t="str">
            <v>88527+203948+201854(6.5/7.0)(MCS11+PMIN(6.5)/ PMAX(7.0)+S3-MCS_x000D_
)</v>
          </cell>
          <cell r="C164" t="str">
            <v>EATON</v>
          </cell>
          <cell r="D164" t="str">
            <v>Eaton-Faiveley Others</v>
          </cell>
        </row>
        <row r="165">
          <cell r="A165" t="str">
            <v>88527+203948+201854_x000D_
 (MCS11+PMIN(7.0)/PMAX(8.0)+S3-MCS_x000D_
)</v>
          </cell>
          <cell r="B165" t="str">
            <v>88527+203948+201854_x000D_
(MCS11+PMIN(7.0)/PMAX(8.0)+S3-MCS_x000D_
)</v>
          </cell>
          <cell r="C165" t="str">
            <v>EATON</v>
          </cell>
          <cell r="D165" t="str">
            <v>Eaton-Faiveley Others</v>
          </cell>
        </row>
        <row r="166">
          <cell r="A166" t="str">
            <v>88527+203948+201854 (8.0/10.0) (MCS11+PMIN(8.0)/PMAX(10.0)+S3-MCS_x000D_
)</v>
          </cell>
          <cell r="B166" t="str">
            <v>88527+203948+201854 (8.0/10.0)(MCS11+PMIN(8.0)/PMAX(10.0)+S3-MCS_x000D_
)</v>
          </cell>
          <cell r="C166" t="str">
            <v>EATON</v>
          </cell>
          <cell r="D166" t="str">
            <v>Eaton-Faiveley Others</v>
          </cell>
        </row>
        <row r="167">
          <cell r="A167" t="str">
            <v>Y7-87793+203948+201855 (3.5/5.0)_x000D_
 (MCS11-SOND 910-G+PMIN(3.5)/PMAX(5.0)+S6-MCS_x000D_
)</v>
          </cell>
          <cell r="B167" t="str">
            <v>Y7-87793+203948+201855 (3.5/5.0)_x000D_
(MCS11-SOND 910-G+PMIN(3.5)/PMAX(5.0)+S6-MCS_x000D_
)</v>
          </cell>
          <cell r="C167" t="str">
            <v>EATON</v>
          </cell>
          <cell r="D167" t="str">
            <v>Eaton-Faiveley Others</v>
          </cell>
        </row>
        <row r="168">
          <cell r="A168" t="str">
            <v>Y7-87793+203948+201855 (4.5/4.8)_x000D_
 (MCS11-SOND 910-G+PMIN(4.5)/PMAX(4.8)+S6-MCS_x000D_
)</v>
          </cell>
          <cell r="B168" t="str">
            <v>Y7-87793+203948+201855(4.5/4.8)_x000D_
(MCS11-SOND 910-G+PMIN(4.5)/PMAX(4.8)+S6-MCS_x000D_
)</v>
          </cell>
          <cell r="C168" t="str">
            <v>EATON</v>
          </cell>
          <cell r="D168" t="str">
            <v>Eaton-Faiveley Others</v>
          </cell>
        </row>
        <row r="169">
          <cell r="A169" t="str">
            <v>Y7-87793+203948(5.2/6.0) (MCS11-SOND 910-G+PMIN(5.2)/PMAX(6.0))</v>
          </cell>
          <cell r="B169" t="str">
            <v>Y7-87793+203948(5.2/6.0)(MCS11-SOND 910-G+PMIN(5.2)/PMAX(6.0))</v>
          </cell>
          <cell r="C169" t="str">
            <v>EATON</v>
          </cell>
          <cell r="D169" t="str">
            <v>Eaton-Faiveley Others</v>
          </cell>
        </row>
        <row r="170">
          <cell r="A170" t="str">
            <v>88527 MCS (MCS 11 Switch)</v>
          </cell>
          <cell r="B170" t="str">
            <v>88527 MCS(MCS 11 Switch)</v>
          </cell>
          <cell r="C170" t="str">
            <v>EATON</v>
          </cell>
          <cell r="D170" t="str">
            <v>Eaton-Faiveley Others</v>
          </cell>
        </row>
        <row r="171">
          <cell r="A171" t="str">
            <v>87792+203948 (MCS4-SOND 910-G+PMIN(0.4)/PMAX(1.3))</v>
          </cell>
          <cell r="B171" t="str">
            <v>87792+203948(MCS4-SOND 910-G+PMIN(0.4)/PMAX(1.3))</v>
          </cell>
          <cell r="C171" t="str">
            <v>EATON</v>
          </cell>
          <cell r="D171" t="str">
            <v>Eaton-Faiveley Others</v>
          </cell>
        </row>
        <row r="172">
          <cell r="A172" t="str">
            <v>087792+203948 (0.4/1.9) (MCS4-SOND910-G+PMIN(0.4)/PMAX(1.9))</v>
          </cell>
          <cell r="B172" t="str">
            <v>087792+203948(0.4/1.9)(MCS4-SOND910-G+PMIN(0.4)/PMAX(1.9))</v>
          </cell>
          <cell r="C172" t="str">
            <v>EATON</v>
          </cell>
          <cell r="D172" t="str">
            <v>Eaton-Faiveley Others</v>
          </cell>
        </row>
        <row r="173">
          <cell r="A173" t="str">
            <v>087792+203948(2.8/3.5) (MCS4-SOND 910-G+PMIN(2.8)/PMAX(3.5))</v>
          </cell>
          <cell r="B173" t="str">
            <v>087792+203948(2.8/3.5)(MCS4-SOND 910-G+PMIN(2.8)/PMAX(3.5))</v>
          </cell>
          <cell r="C173" t="str">
            <v>EATON</v>
          </cell>
          <cell r="D173" t="str">
            <v>Eaton-Faiveley Others</v>
          </cell>
        </row>
        <row r="174">
          <cell r="A174" t="str">
            <v>Calibration Charges (Switches Calibration Charges)</v>
          </cell>
          <cell r="B174" t="str">
            <v>Calibration Charges(Switches Calibration Charges)</v>
          </cell>
          <cell r="C174" t="str">
            <v>EATON</v>
          </cell>
          <cell r="D174" t="str">
            <v>Eaton-Faiveley Others</v>
          </cell>
        </row>
        <row r="175">
          <cell r="A175" t="str">
            <v>88527 + 203948 (1.4/1.7) (MCS-11+PMIN(1.4)/Pmax(1.7))</v>
          </cell>
          <cell r="B175" t="str">
            <v>88527 + 203948 (1.4/1.7)(MCS-11+PMIN(1.4)/Pmax(1.7))</v>
          </cell>
          <cell r="C175" t="str">
            <v>EATON</v>
          </cell>
          <cell r="D175" t="str">
            <v>Eaton-Faiveley-(R)</v>
          </cell>
        </row>
        <row r="176">
          <cell r="A176" t="str">
            <v>276399_x000D_
 (_x000D_
DILA-22(230V50HZ,240V60HZ))</v>
          </cell>
          <cell r="B176" t="str">
            <v>276399_x000D_
(_x000D_
DILA-22(230V50HZ,240V60HZ))</v>
          </cell>
          <cell r="C176" t="str">
            <v>EATON</v>
          </cell>
          <cell r="D176" t="str">
            <v>Eaton-Non Moving Stock</v>
          </cell>
        </row>
        <row r="177">
          <cell r="A177" t="str">
            <v>278867 ("FAZ-C6/3_x000D_
278867"_x000D_
)</v>
          </cell>
          <cell r="B177" t="str">
            <v>278867("FAZ-C6/3_x000D_
278867"_x000D_
)</v>
          </cell>
          <cell r="C177" t="str">
            <v>EATON</v>
          </cell>
          <cell r="D177" t="str">
            <v>Eaton-Non Moving Stock</v>
          </cell>
        </row>
        <row r="178">
          <cell r="A178" t="str">
            <v>10240.0 (02DILE)</v>
          </cell>
          <cell r="B178" t="str">
            <v>10240.0(02DILE)</v>
          </cell>
          <cell r="C178" t="str">
            <v>EATON</v>
          </cell>
          <cell r="D178" t="str">
            <v>Eaton-Non Moving Stock</v>
          </cell>
        </row>
        <row r="179">
          <cell r="A179" t="str">
            <v>AAO10-BI (10 A 550V AC BS88 Fuse)</v>
          </cell>
          <cell r="B179" t="str">
            <v>AAO10-BI(10 A 550V AC BS88 Fuse)</v>
          </cell>
          <cell r="C179" t="str">
            <v>EATON</v>
          </cell>
          <cell r="D179" t="str">
            <v>Eaton-Non Moving Stock</v>
          </cell>
        </row>
        <row r="180">
          <cell r="A180" t="str">
            <v>274748 (10KA 2P C 2A)</v>
          </cell>
          <cell r="B180" t="str">
            <v>274748(10KA 2P C 2A)</v>
          </cell>
          <cell r="C180" t="str">
            <v>EATON</v>
          </cell>
          <cell r="D180" t="str">
            <v>Eaton-Non Moving Stock</v>
          </cell>
        </row>
        <row r="181">
          <cell r="A181" t="str">
            <v>11111111111111 (11111111)</v>
          </cell>
          <cell r="B181" t="str">
            <v>11111111111111(11111111)</v>
          </cell>
          <cell r="C181" t="str">
            <v>EATON</v>
          </cell>
          <cell r="D181" t="str">
            <v>Eaton-Non Moving Stock</v>
          </cell>
        </row>
        <row r="182">
          <cell r="A182" t="str">
            <v>111111111111 (1111111111)</v>
          </cell>
          <cell r="B182" t="str">
            <v>111111111111(1111111111)</v>
          </cell>
          <cell r="C182" t="str">
            <v>EATON</v>
          </cell>
          <cell r="D182" t="str">
            <v>Eaton-Non Moving Stock</v>
          </cell>
        </row>
        <row r="183">
          <cell r="A183" t="str">
            <v>10080.0 (11DILEM)</v>
          </cell>
          <cell r="B183" t="str">
            <v>10080.0(11DILEM)</v>
          </cell>
          <cell r="C183" t="str">
            <v>EATON</v>
          </cell>
          <cell r="D183" t="str">
            <v>Eaton-Non Moving Stock</v>
          </cell>
        </row>
        <row r="184">
          <cell r="A184" t="str">
            <v>111080 (120sqmm x 4 Core Armd Alum.Indl Cable 1.1KVGR)</v>
          </cell>
          <cell r="B184" t="str">
            <v>111080(120sqmm x 4 Core Armd Alum.Indl Cable 1.1KVGR)</v>
          </cell>
          <cell r="C184" t="str">
            <v>EATON</v>
          </cell>
          <cell r="D184" t="str">
            <v>Eaton-Non Moving Stock</v>
          </cell>
        </row>
        <row r="185">
          <cell r="A185" t="str">
            <v>12BDGHC16S-BI (12KV 16AMP AIR FUSE SHORT TAG)</v>
          </cell>
          <cell r="B185" t="str">
            <v>12BDGHC16S-BI(12KV 16AMP AIR FUSE SHORT TAG)</v>
          </cell>
          <cell r="C185" t="str">
            <v>EATON</v>
          </cell>
          <cell r="D185" t="str">
            <v>Eaton-Non Moving Stock</v>
          </cell>
        </row>
        <row r="186">
          <cell r="A186" t="str">
            <v>12BDGHC31-5-BI (12KV 31.5Amp 2 Air Fuse)</v>
          </cell>
          <cell r="B186" t="str">
            <v>12BDGHC31-5-BI(12KV 31.5Amp 2 Air Fuse)</v>
          </cell>
          <cell r="C186" t="str">
            <v>EATON</v>
          </cell>
          <cell r="D186" t="str">
            <v>Eaton-Non Moving Stock</v>
          </cell>
        </row>
        <row r="187">
          <cell r="A187" t="str">
            <v>PV-15A10F (15AMP 1000V DC SOLAR FERRULE 10 X 38MM)</v>
          </cell>
          <cell r="B187" t="str">
            <v>PV-15A10F(15AMP 1000V DC SOLAR FERRULE 10 X 38MM)</v>
          </cell>
          <cell r="C187" t="str">
            <v>EATON</v>
          </cell>
          <cell r="D187" t="str">
            <v>Eaton-Non Moving Stock</v>
          </cell>
        </row>
        <row r="188">
          <cell r="A188" t="str">
            <v>AAO16-BI (16 A 550V Indrl TIA 16 Fuse)</v>
          </cell>
          <cell r="B188" t="str">
            <v>AAO16-BI(16 A 550V Indrl TIA 16 Fuse)</v>
          </cell>
          <cell r="C188" t="str">
            <v>EATON</v>
          </cell>
          <cell r="D188" t="str">
            <v>Eaton-Non Moving Stock</v>
          </cell>
        </row>
        <row r="189">
          <cell r="A189" t="str">
            <v>9PX10001RT2U (1 KVA Rack Mount UPS 9PX10001RT2U)</v>
          </cell>
          <cell r="B189" t="str">
            <v>9PX10001RT2U(1 KVA Rack Mount UPS 9PX10001RT2U)</v>
          </cell>
          <cell r="C189" t="str">
            <v>EATON</v>
          </cell>
          <cell r="D189" t="str">
            <v>Eaton-Non Moving Stock</v>
          </cell>
        </row>
        <row r="190">
          <cell r="A190" t="str">
            <v>9PX15001RT2U (1 KVA Rack Mount UPS 9PX15001RT2U)</v>
          </cell>
          <cell r="B190" t="str">
            <v>9PX15001RT2U(1 KVA Rack Mount UPS 9PX15001RT2U)</v>
          </cell>
          <cell r="C190" t="str">
            <v>EATON</v>
          </cell>
          <cell r="D190" t="str">
            <v>Eaton-Non Moving Stock</v>
          </cell>
        </row>
        <row r="191">
          <cell r="A191" t="str">
            <v>y7-010208 (20DILE)</v>
          </cell>
          <cell r="B191" t="str">
            <v>y7-010208(20DILE)</v>
          </cell>
          <cell r="C191" t="str">
            <v>EATON</v>
          </cell>
          <cell r="D191" t="str">
            <v>Eaton-Non Moving Stock</v>
          </cell>
        </row>
        <row r="192">
          <cell r="A192" t="str">
            <v>Y7-10288 (22DILE)</v>
          </cell>
          <cell r="B192" t="str">
            <v>Y7-10288(22DILE)</v>
          </cell>
          <cell r="C192" t="str">
            <v>EATON</v>
          </cell>
          <cell r="D192" t="str">
            <v>Eaton-Non Moving Stock</v>
          </cell>
        </row>
        <row r="193">
          <cell r="A193" t="str">
            <v>22253 (31 DIL M)</v>
          </cell>
          <cell r="B193" t="str">
            <v>22253(31 DIL M)</v>
          </cell>
          <cell r="C193" t="str">
            <v>EATON</v>
          </cell>
          <cell r="D193" t="str">
            <v>Eaton-Non Moving Stock</v>
          </cell>
        </row>
        <row r="194">
          <cell r="A194" t="str">
            <v>TIA32 (32A 660V 80KA CLIP ON FUSE LINK)</v>
          </cell>
          <cell r="B194" t="str">
            <v>TIA32(32A 660V 80KA CLIP ON FUSE LINK)</v>
          </cell>
          <cell r="C194" t="str">
            <v>EATON</v>
          </cell>
          <cell r="D194" t="str">
            <v>Eaton-Non Moving Stock</v>
          </cell>
        </row>
        <row r="195">
          <cell r="A195" t="str">
            <v>36ABQNA3-15-BI_x000D_
 (36KV 3.15AMP FUSE_x000D_
)</v>
          </cell>
          <cell r="B195" t="str">
            <v>36ABQNA3-15-BI_x000D_
(36KV 3.15AMP FUSE_x000D_
)</v>
          </cell>
          <cell r="C195" t="str">
            <v>EATON</v>
          </cell>
          <cell r="D195" t="str">
            <v>Eaton-Non Moving Stock</v>
          </cell>
        </row>
        <row r="196">
          <cell r="A196" t="str">
            <v>CHCC3DIU-BT (3P 10X38 MFH 30A 600V Class CC-Indicator)</v>
          </cell>
          <cell r="B196" t="str">
            <v>CHCC3DIU-BT(3P 10X38 MFH 30A 600V Class CC-Indicator)</v>
          </cell>
          <cell r="C196" t="str">
            <v>EATON</v>
          </cell>
          <cell r="D196" t="str">
            <v>Eaton-Non Moving Stock</v>
          </cell>
        </row>
        <row r="197">
          <cell r="A197" t="str">
            <v>CHM3DU (3Pole 30A 600V MFH For 10X38 Midget fuse)</v>
          </cell>
          <cell r="B197" t="str">
            <v>CHM3DU(3Pole 30A 600V MFH For 10X38 Midget fuse)</v>
          </cell>
          <cell r="C197" t="str">
            <v>EATON</v>
          </cell>
          <cell r="D197" t="str">
            <v>Eaton-Non Moving Stock</v>
          </cell>
        </row>
        <row r="198">
          <cell r="A198" t="str">
            <v>PV-4A10F (4AMP 1000V DC SOLAR FERRULE 10 X 38MM)</v>
          </cell>
          <cell r="B198" t="str">
            <v>PV-4A10F(4AMP 1000V DC SOLAR FERRULE 10 X 38MM)</v>
          </cell>
          <cell r="C198" t="str">
            <v>EATON</v>
          </cell>
          <cell r="D198" t="str">
            <v>Eaton-Non Moving Stock</v>
          </cell>
        </row>
        <row r="199">
          <cell r="A199" t="str">
            <v>C5000K4D (5000 VA Type MTK Control Transformer)</v>
          </cell>
          <cell r="B199" t="str">
            <v>C5000K4D(5000 VA Type MTK Control Transformer)</v>
          </cell>
          <cell r="C199" t="str">
            <v>EATON</v>
          </cell>
          <cell r="D199" t="str">
            <v>Eaton-Non Moving Stock</v>
          </cell>
        </row>
        <row r="200">
          <cell r="A200" t="str">
            <v>500NHG3B-BI_x000D_
_x000D_
 (500A, NHG3 , 500VAC)</v>
          </cell>
          <cell r="B200" t="str">
            <v>500NHG3B-BI_x000D_
_x000D_
(500A, NHG3 , 500VAC)</v>
          </cell>
          <cell r="C200" t="str">
            <v>EATON</v>
          </cell>
          <cell r="D200" t="str">
            <v>Eaton-Non Moving Stock</v>
          </cell>
        </row>
        <row r="201">
          <cell r="A201" t="str">
            <v>CH60J3I-BT (60AJ INDICATOR FUSEHOLDER 3 POLE)</v>
          </cell>
          <cell r="B201" t="str">
            <v>CH60J3I-BT(60AJ INDICATOR FUSEHOLDER 3 POLE)</v>
          </cell>
          <cell r="C201" t="str">
            <v>EATON</v>
          </cell>
          <cell r="D201" t="str">
            <v>Eaton-Non Moving Stock</v>
          </cell>
        </row>
        <row r="202">
          <cell r="A202" t="str">
            <v>630NHG3B-BI_x000D_
_x000D_
 (630A,NHG3,500VAC)</v>
          </cell>
          <cell r="B202" t="str">
            <v>630NHG3B-BI_x000D_
_x000D_
(630A,NHG3,500VAC)</v>
          </cell>
          <cell r="C202" t="str">
            <v>EATON</v>
          </cell>
          <cell r="D202" t="str">
            <v>Eaton-Non Moving Stock</v>
          </cell>
        </row>
        <row r="203">
          <cell r="A203" t="str">
            <v>AAO6-BI (6A 550V AC BS88 Fuse)</v>
          </cell>
          <cell r="B203" t="str">
            <v>AAO6-BI(6A 550V AC BS88 Fuse)</v>
          </cell>
          <cell r="C203" t="str">
            <v>EATON</v>
          </cell>
          <cell r="D203" t="str">
            <v>Eaton-Non Moving Stock</v>
          </cell>
        </row>
        <row r="204">
          <cell r="A204" t="str">
            <v>C0750E2AFB (750 VA TYPE MTE CONTROL TRANSFORMER_x000D_
)</v>
          </cell>
          <cell r="B204" t="str">
            <v>C0750E2AFB(750 VA TYPE MTE CONTROL TRANSFORMER_x000D_
)</v>
          </cell>
          <cell r="C204" t="str">
            <v>EATON</v>
          </cell>
          <cell r="D204" t="str">
            <v>Eaton-Non Moving Stock</v>
          </cell>
        </row>
        <row r="205">
          <cell r="A205" t="str">
            <v>254467 (A22-02T_x000D_
)</v>
          </cell>
          <cell r="B205" t="str">
            <v>254467(A22-02T_x000D_
)</v>
          </cell>
          <cell r="C205" t="str">
            <v>EATON</v>
          </cell>
          <cell r="D205" t="str">
            <v>Eaton-Non Moving Stock</v>
          </cell>
        </row>
        <row r="206">
          <cell r="A206" t="str">
            <v>Y7-254498 (A22-1AK-299_x000D_
)</v>
          </cell>
          <cell r="B206" t="str">
            <v>Y7-254498(A22-1AK-299_x000D_
)</v>
          </cell>
          <cell r="C206" t="str">
            <v>EATON</v>
          </cell>
          <cell r="D206" t="str">
            <v>Eaton-Non Moving Stock</v>
          </cell>
        </row>
        <row r="207">
          <cell r="A207" t="str">
            <v>Y7-254461 (A22-BE3C)</v>
          </cell>
          <cell r="B207" t="str">
            <v>Y7-254461(A22-BE3C)</v>
          </cell>
          <cell r="C207" t="str">
            <v>EATON</v>
          </cell>
          <cell r="D207" t="str">
            <v>Eaton-Non Moving Stock</v>
          </cell>
        </row>
        <row r="208">
          <cell r="A208" t="str">
            <v>Y7-254453 (A22-BE6)</v>
          </cell>
          <cell r="B208" t="str">
            <v>Y7-254453(A22-BE6)</v>
          </cell>
          <cell r="C208" t="str">
            <v>EATON</v>
          </cell>
          <cell r="D208" t="str">
            <v>Eaton-Non Moving Stock</v>
          </cell>
        </row>
        <row r="209">
          <cell r="A209" t="str">
            <v>Y7-254458 (A22-EC02_x000D_
)</v>
          </cell>
          <cell r="B209" t="str">
            <v>Y7-254458(A22-EC02_x000D_
)</v>
          </cell>
          <cell r="C209" t="str">
            <v>EATON</v>
          </cell>
          <cell r="D209" t="str">
            <v>Eaton-Non Moving Stock</v>
          </cell>
        </row>
        <row r="210">
          <cell r="A210" t="str">
            <v>Y7-254456 (A22-EC11_x000D_
)</v>
          </cell>
          <cell r="B210" t="str">
            <v>Y7-254456(A22-EC11_x000D_
)</v>
          </cell>
          <cell r="C210" t="str">
            <v>EATON</v>
          </cell>
          <cell r="D210" t="str">
            <v>Eaton-Non Moving Stock</v>
          </cell>
        </row>
        <row r="211">
          <cell r="A211" t="str">
            <v>Y7-254457 (A22-EC20_x000D_
)</v>
          </cell>
          <cell r="B211" t="str">
            <v>Y7-254457(A22-EC20_x000D_
)</v>
          </cell>
          <cell r="C211" t="str">
            <v>EATON</v>
          </cell>
          <cell r="D211" t="str">
            <v>Eaton-Non Moving Stock</v>
          </cell>
        </row>
        <row r="212">
          <cell r="A212" t="str">
            <v>Y7-254455 (A22-EK01)</v>
          </cell>
          <cell r="B212" t="str">
            <v>Y7-254455(A22-EK01)</v>
          </cell>
          <cell r="C212" t="str">
            <v>EATON</v>
          </cell>
          <cell r="D212" t="str">
            <v>Eaton-Non Moving Stock</v>
          </cell>
        </row>
        <row r="213">
          <cell r="A213" t="str">
            <v>Y7-254454 (A22-EK10)</v>
          </cell>
          <cell r="B213" t="str">
            <v>Y7-254454(A22-EK10)</v>
          </cell>
          <cell r="C213" t="str">
            <v>EATON</v>
          </cell>
          <cell r="D213" t="str">
            <v>Eaton-Non Moving Stock</v>
          </cell>
        </row>
        <row r="214">
          <cell r="A214" t="str">
            <v>1433001010226 (A22-E·STOP HEADER)</v>
          </cell>
          <cell r="B214" t="str">
            <v>1433001010226(A22-E·STOP HEADER)</v>
          </cell>
          <cell r="C214" t="str">
            <v>EATON</v>
          </cell>
          <cell r="D214" t="str">
            <v>Eaton-Non Moving Stock</v>
          </cell>
        </row>
        <row r="215">
          <cell r="A215" t="str">
            <v>Y7-261361 (A22-GL130)</v>
          </cell>
          <cell r="B215" t="str">
            <v>Y7-261361(A22-GL130)</v>
          </cell>
          <cell r="C215" t="str">
            <v>EATON</v>
          </cell>
          <cell r="D215" t="str">
            <v>Eaton-Non Moving Stock</v>
          </cell>
        </row>
        <row r="216">
          <cell r="A216" t="str">
            <v>254502 (A22-I3M)</v>
          </cell>
          <cell r="B216" t="str">
            <v>254502(A22-I3M)</v>
          </cell>
          <cell r="C216" t="str">
            <v>EATON</v>
          </cell>
          <cell r="D216" t="str">
            <v>Eaton-Non Moving Stock</v>
          </cell>
        </row>
        <row r="217">
          <cell r="A217" t="str">
            <v>254499 (A22-IGE1M)</v>
          </cell>
          <cell r="B217" t="str">
            <v>254499(A22-IGE1M)</v>
          </cell>
          <cell r="C217" t="str">
            <v>EATON</v>
          </cell>
          <cell r="D217" t="str">
            <v>Eaton-Non Moving Stock</v>
          </cell>
        </row>
        <row r="218">
          <cell r="A218" t="str">
            <v>Y7-116037 (A22-LCLED220-B_x000D_
)</v>
          </cell>
          <cell r="B218" t="str">
            <v>Y7-116037(A22-LCLED220-B_x000D_
)</v>
          </cell>
          <cell r="C218" t="str">
            <v>EATON</v>
          </cell>
          <cell r="D218" t="str">
            <v>Eaton-Non Moving Stock</v>
          </cell>
        </row>
        <row r="219">
          <cell r="A219" t="str">
            <v>116038 (A22-LCLED220-G)</v>
          </cell>
          <cell r="B219" t="str">
            <v>116038(A22-LCLED220-G)</v>
          </cell>
          <cell r="C219" t="str">
            <v>EATON</v>
          </cell>
          <cell r="D219" t="str">
            <v>Eaton-Non Moving Stock</v>
          </cell>
        </row>
        <row r="220">
          <cell r="A220" t="str">
            <v>Y7-116039 (A22-LCLED220-R_x000D_
)</v>
          </cell>
          <cell r="B220" t="str">
            <v>Y7-116039(A22-LCLED220-R_x000D_
)</v>
          </cell>
          <cell r="C220" t="str">
            <v>EATON</v>
          </cell>
          <cell r="D220" t="str">
            <v>Eaton-Non Moving Stock</v>
          </cell>
        </row>
        <row r="221">
          <cell r="A221" t="str">
            <v>Y7-116041 (A22-LCLED220-Y_x000D_
)</v>
          </cell>
          <cell r="B221" t="str">
            <v>Y7-116041(A22-LCLED220-Y_x000D_
)</v>
          </cell>
          <cell r="C221" t="str">
            <v>EATON</v>
          </cell>
          <cell r="D221" t="str">
            <v>Eaton-Non Moving Stock</v>
          </cell>
        </row>
        <row r="222">
          <cell r="A222" t="str">
            <v>Y7-261363 (A22-LED-G_x000D_
)</v>
          </cell>
          <cell r="B222" t="str">
            <v>Y7-261363(A22-LED-G_x000D_
)</v>
          </cell>
          <cell r="C222" t="str">
            <v>EATON</v>
          </cell>
          <cell r="D222" t="str">
            <v>Eaton-Non Moving Stock</v>
          </cell>
        </row>
        <row r="223">
          <cell r="A223" t="str">
            <v>Y7-261364 (A22-LED-R_x000D_
)</v>
          </cell>
          <cell r="B223" t="str">
            <v>Y7-261364(A22-LED-R_x000D_
)</v>
          </cell>
          <cell r="C223" t="str">
            <v>EATON</v>
          </cell>
          <cell r="D223" t="str">
            <v>Eaton-Non Moving Stock</v>
          </cell>
        </row>
        <row r="224">
          <cell r="A224" t="str">
            <v>92406700000028 (A22-RD-03)</v>
          </cell>
          <cell r="B224" t="str">
            <v>92406700000028(A22-RD-03)</v>
          </cell>
          <cell r="C224" t="str">
            <v>EATON</v>
          </cell>
          <cell r="D224" t="str">
            <v>Eaton-Non Moving Stock</v>
          </cell>
        </row>
        <row r="225">
          <cell r="A225" t="str">
            <v>9000060600052 (A22-RD-03/K11)</v>
          </cell>
          <cell r="B225" t="str">
            <v>9000060600052(A22-RD-03/K11)</v>
          </cell>
          <cell r="C225" t="str">
            <v>EATON</v>
          </cell>
          <cell r="D225" t="str">
            <v>Eaton-Non Moving Stock</v>
          </cell>
        </row>
        <row r="226">
          <cell r="A226" t="str">
            <v>Y7-92406700000029 (A22-RD-04)</v>
          </cell>
          <cell r="B226" t="str">
            <v>Y7-92406700000029(A22-RD-04)</v>
          </cell>
          <cell r="C226" t="str">
            <v>EATON</v>
          </cell>
          <cell r="D226" t="str">
            <v>Eaton-Non Moving Stock</v>
          </cell>
        </row>
        <row r="227">
          <cell r="A227" t="str">
            <v>9000060600053 (A22-RD-04/K11)</v>
          </cell>
          <cell r="B227" t="str">
            <v>9000060600053(A22-RD-04/K11)</v>
          </cell>
          <cell r="C227" t="str">
            <v>EATON</v>
          </cell>
          <cell r="D227" t="str">
            <v>Eaton-Non Moving Stock</v>
          </cell>
        </row>
        <row r="228">
          <cell r="A228" t="str">
            <v>Y7-254421 (A22-RD-10_x000D_
)</v>
          </cell>
          <cell r="B228" t="str">
            <v>Y7-254421(A22-RD-10_x000D_
)</v>
          </cell>
          <cell r="C228" t="str">
            <v>EATON</v>
          </cell>
          <cell r="D228" t="str">
            <v>Eaton-Non Moving Stock</v>
          </cell>
        </row>
        <row r="229">
          <cell r="A229" t="str">
            <v>Y7-254420 (A22-RD-11_x000D_
)</v>
          </cell>
          <cell r="B229" t="str">
            <v>Y7-254420(A22-RD-11_x000D_
)</v>
          </cell>
          <cell r="C229" t="str">
            <v>EATON</v>
          </cell>
          <cell r="D229" t="str">
            <v>Eaton-Non Moving Stock</v>
          </cell>
        </row>
        <row r="230">
          <cell r="A230" t="str">
            <v>Y7-254405 (A22-RD-11/K11)</v>
          </cell>
          <cell r="B230" t="str">
            <v>Y7-254405(A22-RD-11/K11)</v>
          </cell>
          <cell r="C230" t="str">
            <v>EATON</v>
          </cell>
          <cell r="D230" t="str">
            <v>Eaton-Non Moving Stock</v>
          </cell>
        </row>
        <row r="231">
          <cell r="A231" t="str">
            <v>Y7-254422 (A22-RD-X_x000D_
)</v>
          </cell>
          <cell r="B231" t="str">
            <v>Y7-254422(A22-RD-X_x000D_
)</v>
          </cell>
          <cell r="C231" t="str">
            <v>EATON</v>
          </cell>
          <cell r="D231" t="str">
            <v>Eaton-Non Moving Stock</v>
          </cell>
        </row>
        <row r="232">
          <cell r="A232" t="str">
            <v>Y7-254427 (A22-RPV_x000D_
)</v>
          </cell>
          <cell r="B232" t="str">
            <v>Y7-254427(A22-RPV_x000D_
)</v>
          </cell>
          <cell r="C232" t="str">
            <v>EATON</v>
          </cell>
          <cell r="D232" t="str">
            <v>Eaton-Non Moving Stock</v>
          </cell>
        </row>
        <row r="233">
          <cell r="A233" t="str">
            <v>9000060600050-2 (A22-RWK1R/K11)</v>
          </cell>
          <cell r="B233" t="str">
            <v>9000060600050-2(A22-RWK1R/K11)</v>
          </cell>
          <cell r="C233" t="str">
            <v>EATON</v>
          </cell>
          <cell r="D233" t="str">
            <v>Eaton-Non Moving Stock</v>
          </cell>
        </row>
        <row r="234">
          <cell r="A234" t="str">
            <v>Y7-261369 (A22-RWK1V)</v>
          </cell>
          <cell r="B234" t="str">
            <v>Y7-261369(A22-RWK1V)</v>
          </cell>
          <cell r="C234" t="str">
            <v>EATON</v>
          </cell>
          <cell r="D234" t="str">
            <v>Eaton-Non Moving Stock</v>
          </cell>
        </row>
        <row r="235">
          <cell r="A235" t="str">
            <v>Y7-72899 (AGM2-01-PKZ0)</v>
          </cell>
          <cell r="B235" t="str">
            <v>Y7-72899(AGM2-01-PKZ0)</v>
          </cell>
          <cell r="C235" t="str">
            <v>EATON</v>
          </cell>
          <cell r="D235" t="str">
            <v>Eaton-Non Moving Stock</v>
          </cell>
        </row>
        <row r="236">
          <cell r="A236" t="str">
            <v>Y7-30851 (AK-PKZ0)</v>
          </cell>
          <cell r="B236" t="str">
            <v>Y7-30851(AK-PKZ0)</v>
          </cell>
          <cell r="C236" t="str">
            <v>EATON</v>
          </cell>
          <cell r="D236" t="str">
            <v>Eaton-Non Moving Stock</v>
          </cell>
        </row>
        <row r="237">
          <cell r="A237" t="str">
            <v>73187 (A-PKZ0(230V50HZ))</v>
          </cell>
          <cell r="B237" t="str">
            <v>73187(A-PKZ0(230V50HZ))</v>
          </cell>
          <cell r="C237" t="str">
            <v>EATON</v>
          </cell>
          <cell r="D237" t="str">
            <v>Eaton-Non Moving Stock</v>
          </cell>
        </row>
        <row r="238">
          <cell r="A238" t="str">
            <v>73200_x000D_
 (A-PKZ0(24VDC)_x000D_
)</v>
          </cell>
          <cell r="B238" t="str">
            <v>73200_x000D_
(A-PKZ0(24VDC)_x000D_
)</v>
          </cell>
          <cell r="C238" t="str">
            <v>EATON</v>
          </cell>
          <cell r="D238" t="str">
            <v>Eaton-Non Moving Stock</v>
          </cell>
        </row>
        <row r="239">
          <cell r="A239" t="str">
            <v>Y7-232289_x000D_
 (B3.0/3-PKZ0_x000D_
)</v>
          </cell>
          <cell r="B239" t="str">
            <v>Y7-232289_x000D_
(B3.0/3-PKZ0_x000D_
)</v>
          </cell>
          <cell r="C239" t="str">
            <v>EATON</v>
          </cell>
          <cell r="D239" t="str">
            <v>Eaton-Non Moving Stock</v>
          </cell>
        </row>
        <row r="240">
          <cell r="A240" t="str">
            <v>63960 (B3.0/4-PKZ0)</v>
          </cell>
          <cell r="B240" t="str">
            <v>63960(B3.0/4-PKZ0)</v>
          </cell>
          <cell r="C240" t="str">
            <v>EATON</v>
          </cell>
          <cell r="D240" t="str">
            <v>Eaton-Non Moving Stock</v>
          </cell>
        </row>
        <row r="241">
          <cell r="A241" t="str">
            <v>232290 (B3.0/5-PKZ0)</v>
          </cell>
          <cell r="B241" t="str">
            <v>232290(B3.0/5-PKZ0)</v>
          </cell>
          <cell r="C241" t="str">
            <v>EATON</v>
          </cell>
          <cell r="D241" t="str">
            <v>Eaton-Non Moving Stock</v>
          </cell>
        </row>
        <row r="242">
          <cell r="A242" t="str">
            <v>44947 (B3.1/4-PKZ0)</v>
          </cell>
          <cell r="B242" t="str">
            <v>44947(B3.1/4-PKZ0)</v>
          </cell>
          <cell r="C242" t="str">
            <v>EATON</v>
          </cell>
          <cell r="D242" t="str">
            <v>Eaton-Non Moving Stock</v>
          </cell>
        </row>
        <row r="243">
          <cell r="A243" t="str">
            <v>BAB3030HT (BAB3030H W/ BINDING HEAD LOAD)</v>
          </cell>
          <cell r="B243" t="str">
            <v>BAB3030HT(BAB3030H W/ BINDING HEAD LOAD)</v>
          </cell>
          <cell r="C243" t="str">
            <v>EATON</v>
          </cell>
          <cell r="D243" t="str">
            <v>Eaton-Non Moving Stock</v>
          </cell>
        </row>
        <row r="244">
          <cell r="A244" t="str">
            <v>BAB2010HT (BAB BREAKER 2P 10A MAX 240V MAX 10K AIC)</v>
          </cell>
          <cell r="B244" t="str">
            <v>BAB2010HT(BAB BREAKER 2P 10A MAX 240V MAX 10K AIC)</v>
          </cell>
          <cell r="C244" t="str">
            <v>EATON</v>
          </cell>
          <cell r="D244" t="str">
            <v>Eaton-Non Moving Stock</v>
          </cell>
        </row>
        <row r="245">
          <cell r="A245" t="str">
            <v>BAB2080HT (BAB Circuit Bkr 240VAC 10kAIC)</v>
          </cell>
          <cell r="B245" t="str">
            <v>BAB2080HT(BAB Circuit Bkr 240VAC 10kAIC)</v>
          </cell>
          <cell r="C245" t="str">
            <v>EATON</v>
          </cell>
          <cell r="D245" t="str">
            <v>Eaton-Non Moving Stock</v>
          </cell>
        </row>
        <row r="246">
          <cell r="A246" t="str">
            <v>BAB2015HT (BAB CIRCUIT BKR 240VAC 10KAIC W/RING LUG)</v>
          </cell>
          <cell r="B246" t="str">
            <v>BAB2015HT(BAB CIRCUIT BKR 240VAC 10KAIC W/RING LUG)</v>
          </cell>
          <cell r="C246" t="str">
            <v>EATON</v>
          </cell>
          <cell r="D246" t="str">
            <v>Eaton-Non Moving Stock</v>
          </cell>
        </row>
        <row r="247">
          <cell r="A247" t="str">
            <v>BAB2030HT (BAB CIRCUIT BKR 240VAC 10KAIC W/RING LUG Bolt on)</v>
          </cell>
          <cell r="B247" t="str">
            <v>BAB2030HT(BAB CIRCUIT BKR 240VAC 10KAIC W/RING LUG Bolt on)</v>
          </cell>
          <cell r="C247" t="str">
            <v>EATON</v>
          </cell>
          <cell r="D247" t="str">
            <v>Eaton-Non Moving Stock</v>
          </cell>
        </row>
        <row r="248">
          <cell r="A248" t="str">
            <v>BAB2050HT (BAB Circuit Bkr 240VAC 10kAIC w Ring Lug R-Lug)</v>
          </cell>
          <cell r="B248" t="str">
            <v>BAB2050HT(BAB Circuit Bkr 240VAC 10kAIC w Ring Lug R-Lug)</v>
          </cell>
          <cell r="C248" t="str">
            <v>EATON</v>
          </cell>
          <cell r="D248" t="str">
            <v>Eaton-Non Moving Stock</v>
          </cell>
        </row>
        <row r="249">
          <cell r="A249" t="str">
            <v>170H3003 (BASE CA 80 630A 1000V UR 43653)</v>
          </cell>
          <cell r="B249" t="str">
            <v>170H3003(BASE CA 80 630A 1000V UR 43653)</v>
          </cell>
          <cell r="C249" t="str">
            <v>EATON</v>
          </cell>
          <cell r="D249" t="str">
            <v>Eaton-Non Moving Stock</v>
          </cell>
        </row>
        <row r="250">
          <cell r="A250" t="str">
            <v>32720 (BK25/3-PKZ0)</v>
          </cell>
          <cell r="B250" t="str">
            <v>32720(BK25/3-PKZ0)</v>
          </cell>
          <cell r="C250" t="str">
            <v>EATON</v>
          </cell>
          <cell r="D250" t="str">
            <v>Eaton-Non Moving Stock</v>
          </cell>
        </row>
        <row r="251">
          <cell r="A251" t="str">
            <v>Y7-262518_x000D_
 (BK25/3-PKZ0-E_x000D_
)</v>
          </cell>
          <cell r="B251" t="str">
            <v>Y7-262518_x000D_
(BK25/3-PKZ0-E_x000D_
)</v>
          </cell>
          <cell r="C251" t="str">
            <v>EATON</v>
          </cell>
          <cell r="D251" t="str">
            <v>Eaton-Non Moving Stock</v>
          </cell>
        </row>
        <row r="252">
          <cell r="A252" t="str">
            <v>10250TGR (Break Glass Pushbutton Station 1 NC)</v>
          </cell>
          <cell r="B252" t="str">
            <v>10250TGR(Break Glass Pushbutton Station 1 NC)</v>
          </cell>
          <cell r="C252" t="str">
            <v>EATON</v>
          </cell>
          <cell r="D252" t="str">
            <v>Eaton-Non Moving Stock</v>
          </cell>
        </row>
        <row r="253">
          <cell r="A253" t="str">
            <v>T60030-3SR (BUSS CLASS T FUSEBLOCK)</v>
          </cell>
          <cell r="B253" t="str">
            <v>T60030-3SR(BUSS CLASS T FUSEBLOCK)</v>
          </cell>
          <cell r="C253" t="str">
            <v>EATON</v>
          </cell>
          <cell r="D253" t="str">
            <v>Eaton-Non Moving Stock</v>
          </cell>
        </row>
        <row r="254">
          <cell r="A254" t="str">
            <v>100NHG000B-BI (BUSSMANN 100A 500V)</v>
          </cell>
          <cell r="B254" t="str">
            <v>100NHG000B-BI(BUSSMANN 100A 500V)</v>
          </cell>
          <cell r="C254" t="str">
            <v>EATON</v>
          </cell>
          <cell r="D254" t="str">
            <v>Eaton-Non Moving Stock</v>
          </cell>
        </row>
        <row r="255">
          <cell r="A255" t="str">
            <v>125NHG00B-BI (BUSSMANN 125A 500V)</v>
          </cell>
          <cell r="B255" t="str">
            <v>125NHG00B-BI(BUSSMANN 125A 500V)</v>
          </cell>
          <cell r="C255" t="str">
            <v>EATON</v>
          </cell>
          <cell r="D255" t="str">
            <v>Eaton-Non Moving Stock</v>
          </cell>
        </row>
        <row r="256">
          <cell r="A256" t="str">
            <v>FNQ-15 (BUSS MIDGET FUSE FNQ-15)</v>
          </cell>
          <cell r="B256" t="str">
            <v>FNQ-15(BUSS MIDGET FUSE FNQ-15)</v>
          </cell>
          <cell r="C256" t="str">
            <v>EATON</v>
          </cell>
          <cell r="D256" t="str">
            <v>Eaton-Non Moving Stock</v>
          </cell>
        </row>
        <row r="257">
          <cell r="A257" t="str">
            <v>FNQ-2 (BUSS MIDGET FUSE FNQ-2)</v>
          </cell>
          <cell r="B257" t="str">
            <v>FNQ-2(BUSS MIDGET FUSE FNQ-2)</v>
          </cell>
          <cell r="C257" t="str">
            <v>EATON</v>
          </cell>
          <cell r="D257" t="str">
            <v>Eaton-Non Moving Stock</v>
          </cell>
        </row>
        <row r="258">
          <cell r="A258" t="str">
            <v>Y7-121804 (BZMC2-A125-AP_x000D_
)</v>
          </cell>
          <cell r="B258" t="str">
            <v>Y7-121804(BZMC2-A125-AP_x000D_
)</v>
          </cell>
          <cell r="C258" t="str">
            <v>EATON</v>
          </cell>
          <cell r="D258" t="str">
            <v>Eaton-Non Moving Stock</v>
          </cell>
        </row>
        <row r="259">
          <cell r="A259" t="str">
            <v>CCX00189 (BZMXm1B-3-AX100)</v>
          </cell>
          <cell r="B259" t="str">
            <v>CCX00189(BZMXm1B-3-AX100)</v>
          </cell>
          <cell r="C259" t="str">
            <v>EATON</v>
          </cell>
          <cell r="D259" t="str">
            <v>Eaton-Non Moving Stock</v>
          </cell>
        </row>
        <row r="260">
          <cell r="A260" t="str">
            <v>121639 (C22-L-B-120)</v>
          </cell>
          <cell r="B260" t="str">
            <v>121639(C22-L-B-120)</v>
          </cell>
          <cell r="C260" t="str">
            <v>EATON</v>
          </cell>
          <cell r="D260" t="str">
            <v>Eaton-Non Moving Stock</v>
          </cell>
        </row>
        <row r="261">
          <cell r="A261" t="str">
            <v>121628 (C22-L-G-24)</v>
          </cell>
          <cell r="B261" t="str">
            <v>121628(C22-L-G-24)</v>
          </cell>
          <cell r="C261" t="str">
            <v>EATON</v>
          </cell>
          <cell r="D261" t="str">
            <v>Eaton-Non Moving Stock</v>
          </cell>
        </row>
        <row r="262">
          <cell r="A262" t="str">
            <v>121636 (C22-L-R-120)</v>
          </cell>
          <cell r="B262" t="str">
            <v>121636(C22-L-R-120)</v>
          </cell>
          <cell r="C262" t="str">
            <v>EATON</v>
          </cell>
          <cell r="D262" t="str">
            <v>Eaton-Non Moving Stock</v>
          </cell>
        </row>
        <row r="263">
          <cell r="A263" t="str">
            <v>Y7-121627 (C22-L-R-24)</v>
          </cell>
          <cell r="B263" t="str">
            <v>Y7-121627(C22-L-R-24)</v>
          </cell>
          <cell r="C263" t="str">
            <v>EATON</v>
          </cell>
          <cell r="D263" t="str">
            <v>Eaton-Non Moving Stock</v>
          </cell>
        </row>
        <row r="264">
          <cell r="A264" t="str">
            <v>Y7-121626 (C22-L-W-24)</v>
          </cell>
          <cell r="B264" t="str">
            <v>Y7-121626(C22-L-W-24)</v>
          </cell>
          <cell r="C264" t="str">
            <v>EATON</v>
          </cell>
          <cell r="D264" t="str">
            <v>Eaton-Non Moving Stock</v>
          </cell>
        </row>
        <row r="265">
          <cell r="A265" t="str">
            <v>121638 (C22-L-Y-120)</v>
          </cell>
          <cell r="B265" t="str">
            <v>121638(C22-L-Y-120)</v>
          </cell>
          <cell r="C265" t="str">
            <v>EATON</v>
          </cell>
          <cell r="D265" t="str">
            <v>Eaton-Non Moving Stock</v>
          </cell>
        </row>
        <row r="266">
          <cell r="A266" t="str">
            <v>219653 (CI-K2-PKZ0)</v>
          </cell>
          <cell r="B266" t="str">
            <v>219653(CI-K2-PKZ0)</v>
          </cell>
          <cell r="C266" t="str">
            <v>EATON</v>
          </cell>
          <cell r="D266" t="str">
            <v>Eaton-Non Moving Stock</v>
          </cell>
        </row>
        <row r="267">
          <cell r="A267" t="str">
            <v>219654 (CI-K2-PKZ0-G)</v>
          </cell>
          <cell r="B267" t="str">
            <v>219654(CI-K2-PKZ0-G)</v>
          </cell>
          <cell r="C267" t="str">
            <v>EATON</v>
          </cell>
          <cell r="D267" t="str">
            <v>Eaton-Non Moving Stock</v>
          </cell>
        </row>
        <row r="268">
          <cell r="A268" t="str">
            <v>Y7-281409 (CI-PKZ01-NA-G_x000D_
)</v>
          </cell>
          <cell r="B268" t="str">
            <v>Y7-281409(CI-PKZ01-NA-G_x000D_
)</v>
          </cell>
          <cell r="C268" t="str">
            <v>EATON</v>
          </cell>
          <cell r="D268" t="str">
            <v>Eaton-Non Moving Stock</v>
          </cell>
        </row>
        <row r="269">
          <cell r="A269" t="str">
            <v>Y7-260089 (CI-PKZ0-GM_x000D_
)</v>
          </cell>
          <cell r="B269" t="str">
            <v>Y7-260089(CI-PKZ0-GM_x000D_
)</v>
          </cell>
          <cell r="C269" t="str">
            <v>EATON</v>
          </cell>
          <cell r="D269" t="str">
            <v>Eaton-Non Moving Stock</v>
          </cell>
        </row>
        <row r="270">
          <cell r="A270" t="str">
            <v>JM60060-1CR_x000D_
 (Class J fuse block 600V 60A - 1 pole_x000D_
)</v>
          </cell>
          <cell r="B270" t="str">
            <v>JM60060-1CR_x000D_
(Class J fuse block 600V 60A - 1 pole_x000D_
)</v>
          </cell>
          <cell r="C270" t="str">
            <v>EATON</v>
          </cell>
          <cell r="D270" t="str">
            <v>Eaton-Non Moving Stock</v>
          </cell>
        </row>
        <row r="271">
          <cell r="A271" t="str">
            <v>C0150E5E (CONTROL TRANSFORMER,MTE TYPE,150VA)</v>
          </cell>
          <cell r="B271" t="str">
            <v>C0150E5E(CONTROL TRANSFORMER,MTE TYPE,150VA)</v>
          </cell>
          <cell r="C271" t="str">
            <v>EATON</v>
          </cell>
          <cell r="D271" t="str">
            <v>Eaton-Non Moving Stock</v>
          </cell>
        </row>
        <row r="272">
          <cell r="A272" t="str">
            <v>72900 (C-PKZ0)</v>
          </cell>
          <cell r="B272" t="str">
            <v>72900(C-PKZ0)</v>
          </cell>
          <cell r="C272" t="str">
            <v>EATON</v>
          </cell>
          <cell r="D272" t="str">
            <v>Eaton-Non Moving Stock</v>
          </cell>
        </row>
        <row r="273">
          <cell r="A273" t="str">
            <v>C10G6 (CYLINDRICAL FUSE, 10*38, 6A GG 500VAC)</v>
          </cell>
          <cell r="B273" t="str">
            <v>C10G6(CYLINDRICAL FUSE, 10*38, 6A GG 500VAC)</v>
          </cell>
          <cell r="C273" t="str">
            <v>EATON</v>
          </cell>
          <cell r="D273" t="str">
            <v>Eaton-Non Moving Stock</v>
          </cell>
        </row>
        <row r="274">
          <cell r="A274" t="str">
            <v>C10G16 (CYLINDRICAL FUSE 10 x 38 16A GG 500V AC)</v>
          </cell>
          <cell r="B274" t="str">
            <v>C10G16(CYLINDRICAL FUSE 10 x 38 16A GG 500V AC)</v>
          </cell>
          <cell r="C274" t="str">
            <v>EATON</v>
          </cell>
          <cell r="D274" t="str">
            <v>Eaton-Non Moving Stock</v>
          </cell>
        </row>
        <row r="275">
          <cell r="A275" t="str">
            <v>C10G10-BT (Cylindrical Fuses Link)</v>
          </cell>
          <cell r="B275" t="str">
            <v>C10G10-BT(Cylindrical Fuses Link)</v>
          </cell>
          <cell r="C275" t="str">
            <v>EATON</v>
          </cell>
          <cell r="D275" t="str">
            <v>Eaton-Non Moving Stock</v>
          </cell>
        </row>
        <row r="276">
          <cell r="A276" t="str">
            <v>Y7-185743 (DC1-342D2FN-A20CE1)</v>
          </cell>
          <cell r="B276" t="str">
            <v>Y7-185743(DC1-342D2FN-A20CE1)</v>
          </cell>
          <cell r="C276" t="str">
            <v>EATON</v>
          </cell>
          <cell r="D276" t="str">
            <v>Eaton-Non Moving Stock</v>
          </cell>
        </row>
        <row r="277">
          <cell r="A277" t="str">
            <v>Y7-169475 (DC1-342D2FN-A20N_x000D_
)</v>
          </cell>
          <cell r="B277" t="str">
            <v>Y7-169475(DC1-342D2FN-A20N_x000D_
)</v>
          </cell>
          <cell r="C277" t="str">
            <v>EATON</v>
          </cell>
          <cell r="D277" t="str">
            <v>Eaton-Non Moving Stock</v>
          </cell>
        </row>
        <row r="278">
          <cell r="A278" t="str">
            <v>BK1-S505H-8-R (Delay Fuse 8A. 500VAC,5x20,Ceramic)</v>
          </cell>
          <cell r="B278" t="str">
            <v>BK1-S505H-8-R(Delay Fuse 8A. 500VAC,5x20,Ceramic)</v>
          </cell>
          <cell r="C278" t="str">
            <v>EATON</v>
          </cell>
          <cell r="D278" t="str">
            <v>Eaton-Non Moving Stock</v>
          </cell>
        </row>
        <row r="279">
          <cell r="A279" t="str">
            <v>48592 (DIL0AM-G 24VDC)</v>
          </cell>
          <cell r="B279" t="str">
            <v>48592(DIL0AM-G 24VDC)</v>
          </cell>
          <cell r="C279" t="str">
            <v>EATON</v>
          </cell>
          <cell r="D279" t="str">
            <v>Eaton-Non Moving Stock</v>
          </cell>
        </row>
        <row r="280">
          <cell r="A280" t="str">
            <v>209694_x000D_
 (DIL3M80 230V50HZ,240V60HZ_x000D_
)</v>
          </cell>
          <cell r="B280" t="str">
            <v>209694_x000D_
(DIL3M80 230V50HZ,240V60HZ_x000D_
)</v>
          </cell>
          <cell r="C280" t="str">
            <v>EATON</v>
          </cell>
          <cell r="D280" t="str">
            <v>Eaton-Non Moving Stock</v>
          </cell>
        </row>
        <row r="281">
          <cell r="A281" t="str">
            <v>276396 (DILA-22(110V50HZ,120V60HZ))</v>
          </cell>
          <cell r="B281" t="str">
            <v>276396(DILA-22(110V50HZ,120V60HZ))</v>
          </cell>
          <cell r="C281" t="str">
            <v>EATON</v>
          </cell>
          <cell r="D281" t="str">
            <v>Eaton-Non Moving Stock</v>
          </cell>
        </row>
        <row r="282">
          <cell r="A282" t="str">
            <v>276417 (DILA-22(110VDC))</v>
          </cell>
          <cell r="B282" t="str">
            <v>276417(DILA-22(110VDC))</v>
          </cell>
          <cell r="C282" t="str">
            <v>EATON</v>
          </cell>
          <cell r="D282" t="str">
            <v>Eaton-Non Moving Stock</v>
          </cell>
        </row>
        <row r="283">
          <cell r="A283" t="str">
            <v>276418 (DILA-22(220VDC))</v>
          </cell>
          <cell r="B283" t="str">
            <v>276418(DILA-22(220VDC))</v>
          </cell>
          <cell r="C283" t="str">
            <v>EATON</v>
          </cell>
          <cell r="D283" t="str">
            <v>Eaton-Non Moving Stock</v>
          </cell>
        </row>
        <row r="284">
          <cell r="A284" t="str">
            <v>Y7-276407 (DILA-22(230V50/60HZ))</v>
          </cell>
          <cell r="B284" t="str">
            <v>Y7-276407(DILA-22(230V50/60HZ))</v>
          </cell>
          <cell r="C284" t="str">
            <v>EATON</v>
          </cell>
          <cell r="D284" t="str">
            <v>Eaton-Non Moving Stock</v>
          </cell>
        </row>
        <row r="285">
          <cell r="A285" t="str">
            <v>Y7-276388_x000D_
 (DILA-22(240V50HZ)_x000D_
)</v>
          </cell>
          <cell r="B285" t="str">
            <v>Y7-276388_x000D_
(DILA-22(240V50HZ)_x000D_
)</v>
          </cell>
          <cell r="C285" t="str">
            <v>EATON</v>
          </cell>
          <cell r="D285" t="str">
            <v>Eaton-Non Moving Stock</v>
          </cell>
        </row>
        <row r="286">
          <cell r="A286" t="str">
            <v>Y7-276386 (DILA-22(24V50HZ))</v>
          </cell>
          <cell r="B286" t="str">
            <v>Y7-276386(DILA-22(24V50HZ))</v>
          </cell>
          <cell r="C286" t="str">
            <v>EATON</v>
          </cell>
          <cell r="D286" t="str">
            <v>Eaton-Non Moving Stock</v>
          </cell>
        </row>
        <row r="287">
          <cell r="A287" t="str">
            <v>276414 (DILA-22(24VDC)_x000D_
)</v>
          </cell>
          <cell r="B287" t="str">
            <v>276414(DILA-22(24VDC)_x000D_
)</v>
          </cell>
          <cell r="C287" t="str">
            <v>EATON</v>
          </cell>
          <cell r="D287" t="str">
            <v>Eaton-Non Moving Stock</v>
          </cell>
        </row>
        <row r="288">
          <cell r="A288" t="str">
            <v>276415 (DILA-22(48VDC))</v>
          </cell>
          <cell r="B288" t="str">
            <v>276415(DILA-22(48VDC))</v>
          </cell>
          <cell r="C288" t="str">
            <v>EATON</v>
          </cell>
          <cell r="D288" t="str">
            <v>Eaton-Non Moving Stock</v>
          </cell>
        </row>
        <row r="289">
          <cell r="A289" t="str">
            <v>276419 (DILA-22(*VDC))</v>
          </cell>
          <cell r="B289" t="str">
            <v>276419(DILA-22(*VDC))</v>
          </cell>
          <cell r="C289" t="str">
            <v>EATON</v>
          </cell>
          <cell r="D289" t="str">
            <v>Eaton-Non Moving Stock</v>
          </cell>
        </row>
        <row r="290">
          <cell r="A290" t="str">
            <v>Y7-276379 (DILA-31(24VDC)_x000D_
)</v>
          </cell>
          <cell r="B290" t="str">
            <v>Y7-276379(DILA-31(24VDC)_x000D_
)</v>
          </cell>
          <cell r="C290" t="str">
            <v>EATON</v>
          </cell>
          <cell r="D290" t="str">
            <v>Eaton-Non Moving Stock</v>
          </cell>
        </row>
        <row r="291">
          <cell r="A291" t="str">
            <v>Y7-276344 (DILA-40(24VDC)_x000D_
)</v>
          </cell>
          <cell r="B291" t="str">
            <v>Y7-276344(DILA-40(24VDC)_x000D_
)</v>
          </cell>
          <cell r="C291" t="str">
            <v>EATON</v>
          </cell>
          <cell r="D291" t="str">
            <v>Eaton-Non Moving Stock</v>
          </cell>
        </row>
        <row r="292">
          <cell r="A292" t="str">
            <v>276520 (DILAC-22(24VDC))</v>
          </cell>
          <cell r="B292" t="str">
            <v>276520(DILAC-22(24VDC))</v>
          </cell>
          <cell r="C292" t="str">
            <v>EATON</v>
          </cell>
          <cell r="D292" t="str">
            <v>Eaton-Non Moving Stock</v>
          </cell>
        </row>
        <row r="293">
          <cell r="A293" t="str">
            <v>276488 (DILAC-31(24VDC)_x000D_
)</v>
          </cell>
          <cell r="B293" t="str">
            <v>276488(DILAC-31(24VDC)_x000D_
)</v>
          </cell>
          <cell r="C293" t="str">
            <v>EATON</v>
          </cell>
          <cell r="D293" t="str">
            <v>Eaton-Non Moving Stock</v>
          </cell>
        </row>
        <row r="294">
          <cell r="A294" t="str">
            <v>Y7-276456 (DILAC-40(24VDC))</v>
          </cell>
          <cell r="B294" t="str">
            <v>Y7-276456(DILAC-40(24VDC))</v>
          </cell>
          <cell r="C294" t="str">
            <v>EATON</v>
          </cell>
          <cell r="D294" t="str">
            <v>Eaton-Non Moving Stock</v>
          </cell>
        </row>
        <row r="295">
          <cell r="A295" t="str">
            <v>Y7-276420 (DILA-XHI02_x000D_
)</v>
          </cell>
          <cell r="B295" t="str">
            <v>Y7-276420(DILA-XHI02_x000D_
)</v>
          </cell>
          <cell r="C295" t="str">
            <v>EATON</v>
          </cell>
          <cell r="D295" t="str">
            <v>Eaton-Non Moving Stock</v>
          </cell>
        </row>
        <row r="296">
          <cell r="A296" t="str">
            <v>Y7-199321 (DILA-XHI04-PI)</v>
          </cell>
          <cell r="B296" t="str">
            <v>Y7-199321(DILA-XHI04-PI)</v>
          </cell>
          <cell r="C296" t="str">
            <v>EATON</v>
          </cell>
          <cell r="D296" t="str">
            <v>Eaton-Non Moving Stock</v>
          </cell>
        </row>
        <row r="297">
          <cell r="A297" t="str">
            <v>276421 (DILA-XHI11)</v>
          </cell>
          <cell r="B297" t="str">
            <v>276421(DILA-XHI11)</v>
          </cell>
          <cell r="C297" t="str">
            <v>EATON</v>
          </cell>
          <cell r="D297" t="str">
            <v>Eaton-Non Moving Stock</v>
          </cell>
        </row>
        <row r="298">
          <cell r="A298" t="str">
            <v>Y7-276425 (DILA-XHI13_x000D_
)</v>
          </cell>
          <cell r="B298" t="str">
            <v>Y7-276425(DILA-XHI13_x000D_
)</v>
          </cell>
          <cell r="C298" t="str">
            <v>EATON</v>
          </cell>
          <cell r="D298" t="str">
            <v>Eaton-Non Moving Stock</v>
          </cell>
        </row>
        <row r="299">
          <cell r="A299" t="str">
            <v>Y7-276422 (DILA-XHI20_x000D_
)</v>
          </cell>
          <cell r="B299" t="str">
            <v>Y7-276422(DILA-XHI20_x000D_
)</v>
          </cell>
          <cell r="C299" t="str">
            <v>EATON</v>
          </cell>
          <cell r="D299" t="str">
            <v>Eaton-Non Moving Stock</v>
          </cell>
        </row>
        <row r="300">
          <cell r="A300" t="str">
            <v>276426 (DILA-XHI22)</v>
          </cell>
          <cell r="B300" t="str">
            <v>276426(DILA-XHI22)</v>
          </cell>
          <cell r="C300" t="str">
            <v>EATON</v>
          </cell>
          <cell r="D300" t="str">
            <v>Eaton-Non Moving Stock</v>
          </cell>
        </row>
        <row r="301">
          <cell r="A301" t="str">
            <v>Y7-276427 (DILA-XHI31_x000D_
)</v>
          </cell>
          <cell r="B301" t="str">
            <v>Y7-276427(DILA-XHI31_x000D_
)</v>
          </cell>
          <cell r="C301" t="str">
            <v>EATON</v>
          </cell>
          <cell r="D301" t="str">
            <v>Eaton-Non Moving Stock</v>
          </cell>
        </row>
        <row r="302">
          <cell r="A302" t="str">
            <v>Y7-276428_x000D_
 (DILA-XHI40_x000D_
)</v>
          </cell>
          <cell r="B302" t="str">
            <v>Y7-276428_x000D_
(DILA-XHI40_x000D_
)</v>
          </cell>
          <cell r="C302" t="str">
            <v>EATON</v>
          </cell>
          <cell r="D302" t="str">
            <v>Eaton-Non Moving Stock</v>
          </cell>
        </row>
        <row r="303">
          <cell r="A303" t="str">
            <v>Y7-276527_x000D_
 (DILA-XHIC11_x000D_
)</v>
          </cell>
          <cell r="B303" t="str">
            <v>Y7-276527_x000D_
(DILA-XHIC11_x000D_
)</v>
          </cell>
          <cell r="C303" t="str">
            <v>EATON</v>
          </cell>
          <cell r="D303" t="str">
            <v>Eaton-Non Moving Stock</v>
          </cell>
        </row>
        <row r="304">
          <cell r="A304" t="str">
            <v>276528 (DILA-XHIC20)</v>
          </cell>
          <cell r="B304" t="str">
            <v>276528(DILA-XHIC20)</v>
          </cell>
          <cell r="C304" t="str">
            <v>EATON</v>
          </cell>
          <cell r="D304" t="str">
            <v>Eaton-Non Moving Stock</v>
          </cell>
        </row>
        <row r="305">
          <cell r="A305" t="str">
            <v>110140 (DILA-XHIR11_x000D_
)</v>
          </cell>
          <cell r="B305" t="str">
            <v>110140(DILA-XHIR11_x000D_
)</v>
          </cell>
          <cell r="C305" t="str">
            <v>EATON</v>
          </cell>
          <cell r="D305" t="str">
            <v>Eaton-Non Moving Stock</v>
          </cell>
        </row>
        <row r="306">
          <cell r="A306" t="str">
            <v>139580 (DILA-XHIR 22)</v>
          </cell>
          <cell r="B306" t="str">
            <v>139580(DILA-XHIR 22)</v>
          </cell>
          <cell r="C306" t="str">
            <v>EATON</v>
          </cell>
          <cell r="D306" t="str">
            <v>Eaton-Non Moving Stock</v>
          </cell>
        </row>
        <row r="307">
          <cell r="A307" t="str">
            <v>Y7-51643 (DILEEM-10-G(24VDC)_x000D_
)</v>
          </cell>
          <cell r="B307" t="str">
            <v>Y7-51643(DILEEM-10-G(24VDC)_x000D_
)</v>
          </cell>
          <cell r="C307" t="str">
            <v>EATON</v>
          </cell>
          <cell r="D307" t="str">
            <v>Eaton-Non Moving Stock</v>
          </cell>
        </row>
        <row r="308">
          <cell r="A308" t="str">
            <v>Y7-20402_x000D_
 (DILEM-01(24V50/60HZ)_x000D_
)</v>
          </cell>
          <cell r="B308" t="str">
            <v>Y7-20402_x000D_
(DILEM-01(24V50/60HZ)_x000D_
)</v>
          </cell>
          <cell r="C308" t="str">
            <v>EATON</v>
          </cell>
          <cell r="D308" t="str">
            <v>Eaton-Non Moving Stock</v>
          </cell>
        </row>
        <row r="309">
          <cell r="A309" t="str">
            <v>Y7-10086_x000D_
 (DILEM-01(24V50HZ)_x000D_
)</v>
          </cell>
          <cell r="B309" t="str">
            <v>Y7-10086_x000D_
(DILEM-01(24V50HZ)_x000D_
)</v>
          </cell>
          <cell r="C309" t="str">
            <v>EATON</v>
          </cell>
          <cell r="D309" t="str">
            <v>Eaton-Non Moving Stock</v>
          </cell>
        </row>
        <row r="310">
          <cell r="A310" t="str">
            <v>51650 (DILEM-01-G (24VDC))</v>
          </cell>
          <cell r="B310" t="str">
            <v>51650(DILEM-01-G (24VDC))</v>
          </cell>
          <cell r="C310" t="str">
            <v>EATON</v>
          </cell>
          <cell r="D310" t="str">
            <v>Eaton-Non Moving Stock</v>
          </cell>
        </row>
        <row r="311">
          <cell r="A311" t="str">
            <v>Y7-10343 (DILEM-01-G(24VDC)_x000D_
)</v>
          </cell>
          <cell r="B311" t="str">
            <v>Y7-10343(DILEM-01-G(24VDC)_x000D_
)</v>
          </cell>
          <cell r="C311" t="str">
            <v>EATON</v>
          </cell>
          <cell r="D311" t="str">
            <v>Eaton-Non Moving Stock</v>
          </cell>
        </row>
        <row r="312">
          <cell r="A312" t="str">
            <v>52302 (DILEM-10(230V50/60HZ))</v>
          </cell>
          <cell r="B312" t="str">
            <v>52302(DILEM-10(230V50/60HZ))</v>
          </cell>
          <cell r="C312" t="str">
            <v>EATON</v>
          </cell>
          <cell r="D312" t="str">
            <v>Eaton-Non Moving Stock</v>
          </cell>
        </row>
        <row r="313">
          <cell r="A313" t="str">
            <v>10213.0 (DILEM-10-G(24VDC))</v>
          </cell>
          <cell r="B313" t="str">
            <v>10213.0(DILEM-10-G(24VDC))</v>
          </cell>
          <cell r="C313" t="str">
            <v>EATON</v>
          </cell>
          <cell r="D313" t="str">
            <v>Eaton-Non Moving Stock</v>
          </cell>
        </row>
        <row r="314">
          <cell r="A314" t="str">
            <v>Y7-12701 (DILEM4-G(24VDC))</v>
          </cell>
          <cell r="B314" t="str">
            <v>Y7-12701(DILEM4-G(24VDC))</v>
          </cell>
          <cell r="C314" t="str">
            <v>EATON</v>
          </cell>
          <cell r="D314" t="str">
            <v>Eaton-Non Moving Stock</v>
          </cell>
        </row>
        <row r="315">
          <cell r="A315" t="str">
            <v>52508 (DILER-22(230V50/60HZ))</v>
          </cell>
          <cell r="B315" t="str">
            <v>52508(DILER-22(230V50/60HZ))</v>
          </cell>
          <cell r="C315" t="str">
            <v>EATON</v>
          </cell>
          <cell r="D315" t="str">
            <v>Eaton-Non Moving Stock</v>
          </cell>
        </row>
        <row r="316">
          <cell r="A316" t="str">
            <v>21704 (DILER-22(24V50/60HZ))</v>
          </cell>
          <cell r="B316" t="str">
            <v>21704(DILER-22(24V50/60HZ))</v>
          </cell>
          <cell r="C316" t="str">
            <v>EATON</v>
          </cell>
          <cell r="D316" t="str">
            <v>Eaton-Non Moving Stock</v>
          </cell>
        </row>
        <row r="317">
          <cell r="A317" t="str">
            <v>Y7-10344 (DILER-22(24V50HZ))</v>
          </cell>
          <cell r="B317" t="str">
            <v>Y7-10344(DILER-22(24V50HZ))</v>
          </cell>
          <cell r="C317" t="str">
            <v>EATON</v>
          </cell>
          <cell r="D317" t="str">
            <v>Eaton-Non Moving Stock</v>
          </cell>
        </row>
        <row r="318">
          <cell r="A318" t="str">
            <v>10042.0 (DILER-22-G(24VDC))</v>
          </cell>
          <cell r="B318" t="str">
            <v>10042.0(DILER-22-G(24VDC))</v>
          </cell>
          <cell r="C318" t="str">
            <v>EATON</v>
          </cell>
          <cell r="D318" t="str">
            <v>Eaton-Non Moving Stock</v>
          </cell>
        </row>
        <row r="319">
          <cell r="A319" t="str">
            <v>52509 (DILER-31(230V50/60HZ))</v>
          </cell>
          <cell r="B319" t="str">
            <v>52509(DILER-31(230V50/60HZ))</v>
          </cell>
          <cell r="C319" t="str">
            <v>EATON</v>
          </cell>
          <cell r="D319" t="str">
            <v>Eaton-Non Moving Stock</v>
          </cell>
        </row>
        <row r="320">
          <cell r="A320" t="str">
            <v>10157.0 (DILER-31-G(24VDC))</v>
          </cell>
          <cell r="B320" t="str">
            <v>10157.0(DILER-31-G(24VDC))</v>
          </cell>
          <cell r="C320" t="str">
            <v>EATON</v>
          </cell>
          <cell r="D320" t="str">
            <v>Eaton-Non Moving Stock</v>
          </cell>
        </row>
        <row r="321">
          <cell r="A321" t="str">
            <v>21961 (DILER-40(110V50/60HZ))</v>
          </cell>
          <cell r="B321" t="str">
            <v>21961(DILER-40(110V50/60HZ))</v>
          </cell>
          <cell r="C321" t="str">
            <v>EATON</v>
          </cell>
          <cell r="D321" t="str">
            <v>Eaton-Non Moving Stock</v>
          </cell>
        </row>
        <row r="322">
          <cell r="A322" t="str">
            <v>Y7-51759 (DILER-40(230V50HZ,240V60HZ)_x000D_
)</v>
          </cell>
          <cell r="B322" t="str">
            <v>Y7-51759(DILER-40(230V50HZ,240V60HZ)_x000D_
)</v>
          </cell>
          <cell r="C322" t="str">
            <v>EATON</v>
          </cell>
          <cell r="D322" t="str">
            <v>Eaton-Non Moving Stock</v>
          </cell>
        </row>
        <row r="323">
          <cell r="A323" t="str">
            <v>10223.0 (DILER-40-G(24VDC))</v>
          </cell>
          <cell r="B323" t="str">
            <v>10223.0(DILER-40-G(24VDC))</v>
          </cell>
          <cell r="C323" t="str">
            <v>EATON</v>
          </cell>
          <cell r="D323" t="str">
            <v>Eaton-Non Moving Stock</v>
          </cell>
        </row>
        <row r="324">
          <cell r="A324" t="str">
            <v>Y7-278427 (DILM1000-XHI11-SA_x000D_
)</v>
          </cell>
          <cell r="B324" t="str">
            <v>Y7-278427(DILM1000-XHI11-SA_x000D_
)</v>
          </cell>
          <cell r="C324" t="str">
            <v>EATON</v>
          </cell>
          <cell r="D324" t="str">
            <v>Eaton-Non Moving Stock</v>
          </cell>
        </row>
        <row r="325">
          <cell r="A325" t="str">
            <v>Y7-239548 (DILM115(RAC240)_x000D_
)</v>
          </cell>
          <cell r="B325" t="str">
            <v>Y7-239548(DILM115(RAC240)_x000D_
)</v>
          </cell>
          <cell r="C325" t="str">
            <v>EATON</v>
          </cell>
          <cell r="D325" t="str">
            <v>Eaton-Non Moving Stock</v>
          </cell>
        </row>
        <row r="326">
          <cell r="A326" t="str">
            <v>Y7-276873 (DILM12-01(230V50/60HZ)_x000D_
)</v>
          </cell>
          <cell r="B326" t="str">
            <v>Y7-276873(DILM12-01(230V50/60HZ)_x000D_
)</v>
          </cell>
          <cell r="C326" t="str">
            <v>EATON</v>
          </cell>
          <cell r="D326" t="str">
            <v>Eaton-Non Moving Stock</v>
          </cell>
        </row>
        <row r="327">
          <cell r="A327" t="str">
            <v>276865 (DILM12-01(230V50HZ,240V60HZ)_x000D_
)</v>
          </cell>
          <cell r="B327" t="str">
            <v>276865(DILM12-01(230V50HZ,240V60HZ)_x000D_
)</v>
          </cell>
          <cell r="C327" t="str">
            <v>EATON</v>
          </cell>
          <cell r="D327" t="str">
            <v>Eaton-Non Moving Stock</v>
          </cell>
        </row>
        <row r="328">
          <cell r="A328" t="str">
            <v>276869 (DILM12-01(24V50/60HZ))</v>
          </cell>
          <cell r="B328" t="str">
            <v>276869(DILM12-01(24V50/60HZ))</v>
          </cell>
          <cell r="C328" t="str">
            <v>EATON</v>
          </cell>
          <cell r="D328" t="str">
            <v>Eaton-Non Moving Stock</v>
          </cell>
        </row>
        <row r="329">
          <cell r="A329" t="str">
            <v>276880 (DILM12-01(24VDC))</v>
          </cell>
          <cell r="B329" t="str">
            <v>276880(DILM12-01(24VDC))</v>
          </cell>
          <cell r="C329" t="str">
            <v>EATON</v>
          </cell>
          <cell r="D329" t="str">
            <v>Eaton-Non Moving Stock</v>
          </cell>
        </row>
        <row r="330">
          <cell r="A330" t="str">
            <v>Y7-276838_x000D_
 (DILM12-10(230V50/60HZ)_x000D_
)</v>
          </cell>
          <cell r="B330" t="str">
            <v>Y7-276838_x000D_
(DILM12-10(230V50/60HZ)_x000D_
)</v>
          </cell>
          <cell r="C330" t="str">
            <v>EATON</v>
          </cell>
          <cell r="D330" t="str">
            <v>Eaton-Non Moving Stock</v>
          </cell>
        </row>
        <row r="331">
          <cell r="A331" t="str">
            <v>Y7-276819_x000D_
 (DILM12-10(240V50HZ)_x000D_
)</v>
          </cell>
          <cell r="B331" t="str">
            <v>Y7-276819_x000D_
(DILM12-10(240V50HZ)_x000D_
)</v>
          </cell>
          <cell r="C331" t="str">
            <v>EATON</v>
          </cell>
          <cell r="D331" t="str">
            <v>Eaton-Non Moving Stock</v>
          </cell>
        </row>
        <row r="332">
          <cell r="A332" t="str">
            <v>276845 (DILM12-10(24VDC))</v>
          </cell>
          <cell r="B332" t="str">
            <v>276845(DILM12-10(24VDC))</v>
          </cell>
          <cell r="C332" t="str">
            <v>EATON</v>
          </cell>
          <cell r="D332" t="str">
            <v>Eaton-Non Moving Stock</v>
          </cell>
        </row>
        <row r="333">
          <cell r="A333" t="str">
            <v>281196 (DILM12-XMV_x000D_
)</v>
          </cell>
          <cell r="B333" t="str">
            <v>281196(DILM12-XMV_x000D_
)</v>
          </cell>
          <cell r="C333" t="str">
            <v>EATON</v>
          </cell>
          <cell r="D333" t="str">
            <v>Eaton-Non Moving Stock</v>
          </cell>
        </row>
        <row r="334">
          <cell r="A334" t="str">
            <v>Y7-101672 (DILM12-XSPD_x000D_
)</v>
          </cell>
          <cell r="B334" t="str">
            <v>Y7-101672(DILM12-XSPD_x000D_
)</v>
          </cell>
          <cell r="C334" t="str">
            <v>EATON</v>
          </cell>
          <cell r="D334" t="str">
            <v>Eaton-Non Moving Stock</v>
          </cell>
        </row>
        <row r="335">
          <cell r="A335" t="str">
            <v>Y7-281200 (DILM12-XSPR240)</v>
          </cell>
          <cell r="B335" t="str">
            <v>Y7-281200(DILM12-XSPR240)</v>
          </cell>
          <cell r="C335" t="str">
            <v>EATON</v>
          </cell>
          <cell r="D335" t="str">
            <v>Eaton-Non Moving Stock</v>
          </cell>
        </row>
        <row r="336">
          <cell r="A336" t="str">
            <v>281210.0 (DILM12-XSPV240)</v>
          </cell>
          <cell r="B336" t="str">
            <v>281210.0(DILM12-XSPV240)</v>
          </cell>
          <cell r="C336" t="str">
            <v>EATON</v>
          </cell>
          <cell r="D336" t="str">
            <v>Eaton-Non Moving Stock</v>
          </cell>
        </row>
        <row r="337">
          <cell r="A337" t="str">
            <v>Y7-290108 (DILM15-01(24VDC)_x000D_
)</v>
          </cell>
          <cell r="B337" t="str">
            <v>Y7-290108(DILM15-01(24VDC)_x000D_
)</v>
          </cell>
          <cell r="C337" t="str">
            <v>EATON</v>
          </cell>
          <cell r="D337" t="str">
            <v>Eaton-Non Moving Stock</v>
          </cell>
        </row>
        <row r="338">
          <cell r="A338" t="str">
            <v>Y7-239588 (DILM150(RAC240)_x000D_
)</v>
          </cell>
          <cell r="B338" t="str">
            <v>Y7-239588(DILM150(RAC240)_x000D_
)</v>
          </cell>
          <cell r="C338" t="str">
            <v>EATON</v>
          </cell>
          <cell r="D338" t="str">
            <v>Eaton-Non Moving Stock</v>
          </cell>
        </row>
        <row r="339">
          <cell r="A339" t="str">
            <v>DILM150-XCT	-OLD</v>
          </cell>
          <cell r="B339" t="str">
            <v>DILM150-XCT	-OLD</v>
          </cell>
          <cell r="C339" t="str">
            <v>EATON</v>
          </cell>
          <cell r="D339" t="str">
            <v>Eaton-Non Moving Stock</v>
          </cell>
        </row>
        <row r="340">
          <cell r="A340" t="str">
            <v>100423 (DILM150-XCT _x000D_
)</v>
          </cell>
          <cell r="B340" t="str">
            <v>100423(DILM150-XCT _x000D_
)</v>
          </cell>
          <cell r="C340" t="str">
            <v>EATON</v>
          </cell>
          <cell r="D340" t="str">
            <v>Eaton-Non Moving Stock</v>
          </cell>
        </row>
        <row r="341">
          <cell r="A341" t="str">
            <v>277946 (DILM150-XHI11)</v>
          </cell>
          <cell r="B341" t="str">
            <v>277946(DILM150-XHI11)</v>
          </cell>
          <cell r="C341" t="str">
            <v>EATON</v>
          </cell>
          <cell r="D341" t="str">
            <v>Eaton-Non Moving Stock</v>
          </cell>
        </row>
        <row r="342">
          <cell r="A342" t="str">
            <v>277950 (DILM150-XHI22)</v>
          </cell>
          <cell r="B342" t="str">
            <v>277950(DILM150-XHI22)</v>
          </cell>
          <cell r="C342" t="str">
            <v>EATON</v>
          </cell>
          <cell r="D342" t="str">
            <v>Eaton-Non Moving Stock</v>
          </cell>
        </row>
        <row r="343">
          <cell r="A343" t="str">
            <v>283464 (DILM150-XHIA22)</v>
          </cell>
          <cell r="B343" t="str">
            <v>283464(DILM150-XHIA22)</v>
          </cell>
          <cell r="C343" t="str">
            <v>EATON</v>
          </cell>
          <cell r="D343" t="str">
            <v>Eaton-Non Moving Stock</v>
          </cell>
        </row>
        <row r="344">
          <cell r="A344" t="str">
            <v>230109 (DILM150-XSP(RAC24))</v>
          </cell>
          <cell r="B344" t="str">
            <v>230109(DILM150-XSP(RAC24))</v>
          </cell>
          <cell r="C344" t="str">
            <v>EATON</v>
          </cell>
          <cell r="D344" t="str">
            <v>Eaton-Non Moving Stock</v>
          </cell>
        </row>
        <row r="345">
          <cell r="A345" t="str">
            <v>230112 (DILM150-XSP(RAC240)	_x000D_
)</v>
          </cell>
          <cell r="B345" t="str">
            <v>230112(DILM150-XSP(RAC240)	_x000D_
)</v>
          </cell>
          <cell r="C345" t="str">
            <v>EATON</v>
          </cell>
          <cell r="D345" t="str">
            <v>Eaton-Non Moving Stock</v>
          </cell>
        </row>
        <row r="346">
          <cell r="A346" t="str">
            <v>Y7-290064_x000D_
 (DILM15-10(110V50/60HZ)_x000D_
)</v>
          </cell>
          <cell r="B346" t="str">
            <v>Y7-290064_x000D_
(DILM15-10(110V50/60HZ)_x000D_
)</v>
          </cell>
          <cell r="C346" t="str">
            <v>EATON</v>
          </cell>
          <cell r="D346" t="str">
            <v>Eaton-Non Moving Stock</v>
          </cell>
        </row>
        <row r="347">
          <cell r="A347" t="str">
            <v>Y7-290055 (DILM15-10(110V50HZ,120V60HZ)_x000D_
)</v>
          </cell>
          <cell r="B347" t="str">
            <v>Y7-290055(DILM15-10(110V50HZ,120V60HZ)_x000D_
)</v>
          </cell>
          <cell r="C347" t="str">
            <v>EATON</v>
          </cell>
          <cell r="D347" t="str">
            <v>Eaton-Non Moving Stock</v>
          </cell>
        </row>
        <row r="348">
          <cell r="A348" t="str">
            <v>Y7-290073 (DILM15-10(24VDC)_x000D_
)</v>
          </cell>
          <cell r="B348" t="str">
            <v>Y7-290073(DILM15-10(24VDC)_x000D_
)</v>
          </cell>
          <cell r="C348" t="str">
            <v>EATON</v>
          </cell>
          <cell r="D348" t="str">
            <v>Eaton-Non Moving Stock</v>
          </cell>
        </row>
        <row r="349">
          <cell r="A349" t="str">
            <v>277043 (DILM17-01(220V50/60HZ)	_x000D_
)</v>
          </cell>
          <cell r="B349" t="str">
            <v>277043(DILM17-01(220V50/60HZ)	_x000D_
)</v>
          </cell>
          <cell r="C349" t="str">
            <v>EATON</v>
          </cell>
          <cell r="D349" t="str">
            <v>Eaton-Non Moving Stock</v>
          </cell>
        </row>
        <row r="350">
          <cell r="A350" t="str">
            <v>Y7-277044 (DILM17-01(230V50/60HZ)_x000D_
)</v>
          </cell>
          <cell r="B350" t="str">
            <v>Y7-277044(DILM17-01(230V50/60HZ)_x000D_
)</v>
          </cell>
          <cell r="C350" t="str">
            <v>EATON</v>
          </cell>
          <cell r="D350" t="str">
            <v>Eaton-Non Moving Stock</v>
          </cell>
        </row>
        <row r="351">
          <cell r="A351" t="str">
            <v>277036 (DILM17-01(230V50HZ,240V60HZ))</v>
          </cell>
          <cell r="B351" t="str">
            <v>277036(DILM17-01(230V50HZ,240V60HZ))</v>
          </cell>
          <cell r="C351" t="str">
            <v>EATON</v>
          </cell>
          <cell r="D351" t="str">
            <v>Eaton-Non Moving Stock</v>
          </cell>
        </row>
        <row r="352">
          <cell r="A352" t="str">
            <v>277050 (DILM17-01 (RDC24))</v>
          </cell>
          <cell r="B352" t="str">
            <v>277050(DILM17-01 (RDC24))</v>
          </cell>
          <cell r="C352" t="str">
            <v>EATON</v>
          </cell>
          <cell r="D352" t="str">
            <v>Eaton-Non Moving Stock</v>
          </cell>
        </row>
        <row r="353">
          <cell r="A353" t="str">
            <v>Y7-277001 (DILM17-10(110V50HZ,120V60HZ)_x000D_
_x000D_
)</v>
          </cell>
          <cell r="B353" t="str">
            <v>Y7-277001(DILM17-10(110V50HZ,120V60HZ)_x000D_
_x000D_
)</v>
          </cell>
          <cell r="C353" t="str">
            <v>EATON</v>
          </cell>
          <cell r="D353" t="str">
            <v>Eaton-Non Moving Stock</v>
          </cell>
        </row>
        <row r="354">
          <cell r="A354" t="str">
            <v>Y7-277012 (DILM17-10(230V50/60HZ)_x000D_
)</v>
          </cell>
          <cell r="B354" t="str">
            <v>Y7-277012(DILM17-10(230V50/60HZ)_x000D_
)</v>
          </cell>
          <cell r="C354" t="str">
            <v>EATON</v>
          </cell>
          <cell r="D354" t="str">
            <v>Eaton-Non Moving Stock</v>
          </cell>
        </row>
        <row r="355">
          <cell r="A355" t="str">
            <v>277018 (DILM-1710 (24VDC))</v>
          </cell>
          <cell r="B355" t="str">
            <v>277018(DILM-1710 (24VDC))</v>
          </cell>
          <cell r="C355" t="str">
            <v>EATON</v>
          </cell>
          <cell r="D355" t="str">
            <v>Eaton-Non Moving Stock</v>
          </cell>
        </row>
        <row r="356">
          <cell r="A356" t="str">
            <v>Y7-277018_x000D_
 (DILM17-10(RDC24)_x000D_
)</v>
          </cell>
          <cell r="B356" t="str">
            <v>Y7-277018_x000D_
(DILM17-10(RDC24)_x000D_
)</v>
          </cell>
          <cell r="C356" t="str">
            <v>EATON</v>
          </cell>
          <cell r="D356" t="str">
            <v>Eaton-Non Moving Stock</v>
          </cell>
        </row>
        <row r="357">
          <cell r="A357" t="str">
            <v>139537 (DILM185A/22(RAC240))</v>
          </cell>
          <cell r="B357" t="str">
            <v>139537(DILM185A/22(RAC240))</v>
          </cell>
          <cell r="C357" t="str">
            <v>EATON</v>
          </cell>
          <cell r="D357" t="str">
            <v>Eaton-Non Moving Stock</v>
          </cell>
        </row>
        <row r="358">
          <cell r="A358" t="str">
            <v>Y7-277172 (DILM25-01(230V50/60HZ)_x000D_
)</v>
          </cell>
          <cell r="B358" t="str">
            <v>Y7-277172(DILM25-01(230V50/60HZ)_x000D_
)</v>
          </cell>
          <cell r="C358" t="str">
            <v>EATON</v>
          </cell>
          <cell r="D358" t="str">
            <v>Eaton-Non Moving Stock</v>
          </cell>
        </row>
        <row r="359">
          <cell r="A359" t="str">
            <v>277164 (DILM25-01(230V50HZ,240V60HZ)	_x000D_
)</v>
          </cell>
          <cell r="B359" t="str">
            <v>277164(DILM25-01(230V50HZ,240V60HZ)	_x000D_
)</v>
          </cell>
          <cell r="C359" t="str">
            <v>EATON</v>
          </cell>
          <cell r="D359" t="str">
            <v>Eaton-Non Moving Stock</v>
          </cell>
        </row>
        <row r="360">
          <cell r="A360" t="str">
            <v>277178 (DILM25-01(RDC24))</v>
          </cell>
          <cell r="B360" t="str">
            <v>277178(DILM25-01(RDC24))</v>
          </cell>
          <cell r="C360" t="str">
            <v>EATON</v>
          </cell>
          <cell r="D360" t="str">
            <v>Eaton-Non Moving Stock</v>
          </cell>
        </row>
        <row r="361">
          <cell r="A361" t="str">
            <v>277132 (DILM25-10(230V50HZ,240V60HZ))</v>
          </cell>
          <cell r="B361" t="str">
            <v>277132(DILM25-10(230V50HZ,240V60HZ))</v>
          </cell>
          <cell r="C361" t="str">
            <v>EATON</v>
          </cell>
          <cell r="D361" t="str">
            <v>Eaton-Non Moving Stock</v>
          </cell>
        </row>
        <row r="362">
          <cell r="A362" t="str">
            <v>277146 (DILM25-10(RDC24))</v>
          </cell>
          <cell r="B362" t="str">
            <v>277146(DILM25-10(RDC24))</v>
          </cell>
          <cell r="C362" t="str">
            <v>EATON</v>
          </cell>
          <cell r="D362" t="str">
            <v>Eaton-Non Moving Stock</v>
          </cell>
        </row>
        <row r="363">
          <cell r="A363" t="str">
            <v>277298 (DILM32-01(110V50/60HZ))</v>
          </cell>
          <cell r="B363" t="str">
            <v>277298(DILM32-01(110V50/60HZ))</v>
          </cell>
          <cell r="C363" t="str">
            <v>EATON</v>
          </cell>
          <cell r="D363" t="str">
            <v>Eaton-Non Moving Stock</v>
          </cell>
        </row>
        <row r="364">
          <cell r="A364" t="str">
            <v>Y7-277300 (DILM32-01(230V50/60HZ)_x000D_
)</v>
          </cell>
          <cell r="B364" t="str">
            <v>Y7-277300(DILM32-01(230V50/60HZ)_x000D_
)</v>
          </cell>
          <cell r="C364" t="str">
            <v>EATON</v>
          </cell>
          <cell r="D364" t="str">
            <v>Eaton-Non Moving Stock</v>
          </cell>
        </row>
        <row r="365">
          <cell r="A365" t="str">
            <v>277292 (DILM32-01(230V50HZ,240V60HZ)	_x000D_
)</v>
          </cell>
          <cell r="B365" t="str">
            <v>277292(DILM32-01(230V50HZ,240V60HZ)	_x000D_
)</v>
          </cell>
          <cell r="C365" t="str">
            <v>EATON</v>
          </cell>
          <cell r="D365" t="str">
            <v>Eaton-Non Moving Stock</v>
          </cell>
        </row>
        <row r="366">
          <cell r="A366" t="str">
            <v>Y7-277306 (DILM32-01(RDC24)_x000D_
)</v>
          </cell>
          <cell r="B366" t="str">
            <v>Y7-277306(DILM32-01(RDC24)_x000D_
)</v>
          </cell>
          <cell r="C366" t="str">
            <v>EATON</v>
          </cell>
          <cell r="D366" t="str">
            <v>Eaton-Non Moving Stock</v>
          </cell>
        </row>
        <row r="367">
          <cell r="A367" t="str">
            <v>277268 (DILM32-10(230V50/60HZ))</v>
          </cell>
          <cell r="B367" t="str">
            <v>277268(DILM32-10(230V50/60HZ))</v>
          </cell>
          <cell r="C367" t="str">
            <v>EATON</v>
          </cell>
          <cell r="D367" t="str">
            <v>Eaton-Non Moving Stock</v>
          </cell>
        </row>
        <row r="368">
          <cell r="A368" t="str">
            <v>277260 (DILM32-10(230V50HZ,240V60HZ))</v>
          </cell>
          <cell r="B368" t="str">
            <v>277260(DILM32-10(230V50HZ,240V60HZ))</v>
          </cell>
          <cell r="C368" t="str">
            <v>EATON</v>
          </cell>
          <cell r="D368" t="str">
            <v>Eaton-Non Moving Stock</v>
          </cell>
        </row>
        <row r="369">
          <cell r="A369" t="str">
            <v>277274 (DILM32-10(RDC24)_x000D_
)</v>
          </cell>
          <cell r="B369" t="str">
            <v>277274(DILM32-10(RDC24)_x000D_
)</v>
          </cell>
          <cell r="C369" t="str">
            <v>EATON</v>
          </cell>
          <cell r="D369" t="str">
            <v>Eaton-Non Moving Stock</v>
          </cell>
        </row>
        <row r="370">
          <cell r="A370" t="str">
            <v>Y7-277376_x000D_
 (DILM32-XHI11_x000D_
)</v>
          </cell>
          <cell r="B370" t="str">
            <v>Y7-277376_x000D_
(DILM32-XHI11_x000D_
)</v>
          </cell>
          <cell r="C370" t="str">
            <v>EATON</v>
          </cell>
          <cell r="D370" t="str">
            <v>Eaton-Non Moving Stock</v>
          </cell>
        </row>
        <row r="371">
          <cell r="A371" t="str">
            <v>Y7-101371 (DILM32-XHI11-S)</v>
          </cell>
          <cell r="B371" t="str">
            <v>Y7-101371(DILM32-XHI11-S)</v>
          </cell>
          <cell r="C371" t="str">
            <v>EATON</v>
          </cell>
          <cell r="D371" t="str">
            <v>Eaton-Non Moving Stock</v>
          </cell>
        </row>
        <row r="372">
          <cell r="A372" t="str">
            <v>277377.0 (DILM32-XHI22)</v>
          </cell>
          <cell r="B372" t="str">
            <v>277377.0(DILM32-XHI22)</v>
          </cell>
          <cell r="C372" t="str">
            <v>EATON</v>
          </cell>
          <cell r="D372" t="str">
            <v>Eaton-Non Moving Stock</v>
          </cell>
        </row>
        <row r="373">
          <cell r="A373" t="str">
            <v>Y7-281203 (DILM32-XSPR240)</v>
          </cell>
          <cell r="B373" t="str">
            <v>Y7-281203(DILM32-XSPR240)</v>
          </cell>
          <cell r="C373" t="str">
            <v>EATON</v>
          </cell>
          <cell r="D373" t="str">
            <v>Eaton-Non Moving Stock</v>
          </cell>
        </row>
        <row r="374">
          <cell r="A374" t="str">
            <v>281214 (DILM32-XSPV240)</v>
          </cell>
          <cell r="B374" t="str">
            <v>281214(DILM32-XSPV240)</v>
          </cell>
          <cell r="C374" t="str">
            <v>EATON</v>
          </cell>
          <cell r="D374" t="str">
            <v>Eaton-Non Moving Stock</v>
          </cell>
        </row>
        <row r="375">
          <cell r="A375" t="str">
            <v>101441 (DILM32-XTEE 11)</v>
          </cell>
          <cell r="B375" t="str">
            <v>101441(DILM32-XTEE 11)</v>
          </cell>
          <cell r="C375" t="str">
            <v>EATON</v>
          </cell>
          <cell r="D375" t="str">
            <v>Eaton-Non Moving Stock</v>
          </cell>
        </row>
        <row r="376">
          <cell r="A376" t="str">
            <v>Y7-112470 (DILM38-01(RDC24)_x000D_
)</v>
          </cell>
          <cell r="B376" t="str">
            <v>Y7-112470(DILM38-01(RDC24)_x000D_
)</v>
          </cell>
          <cell r="C376" t="str">
            <v>EATON</v>
          </cell>
          <cell r="D376" t="str">
            <v>Eaton-Non Moving Stock</v>
          </cell>
        </row>
        <row r="377">
          <cell r="A377" t="str">
            <v>112442 (DILM38-10(RDC24)_x000D_
)</v>
          </cell>
          <cell r="B377" t="str">
            <v>112442(DILM38-10(RDC24)_x000D_
)</v>
          </cell>
          <cell r="C377" t="str">
            <v>EATON</v>
          </cell>
          <cell r="D377" t="str">
            <v>Eaton-Non Moving Stock</v>
          </cell>
        </row>
        <row r="378">
          <cell r="A378" t="str">
            <v>277765 (DILM40(220V50HZ,240V60HZ))</v>
          </cell>
          <cell r="B378" t="str">
            <v>277765(DILM40(220V50HZ,240V60HZ))</v>
          </cell>
          <cell r="C378" t="str">
            <v>EATON</v>
          </cell>
          <cell r="D378" t="str">
            <v>Eaton-Non Moving Stock</v>
          </cell>
        </row>
        <row r="379">
          <cell r="A379" t="str">
            <v>277774.0 (DILM40(230V50/60HZ))</v>
          </cell>
          <cell r="B379" t="str">
            <v>277774.0(DILM40(230V50/60HZ))</v>
          </cell>
          <cell r="C379" t="str">
            <v>EATON</v>
          </cell>
          <cell r="D379" t="str">
            <v>Eaton-Non Moving Stock</v>
          </cell>
        </row>
        <row r="380">
          <cell r="A380" t="str">
            <v>277766 (DILM40(230V50HZ,240V60HZ)	_x000D_
)</v>
          </cell>
          <cell r="B380" t="str">
            <v>277766(DILM40(230V50HZ,240V60HZ)	_x000D_
)</v>
          </cell>
          <cell r="C380" t="str">
            <v>EATON</v>
          </cell>
          <cell r="D380" t="str">
            <v>Eaton-Non Moving Stock</v>
          </cell>
        </row>
        <row r="381">
          <cell r="A381" t="str">
            <v>Y7-208213 (DILM500/22(RA250))</v>
          </cell>
          <cell r="B381" t="str">
            <v>Y7-208213(DILM500/22(RA250))</v>
          </cell>
          <cell r="C381" t="str">
            <v>EATON</v>
          </cell>
          <cell r="D381" t="str">
            <v>Eaton-Non Moving Stock</v>
          </cell>
        </row>
        <row r="382">
          <cell r="A382" t="str">
            <v>Y7-208286 (DILM500-XHB)</v>
          </cell>
          <cell r="B382" t="str">
            <v>Y7-208286(DILM500-XHB)</v>
          </cell>
          <cell r="C382" t="str">
            <v>EATON</v>
          </cell>
          <cell r="D382" t="str">
            <v>Eaton-Non Moving Stock</v>
          </cell>
        </row>
        <row r="383">
          <cell r="A383" t="str">
            <v>277836 (DILM50(110V50/60HZ))</v>
          </cell>
          <cell r="B383" t="str">
            <v>277836(DILM50(110V50/60HZ))</v>
          </cell>
          <cell r="C383" t="str">
            <v>EATON</v>
          </cell>
          <cell r="D383" t="str">
            <v>Eaton-Non Moving Stock</v>
          </cell>
        </row>
        <row r="384">
          <cell r="A384" t="str">
            <v>277838 (DILM50(230V50/60HZ))</v>
          </cell>
          <cell r="B384" t="str">
            <v>277838(DILM50(230V50/60HZ))</v>
          </cell>
          <cell r="C384" t="str">
            <v>EATON</v>
          </cell>
          <cell r="D384" t="str">
            <v>Eaton-Non Moving Stock</v>
          </cell>
        </row>
        <row r="385">
          <cell r="A385" t="str">
            <v>Y7-277908 (DILM65(RDC24)_x000D_
)</v>
          </cell>
          <cell r="B385" t="str">
            <v>Y7-277908(DILM65(RDC24)_x000D_
)</v>
          </cell>
          <cell r="C385" t="str">
            <v>EATON</v>
          </cell>
          <cell r="D385" t="str">
            <v>Eaton-Non Moving Stock</v>
          </cell>
        </row>
        <row r="386">
          <cell r="A386" t="str">
            <v>276584 (DILM7-01(220V50HZ,240V60HZ)	_x000D_
)</v>
          </cell>
          <cell r="B386" t="str">
            <v>276584(DILM7-01(220V50HZ,240V60HZ)	_x000D_
)</v>
          </cell>
          <cell r="C386" t="str">
            <v>EATON</v>
          </cell>
          <cell r="D386" t="str">
            <v>Eaton-Non Moving Stock</v>
          </cell>
        </row>
        <row r="387">
          <cell r="A387" t="str">
            <v>Y7-276593 (DILM7-01(230V50/60HZ)_x000D_
)</v>
          </cell>
          <cell r="B387" t="str">
            <v>Y7-276593(DILM7-01(230V50/60HZ)_x000D_
)</v>
          </cell>
          <cell r="C387" t="str">
            <v>EATON</v>
          </cell>
          <cell r="D387" t="str">
            <v>Eaton-Non Moving Stock</v>
          </cell>
        </row>
        <row r="388">
          <cell r="A388" t="str">
            <v>Y7-276572 (DILM7-01(24V50HZ))</v>
          </cell>
          <cell r="B388" t="str">
            <v>Y7-276572(DILM7-01(24V50HZ))</v>
          </cell>
          <cell r="C388" t="str">
            <v>EATON</v>
          </cell>
          <cell r="D388" t="str">
            <v>Eaton-Non Moving Stock</v>
          </cell>
        </row>
        <row r="389">
          <cell r="A389" t="str">
            <v>276600 (DILM7-01(24VDC))</v>
          </cell>
          <cell r="B389" t="str">
            <v>276600(DILM7-01(24VDC))</v>
          </cell>
          <cell r="C389" t="str">
            <v>EATON</v>
          </cell>
          <cell r="D389" t="str">
            <v>Eaton-Non Moving Stock</v>
          </cell>
        </row>
        <row r="390">
          <cell r="A390" t="str">
            <v>Y7-276547 (DILM7-10(110V50HZ,120V60HZ))</v>
          </cell>
          <cell r="B390" t="str">
            <v>Y7-276547(DILM7-10(110V50HZ,120V60HZ))</v>
          </cell>
          <cell r="C390" t="str">
            <v>EATON</v>
          </cell>
          <cell r="D390" t="str">
            <v>Eaton-Non Moving Stock</v>
          </cell>
        </row>
        <row r="391">
          <cell r="A391" t="str">
            <v>Y7-276558 (DILM7-10(230V50/60HZ)_x000D_
)</v>
          </cell>
          <cell r="B391" t="str">
            <v>Y7-276558(DILM7-10(230V50/60HZ)_x000D_
)</v>
          </cell>
          <cell r="C391" t="str">
            <v>EATON</v>
          </cell>
          <cell r="D391" t="str">
            <v>Eaton-Non Moving Stock</v>
          </cell>
        </row>
        <row r="392">
          <cell r="A392" t="str">
            <v>276550 (DILM7-10(230V50HZ,240V60HZ)	_x000D_
)</v>
          </cell>
          <cell r="B392" t="str">
            <v>276550(DILM7-10(230V50HZ,240V60HZ)	_x000D_
)</v>
          </cell>
          <cell r="C392" t="str">
            <v>EATON</v>
          </cell>
          <cell r="D392" t="str">
            <v>Eaton-Non Moving Stock</v>
          </cell>
        </row>
        <row r="393">
          <cell r="A393" t="str">
            <v>276537 (DILM7-10(24V50HZ))</v>
          </cell>
          <cell r="B393" t="str">
            <v>276537(DILM7-10(24V50HZ))</v>
          </cell>
          <cell r="C393" t="str">
            <v>EATON</v>
          </cell>
          <cell r="D393" t="str">
            <v>Eaton-Non Moving Stock</v>
          </cell>
        </row>
        <row r="394">
          <cell r="A394" t="str">
            <v>Y7-239409 (DILM80(220V50/60HZ))</v>
          </cell>
          <cell r="B394" t="str">
            <v>Y7-239409(DILM80(220V50/60HZ))</v>
          </cell>
          <cell r="C394" t="str">
            <v>EATON</v>
          </cell>
          <cell r="D394" t="str">
            <v>Eaton-Non Moving Stock</v>
          </cell>
        </row>
        <row r="395">
          <cell r="A395" t="str">
            <v>239401 (DILM80(220V50HZ,240V60HZ))</v>
          </cell>
          <cell r="B395" t="str">
            <v>239401(DILM80(220V50HZ,240V60HZ))</v>
          </cell>
          <cell r="C395" t="str">
            <v>EATON</v>
          </cell>
          <cell r="D395" t="str">
            <v>Eaton-Non Moving Stock</v>
          </cell>
        </row>
        <row r="396">
          <cell r="A396" t="str">
            <v>239402 (DILM80(230V50HZ,240V60HZ))</v>
          </cell>
          <cell r="B396" t="str">
            <v>239402(DILM80(230V50HZ,240V60HZ))</v>
          </cell>
          <cell r="C396" t="str">
            <v>EATON</v>
          </cell>
          <cell r="D396" t="str">
            <v>Eaton-Non Moving Stock</v>
          </cell>
        </row>
        <row r="397">
          <cell r="A397" t="str">
            <v>239410 (DILM80(230VAC))</v>
          </cell>
          <cell r="B397" t="str">
            <v>239410(DILM80(230VAC))</v>
          </cell>
          <cell r="C397" t="str">
            <v>EATON</v>
          </cell>
          <cell r="D397" t="str">
            <v>Eaton-Non Moving Stock</v>
          </cell>
        </row>
        <row r="398">
          <cell r="A398" t="str">
            <v>Y7-235910 (DILM80(240V50HZ)_x000D_
)</v>
          </cell>
          <cell r="B398" t="str">
            <v>Y7-235910(DILM80(240V50HZ)_x000D_
)</v>
          </cell>
          <cell r="C398" t="str">
            <v>EATON</v>
          </cell>
          <cell r="D398" t="str">
            <v>Eaton-Non Moving Stock</v>
          </cell>
        </row>
        <row r="399">
          <cell r="A399" t="str">
            <v>DILM 820 (DILM 820/ 22 (RA 250))</v>
          </cell>
          <cell r="B399" t="str">
            <v>DILM 820(DILM 820/ 22 (RA 250))</v>
          </cell>
          <cell r="C399" t="str">
            <v>EATON</v>
          </cell>
          <cell r="D399" t="str">
            <v>Eaton-Non Moving Stock</v>
          </cell>
        </row>
        <row r="400">
          <cell r="A400" t="str">
            <v>276724 (DILM9-01(220V50HZ,240V60HZ))</v>
          </cell>
          <cell r="B400" t="str">
            <v>276724(DILM9-01(220V50HZ,240V60HZ))</v>
          </cell>
          <cell r="C400" t="str">
            <v>EATON</v>
          </cell>
          <cell r="D400" t="str">
            <v>Eaton-Non Moving Stock</v>
          </cell>
        </row>
        <row r="401">
          <cell r="A401" t="str">
            <v>276733 (DILM9-01(230V50/60HZ))</v>
          </cell>
          <cell r="B401" t="str">
            <v>276733(DILM9-01(230V50/60HZ))</v>
          </cell>
          <cell r="C401" t="str">
            <v>EATON</v>
          </cell>
          <cell r="D401" t="str">
            <v>Eaton-Non Moving Stock</v>
          </cell>
        </row>
        <row r="402">
          <cell r="A402" t="str">
            <v>276712 (DILM9-01(24V50HZ))</v>
          </cell>
          <cell r="B402" t="str">
            <v>276712(DILM9-01(24V50HZ))</v>
          </cell>
          <cell r="C402" t="str">
            <v>EATON</v>
          </cell>
          <cell r="D402" t="str">
            <v>Eaton-Non Moving Stock</v>
          </cell>
        </row>
        <row r="403">
          <cell r="A403" t="str">
            <v>276740 (DILM9-01(24VDC)_x000D_
)</v>
          </cell>
          <cell r="B403" t="str">
            <v>276740(DILM9-01(24VDC)_x000D_
)</v>
          </cell>
          <cell r="C403" t="str">
            <v>EATON</v>
          </cell>
          <cell r="D403" t="str">
            <v>Eaton-Non Moving Stock</v>
          </cell>
        </row>
        <row r="404">
          <cell r="A404" t="str">
            <v>276689 (DILM9-10(220V50HZ,240V60HZ))</v>
          </cell>
          <cell r="B404" t="str">
            <v>276689(DILM9-10(220V50HZ,240V60HZ))</v>
          </cell>
          <cell r="C404" t="str">
            <v>EATON</v>
          </cell>
          <cell r="D404" t="str">
            <v>Eaton-Non Moving Stock</v>
          </cell>
        </row>
        <row r="405">
          <cell r="A405" t="str">
            <v>Y7-276698 (DILM9-10(230V50/60HZ))</v>
          </cell>
          <cell r="B405" t="str">
            <v>Y7-276698(DILM9-10(230V50/60HZ))</v>
          </cell>
          <cell r="C405" t="str">
            <v>EATON</v>
          </cell>
          <cell r="D405" t="str">
            <v>Eaton-Non Moving Stock</v>
          </cell>
        </row>
        <row r="406">
          <cell r="A406" t="str">
            <v>239480 (DILM95(230V50HZ,240V60HZ)	_x000D_
)</v>
          </cell>
          <cell r="B406" t="str">
            <v>239480(DILM95(230V50HZ,240V60HZ)	_x000D_
)</v>
          </cell>
          <cell r="C406" t="str">
            <v>EATON</v>
          </cell>
          <cell r="D406" t="str">
            <v>Eaton-Non Moving Stock</v>
          </cell>
        </row>
        <row r="407">
          <cell r="A407" t="str">
            <v>Y7-239469 (DILM95(240V50HZ)_x000D_
)</v>
          </cell>
          <cell r="B407" t="str">
            <v>Y7-239469(DILM95(240V50HZ)_x000D_
)</v>
          </cell>
          <cell r="C407" t="str">
            <v>EATON</v>
          </cell>
          <cell r="D407" t="str">
            <v>Eaton-Non Moving Stock</v>
          </cell>
        </row>
        <row r="408">
          <cell r="A408" t="str">
            <v>100422 (DILM95-XCT	_x000D_
)</v>
          </cell>
          <cell r="B408" t="str">
            <v>100422(DILM95-XCT	_x000D_
)</v>
          </cell>
          <cell r="C408" t="str">
            <v>EATON</v>
          </cell>
          <cell r="D408" t="str">
            <v>Eaton-Non Moving Stock</v>
          </cell>
        </row>
        <row r="409">
          <cell r="A409" t="str">
            <v>230061 (DILM95-XSP (220V50HZ,240V60HZ)	_x000D_
)</v>
          </cell>
          <cell r="B409" t="str">
            <v>230061(DILM95-XSP(220V50HZ,240V60HZ)	_x000D_
)</v>
          </cell>
          <cell r="C409" t="str">
            <v>EATON</v>
          </cell>
          <cell r="D409" t="str">
            <v>Eaton-Non Moving Stock</v>
          </cell>
        </row>
        <row r="410">
          <cell r="A410" t="str">
            <v>281218 (DILM95-XSPV240)</v>
          </cell>
          <cell r="B410" t="str">
            <v>281218(DILM95-XSPV240)</v>
          </cell>
          <cell r="C410" t="str">
            <v>EATON</v>
          </cell>
          <cell r="D410" t="str">
            <v>Eaton-Non Moving Stock</v>
          </cell>
        </row>
        <row r="411">
          <cell r="A411" t="str">
            <v>277549 (DILMC12-01(230V50HZ,240V60HZ))</v>
          </cell>
          <cell r="B411" t="str">
            <v>277549(DILMC12-01(230V50HZ,240V60HZ))</v>
          </cell>
          <cell r="C411" t="str">
            <v>EATON</v>
          </cell>
          <cell r="D411" t="str">
            <v>Eaton-Non Moving Stock</v>
          </cell>
        </row>
        <row r="412">
          <cell r="A412" t="str">
            <v>277564 (DILMC12-01(24VDC)_x000D_
)</v>
          </cell>
          <cell r="B412" t="str">
            <v>277564(DILMC12-01(24VDC)_x000D_
)</v>
          </cell>
          <cell r="C412" t="str">
            <v>EATON</v>
          </cell>
          <cell r="D412" t="str">
            <v>Eaton-Non Moving Stock</v>
          </cell>
        </row>
        <row r="413">
          <cell r="A413" t="str">
            <v>293926 (DILMC15-10(24VDC))</v>
          </cell>
          <cell r="B413" t="str">
            <v>293926(DILMC15-10(24VDC))</v>
          </cell>
          <cell r="C413" t="str">
            <v>EATON</v>
          </cell>
          <cell r="D413" t="str">
            <v>Eaton-Non Moving Stock</v>
          </cell>
        </row>
        <row r="414">
          <cell r="A414" t="str">
            <v>Y7-277625_x000D_
 (DILMC17-01(RDC24)_x000D_
)</v>
          </cell>
          <cell r="B414" t="str">
            <v>Y7-277625_x000D_
(DILMC17-01(RDC24)_x000D_
)</v>
          </cell>
          <cell r="C414" t="str">
            <v>EATON</v>
          </cell>
          <cell r="D414" t="str">
            <v>Eaton-Non Moving Stock</v>
          </cell>
        </row>
        <row r="415">
          <cell r="A415" t="str">
            <v>Y7-277648 (DILMC25-10(220V50/60HZ))</v>
          </cell>
          <cell r="B415" t="str">
            <v>Y7-277648(DILMC25-10(220V50/60HZ))</v>
          </cell>
          <cell r="C415" t="str">
            <v>EATON</v>
          </cell>
          <cell r="D415" t="str">
            <v>Eaton-Non Moving Stock</v>
          </cell>
        </row>
        <row r="416">
          <cell r="A416" t="str">
            <v>277500 (DILMC9-01(24VDC))</v>
          </cell>
          <cell r="B416" t="str">
            <v>277500(DILMC9-01(24VDC))</v>
          </cell>
          <cell r="C416" t="str">
            <v>EATON</v>
          </cell>
          <cell r="D416" t="str">
            <v>Eaton-Non Moving Stock</v>
          </cell>
        </row>
        <row r="417">
          <cell r="A417" t="str">
            <v xml:space="preserve">DILMC9-10(24VDC)277468_x000D_
</v>
          </cell>
          <cell r="B417" t="str">
            <v xml:space="preserve">DILMC9-10(24VDC)277468_x000D_
</v>
          </cell>
          <cell r="C417" t="str">
            <v>EATON</v>
          </cell>
          <cell r="D417" t="str">
            <v>Eaton-Non Moving Stock</v>
          </cell>
        </row>
        <row r="418">
          <cell r="A418" t="str">
            <v>10213 (DILM-EM-10-G (24VDC))</v>
          </cell>
          <cell r="B418" t="str">
            <v>10213(DILM-EM-10-G (24VDC))</v>
          </cell>
          <cell r="C418" t="str">
            <v>EATON</v>
          </cell>
          <cell r="D418" t="str">
            <v>Eaton-Non Moving Stock</v>
          </cell>
        </row>
        <row r="419">
          <cell r="A419" t="str">
            <v>Y7-276985 (DILMP20(24VDC)_x000D_
)</v>
          </cell>
          <cell r="B419" t="str">
            <v>Y7-276985(DILMP20(24VDC)_x000D_
)</v>
          </cell>
          <cell r="C419" t="str">
            <v>EATON</v>
          </cell>
          <cell r="D419" t="str">
            <v>Eaton-Non Moving Stock</v>
          </cell>
        </row>
        <row r="420">
          <cell r="A420" t="str">
            <v>43780 (DILR22 220v50Hz,240v60Hz)</v>
          </cell>
          <cell r="B420" t="str">
            <v>43780(DILR22 220v50Hz,240v60Hz)</v>
          </cell>
          <cell r="C420" t="str">
            <v>EATON</v>
          </cell>
          <cell r="D420" t="str">
            <v>Eaton-Non Moving Stock</v>
          </cell>
        </row>
        <row r="421">
          <cell r="A421" t="str">
            <v>22693 (DILR40 24v50/60Hz)</v>
          </cell>
          <cell r="B421" t="str">
            <v>22693(DILR40 24v50/60Hz)</v>
          </cell>
          <cell r="C421" t="str">
            <v>EATON</v>
          </cell>
          <cell r="D421" t="str">
            <v>Eaton-Non Moving Stock</v>
          </cell>
        </row>
        <row r="422">
          <cell r="A422" t="str">
            <v>CHCC1DIU (DIN RAIL FUSE  HOLDER 30A 600VAC SCREW)</v>
          </cell>
          <cell r="B422" t="str">
            <v>CHCC1DIU(DIN RAIL FUSE  HOLDER 30A 600VAC SCREW)</v>
          </cell>
          <cell r="C422" t="str">
            <v>EATON</v>
          </cell>
          <cell r="D422" t="str">
            <v>Eaton-Non Moving Stock</v>
          </cell>
        </row>
        <row r="423">
          <cell r="A423" t="str">
            <v>Y7-278261 (DIULM65/11(230V50HZ,240V60HZ))</v>
          </cell>
          <cell r="B423" t="str">
            <v>Y7-278261(DIULM65/11(230V50HZ,240V60HZ))</v>
          </cell>
          <cell r="C423" t="str">
            <v>EATON</v>
          </cell>
          <cell r="D423" t="str">
            <v>Eaton-Non Moving Stock</v>
          </cell>
        </row>
        <row r="424">
          <cell r="A424" t="str">
            <v>Y7-172794 (DMM-160/3-I5/P-R)</v>
          </cell>
          <cell r="B424" t="str">
            <v>Y7-172794(DMM-160/3-I5/P-R)</v>
          </cell>
          <cell r="C424" t="str">
            <v>EATON</v>
          </cell>
          <cell r="D424" t="str">
            <v>Eaton-Non Moving Stock</v>
          </cell>
        </row>
        <row r="425">
          <cell r="A425" t="str">
            <v>Y7-1241957 (DMM-B-44/100 BUSSMANN SERIES DMM-B FUSE)</v>
          </cell>
          <cell r="B425" t="str">
            <v>Y7-1241957(DMM-B-44/100 BUSSMANN SERIES DMM-B FUSE)</v>
          </cell>
          <cell r="C425" t="str">
            <v>EATON</v>
          </cell>
          <cell r="D425" t="str">
            <v>Eaton-Non Moving Stock</v>
          </cell>
        </row>
        <row r="426">
          <cell r="A426" t="str">
            <v>Y7-134913_x000D_
 (DS7-340SX024N0-N_x000D_
)</v>
          </cell>
          <cell r="B426" t="str">
            <v>Y7-134913_x000D_
(DS7-340SX024N0-N_x000D_
)</v>
          </cell>
          <cell r="C426" t="str">
            <v>EATON</v>
          </cell>
          <cell r="D426" t="str">
            <v>Eaton-Non Moving Stock</v>
          </cell>
        </row>
        <row r="427">
          <cell r="A427" t="str">
            <v>Y7-212319 (EASY400-POW)</v>
          </cell>
          <cell r="B427" t="str">
            <v>Y7-212319(EASY400-POW)</v>
          </cell>
          <cell r="C427" t="str">
            <v>EATON</v>
          </cell>
          <cell r="D427" t="str">
            <v>Eaton-Non Moving Stock</v>
          </cell>
        </row>
        <row r="428">
          <cell r="A428" t="str">
            <v>274119 (EASY 719-DC-RC)</v>
          </cell>
          <cell r="B428" t="str">
            <v>274119(EASY 719-DC-RC)</v>
          </cell>
          <cell r="C428" t="str">
            <v>EATON</v>
          </cell>
          <cell r="D428" t="str">
            <v>Eaton-Non Moving Stock</v>
          </cell>
        </row>
        <row r="429">
          <cell r="A429" t="str">
            <v>Y7-256275 (EASY822-DC-TC_x000D_
)</v>
          </cell>
          <cell r="B429" t="str">
            <v>Y7-256275(EASY822-DC-TC_x000D_
)</v>
          </cell>
          <cell r="C429" t="str">
            <v>EATON</v>
          </cell>
          <cell r="D429" t="str">
            <v>Eaton-Non Moving Stock</v>
          </cell>
        </row>
        <row r="430">
          <cell r="A430" t="str">
            <v>91453000IN (EATON 3KVA Tower With Built in Batteries UPS)</v>
          </cell>
          <cell r="B430" t="str">
            <v>91453000IN(EATON 3KVA Tower With Built in Batteries UPS)</v>
          </cell>
          <cell r="C430" t="str">
            <v>EATON</v>
          </cell>
          <cell r="D430" t="str">
            <v>Eaton-Non Moving Stock</v>
          </cell>
        </row>
        <row r="431">
          <cell r="A431" t="str">
            <v>ZS033D2012 (Eaton-9E6K-IN)</v>
          </cell>
          <cell r="B431" t="str">
            <v>ZS033D2012(Eaton-9E6K-IN)</v>
          </cell>
          <cell r="C431" t="str">
            <v>EATON</v>
          </cell>
          <cell r="D431" t="str">
            <v>Eaton-Non Moving Stock</v>
          </cell>
        </row>
        <row r="432">
          <cell r="A432" t="str">
            <v>190702-9789005 (EATON 9E-IN 1000, 1KVA Tower Mount UPS)</v>
          </cell>
          <cell r="B432" t="str">
            <v>190702-9789005(EATON 9E-IN 1000, 1KVA Tower Mount UPS)</v>
          </cell>
          <cell r="C432" t="str">
            <v>EATON</v>
          </cell>
          <cell r="D432" t="str">
            <v>Eaton-Non Moving Stock</v>
          </cell>
        </row>
        <row r="433">
          <cell r="A433" t="str">
            <v>Demo Kit (Eaton Contactor Demo Kit Box)</v>
          </cell>
          <cell r="B433" t="str">
            <v>Demo Kit(Eaton Contactor Demo Kit Box)</v>
          </cell>
          <cell r="C433" t="str">
            <v>EATON</v>
          </cell>
          <cell r="D433" t="str">
            <v>Eaton-Non Moving Stock</v>
          </cell>
        </row>
        <row r="434">
          <cell r="A434" t="str">
            <v>Y7-276690 (EATON DILM9-10 X START CONTACTOR)</v>
          </cell>
          <cell r="B434" t="str">
            <v>Y7-276690(EATON DILM9-10 X START CONTACTOR)</v>
          </cell>
          <cell r="C434" t="str">
            <v>EATON</v>
          </cell>
          <cell r="D434" t="str">
            <v>Eaton-Non Moving Stock</v>
          </cell>
        </row>
        <row r="435">
          <cell r="A435" t="str">
            <v>278435 (EATON O/L Relay 0.6 to 1.0 AMP ZB12-1)</v>
          </cell>
          <cell r="B435" t="str">
            <v>278435(EATON O/L Relay 0.6 to 1.0 AMP ZB12-1)</v>
          </cell>
          <cell r="C435" t="str">
            <v>EATON</v>
          </cell>
          <cell r="D435" t="str">
            <v>Eaton-Non Moving Stock</v>
          </cell>
        </row>
        <row r="436">
          <cell r="A436" t="str">
            <v>Display Kit (Eaton Push Button Display Kit)</v>
          </cell>
          <cell r="B436" t="str">
            <v>Display Kit(Eaton Push Button Display Kit)</v>
          </cell>
          <cell r="C436" t="str">
            <v>EATON</v>
          </cell>
          <cell r="D436" t="str">
            <v>Eaton-Non Moving Stock</v>
          </cell>
        </row>
        <row r="437">
          <cell r="A437" t="str">
            <v>EHMVD24R (EHMVD24R EG VARI DEPTH PACKED STYLE)</v>
          </cell>
          <cell r="B437" t="str">
            <v>EHMVD24R(EHMVD24R EG VARI DEPTH PACKED STYLE)</v>
          </cell>
          <cell r="C437" t="str">
            <v>EATON</v>
          </cell>
          <cell r="D437" t="str">
            <v>Eaton-Non Moving Stock</v>
          </cell>
        </row>
        <row r="438">
          <cell r="A438" t="str">
            <v>Y7-134224 (EMR5-AW500-1-D_x000D_
)</v>
          </cell>
          <cell r="B438" t="str">
            <v>Y7-134224(EMR5-AW500-1-D_x000D_
)</v>
          </cell>
          <cell r="C438" t="str">
            <v>EATON</v>
          </cell>
          <cell r="D438" t="str">
            <v>Eaton-Non Moving Stock</v>
          </cell>
        </row>
        <row r="439">
          <cell r="A439" t="str">
            <v>134235 (EMR5-AWM580-2_x000D_
)</v>
          </cell>
          <cell r="B439" t="str">
            <v>134235(EMR5-AWM580-2_x000D_
)</v>
          </cell>
          <cell r="C439" t="str">
            <v>EATON</v>
          </cell>
          <cell r="D439" t="str">
            <v>Eaton-Non Moving Stock</v>
          </cell>
        </row>
        <row r="440">
          <cell r="A440" t="str">
            <v>Y7-184764 (EMR6-AW500-D-1)</v>
          </cell>
          <cell r="B440" t="str">
            <v>Y7-184764(EMR6-AW500-D-1)</v>
          </cell>
          <cell r="C440" t="str">
            <v>EATON</v>
          </cell>
          <cell r="D440" t="str">
            <v>Eaton-Non Moving Stock</v>
          </cell>
        </row>
        <row r="441">
          <cell r="A441" t="str">
            <v>Y7-192395 (EMS2-DO-T-9-24VDC)</v>
          </cell>
          <cell r="B441" t="str">
            <v>Y7-192395(EMS2-DO-T-9-24VDC)</v>
          </cell>
          <cell r="C441" t="str">
            <v>EATON</v>
          </cell>
          <cell r="D441" t="str">
            <v>Eaton-Non Moving Stock</v>
          </cell>
        </row>
        <row r="442">
          <cell r="A442" t="str">
            <v>Y7-66166_x000D_
 (EMT6_x000D_
)</v>
          </cell>
          <cell r="B442" t="str">
            <v>Y7-66166_x000D_(EMT6_x000D_)</v>
          </cell>
          <cell r="C442" t="str">
            <v>EATON</v>
          </cell>
          <cell r="D442" t="str">
            <v>Eaton-Non Moving Stock</v>
          </cell>
        </row>
        <row r="443">
          <cell r="A443" t="str">
            <v>Y7-269470 (EMT6-K_x000D_
)</v>
          </cell>
          <cell r="B443" t="str">
            <v>Y7-269470(EMT6-K_x000D_
)</v>
          </cell>
          <cell r="C443" t="str">
            <v>EATON</v>
          </cell>
          <cell r="D443" t="str">
            <v>Eaton-Non Moving Stock</v>
          </cell>
        </row>
        <row r="444">
          <cell r="A444" t="str">
            <v>Y7-72907 (E-PKZ0-G_x000D_
)</v>
          </cell>
          <cell r="B444" t="str">
            <v>Y7-72907(E-PKZ0-G_x000D_
)</v>
          </cell>
          <cell r="C444" t="str">
            <v>EATON</v>
          </cell>
          <cell r="D444" t="str">
            <v>Eaton-Non Moving Stock</v>
          </cell>
        </row>
        <row r="445">
          <cell r="A445" t="str">
            <v>Y7-118701_x000D_
 (ESR5-NO-41-24VAC-DC_x000D_
)</v>
          </cell>
          <cell r="B445" t="str">
            <v>Y7-118701_x000D_
(ESR5-NO-41-24VAC-DC_x000D_
)</v>
          </cell>
          <cell r="C445" t="str">
            <v>EATON</v>
          </cell>
          <cell r="D445" t="str">
            <v>Eaton-Non Moving Stock</v>
          </cell>
        </row>
        <row r="446">
          <cell r="A446" t="str">
            <v>Y7-118705_x000D_
 (ESR5-NV3-30_x000D_
)</v>
          </cell>
          <cell r="B446" t="str">
            <v>Y7-118705_x000D_
(ESR5-NV3-30_x000D_
)</v>
          </cell>
          <cell r="C446" t="str">
            <v>EATON</v>
          </cell>
          <cell r="D446" t="str">
            <v>Eaton-Non Moving Stock</v>
          </cell>
        </row>
        <row r="447">
          <cell r="A447" t="str">
            <v>Y7-262684 (ETR2-11_x000D_
)</v>
          </cell>
          <cell r="B447" t="str">
            <v>Y7-262684(ETR2-11_x000D_
)</v>
          </cell>
          <cell r="C447" t="str">
            <v>EATON</v>
          </cell>
          <cell r="D447" t="str">
            <v>Eaton-Non Moving Stock</v>
          </cell>
        </row>
        <row r="448">
          <cell r="A448" t="str">
            <v>Y7-31884 (ETR4-51-A_x000D_
)</v>
          </cell>
          <cell r="B448" t="str">
            <v>Y7-31884(ETR4-51-A_x000D_
)</v>
          </cell>
          <cell r="C448" t="str">
            <v>EATON</v>
          </cell>
          <cell r="D448" t="str">
            <v>Eaton-Non Moving Stock</v>
          </cell>
        </row>
        <row r="449">
          <cell r="A449" t="str">
            <v>Y7-31888_x000D_
 (ETR4-70-A_x000D_
)</v>
          </cell>
          <cell r="B449" t="str">
            <v>Y7-31888_x000D_
(ETR4-70-A_x000D_
)</v>
          </cell>
          <cell r="C449" t="str">
            <v>EATON</v>
          </cell>
          <cell r="D449" t="str">
            <v>Eaton-Non Moving Stock</v>
          </cell>
        </row>
        <row r="450">
          <cell r="A450" t="str">
            <v>229753 (FAK-IU)</v>
          </cell>
          <cell r="B450" t="str">
            <v>229753(FAK-IU)</v>
          </cell>
          <cell r="C450" t="str">
            <v>EATON</v>
          </cell>
          <cell r="D450" t="str">
            <v>Eaton-Non Moving Stock</v>
          </cell>
        </row>
        <row r="451">
          <cell r="A451" t="str">
            <v>229746 (FAK-R/KC11/I)</v>
          </cell>
          <cell r="B451" t="str">
            <v>229746(FAK-R/KC11/I)</v>
          </cell>
          <cell r="C451" t="str">
            <v>EATON</v>
          </cell>
          <cell r="D451" t="str">
            <v>Eaton-Non Moving Stock</v>
          </cell>
        </row>
        <row r="452">
          <cell r="A452" t="str">
            <v>229748 (FAK-R/V/KC11/IY)</v>
          </cell>
          <cell r="B452" t="str">
            <v>229748(FAK-R/V/KC11/IY)</v>
          </cell>
          <cell r="C452" t="str">
            <v>EATON</v>
          </cell>
          <cell r="D452" t="str">
            <v>Eaton-Non Moving Stock</v>
          </cell>
        </row>
        <row r="453">
          <cell r="A453" t="str">
            <v>229754 (FAK-Y)</v>
          </cell>
          <cell r="B453" t="str">
            <v>229754(FAK-Y)</v>
          </cell>
          <cell r="C453" t="str">
            <v>EATON</v>
          </cell>
          <cell r="D453" t="str">
            <v>Eaton-Non Moving Stock</v>
          </cell>
        </row>
        <row r="454">
          <cell r="A454" t="str">
            <v>Y7-132703 (FAZ-B13/2-NA)</v>
          </cell>
          <cell r="B454" t="str">
            <v>Y7-132703(FAZ-B13/2-NA)</v>
          </cell>
          <cell r="C454" t="str">
            <v>EATON</v>
          </cell>
          <cell r="D454" t="str">
            <v>Eaton-Non Moving Stock</v>
          </cell>
        </row>
        <row r="455">
          <cell r="A455" t="str">
            <v>278850 (FAZ-B32/3)</v>
          </cell>
          <cell r="B455" t="str">
            <v>278850(FAZ-B32/3)</v>
          </cell>
          <cell r="C455" t="str">
            <v>EATON</v>
          </cell>
          <cell r="D455" t="str">
            <v>Eaton-Non Moving Stock</v>
          </cell>
        </row>
        <row r="456">
          <cell r="A456" t="str">
            <v>Y7-278743 (FAZ-C0,5/2)</v>
          </cell>
          <cell r="B456" t="str">
            <v>Y7-278743(FAZ-C0,5/2)</v>
          </cell>
          <cell r="C456" t="str">
            <v>EATON</v>
          </cell>
          <cell r="D456" t="str">
            <v>Eaton-Non Moving Stock</v>
          </cell>
        </row>
        <row r="457">
          <cell r="A457" t="str">
            <v>Y7-278557 (FAZ-C10/1_x000D_
)</v>
          </cell>
          <cell r="B457" t="str">
            <v>Y7-278557(FAZ-C10/1_x000D_
)</v>
          </cell>
          <cell r="C457" t="str">
            <v>EATON</v>
          </cell>
          <cell r="D457" t="str">
            <v>Eaton-Non Moving Stock</v>
          </cell>
        </row>
        <row r="458">
          <cell r="A458" t="str">
            <v>Y7-102087 (FAZ-C10/1-NA)</v>
          </cell>
          <cell r="B458" t="str">
            <v>Y7-102087(FAZ-C10/1-NA)</v>
          </cell>
          <cell r="C458" t="str">
            <v>EATON</v>
          </cell>
          <cell r="D458" t="str">
            <v>Eaton-Non Moving Stock</v>
          </cell>
        </row>
        <row r="459">
          <cell r="A459" t="str">
            <v>Y7-278756_x000D_
 (FAZ-C10/2_x000D_
)</v>
          </cell>
          <cell r="B459" t="str">
            <v>Y7-278756_x000D_
(FAZ-C10/2_x000D_
)</v>
          </cell>
          <cell r="C459" t="str">
            <v>EATON</v>
          </cell>
          <cell r="D459" t="str">
            <v>Eaton-Non Moving Stock</v>
          </cell>
        </row>
        <row r="460">
          <cell r="A460" t="str">
            <v>Y7-102167 (FAZ-C10/2-NA_x000D_
)</v>
          </cell>
          <cell r="B460" t="str">
            <v>Y7-102167(FAZ-C10/2-NA_x000D_
)</v>
          </cell>
          <cell r="C460" t="str">
            <v>EATON</v>
          </cell>
          <cell r="D460" t="str">
            <v>Eaton-Non Moving Stock</v>
          </cell>
        </row>
        <row r="461">
          <cell r="A461" t="str">
            <v>Y7-102207 (FAZ-C10/2-RT)</v>
          </cell>
          <cell r="B461" t="str">
            <v>Y7-102207(FAZ-C10/2-RT)</v>
          </cell>
          <cell r="C461" t="str">
            <v>EATON</v>
          </cell>
          <cell r="D461" t="str">
            <v>Eaton-Non Moving Stock</v>
          </cell>
        </row>
        <row r="462">
          <cell r="A462" t="str">
            <v>278869 (FAZ-C10/3_x000D_
)</v>
          </cell>
          <cell r="B462" t="str">
            <v>278869(FAZ-C10/3_x000D_
)</v>
          </cell>
          <cell r="C462" t="str">
            <v>EATON</v>
          </cell>
          <cell r="D462" t="str">
            <v>Eaton-Non Moving Stock</v>
          </cell>
        </row>
        <row r="463">
          <cell r="A463" t="str">
            <v>Y7-102247 (FAZ-C10/3-NA_x000D_
)</v>
          </cell>
          <cell r="B463" t="str">
            <v>Y7-102247(FAZ-C10/3-NA_x000D_
)</v>
          </cell>
          <cell r="C463" t="str">
            <v>EATON</v>
          </cell>
          <cell r="D463" t="str">
            <v>Eaton-Non Moving Stock</v>
          </cell>
        </row>
        <row r="464">
          <cell r="A464" t="str">
            <v>Y7-102078 (FAZ-C1/1-NA)</v>
          </cell>
          <cell r="B464" t="str">
            <v>Y7-102078(FAZ-C1/1-NA)</v>
          </cell>
          <cell r="C464" t="str">
            <v>EATON</v>
          </cell>
          <cell r="D464" t="str">
            <v>Eaton-Non Moving Stock</v>
          </cell>
        </row>
        <row r="465">
          <cell r="A465" t="str">
            <v>Y7-278745_x000D_
 (FAZ-C1/2_x000D_
)</v>
          </cell>
          <cell r="B465" t="str">
            <v>Y7-278745_x000D_
(FAZ-C1/2_x000D_
)</v>
          </cell>
          <cell r="C465" t="str">
            <v>EATON</v>
          </cell>
          <cell r="D465" t="str">
            <v>Eaton-Non Moving Stock</v>
          </cell>
        </row>
        <row r="466">
          <cell r="A466" t="str">
            <v>Y7-102158 (FAZ-C1/2-NA_x000D_
)</v>
          </cell>
          <cell r="B466" t="str">
            <v>Y7-102158(FAZ-C1/2-NA_x000D_
)</v>
          </cell>
          <cell r="C466" t="str">
            <v>EATON</v>
          </cell>
          <cell r="D466" t="str">
            <v>Eaton-Non Moving Stock</v>
          </cell>
        </row>
        <row r="467">
          <cell r="A467" t="str">
            <v>Y7-102168 (FAZ-C13/2-NA_x000D_
)</v>
          </cell>
          <cell r="B467" t="str">
            <v>Y7-102168(FAZ-C13/2-NA_x000D_
)</v>
          </cell>
          <cell r="C467" t="str">
            <v>EATON</v>
          </cell>
          <cell r="D467" t="str">
            <v>Eaton-Non Moving Stock</v>
          </cell>
        </row>
        <row r="468">
          <cell r="A468" t="str">
            <v>Y7-102248 (FAZ-C13/3-NA)</v>
          </cell>
          <cell r="B468" t="str">
            <v>Y7-102248(FAZ-C13/3-NA)</v>
          </cell>
          <cell r="C468" t="str">
            <v>EATON</v>
          </cell>
          <cell r="D468" t="str">
            <v>Eaton-Non Moving Stock</v>
          </cell>
        </row>
        <row r="469">
          <cell r="A469" t="str">
            <v>Y7-102238 (FAZ-C1/3-NA_x000D_
)</v>
          </cell>
          <cell r="B469" t="str">
            <v>Y7-102238(FAZ-C1/3-NA_x000D_
)</v>
          </cell>
          <cell r="C469" t="str">
            <v>EATON</v>
          </cell>
          <cell r="D469" t="str">
            <v>Eaton-Non Moving Stock</v>
          </cell>
        </row>
        <row r="470">
          <cell r="A470" t="str">
            <v>Y7-279046 (FAZ-C1/4)</v>
          </cell>
          <cell r="B470" t="str">
            <v>Y7-279046(FAZ-C1/4)</v>
          </cell>
          <cell r="C470" t="str">
            <v>EATON</v>
          </cell>
          <cell r="D470" t="str">
            <v>Eaton-Non Moving Stock</v>
          </cell>
        </row>
        <row r="471">
          <cell r="A471" t="str">
            <v>Y7-190917 (FAZ-C1/4-NA)</v>
          </cell>
          <cell r="B471" t="str">
            <v>Y7-190917(FAZ-C1/4-NA)</v>
          </cell>
          <cell r="C471" t="str">
            <v>EATON</v>
          </cell>
          <cell r="D471" t="str">
            <v>Eaton-Non Moving Stock</v>
          </cell>
        </row>
        <row r="472">
          <cell r="A472" t="str">
            <v>278673 (FAZ- C15/ 1N)</v>
          </cell>
          <cell r="B472" t="str">
            <v>278673(FAZ- C15/ 1N)</v>
          </cell>
          <cell r="C472" t="str">
            <v>EATON</v>
          </cell>
          <cell r="D472" t="str">
            <v>Eaton-Non Moving Stock</v>
          </cell>
        </row>
        <row r="473">
          <cell r="A473" t="str">
            <v>102169 (FAZ-C15/2-NA_x000D_
)</v>
          </cell>
          <cell r="B473" t="str">
            <v>102169(FAZ-C15/2-NA_x000D_
)</v>
          </cell>
          <cell r="C473" t="str">
            <v>EATON</v>
          </cell>
          <cell r="D473" t="str">
            <v>Eaton-Non Moving Stock</v>
          </cell>
        </row>
        <row r="474">
          <cell r="A474" t="str">
            <v>Y7-278760 (FAZ-C16/2)</v>
          </cell>
          <cell r="B474" t="str">
            <v>Y7-278760(FAZ-C16/2)</v>
          </cell>
          <cell r="C474" t="str">
            <v>EATON</v>
          </cell>
          <cell r="D474" t="str">
            <v>Eaton-Non Moving Stock</v>
          </cell>
        </row>
        <row r="475">
          <cell r="A475" t="str">
            <v>Y7-102170 (FAZ-C16/2-NA_x000D_
)</v>
          </cell>
          <cell r="B475" t="str">
            <v>Y7-102170(FAZ-C16/2-NA_x000D_
)</v>
          </cell>
          <cell r="C475" t="str">
            <v>EATON</v>
          </cell>
          <cell r="D475" t="str">
            <v>Eaton-Non Moving Stock</v>
          </cell>
        </row>
        <row r="476">
          <cell r="A476" t="str">
            <v>278873 (FAZ-C16/3_x000D_
)</v>
          </cell>
          <cell r="B476" t="str">
            <v>278873(FAZ-C16/3_x000D_
)</v>
          </cell>
          <cell r="C476" t="str">
            <v>EATON</v>
          </cell>
          <cell r="D476" t="str">
            <v>Eaton-Non Moving Stock</v>
          </cell>
        </row>
        <row r="477">
          <cell r="A477" t="str">
            <v>Y7-102250 (FAZ-C16/3-NA_x000D_
)</v>
          </cell>
          <cell r="B477" t="str">
            <v>Y7-102250(FAZ-C16/3-NA_x000D_
)</v>
          </cell>
          <cell r="C477" t="str">
            <v>EATON</v>
          </cell>
          <cell r="D477" t="str">
            <v>Eaton-Non Moving Stock</v>
          </cell>
        </row>
        <row r="478">
          <cell r="A478" t="str">
            <v>Y7-278562_x000D_
 (FAZ-C20/1_x000D_
)</v>
          </cell>
          <cell r="B478" t="str">
            <v>Y7-278562_x000D_
(FAZ-C20/1_x000D_
)</v>
          </cell>
          <cell r="C478" t="str">
            <v>EATON</v>
          </cell>
          <cell r="D478" t="str">
            <v>Eaton-Non Moving Stock</v>
          </cell>
        </row>
        <row r="479">
          <cell r="A479" t="str">
            <v>278675 (FAZ- C20/ 1N)</v>
          </cell>
          <cell r="B479" t="str">
            <v>278675(FAZ- C20/ 1N)</v>
          </cell>
          <cell r="C479" t="str">
            <v>EATON</v>
          </cell>
          <cell r="D479" t="str">
            <v>Eaton-Non Moving Stock</v>
          </cell>
        </row>
        <row r="480">
          <cell r="A480" t="str">
            <v>102171 (FAZ- C 20/2- NA)</v>
          </cell>
          <cell r="B480" t="str">
            <v>102171(FAZ- C 20/2- NA)</v>
          </cell>
          <cell r="C480" t="str">
            <v>EATON</v>
          </cell>
          <cell r="D480" t="str">
            <v>Eaton-Non Moving Stock</v>
          </cell>
        </row>
        <row r="481">
          <cell r="A481" t="str">
            <v>Y7-278549 (FAZ-C2/1_x000D_
)</v>
          </cell>
          <cell r="B481" t="str">
            <v>Y7-278549(FAZ-C2/1_x000D_
)</v>
          </cell>
          <cell r="C481" t="str">
            <v>EATON</v>
          </cell>
          <cell r="D481" t="str">
            <v>Eaton-Non Moving Stock</v>
          </cell>
        </row>
        <row r="482">
          <cell r="A482" t="str">
            <v>Y7-102080 (FAZ-C2/1-NA)</v>
          </cell>
          <cell r="B482" t="str">
            <v>Y7-102080(FAZ-C2/1-NA)</v>
          </cell>
          <cell r="C482" t="str">
            <v>EATON</v>
          </cell>
          <cell r="D482" t="str">
            <v>Eaton-Non Moving Stock</v>
          </cell>
        </row>
        <row r="483">
          <cell r="A483" t="str">
            <v>Y7-102160 (FAZ-C2/2-NA_x000D_
)</v>
          </cell>
          <cell r="B483" t="str">
            <v>Y7-102160(FAZ-C2/2-NA_x000D_
)</v>
          </cell>
          <cell r="C483" t="str">
            <v>EATON</v>
          </cell>
          <cell r="D483" t="str">
            <v>Eaton-Non Moving Stock</v>
          </cell>
        </row>
        <row r="484">
          <cell r="A484" t="str">
            <v>Y7-102240 (FAZ-C2/3-NA_x000D_
)</v>
          </cell>
          <cell r="B484" t="str">
            <v>Y7-102240(FAZ-C2/3-NA_x000D_
)</v>
          </cell>
          <cell r="C484" t="str">
            <v>EATON</v>
          </cell>
          <cell r="D484" t="str">
            <v>Eaton-Non Moving Stock</v>
          </cell>
        </row>
        <row r="485">
          <cell r="A485" t="str">
            <v>Y7-279049 (FAZ-C2/4_x000D_
)</v>
          </cell>
          <cell r="B485" t="str">
            <v>Y7-279049(FAZ-C2/4_x000D_
)</v>
          </cell>
          <cell r="C485" t="str">
            <v>EATON</v>
          </cell>
          <cell r="D485" t="str">
            <v>Eaton-Non Moving Stock</v>
          </cell>
        </row>
        <row r="486">
          <cell r="A486" t="str">
            <v>Y7-190919 (FAZ-C2/4-NA)</v>
          </cell>
          <cell r="B486" t="str">
            <v>Y7-190919(FAZ-C2/4-NA)</v>
          </cell>
          <cell r="C486" t="str">
            <v>EATON</v>
          </cell>
          <cell r="D486" t="str">
            <v>Eaton-Non Moving Stock</v>
          </cell>
        </row>
        <row r="487">
          <cell r="A487" t="str">
            <v>Y7-102252 (FAZ-C25/3-NA_x000D_
)</v>
          </cell>
          <cell r="B487" t="str">
            <v>Y7-102252(FAZ-C25/3-NA_x000D_
)</v>
          </cell>
          <cell r="C487" t="str">
            <v>EATON</v>
          </cell>
          <cell r="D487" t="str">
            <v>Eaton-Non Moving Stock</v>
          </cell>
        </row>
        <row r="488">
          <cell r="A488" t="str">
            <v>278876 (FAZ-C32/3_x000D_
)</v>
          </cell>
          <cell r="B488" t="str">
            <v>278876(FAZ-C32/3_x000D_
)</v>
          </cell>
          <cell r="C488" t="str">
            <v>EATON</v>
          </cell>
          <cell r="D488" t="str">
            <v>Eaton-Non Moving Stock</v>
          </cell>
        </row>
        <row r="489">
          <cell r="A489" t="str">
            <v>Y7-102254 (FAZ-C32/3-NA_x000D_
)</v>
          </cell>
          <cell r="B489" t="str">
            <v>Y7-102254(FAZ-C32/3-NA_x000D_
)</v>
          </cell>
          <cell r="C489" t="str">
            <v>EATON</v>
          </cell>
          <cell r="D489" t="str">
            <v>Eaton-Non Moving Stock</v>
          </cell>
        </row>
        <row r="490">
          <cell r="A490" t="str">
            <v>Y7-102161 (FAZ-C3/2-NA)</v>
          </cell>
          <cell r="B490" t="str">
            <v>Y7-102161(FAZ-C3/2-NA)</v>
          </cell>
          <cell r="C490" t="str">
            <v>EATON</v>
          </cell>
          <cell r="D490" t="str">
            <v>Eaton-Non Moving Stock</v>
          </cell>
        </row>
        <row r="491">
          <cell r="A491" t="str">
            <v>Y7-102256 (FAZ-C40/3-NA_x000D_
)</v>
          </cell>
          <cell r="B491" t="str">
            <v>Y7-102256(FAZ-C40/3-NA_x000D_
)</v>
          </cell>
          <cell r="C491" t="str">
            <v>EATON</v>
          </cell>
          <cell r="D491" t="str">
            <v>Eaton-Non Moving Stock</v>
          </cell>
        </row>
        <row r="492">
          <cell r="A492" t="str">
            <v>Y7-278553_x000D_
 (FAZ-C4/1_x000D_
)</v>
          </cell>
          <cell r="B492" t="str">
            <v>Y7-278553_x000D_
(FAZ-C4/1_x000D_
)</v>
          </cell>
          <cell r="C492" t="str">
            <v>EATON</v>
          </cell>
          <cell r="D492" t="str">
            <v>Eaton-Non Moving Stock</v>
          </cell>
        </row>
        <row r="493">
          <cell r="A493" t="str">
            <v>Y7-102082 (FAZ-C4/1-NA_x000D_
)</v>
          </cell>
          <cell r="B493" t="str">
            <v>Y7-102082(FAZ-C4/1-NA_x000D_
)</v>
          </cell>
          <cell r="C493" t="str">
            <v>EATON</v>
          </cell>
          <cell r="D493" t="str">
            <v>Eaton-Non Moving Stock</v>
          </cell>
        </row>
        <row r="494">
          <cell r="A494" t="str">
            <v>102162 (FAZ-C4/2-NA_x000D_
)</v>
          </cell>
          <cell r="B494" t="str">
            <v>102162(FAZ-C4/2-NA_x000D_
)</v>
          </cell>
          <cell r="C494" t="str">
            <v>EATON</v>
          </cell>
          <cell r="D494" t="str">
            <v>Eaton-Non Moving Stock</v>
          </cell>
        </row>
        <row r="495">
          <cell r="A495" t="str">
            <v>278865 (FAZ-C4/3_x000D_
)</v>
          </cell>
          <cell r="B495" t="str">
            <v>278865(FAZ-C4/3_x000D_
)</v>
          </cell>
          <cell r="C495" t="str">
            <v>EATON</v>
          </cell>
          <cell r="D495" t="str">
            <v>Eaton-Non Moving Stock</v>
          </cell>
        </row>
        <row r="496">
          <cell r="A496" t="str">
            <v>Y7-190791 (FAZ-C50/3-NA)</v>
          </cell>
          <cell r="B496" t="str">
            <v>Y7-190791(FAZ-C50/3-NA)</v>
          </cell>
          <cell r="C496" t="str">
            <v>EATON</v>
          </cell>
          <cell r="D496" t="str">
            <v>Eaton-Non Moving Stock</v>
          </cell>
        </row>
        <row r="497">
          <cell r="A497" t="str">
            <v>Y7-102203 (FAZ-C5/2-RT)</v>
          </cell>
          <cell r="B497" t="str">
            <v>Y7-102203(FAZ-C5/2-RT)</v>
          </cell>
          <cell r="C497" t="str">
            <v>EATON</v>
          </cell>
          <cell r="D497" t="str">
            <v>Eaton-Non Moving Stock</v>
          </cell>
        </row>
        <row r="498">
          <cell r="A498" t="str">
            <v>Y7-278555_x000D_
 (FAZ-C6/1_x000D_
)</v>
          </cell>
          <cell r="B498" t="str">
            <v>Y7-278555_x000D_
(FAZ-C6/1_x000D_
)</v>
          </cell>
          <cell r="C498" t="str">
            <v>EATON</v>
          </cell>
          <cell r="D498" t="str">
            <v>Eaton-Non Moving Stock</v>
          </cell>
        </row>
        <row r="499">
          <cell r="A499" t="str">
            <v>Y7-102084 (FAZ-C6/1-NA_x000D_
)</v>
          </cell>
          <cell r="B499" t="str">
            <v>Y7-102084(FAZ-C6/1-NA_x000D_
)</v>
          </cell>
          <cell r="C499" t="str">
            <v>EATON</v>
          </cell>
          <cell r="D499" t="str">
            <v>Eaton-Non Moving Stock</v>
          </cell>
        </row>
        <row r="500">
          <cell r="A500" t="str">
            <v>Y7-278754_x000D_
 (FAZ-C6/2_x000D_
)</v>
          </cell>
          <cell r="B500" t="str">
            <v>Y7-278754_x000D_
(FAZ-C6/2_x000D_
)</v>
          </cell>
          <cell r="C500" t="str">
            <v>EATON</v>
          </cell>
          <cell r="D500" t="str">
            <v>Eaton-Non Moving Stock</v>
          </cell>
        </row>
        <row r="501">
          <cell r="A501" t="str">
            <v>102164 (FAZ-C6/2-NA_x000D_
)</v>
          </cell>
          <cell r="B501" t="str">
            <v>102164(FAZ-C6/2-NA_x000D_
)</v>
          </cell>
          <cell r="C501" t="str">
            <v>EATON</v>
          </cell>
          <cell r="D501" t="str">
            <v>Eaton-Non Moving Stock</v>
          </cell>
        </row>
        <row r="502">
          <cell r="A502" t="str">
            <v>Y7-190794 (FAZ-C63/4-NA)</v>
          </cell>
          <cell r="B502" t="str">
            <v>Y7-190794(FAZ-C63/4-NA)</v>
          </cell>
          <cell r="C502" t="str">
            <v>EATON</v>
          </cell>
          <cell r="D502" t="str">
            <v>Eaton-Non Moving Stock</v>
          </cell>
        </row>
        <row r="503">
          <cell r="A503" t="str">
            <v>Y7-190810 (FAZ-C63/4-RT)</v>
          </cell>
          <cell r="B503" t="str">
            <v>Y7-190810(FAZ-C63/4-RT)</v>
          </cell>
          <cell r="C503" t="str">
            <v>EATON</v>
          </cell>
          <cell r="D503" t="str">
            <v>Eaton-Non Moving Stock</v>
          </cell>
        </row>
        <row r="504">
          <cell r="A504" t="str">
            <v>Y7-102244 (FAZ-C6/3-NA_x000D_
)</v>
          </cell>
          <cell r="B504" t="str">
            <v>Y7-102244(FAZ-C6/3-NA_x000D_
)</v>
          </cell>
          <cell r="C504" t="str">
            <v>EATON</v>
          </cell>
          <cell r="D504" t="str">
            <v>Eaton-Non Moving Stock</v>
          </cell>
        </row>
        <row r="505">
          <cell r="A505" t="str">
            <v>Y7-102245 (FAZ-C7/3-NA)</v>
          </cell>
          <cell r="B505" t="str">
            <v>Y7-102245(FAZ-C7/3-NA)</v>
          </cell>
          <cell r="C505" t="str">
            <v>EATON</v>
          </cell>
          <cell r="D505" t="str">
            <v>Eaton-Non Moving Stock</v>
          </cell>
        </row>
        <row r="506">
          <cell r="A506" t="str">
            <v>102107 (FAZ-D10/1-NA)</v>
          </cell>
          <cell r="B506" t="str">
            <v>102107(FAZ-D10/1-NA)</v>
          </cell>
          <cell r="C506" t="str">
            <v>EATON</v>
          </cell>
          <cell r="D506" t="str">
            <v>Eaton-Non Moving Stock</v>
          </cell>
        </row>
        <row r="507">
          <cell r="A507" t="str">
            <v>Y7-102187 (FAZ-D10/2-NA)</v>
          </cell>
          <cell r="B507" t="str">
            <v>Y7-102187(FAZ-D10/2-NA)</v>
          </cell>
          <cell r="C507" t="str">
            <v>EATON</v>
          </cell>
          <cell r="D507" t="str">
            <v>Eaton-Non Moving Stock</v>
          </cell>
        </row>
        <row r="508">
          <cell r="A508" t="str">
            <v>Y7-102227 (FAZ-D10/2-RT)</v>
          </cell>
          <cell r="B508" t="str">
            <v>Y7-102227(FAZ-D10/2-RT)</v>
          </cell>
          <cell r="C508" t="str">
            <v>EATON</v>
          </cell>
          <cell r="D508" t="str">
            <v>Eaton-Non Moving Stock</v>
          </cell>
        </row>
        <row r="509">
          <cell r="A509" t="str">
            <v>Y7-102149 (FAZ-D15/1-RT)</v>
          </cell>
          <cell r="B509" t="str">
            <v>Y7-102149(FAZ-D15/1-RT)</v>
          </cell>
          <cell r="C509" t="str">
            <v>EATON</v>
          </cell>
          <cell r="D509" t="str">
            <v>Eaton-Non Moving Stock</v>
          </cell>
        </row>
        <row r="510">
          <cell r="A510" t="str">
            <v>Y7-102189 (FAZ-D15/2-NA)</v>
          </cell>
          <cell r="B510" t="str">
            <v>Y7-102189(FAZ-D15/2-NA)</v>
          </cell>
          <cell r="C510" t="str">
            <v>EATON</v>
          </cell>
          <cell r="D510" t="str">
            <v>Eaton-Non Moving Stock</v>
          </cell>
        </row>
        <row r="511">
          <cell r="A511" t="str">
            <v xml:space="preserve">FAZ-D15/2-NA102189_x000D_
</v>
          </cell>
          <cell r="B511" t="str">
            <v xml:space="preserve">FAZ-D15/2-NA102189_x000D_
</v>
          </cell>
          <cell r="C511" t="str">
            <v>EATON</v>
          </cell>
          <cell r="D511" t="str">
            <v>Eaton-Non Moving Stock</v>
          </cell>
        </row>
        <row r="512">
          <cell r="A512" t="str">
            <v>102191 (FAZ-D20/2-NA)</v>
          </cell>
          <cell r="B512" t="str">
            <v>102191(FAZ-D20/2-NA)</v>
          </cell>
          <cell r="C512" t="str">
            <v>EATON</v>
          </cell>
          <cell r="D512" t="str">
            <v>Eaton-Non Moving Stock</v>
          </cell>
        </row>
        <row r="513">
          <cell r="A513" t="str">
            <v>Y7-278771 (FAZ-D2/2)</v>
          </cell>
          <cell r="B513" t="str">
            <v>Y7-278771(FAZ-D2/2)</v>
          </cell>
          <cell r="C513" t="str">
            <v>EATON</v>
          </cell>
          <cell r="D513" t="str">
            <v>Eaton-Non Moving Stock</v>
          </cell>
        </row>
        <row r="514">
          <cell r="A514" t="str">
            <v>Y7-102180 (FAZ-D2/2-NA)</v>
          </cell>
          <cell r="B514" t="str">
            <v>Y7-102180(FAZ-D2/2-NA)</v>
          </cell>
          <cell r="C514" t="str">
            <v>EATON</v>
          </cell>
          <cell r="D514" t="str">
            <v>Eaton-Non Moving Stock</v>
          </cell>
        </row>
        <row r="515">
          <cell r="A515" t="str">
            <v>Y7-102141 (FAZ-D3/1-RT)</v>
          </cell>
          <cell r="B515" t="str">
            <v>Y7-102141(FAZ-D3/1-RT)</v>
          </cell>
          <cell r="C515" t="str">
            <v>EATON</v>
          </cell>
          <cell r="D515" t="str">
            <v>Eaton-Non Moving Stock</v>
          </cell>
        </row>
        <row r="516">
          <cell r="A516" t="str">
            <v>102181 (FAZ-D3/2-NA)</v>
          </cell>
          <cell r="B516" t="str">
            <v>102181(FAZ-D3/2-NA)</v>
          </cell>
          <cell r="C516" t="str">
            <v>EATON</v>
          </cell>
          <cell r="D516" t="str">
            <v>Eaton-Non Moving Stock</v>
          </cell>
        </row>
        <row r="517">
          <cell r="A517" t="str">
            <v>Y7-102156 (FAZ-D40/1-RT)</v>
          </cell>
          <cell r="B517" t="str">
            <v>Y7-102156(FAZ-D40/1-RT)</v>
          </cell>
          <cell r="C517" t="str">
            <v>EATON</v>
          </cell>
          <cell r="D517" t="str">
            <v>Eaton-Non Moving Stock</v>
          </cell>
        </row>
        <row r="518">
          <cell r="A518" t="str">
            <v>Y7-102182 (FAZ-D4/2-NA)</v>
          </cell>
          <cell r="B518" t="str">
            <v>Y7-102182(FAZ-D4/2-NA)</v>
          </cell>
          <cell r="C518" t="str">
            <v>EATON</v>
          </cell>
          <cell r="D518" t="str">
            <v>Eaton-Non Moving Stock</v>
          </cell>
        </row>
        <row r="519">
          <cell r="A519" t="str">
            <v>102183 (FAZ-D5/2-NA)</v>
          </cell>
          <cell r="B519" t="str">
            <v>102183(FAZ-D5/2-NA)</v>
          </cell>
          <cell r="C519" t="str">
            <v>EATON</v>
          </cell>
          <cell r="D519" t="str">
            <v>Eaton-Non Moving Stock</v>
          </cell>
        </row>
        <row r="520">
          <cell r="A520" t="str">
            <v>Y7-102144 (FAZ-D6/1-RT)</v>
          </cell>
          <cell r="B520" t="str">
            <v>Y7-102144(FAZ-D6/1-RT)</v>
          </cell>
          <cell r="C520" t="str">
            <v>EATON</v>
          </cell>
          <cell r="D520" t="str">
            <v>Eaton-Non Moving Stock</v>
          </cell>
        </row>
        <row r="521">
          <cell r="A521" t="str">
            <v>Y7-102184 (FAZ-D6/2-NA)</v>
          </cell>
          <cell r="B521" t="str">
            <v>Y7-102184(FAZ-D6/2-NA)</v>
          </cell>
          <cell r="C521" t="str">
            <v>EATON</v>
          </cell>
          <cell r="D521" t="str">
            <v>Eaton-Non Moving Stock</v>
          </cell>
        </row>
        <row r="522">
          <cell r="A522" t="str">
            <v>Y7-278778 (FAZ-D8/2_x000D_
)</v>
          </cell>
          <cell r="B522" t="str">
            <v>Y7-278778(FAZ-D8/2_x000D_
)</v>
          </cell>
          <cell r="C522" t="str">
            <v>EATON</v>
          </cell>
          <cell r="D522" t="str">
            <v>Eaton-Non Moving Stock</v>
          </cell>
        </row>
        <row r="523">
          <cell r="A523" t="str">
            <v>Y7-278914 (FAZ-K32/3_x000D_
)</v>
          </cell>
          <cell r="B523" t="str">
            <v>Y7-278914(FAZ-K32/3_x000D_
)</v>
          </cell>
          <cell r="C523" t="str">
            <v>EATON</v>
          </cell>
          <cell r="D523" t="str">
            <v>Eaton-Non Moving Stock</v>
          </cell>
        </row>
        <row r="524">
          <cell r="A524" t="str">
            <v>FAZPLOFF (FAZ PAD LOCK OFF DEVICE)</v>
          </cell>
          <cell r="B524" t="str">
            <v>FAZPLOFF(FAZ PAD LOCK OFF DEVICE)</v>
          </cell>
          <cell r="C524" t="str">
            <v>EATON</v>
          </cell>
          <cell r="D524" t="str">
            <v>Eaton-Non Moving Stock</v>
          </cell>
        </row>
        <row r="525">
          <cell r="A525" t="str">
            <v>279157 (FAZ-PN-C10/1N)</v>
          </cell>
          <cell r="B525" t="str">
            <v>279157(FAZ-PN-C10/1N)</v>
          </cell>
          <cell r="C525" t="str">
            <v>EATON</v>
          </cell>
          <cell r="D525" t="str">
            <v>Eaton-Non Moving Stock</v>
          </cell>
        </row>
        <row r="526">
          <cell r="A526" t="str">
            <v>225119 (FAZ-XHI001)</v>
          </cell>
          <cell r="B526" t="str">
            <v>225119(FAZ-XHI001)</v>
          </cell>
          <cell r="C526" t="str">
            <v>EATON</v>
          </cell>
          <cell r="D526" t="str">
            <v>Eaton-Non Moving Stock</v>
          </cell>
        </row>
        <row r="527">
          <cell r="A527" t="str">
            <v>PLK1LOFF (FD HFD FDC LEFT HAND HASP LOCK OFF)</v>
          </cell>
          <cell r="B527" t="str">
            <v>PLK1LOFF(FD HFD FDC LEFT HAND HASP LOCK OFF)</v>
          </cell>
          <cell r="C527" t="str">
            <v>EATON</v>
          </cell>
          <cell r="D527" t="str">
            <v>Eaton-Non Moving Stock</v>
          </cell>
        </row>
        <row r="528">
          <cell r="A528" t="str">
            <v>Y7-135358 (FITTINGS-F.-DIN-RAIL-HF4B-HF8A)</v>
          </cell>
          <cell r="B528" t="str">
            <v>Y7-135358(FITTINGS-F.-DIN-RAIL-HF4B-HF8A)</v>
          </cell>
          <cell r="C528" t="str">
            <v>EATON</v>
          </cell>
          <cell r="D528" t="str">
            <v>Eaton-Non Moving Stock</v>
          </cell>
        </row>
        <row r="529">
          <cell r="A529" t="str">
            <v>Y7-170382 (FRCMM-16/2/003-G/A)</v>
          </cell>
          <cell r="B529" t="str">
            <v>Y7-170382(FRCMM-16/2/003-G/A)</v>
          </cell>
          <cell r="C529" t="str">
            <v>EATON</v>
          </cell>
          <cell r="D529" t="str">
            <v>Eaton-Non Moving Stock</v>
          </cell>
        </row>
        <row r="530">
          <cell r="A530" t="str">
            <v>Y7-167113 (FRCMM-25/2/003-A-NA)</v>
          </cell>
          <cell r="B530" t="str">
            <v>Y7-167113(FRCMM-25/2/003-A-NA)</v>
          </cell>
          <cell r="C530" t="str">
            <v>EATON</v>
          </cell>
          <cell r="D530" t="str">
            <v>Eaton-Non Moving Stock</v>
          </cell>
        </row>
        <row r="531">
          <cell r="A531" t="str">
            <v>Y7-170383 (FRCMM-25/2/003-G/A)</v>
          </cell>
          <cell r="B531" t="str">
            <v>Y7-170383(FRCMM-25/2/003-G/A)</v>
          </cell>
          <cell r="C531" t="str">
            <v>EATON</v>
          </cell>
          <cell r="D531" t="str">
            <v>Eaton-Non Moving Stock</v>
          </cell>
        </row>
        <row r="532">
          <cell r="A532" t="str">
            <v>Y7-167119 (FRCMM-25/2/003-G/A-NA)</v>
          </cell>
          <cell r="B532" t="str">
            <v>Y7-167119(FRCMM-25/2/003-G/A-NA)</v>
          </cell>
          <cell r="C532" t="str">
            <v>EATON</v>
          </cell>
          <cell r="D532" t="str">
            <v>Eaton-Non Moving Stock</v>
          </cell>
        </row>
        <row r="533">
          <cell r="A533" t="str">
            <v>Y7-167706 (FRCMM-40/4/003-G/A-NA-110)</v>
          </cell>
          <cell r="B533" t="str">
            <v>Y7-167706(FRCMM-40/4/003-G/A-NA-110)</v>
          </cell>
          <cell r="C533" t="str">
            <v>EATON</v>
          </cell>
          <cell r="D533" t="str">
            <v>Eaton-Non Moving Stock</v>
          </cell>
        </row>
        <row r="534">
          <cell r="A534" t="str">
            <v>SB00-PB-BT (Fuse Base)</v>
          </cell>
          <cell r="B534" t="str">
            <v>SB00-PB-BT(Fuse Base)</v>
          </cell>
          <cell r="C534" t="str">
            <v>EATON</v>
          </cell>
          <cell r="D534" t="str">
            <v>Eaton-Non Moving Stock</v>
          </cell>
        </row>
        <row r="535">
          <cell r="A535" t="str">
            <v>TFRN02C (FUSE-BASE D02 3POL DIN HUT)</v>
          </cell>
          <cell r="B535" t="str">
            <v>TFRN02C(FUSE-BASE D02 3POL DIN HUT)</v>
          </cell>
          <cell r="C535" t="str">
            <v>EATON</v>
          </cell>
          <cell r="D535" t="str">
            <v>Eaton-Non Moving Stock</v>
          </cell>
        </row>
        <row r="536">
          <cell r="A536" t="str">
            <v>CHCC1DI-48U (FUSE HOLDER 0 TO 30A AMP RANGE 48V DC)</v>
          </cell>
          <cell r="B536" t="str">
            <v>CHCC1DI-48U(FUSE HOLDER 0 TO 30A AMP RANGE 48V DC)</v>
          </cell>
          <cell r="C536" t="str">
            <v>EATON</v>
          </cell>
          <cell r="D536" t="str">
            <v>Eaton-Non Moving Stock</v>
          </cell>
        </row>
        <row r="537">
          <cell r="A537" t="str">
            <v>CHM1DU (FUSE HOLDER, 10 3*38)</v>
          </cell>
          <cell r="B537" t="str">
            <v>CHM1DU(FUSE HOLDER, 10 3*38)</v>
          </cell>
          <cell r="C537" t="str">
            <v>EATON</v>
          </cell>
          <cell r="D537" t="str">
            <v>Eaton-Non Moving Stock</v>
          </cell>
        </row>
        <row r="538">
          <cell r="A538" t="str">
            <v>BK-GMA-15-R (GMA 15A BUSS FA BK 100 BOX -R)</v>
          </cell>
          <cell r="B538" t="str">
            <v>BK-GMA-15-R(GMA 15A BUSS FA BK 100 BOX -R)</v>
          </cell>
          <cell r="C538" t="str">
            <v>EATON</v>
          </cell>
          <cell r="D538" t="str">
            <v>Eaton-Non Moving Stock</v>
          </cell>
        </row>
        <row r="539">
          <cell r="A539" t="str">
            <v>BK-GMA-1-R (GMA 1A BUSS FA BK 100 BOX -R)</v>
          </cell>
          <cell r="B539" t="str">
            <v>BK-GMA-1-R(GMA 1A BUSS FA BK 100 BOX -R)</v>
          </cell>
          <cell r="C539" t="str">
            <v>EATON</v>
          </cell>
          <cell r="D539" t="str">
            <v>Eaton-Non Moving Stock</v>
          </cell>
        </row>
        <row r="540">
          <cell r="A540" t="str">
            <v>BK-GMA-200-R (GMA 200mA BUSS FA BK 100 BOX -R)</v>
          </cell>
          <cell r="B540" t="str">
            <v>BK-GMA-200-R(GMA 200mA BUSS FA BK 100 BOX -R)</v>
          </cell>
          <cell r="C540" t="str">
            <v>EATON</v>
          </cell>
          <cell r="D540" t="str">
            <v>Eaton-Non Moving Stock</v>
          </cell>
        </row>
        <row r="541">
          <cell r="A541" t="str">
            <v>Y7-278439 (GWK 9121235 - OLR 4-6A EATON -ZB12-6)</v>
          </cell>
          <cell r="B541" t="str">
            <v>Y7-278439(GWK 9121235 - OLR 4-6A EATON -ZB12-6)</v>
          </cell>
          <cell r="C541" t="str">
            <v>EATON</v>
          </cell>
          <cell r="D541" t="str">
            <v>Eaton-Non Moving Stock</v>
          </cell>
        </row>
        <row r="542">
          <cell r="A542" t="str">
            <v>Y7-135437 (HF5-1000/5A-CLASS-0.2S - Current transformer HF5, 1000A/5A, Class 0.2S)</v>
          </cell>
          <cell r="B542" t="str">
            <v>Y7-135437(HF5-1000/5A-CLASS-0.2S - Current transformer HF5, 1000A/5A, Class 0.2S)</v>
          </cell>
          <cell r="C542" t="str">
            <v>EATON</v>
          </cell>
          <cell r="D542" t="str">
            <v>Eaton-Non Moving Stock</v>
          </cell>
        </row>
        <row r="543">
          <cell r="A543" t="str">
            <v>Y7-280965 (HI21-P5-250/315E)</v>
          </cell>
          <cell r="B543" t="str">
            <v>Y7-280965(HI21-P5-250/315E)</v>
          </cell>
          <cell r="C543" t="str">
            <v>EATON</v>
          </cell>
          <cell r="D543" t="str">
            <v>Eaton-Non Moving Stock</v>
          </cell>
        </row>
        <row r="544">
          <cell r="A544" t="str">
            <v>17253 (H-P1)</v>
          </cell>
          <cell r="B544" t="str">
            <v>17253(H-P1)</v>
          </cell>
          <cell r="C544" t="str">
            <v>EATON</v>
          </cell>
          <cell r="D544" t="str">
            <v>Eaton-Non Moving Stock</v>
          </cell>
        </row>
        <row r="545">
          <cell r="A545" t="str">
            <v>21999 (H-P3)</v>
          </cell>
          <cell r="B545" t="str">
            <v>21999(H-P3)</v>
          </cell>
          <cell r="C545" t="str">
            <v>EATON</v>
          </cell>
          <cell r="D545" t="str">
            <v>Eaton-Non Moving Stock</v>
          </cell>
        </row>
        <row r="546">
          <cell r="A546" t="str">
            <v>56320 (H-PKZO)</v>
          </cell>
          <cell r="B546" t="str">
            <v>56320(H-PKZO)</v>
          </cell>
          <cell r="C546" t="str">
            <v>EATON</v>
          </cell>
          <cell r="D546" t="str">
            <v>Eaton-Non Moving Stock</v>
          </cell>
        </row>
        <row r="547">
          <cell r="A547" t="str">
            <v>LPCC 30 (LOW PEAK CC TIME DELAY)</v>
          </cell>
          <cell r="B547" t="str">
            <v>LPCC 30(LOW PEAK CC TIME DELAY)</v>
          </cell>
          <cell r="C547" t="str">
            <v>EATON</v>
          </cell>
          <cell r="D547" t="str">
            <v>Eaton-Non Moving Stock</v>
          </cell>
        </row>
        <row r="548">
          <cell r="A548" t="str">
            <v>LPCC10 (LOW PEAK CC TIME DELAY LPCC10)</v>
          </cell>
          <cell r="B548" t="str">
            <v>LPCC10(LOW PEAK CC TIME DELAY LPCC10)</v>
          </cell>
          <cell r="C548" t="str">
            <v>EATON</v>
          </cell>
          <cell r="D548" t="str">
            <v>Eaton-Non Moving Stock</v>
          </cell>
        </row>
        <row r="549">
          <cell r="A549" t="str">
            <v>LPJ-60SP-BT (LOW-PEAK CLASS J T/D)</v>
          </cell>
          <cell r="B549" t="str">
            <v>LPJ-60SP-BT(LOW-PEAK CLASS J T/D)</v>
          </cell>
          <cell r="C549" t="str">
            <v>EATON</v>
          </cell>
          <cell r="D549" t="str">
            <v>Eaton-Non Moving Stock</v>
          </cell>
        </row>
        <row r="550">
          <cell r="A550" t="str">
            <v>LPJ-25SP (LOW-PEAK CLASS J T/D- LPJ-25SP)</v>
          </cell>
          <cell r="B550" t="str">
            <v>LPJ-25SP(LOW-PEAK CLASS J T/D- LPJ-25SP)</v>
          </cell>
          <cell r="C550" t="str">
            <v>EATON</v>
          </cell>
          <cell r="D550" t="str">
            <v>Eaton-Non Moving Stock</v>
          </cell>
        </row>
        <row r="551">
          <cell r="A551" t="str">
            <v>LPJ-30SP (LOW-PEAK CLASS J T/D (OLD))</v>
          </cell>
          <cell r="B551" t="str">
            <v>LPJ-30SP(LOW-PEAK CLASS J T/D(OLD))</v>
          </cell>
          <cell r="C551" t="str">
            <v>EATON</v>
          </cell>
          <cell r="D551" t="str">
            <v>Eaton-Non Moving Stock</v>
          </cell>
        </row>
        <row r="552">
          <cell r="A552" t="str">
            <v>Y7-106823 (LS-S02-24DFT-ZBZ/X_x000D_
)</v>
          </cell>
          <cell r="B552" t="str">
            <v>Y7-106823(LS-S02-24DFT-ZBZ/X_x000D_
)</v>
          </cell>
          <cell r="C552" t="str">
            <v>EATON</v>
          </cell>
          <cell r="D552" t="str">
            <v>Eaton-Non Moving Stock</v>
          </cell>
        </row>
        <row r="553">
          <cell r="A553" t="str">
            <v>Y7-106798_x000D_
 (LS-S11S_x000D_
)</v>
          </cell>
          <cell r="B553" t="str">
            <v>Y7-106798_x000D_
(LS-S11S_x000D_
)</v>
          </cell>
          <cell r="C553" t="str">
            <v>EATON</v>
          </cell>
          <cell r="D553" t="str">
            <v>Eaton-Non Moving Stock</v>
          </cell>
        </row>
        <row r="554">
          <cell r="A554" t="str">
            <v>R5LCD7C1642865 (Luminous ECo Volt 1050)</v>
          </cell>
          <cell r="B554" t="str">
            <v>R5LCD7C1642865(Luminous ECo Volt 1050)</v>
          </cell>
          <cell r="C554" t="str">
            <v>EATON</v>
          </cell>
          <cell r="D554" t="str">
            <v>Eaton-Non Moving Stock</v>
          </cell>
        </row>
        <row r="555">
          <cell r="A555" t="str">
            <v>109239 (LZMB1-A100)</v>
          </cell>
          <cell r="B555" t="str">
            <v>109239(LZMB1-A100)</v>
          </cell>
          <cell r="C555" t="str">
            <v>EATON</v>
          </cell>
          <cell r="D555" t="str">
            <v>Eaton-Non Moving Stock</v>
          </cell>
        </row>
        <row r="556">
          <cell r="A556" t="str">
            <v>109431 (LZMB1-A160)</v>
          </cell>
          <cell r="B556" t="str">
            <v>109431(LZMB1-A160)</v>
          </cell>
          <cell r="C556" t="str">
            <v>EATON</v>
          </cell>
          <cell r="D556" t="str">
            <v>Eaton-Non Moving Stock</v>
          </cell>
        </row>
        <row r="557">
          <cell r="A557" t="str">
            <v>109523 (LZMB2-A200)</v>
          </cell>
          <cell r="B557" t="str">
            <v>109523(LZMB2-A200)</v>
          </cell>
          <cell r="C557" t="str">
            <v>EATON</v>
          </cell>
          <cell r="D557" t="str">
            <v>Eaton-Non Moving Stock</v>
          </cell>
        </row>
        <row r="558">
          <cell r="A558" t="str">
            <v>279437.0 (M22-A4)</v>
          </cell>
          <cell r="B558" t="str">
            <v>279437.0(M22-A4)</v>
          </cell>
          <cell r="C558" t="str">
            <v>EATON</v>
          </cell>
          <cell r="D558" t="str">
            <v>Eaton-Non Moving Stock</v>
          </cell>
        </row>
        <row r="559">
          <cell r="A559" t="str">
            <v>Y7-216503 (M22-AK01)</v>
          </cell>
          <cell r="B559" t="str">
            <v>Y7-216503(M22-AK01)</v>
          </cell>
          <cell r="C559" t="str">
            <v>EATON</v>
          </cell>
          <cell r="D559" t="str">
            <v>Eaton-Non Moving Stock</v>
          </cell>
        </row>
        <row r="560">
          <cell r="A560" t="str">
            <v>Y7-216504 (M22-AK10_x000D_
)</v>
          </cell>
          <cell r="B560" t="str">
            <v>Y7-216504(M22-AK10_x000D_
)</v>
          </cell>
          <cell r="C560" t="str">
            <v>EATON</v>
          </cell>
          <cell r="D560" t="str">
            <v>Eaton-Non Moving Stock</v>
          </cell>
        </row>
        <row r="561">
          <cell r="A561" t="str">
            <v>229015.0 (M22-AMC)</v>
          </cell>
          <cell r="B561" t="str">
            <v>229015.0(M22-AMC)</v>
          </cell>
          <cell r="C561" t="str">
            <v>EATON</v>
          </cell>
          <cell r="D561" t="str">
            <v>Eaton-Non Moving Stock</v>
          </cell>
        </row>
        <row r="562">
          <cell r="A562" t="str">
            <v xml:space="preserve">m22-AMCY7-229015_x000D_
</v>
          </cell>
          <cell r="B562" t="str">
            <v xml:space="preserve">m22-AMCY7-229015_x000D_
</v>
          </cell>
          <cell r="C562" t="str">
            <v>EATON</v>
          </cell>
          <cell r="D562" t="str">
            <v>Eaton-Non Moving Stock</v>
          </cell>
        </row>
        <row r="563">
          <cell r="A563" t="str">
            <v>Y7-107899 (M22-CK02_x000D_
)</v>
          </cell>
          <cell r="B563" t="str">
            <v>Y7-107899(M22-CK02_x000D_
)</v>
          </cell>
          <cell r="C563" t="str">
            <v>EATON</v>
          </cell>
          <cell r="D563" t="str">
            <v>Eaton-Non Moving Stock</v>
          </cell>
        </row>
        <row r="564">
          <cell r="A564" t="str">
            <v>Y7-107940_x000D_
 (M22-CK11_x000D_
)</v>
          </cell>
          <cell r="B564" t="str">
            <v>Y7-107940_x000D_
(M22-CK11_x000D_
)</v>
          </cell>
          <cell r="C564" t="str">
            <v>EATON</v>
          </cell>
          <cell r="D564" t="str">
            <v>Eaton-Non Moving Stock</v>
          </cell>
        </row>
        <row r="565">
          <cell r="A565" t="str">
            <v>Y7-107898_x000D_
 (M22-CK20_x000D_
)</v>
          </cell>
          <cell r="B565" t="str">
            <v>Y7-107898_x000D_
(M22-CK20_x000D_
)</v>
          </cell>
          <cell r="C565" t="str">
            <v>EATON</v>
          </cell>
          <cell r="D565" t="str">
            <v>Eaton-Non Moving Stock</v>
          </cell>
        </row>
        <row r="566">
          <cell r="A566" t="str">
            <v>Y7-216570 (M22-CLED-R)</v>
          </cell>
          <cell r="B566" t="str">
            <v>Y7-216570(M22-CLED-R)</v>
          </cell>
          <cell r="C566" t="str">
            <v>EATON</v>
          </cell>
          <cell r="D566" t="str">
            <v>Eaton-Non Moving Stock</v>
          </cell>
        </row>
        <row r="567">
          <cell r="A567" t="str">
            <v>216600 (M22-D-B)</v>
          </cell>
          <cell r="B567" t="str">
            <v>216600(M22-D-B)</v>
          </cell>
          <cell r="C567" t="str">
            <v>EATON</v>
          </cell>
          <cell r="D567" t="str">
            <v>Eaton-Non Moving Stock</v>
          </cell>
        </row>
        <row r="568">
          <cell r="A568" t="str">
            <v>216698 (M22-DDL-GR)</v>
          </cell>
          <cell r="B568" t="str">
            <v>216698(M22-DDL-GR)</v>
          </cell>
          <cell r="C568" t="str">
            <v>EATON</v>
          </cell>
          <cell r="D568" t="str">
            <v>Eaton-Non Moving Stock</v>
          </cell>
        </row>
        <row r="569">
          <cell r="A569" t="str">
            <v>Y7-216509 (M22-DDL-GR-X1/X0/K11/230-W_x000D_
)</v>
          </cell>
          <cell r="B569" t="str">
            <v>Y7-216509(M22-DDL-GR-X1/X0/K11/230-W_x000D_
)</v>
          </cell>
          <cell r="C569" t="str">
            <v>EATON</v>
          </cell>
          <cell r="D569" t="str">
            <v>Eaton-Non Moving Stock</v>
          </cell>
        </row>
        <row r="570">
          <cell r="A570" t="str">
            <v>216596.0 (M22-D-G)</v>
          </cell>
          <cell r="B570" t="str">
            <v>216596.0(M22-D-G)</v>
          </cell>
          <cell r="C570" t="str">
            <v>EATON</v>
          </cell>
          <cell r="D570" t="str">
            <v>Eaton-Non Moving Stock</v>
          </cell>
        </row>
        <row r="571">
          <cell r="A571" t="str">
            <v>Y7-220921_x000D_
 (M22-DG-X_x000D_
)</v>
          </cell>
          <cell r="B571" t="str">
            <v>Y7-220921_x000D_
(M22-DG-X_x000D_
)</v>
          </cell>
          <cell r="C571" t="str">
            <v>EATON</v>
          </cell>
          <cell r="D571" t="str">
            <v>Eaton-Non Moving Stock</v>
          </cell>
        </row>
        <row r="572">
          <cell r="A572" t="str">
            <v>216607_x000D_
 (M22-D-G-X1_x000D_
)</v>
          </cell>
          <cell r="B572" t="str">
            <v>216607_x000D_
(M22-D-G-X1_x000D_
)</v>
          </cell>
          <cell r="C572" t="str">
            <v>EATON</v>
          </cell>
          <cell r="D572" t="str">
            <v>Eaton-Non Moving Stock</v>
          </cell>
        </row>
        <row r="573">
          <cell r="A573" t="str">
            <v>216636 (M22-DH-S)</v>
          </cell>
          <cell r="B573" t="str">
            <v>216636(M22-DH-S)</v>
          </cell>
          <cell r="C573" t="str">
            <v>EATON</v>
          </cell>
          <cell r="D573" t="str">
            <v>Eaton-Non Moving Stock</v>
          </cell>
        </row>
        <row r="574">
          <cell r="A574" t="str">
            <v>216938 (M22-DL-G-X1_x000D_
)</v>
          </cell>
          <cell r="B574" t="str">
            <v>216938(M22-DL-G-X1_x000D_
)</v>
          </cell>
          <cell r="C574" t="str">
            <v>EATON</v>
          </cell>
          <cell r="D574" t="str">
            <v>Eaton-Non Moving Stock</v>
          </cell>
        </row>
        <row r="575">
          <cell r="A575" t="str">
            <v>216965 (M22-DLH-W)</v>
          </cell>
          <cell r="B575" t="str">
            <v>216965(M22-DLH-W)</v>
          </cell>
          <cell r="C575" t="str">
            <v>EATON</v>
          </cell>
          <cell r="D575" t="str">
            <v>Eaton-Non Moving Stock</v>
          </cell>
        </row>
        <row r="576">
          <cell r="A576" t="str">
            <v>216925 (M22-DL-R)</v>
          </cell>
          <cell r="B576" t="str">
            <v>216925(M22-DL-R)</v>
          </cell>
          <cell r="C576" t="str">
            <v>EATON</v>
          </cell>
          <cell r="D576" t="str">
            <v>Eaton-Non Moving Stock</v>
          </cell>
        </row>
        <row r="577">
          <cell r="A577" t="str">
            <v>216936 (M22-DL-R-X0_x000D_
)</v>
          </cell>
          <cell r="B577" t="str">
            <v>216936(M22-DL-R-X0_x000D_
)</v>
          </cell>
          <cell r="C577" t="str">
            <v>EATON</v>
          </cell>
          <cell r="D577" t="str">
            <v>Eaton-Non Moving Stock</v>
          </cell>
        </row>
        <row r="578">
          <cell r="A578" t="str">
            <v>216933_x000D_
 (M22-DL-X_x000D_
)</v>
          </cell>
          <cell r="B578" t="str">
            <v>216933_x000D_
(M22-DL-X_x000D_
)</v>
          </cell>
          <cell r="C578" t="str">
            <v>EATON</v>
          </cell>
          <cell r="D578" t="str">
            <v>Eaton-Non Moving Stock</v>
          </cell>
        </row>
        <row r="579">
          <cell r="A579" t="str">
            <v>216716 (M22-DP-G)</v>
          </cell>
          <cell r="B579" t="str">
            <v>216716(M22-DP-G)</v>
          </cell>
          <cell r="C579" t="str">
            <v>EATON</v>
          </cell>
          <cell r="D579" t="str">
            <v>Eaton-Non Moving Stock</v>
          </cell>
        </row>
        <row r="580">
          <cell r="A580" t="str">
            <v>216728 (M22-DP-S-X)</v>
          </cell>
          <cell r="B580" t="str">
            <v>216728(M22-DP-S-X)</v>
          </cell>
          <cell r="C580" t="str">
            <v>EATON</v>
          </cell>
          <cell r="D580" t="str">
            <v>Eaton-Non Moving Stock</v>
          </cell>
        </row>
        <row r="581">
          <cell r="A581" t="str">
            <v>Y7-216948 (M22-DRL-G)</v>
          </cell>
          <cell r="B581" t="str">
            <v>Y7-216948(M22-DRL-G)</v>
          </cell>
          <cell r="C581" t="str">
            <v>EATON</v>
          </cell>
          <cell r="D581" t="str">
            <v>Eaton-Non Moving Stock</v>
          </cell>
        </row>
        <row r="582">
          <cell r="A582" t="str">
            <v>Y7-216796 (M22-DRLH-G)</v>
          </cell>
          <cell r="B582" t="str">
            <v>Y7-216796(M22-DRLH-G)</v>
          </cell>
          <cell r="C582" t="str">
            <v>EATON</v>
          </cell>
          <cell r="D582" t="str">
            <v>Eaton-Non Moving Stock</v>
          </cell>
        </row>
        <row r="583">
          <cell r="A583" t="str">
            <v>Y7-216946 (M22-DRL-R_x000D_
)</v>
          </cell>
          <cell r="B583" t="str">
            <v>Y7-216946(M22-DRL-R_x000D_
)</v>
          </cell>
          <cell r="C583" t="str">
            <v>EATON</v>
          </cell>
          <cell r="D583" t="str">
            <v>Eaton-Non Moving Stock</v>
          </cell>
        </row>
        <row r="584">
          <cell r="A584" t="str">
            <v>Y7-216944 (M22-DRL-W_x000D_
)</v>
          </cell>
          <cell r="B584" t="str">
            <v>Y7-216944(M22-DRL-W_x000D_
)</v>
          </cell>
          <cell r="C584" t="str">
            <v>EATON</v>
          </cell>
          <cell r="D584" t="str">
            <v>Eaton-Non Moving Stock</v>
          </cell>
        </row>
        <row r="585">
          <cell r="A585" t="str">
            <v>216950 (M22-DRL-Y)</v>
          </cell>
          <cell r="B585" t="str">
            <v>216950(M22-DRL-Y)</v>
          </cell>
          <cell r="C585" t="str">
            <v>EATON</v>
          </cell>
          <cell r="D585" t="str">
            <v>Eaton-Non Moving Stock</v>
          </cell>
        </row>
        <row r="586">
          <cell r="A586" t="str">
            <v>Y7-216743 (M22-DRP-S)</v>
          </cell>
          <cell r="B586" t="str">
            <v>Y7-216743(M22-DRP-S)</v>
          </cell>
          <cell r="C586" t="str">
            <v>EATON</v>
          </cell>
          <cell r="D586" t="str">
            <v>Eaton-Non Moving Stock</v>
          </cell>
        </row>
        <row r="587">
          <cell r="A587" t="str">
            <v>216749 (M22-DRP-Y)</v>
          </cell>
          <cell r="B587" t="str">
            <v>216749(M22-DRP-Y)</v>
          </cell>
          <cell r="C587" t="str">
            <v>EATON</v>
          </cell>
          <cell r="D587" t="str">
            <v>Eaton-Non Moving Stock</v>
          </cell>
        </row>
        <row r="588">
          <cell r="A588" t="str">
            <v>216605_x000D_
 (M22-D-R-X0_x000D_
)</v>
          </cell>
          <cell r="B588" t="str">
            <v>216605_x000D_
(M22-D-R-X0_x000D_
)</v>
          </cell>
          <cell r="C588" t="str">
            <v>EATON</v>
          </cell>
          <cell r="D588" t="str">
            <v>Eaton-Non Moving Stock</v>
          </cell>
        </row>
        <row r="589">
          <cell r="A589" t="str">
            <v>Y7-216510_x000D_
 (M22-D-R-X0/K01_x000D_
)</v>
          </cell>
          <cell r="B589" t="str">
            <v>Y7-216510_x000D_
(M22-D-R-X0/K01_x000D_
)</v>
          </cell>
          <cell r="C589" t="str">
            <v>EATON</v>
          </cell>
          <cell r="D589" t="str">
            <v>Eaton-Non Moving Stock</v>
          </cell>
        </row>
        <row r="590">
          <cell r="A590" t="str">
            <v>216590 (M22-D-S)</v>
          </cell>
          <cell r="B590" t="str">
            <v>216590(M22-D-S)</v>
          </cell>
          <cell r="C590" t="str">
            <v>EATON</v>
          </cell>
          <cell r="D590" t="str">
            <v>Eaton-Non Moving Stock</v>
          </cell>
        </row>
        <row r="591">
          <cell r="A591" t="str">
            <v>216592 (M22-D-W)</v>
          </cell>
          <cell r="B591" t="str">
            <v>216592(M22-D-W)</v>
          </cell>
          <cell r="C591" t="str">
            <v>EATON</v>
          </cell>
          <cell r="D591" t="str">
            <v>Eaton-Non Moving Stock</v>
          </cell>
        </row>
        <row r="592">
          <cell r="A592" t="str">
            <v>216602 (M22-D-X)</v>
          </cell>
          <cell r="B592" t="str">
            <v>216602(M22-D-X)</v>
          </cell>
          <cell r="C592" t="str">
            <v>EATON</v>
          </cell>
          <cell r="D592" t="str">
            <v>Eaton-Non Moving Stock</v>
          </cell>
        </row>
        <row r="593">
          <cell r="A593" t="str">
            <v>216537.0 (M22-I2)</v>
          </cell>
          <cell r="B593" t="str">
            <v>216537.0(M22-I2)</v>
          </cell>
          <cell r="C593" t="str">
            <v>EATON</v>
          </cell>
          <cell r="D593" t="str">
            <v>Eaton-Non Moving Stock</v>
          </cell>
        </row>
        <row r="594">
          <cell r="A594" t="str">
            <v>216400 (M22-IVS)</v>
          </cell>
          <cell r="B594" t="str">
            <v>216400(M22-IVS)</v>
          </cell>
          <cell r="C594" t="str">
            <v>EATON</v>
          </cell>
          <cell r="D594" t="str">
            <v>Eaton-Non Moving Stock</v>
          </cell>
        </row>
        <row r="595">
          <cell r="A595" t="str">
            <v>Y7-216536_x000D_
 (M22-IY1_x000D_
)</v>
          </cell>
          <cell r="B595" t="str">
            <v>Y7-216536_x000D_
(M22-IY1_x000D_
)</v>
          </cell>
          <cell r="C595" t="str">
            <v>EATON</v>
          </cell>
          <cell r="D595" t="str">
            <v>Eaton-Non Moving Stock</v>
          </cell>
        </row>
        <row r="596">
          <cell r="A596" t="str">
            <v>Y7-216382_x000D_
 (M22-KC01_x000D_
)</v>
          </cell>
          <cell r="B596" t="str">
            <v>Y7-216382_x000D_
(M22-KC01_x000D_
)</v>
          </cell>
          <cell r="C596" t="str">
            <v>EATON</v>
          </cell>
          <cell r="D596" t="str">
            <v>Eaton-Non Moving Stock</v>
          </cell>
        </row>
        <row r="597">
          <cell r="A597" t="str">
            <v>216775 (M22-L-B)</v>
          </cell>
          <cell r="B597" t="str">
            <v>216775(M22-L-B)</v>
          </cell>
          <cell r="C597" t="str">
            <v>EATON</v>
          </cell>
          <cell r="D597" t="str">
            <v>Eaton-Non Moving Stock</v>
          </cell>
        </row>
        <row r="598">
          <cell r="A598" t="str">
            <v>Y7-216909 (M22-LC-G)</v>
          </cell>
          <cell r="B598" t="str">
            <v>Y7-216909(M22-LC-G)</v>
          </cell>
          <cell r="C598" t="str">
            <v>EATON</v>
          </cell>
          <cell r="D598" t="str">
            <v>Eaton-Non Moving Stock</v>
          </cell>
        </row>
        <row r="599">
          <cell r="A599" t="str">
            <v>Y7-216908 (M22-LC-R_x000D_
)</v>
          </cell>
          <cell r="B599" t="str">
            <v>Y7-216908(M22-LC-R_x000D_
)</v>
          </cell>
          <cell r="C599" t="str">
            <v>EATON</v>
          </cell>
          <cell r="D599" t="str">
            <v>Eaton-Non Moving Stock</v>
          </cell>
        </row>
        <row r="600">
          <cell r="A600" t="str">
            <v>Y7-216907 (M22-LC-W_x000D_
)</v>
          </cell>
          <cell r="B600" t="str">
            <v>Y7-216907(M22-LC-W_x000D_
)</v>
          </cell>
          <cell r="C600" t="str">
            <v>EATON</v>
          </cell>
          <cell r="D600" t="str">
            <v>Eaton-Non Moving Stock</v>
          </cell>
        </row>
        <row r="601">
          <cell r="A601" t="str">
            <v>218059 (M22-LED230-B)</v>
          </cell>
          <cell r="B601" t="str">
            <v>218059(M22-LED230-B)</v>
          </cell>
          <cell r="C601" t="str">
            <v>EATON</v>
          </cell>
          <cell r="D601" t="str">
            <v>Eaton-Non Moving Stock</v>
          </cell>
        </row>
        <row r="602">
          <cell r="A602" t="str">
            <v>216565 (M22-LED230-G)</v>
          </cell>
          <cell r="B602" t="str">
            <v>216565(M22-LED230-G)</v>
          </cell>
          <cell r="C602" t="str">
            <v>EATON</v>
          </cell>
          <cell r="D602" t="str">
            <v>Eaton-Non Moving Stock</v>
          </cell>
        </row>
        <row r="603">
          <cell r="A603" t="str">
            <v>216564 (M22-LED230-R)</v>
          </cell>
          <cell r="B603" t="str">
            <v>216564(M22-LED230-R)</v>
          </cell>
          <cell r="C603" t="str">
            <v>EATON</v>
          </cell>
          <cell r="D603" t="str">
            <v>Eaton-Non Moving Stock</v>
          </cell>
        </row>
        <row r="604">
          <cell r="A604" t="str">
            <v>216563 (M22-LED230-W)</v>
          </cell>
          <cell r="B604" t="str">
            <v>216563(M22-LED230-W)</v>
          </cell>
          <cell r="C604" t="str">
            <v>EATON</v>
          </cell>
          <cell r="D604" t="str">
            <v>Eaton-Non Moving Stock</v>
          </cell>
        </row>
        <row r="605">
          <cell r="A605" t="str">
            <v>218057 (M22-LED-B)</v>
          </cell>
          <cell r="B605" t="str">
            <v>218057(M22-LED-B)</v>
          </cell>
          <cell r="C605" t="str">
            <v>EATON</v>
          </cell>
          <cell r="D605" t="str">
            <v>Eaton-Non Moving Stock</v>
          </cell>
        </row>
        <row r="606">
          <cell r="A606" t="str">
            <v>Y7-216559_x000D_
 (M22-LED-G_x000D_
)</v>
          </cell>
          <cell r="B606" t="str">
            <v>Y7-216559_x000D_
(M22-LED-G_x000D_
)</v>
          </cell>
          <cell r="C606" t="str">
            <v>EATON</v>
          </cell>
          <cell r="D606" t="str">
            <v>Eaton-Non Moving Stock</v>
          </cell>
        </row>
        <row r="607">
          <cell r="A607" t="str">
            <v>216558 (M22-LED-R)</v>
          </cell>
          <cell r="B607" t="str">
            <v>216558(M22-LED-R)</v>
          </cell>
          <cell r="C607" t="str">
            <v>EATON</v>
          </cell>
          <cell r="D607" t="str">
            <v>Eaton-Non Moving Stock</v>
          </cell>
        </row>
        <row r="608">
          <cell r="A608" t="str">
            <v>216773 (M22-L-G)</v>
          </cell>
          <cell r="B608" t="str">
            <v>216773(M22-L-G)</v>
          </cell>
          <cell r="C608" t="str">
            <v>EATON</v>
          </cell>
          <cell r="D608" t="str">
            <v>Eaton-Non Moving Stock</v>
          </cell>
        </row>
        <row r="609">
          <cell r="A609" t="str">
            <v>Y7-216403 (M22-LG - Bulb extractor)</v>
          </cell>
          <cell r="B609" t="str">
            <v>Y7-216403(M22-LG - Bulb extractor)</v>
          </cell>
          <cell r="C609" t="str">
            <v>EATON</v>
          </cell>
          <cell r="D609" t="str">
            <v>Eaton-Non Moving Stock</v>
          </cell>
        </row>
        <row r="610">
          <cell r="A610" t="str">
            <v>216771 (M22-L-W)</v>
          </cell>
          <cell r="B610" t="str">
            <v>216771(M22-L-W)</v>
          </cell>
          <cell r="C610" t="str">
            <v>EATON</v>
          </cell>
          <cell r="D610" t="str">
            <v>Eaton-Non Moving Stock</v>
          </cell>
        </row>
        <row r="611">
          <cell r="A611" t="str">
            <v>216397 (M22-PL-PV)</v>
          </cell>
          <cell r="B611" t="str">
            <v>216397(M22-PL-PV)</v>
          </cell>
          <cell r="C611" t="str">
            <v>EATON</v>
          </cell>
          <cell r="D611" t="str">
            <v>Eaton-Non Moving Stock</v>
          </cell>
        </row>
        <row r="612">
          <cell r="A612" t="str">
            <v>Y7-216515 (M22-PV/K01)</v>
          </cell>
          <cell r="B612" t="str">
            <v>Y7-216515(M22-PV/K01)</v>
          </cell>
          <cell r="C612" t="str">
            <v>EATON</v>
          </cell>
          <cell r="D612" t="str">
            <v>Eaton-Non Moving Stock</v>
          </cell>
        </row>
        <row r="613">
          <cell r="A613" t="str">
            <v>216524 (M22-PV/KC02/IY)</v>
          </cell>
          <cell r="B613" t="str">
            <v>216524(M22-PV/KC02/IY)</v>
          </cell>
          <cell r="C613" t="str">
            <v>EATON</v>
          </cell>
          <cell r="D613" t="str">
            <v>Eaton-Non Moving Stock</v>
          </cell>
        </row>
        <row r="614">
          <cell r="A614" t="str">
            <v>216525 (M22-PV/KC11/IY)</v>
          </cell>
          <cell r="B614" t="str">
            <v>216525(M22-PV/KC11/IY)</v>
          </cell>
          <cell r="C614" t="str">
            <v>EATON</v>
          </cell>
          <cell r="D614" t="str">
            <v>Eaton-Non Moving Stock</v>
          </cell>
        </row>
        <row r="615">
          <cell r="A615" t="str">
            <v>Y7-121462_x000D_
 (M22-PVT45P_x000D_
)</v>
          </cell>
          <cell r="B615" t="str">
            <v>Y7-121462_x000D_
(M22-PVT45P_x000D_
)</v>
          </cell>
          <cell r="C615" t="str">
            <v>EATON</v>
          </cell>
          <cell r="D615" t="str">
            <v>Eaton-Non Moving Stock</v>
          </cell>
        </row>
        <row r="616">
          <cell r="A616" t="str">
            <v>Y7-132624 (M22-PVT-K01-BVP)</v>
          </cell>
          <cell r="B616" t="str">
            <v>Y7-132624(M22-PVT-K01-BVP)</v>
          </cell>
          <cell r="C616" t="str">
            <v>EATON</v>
          </cell>
          <cell r="D616" t="str">
            <v>Eaton-Non Moving Stock</v>
          </cell>
        </row>
        <row r="617">
          <cell r="A617" t="str">
            <v>229491 (M22-R10K_x000D_
)</v>
          </cell>
          <cell r="B617" t="str">
            <v>229491(M22-R10K_x000D_
)</v>
          </cell>
          <cell r="C617" t="str">
            <v>EATON</v>
          </cell>
          <cell r="D617" t="str">
            <v>Eaton-Non Moving Stock</v>
          </cell>
        </row>
        <row r="618">
          <cell r="A618" t="str">
            <v>229489 (M22-R1K)</v>
          </cell>
          <cell r="B618" t="str">
            <v>229489(M22-R1K)</v>
          </cell>
          <cell r="C618" t="str">
            <v>EATON</v>
          </cell>
          <cell r="D618" t="str">
            <v>Eaton-Non Moving Stock</v>
          </cell>
        </row>
        <row r="619">
          <cell r="A619" t="str">
            <v>Y7-107413 (M22-RJ45-SA)</v>
          </cell>
          <cell r="B619" t="str">
            <v>Y7-107413(M22-RJ45-SA)</v>
          </cell>
          <cell r="C619" t="str">
            <v>EATON</v>
          </cell>
          <cell r="D619" t="str">
            <v>Eaton-Non Moving Stock</v>
          </cell>
        </row>
        <row r="620">
          <cell r="A620" t="str">
            <v>216882 (M22S-WS_x000D_
)</v>
          </cell>
          <cell r="B620" t="str">
            <v>216882(M22S-WS_x000D_
)</v>
          </cell>
          <cell r="C620" t="str">
            <v>EATON</v>
          </cell>
          <cell r="D620" t="str">
            <v>Eaton-Non Moving Stock</v>
          </cell>
        </row>
        <row r="621">
          <cell r="A621" t="str">
            <v>Y7-107412 (M22-USB-SA)</v>
          </cell>
          <cell r="B621" t="str">
            <v>Y7-107412(M22-USB-SA)</v>
          </cell>
          <cell r="C621" t="str">
            <v>EATON</v>
          </cell>
          <cell r="D621" t="str">
            <v>Eaton-Non Moving Stock</v>
          </cell>
        </row>
        <row r="622">
          <cell r="A622" t="str">
            <v>279417 (M22-WJ4)</v>
          </cell>
          <cell r="B622" t="str">
            <v>279417(M22-WJ4)</v>
          </cell>
          <cell r="C622" t="str">
            <v>EATON</v>
          </cell>
          <cell r="D622" t="str">
            <v>Eaton-Non Moving Stock</v>
          </cell>
        </row>
        <row r="623">
          <cell r="A623" t="str">
            <v>Y7-216841 (M22-WLK3-B)</v>
          </cell>
          <cell r="B623" t="str">
            <v>Y7-216841(M22-WLK3-B)</v>
          </cell>
          <cell r="C623" t="str">
            <v>EATON</v>
          </cell>
          <cell r="D623" t="str">
            <v>Eaton-Non Moving Stock</v>
          </cell>
        </row>
        <row r="624">
          <cell r="A624" t="str">
            <v>Y7-216837 (M22-WLK3-G)</v>
          </cell>
          <cell r="B624" t="str">
            <v>Y7-216837(M22-WLK3-G)</v>
          </cell>
          <cell r="C624" t="str">
            <v>EATON</v>
          </cell>
          <cell r="D624" t="str">
            <v>Eaton-Non Moving Stock</v>
          </cell>
        </row>
        <row r="625">
          <cell r="A625" t="str">
            <v>216818 (M22-WLK-Y)</v>
          </cell>
          <cell r="B625" t="str">
            <v>216818(M22-WLK-Y)</v>
          </cell>
          <cell r="C625" t="str">
            <v>EATON</v>
          </cell>
          <cell r="D625" t="str">
            <v>Eaton-Non Moving Stock</v>
          </cell>
        </row>
        <row r="626">
          <cell r="A626" t="str">
            <v>216855 (M22-WR)</v>
          </cell>
          <cell r="B626" t="str">
            <v>216855(M22-WR)</v>
          </cell>
          <cell r="C626" t="str">
            <v>EATON</v>
          </cell>
          <cell r="D626" t="str">
            <v>Eaton-Non Moving Stock</v>
          </cell>
        </row>
        <row r="627">
          <cell r="A627" t="str">
            <v>279419 (M22-WR4)</v>
          </cell>
          <cell r="B627" t="str">
            <v>279419(M22-WR4)</v>
          </cell>
          <cell r="C627" t="str">
            <v>EATON</v>
          </cell>
          <cell r="D627" t="str">
            <v>Eaton-Non Moving Stock</v>
          </cell>
        </row>
        <row r="628">
          <cell r="A628" t="str">
            <v>Y7-216872 (M22-WRK3_x000D_
)</v>
          </cell>
          <cell r="B628" t="str">
            <v>Y7-216872(M22-WRK3_x000D_
)</v>
          </cell>
          <cell r="C628" t="str">
            <v>EATON</v>
          </cell>
          <cell r="D628" t="str">
            <v>Eaton-Non Moving Stock</v>
          </cell>
        </row>
        <row r="629">
          <cell r="A629" t="str">
            <v>Y7-279431 (M22-WRK4)</v>
          </cell>
          <cell r="B629" t="str">
            <v>Y7-279431(M22-WRK4)</v>
          </cell>
          <cell r="C629" t="str">
            <v>EATON</v>
          </cell>
          <cell r="D629" t="str">
            <v>Eaton-Non Moving Stock</v>
          </cell>
        </row>
        <row r="630">
          <cell r="A630" t="str">
            <v xml:space="preserve">M22-WRK4y7-279431_x000D_
</v>
          </cell>
          <cell r="B630" t="str">
            <v xml:space="preserve">M22-WRK4y7-279431_x000D_
</v>
          </cell>
          <cell r="C630" t="str">
            <v>EATON</v>
          </cell>
          <cell r="D630" t="str">
            <v>Eaton-Non Moving Stock</v>
          </cell>
        </row>
        <row r="631">
          <cell r="A631" t="str">
            <v>216843 (M22-WRLK3-W)</v>
          </cell>
          <cell r="B631" t="str">
            <v>216843(M22-WRLK3-W)</v>
          </cell>
          <cell r="C631" t="str">
            <v>EATON</v>
          </cell>
          <cell r="D631" t="str">
            <v>Eaton-Non Moving Stock</v>
          </cell>
        </row>
        <row r="632">
          <cell r="A632" t="str">
            <v>216831_x000D_
 (M22-WRLK-B_x000D_
)</v>
          </cell>
          <cell r="B632" t="str">
            <v>216831_x000D_
(M22-WRLK-B_x000D_
)</v>
          </cell>
          <cell r="C632" t="str">
            <v>EATON</v>
          </cell>
          <cell r="D632" t="str">
            <v>Eaton-Non Moving Stock</v>
          </cell>
        </row>
        <row r="633">
          <cell r="A633" t="str">
            <v>Y7-216900 (M22-WRS3)</v>
          </cell>
          <cell r="B633" t="str">
            <v>Y7-216900(M22-WRS3)</v>
          </cell>
          <cell r="C633" t="str">
            <v>EATON</v>
          </cell>
          <cell r="D633" t="str">
            <v>Eaton-Non Moving Stock</v>
          </cell>
        </row>
        <row r="634">
          <cell r="A634" t="str">
            <v>216881 (M22-WS)</v>
          </cell>
          <cell r="B634" t="str">
            <v>216881(M22-WS)</v>
          </cell>
          <cell r="C634" t="str">
            <v>EATON</v>
          </cell>
          <cell r="D634" t="str">
            <v>Eaton-Non Moving Stock</v>
          </cell>
        </row>
        <row r="635">
          <cell r="A635" t="str">
            <v>Y7-216466 (M22-XAK2_x000D_
)</v>
          </cell>
          <cell r="B635" t="str">
            <v>Y7-216466(M22-XAK2_x000D_
)</v>
          </cell>
          <cell r="C635" t="str">
            <v>EATON</v>
          </cell>
          <cell r="D635" t="str">
            <v>Eaton-Non Moving Stock</v>
          </cell>
        </row>
        <row r="636">
          <cell r="A636" t="str">
            <v>229025.0 (M22-XAM)</v>
          </cell>
          <cell r="B636" t="str">
            <v>229025.0(M22-XAM)</v>
          </cell>
          <cell r="C636" t="str">
            <v>EATON</v>
          </cell>
          <cell r="D636" t="str">
            <v>Eaton-Non Moving Stock</v>
          </cell>
        </row>
        <row r="637">
          <cell r="A637" t="str">
            <v>229028 (M22-XAMP)</v>
          </cell>
          <cell r="B637" t="str">
            <v>229028(M22-XAMP)</v>
          </cell>
          <cell r="C637" t="str">
            <v>EATON</v>
          </cell>
          <cell r="D637" t="str">
            <v>Eaton-Non Moving Stock</v>
          </cell>
        </row>
        <row r="638">
          <cell r="A638" t="str">
            <v>279435 (M22-XCK2)</v>
          </cell>
          <cell r="B638" t="str">
            <v>279435(M22-XCK2)</v>
          </cell>
          <cell r="C638" t="str">
            <v>EATON</v>
          </cell>
          <cell r="D638" t="str">
            <v>Eaton-Non Moving Stock</v>
          </cell>
        </row>
        <row r="639">
          <cell r="A639" t="str">
            <v>Y7-216407 (M22-XC-Y_x000D_
)</v>
          </cell>
          <cell r="B639" t="str">
            <v>Y7-216407(M22-XC-Y_x000D_
)</v>
          </cell>
          <cell r="C639" t="str">
            <v>EATON</v>
          </cell>
          <cell r="D639" t="str">
            <v>Eaton-Non Moving Stock</v>
          </cell>
        </row>
        <row r="640">
          <cell r="A640" t="str">
            <v>Y7-218304 (M22-XDL-B-X6)</v>
          </cell>
          <cell r="B640" t="str">
            <v>Y7-218304(M22-XDL-B-X6)</v>
          </cell>
          <cell r="C640" t="str">
            <v>EATON</v>
          </cell>
          <cell r="D640" t="str">
            <v>Eaton-Non Moving Stock</v>
          </cell>
        </row>
        <row r="641">
          <cell r="A641" t="str">
            <v>218208 (M22-XD-S-GB17 ( M22-XD-S-GB17Q))</v>
          </cell>
          <cell r="B641" t="str">
            <v>218208(M22-XD-S-GB17( M22-XD-S-GB17Q))</v>
          </cell>
          <cell r="C641" t="str">
            <v>EATON</v>
          </cell>
          <cell r="D641" t="str">
            <v>Eaton-Non Moving Stock</v>
          </cell>
        </row>
        <row r="642">
          <cell r="A642" t="str">
            <v>Y7-231273_x000D_
 (M22-XGPV_x000D_
)</v>
          </cell>
          <cell r="B642" t="str">
            <v>Y7-231273_x000D_
(M22-XGPV_x000D_
)</v>
          </cell>
          <cell r="C642" t="str">
            <v>EATON</v>
          </cell>
          <cell r="D642" t="str">
            <v>Eaton-Non Moving Stock</v>
          </cell>
        </row>
        <row r="643">
          <cell r="A643" t="str">
            <v>231079 (M22-XLED-T)</v>
          </cell>
          <cell r="B643" t="str">
            <v>231079(M22-XLED-T)</v>
          </cell>
          <cell r="C643" t="str">
            <v>EATON</v>
          </cell>
          <cell r="D643" t="str">
            <v>Eaton-Non Moving Stock</v>
          </cell>
        </row>
        <row r="644">
          <cell r="A644" t="str">
            <v>231275 (M22-XWS_x000D_
)</v>
          </cell>
          <cell r="B644" t="str">
            <v>231275(M22-XWS_x000D_
)</v>
          </cell>
          <cell r="C644" t="str">
            <v>EATON</v>
          </cell>
          <cell r="D644" t="str">
            <v>Eaton-Non Moving Stock</v>
          </cell>
        </row>
        <row r="645">
          <cell r="A645" t="str">
            <v>004545 (M-25-PKZ2)</v>
          </cell>
          <cell r="B645" t="str">
            <v>004545(M-25-PKZ2)</v>
          </cell>
          <cell r="C645" t="str">
            <v>EATON</v>
          </cell>
          <cell r="D645" t="str">
            <v>Eaton-Non Moving Stock</v>
          </cell>
        </row>
        <row r="646">
          <cell r="A646" t="str">
            <v>188032 (M30I-FDL-G-X1)</v>
          </cell>
          <cell r="B646" t="str">
            <v>188032(M30I-FDL-G-X1)</v>
          </cell>
          <cell r="C646" t="str">
            <v>EATON</v>
          </cell>
          <cell r="D646" t="str">
            <v>Eaton-Non Moving Stock</v>
          </cell>
        </row>
        <row r="647">
          <cell r="A647" t="str">
            <v>AM2R-A3-LB-16-D-L (MAGNETIC CKT BKR- AM2R-A3-LB-16-D-L-15-P)</v>
          </cell>
          <cell r="B647" t="str">
            <v>AM2R-A3-LB-16-D-L(MAGNETIC CKT BKR- AM2R-A3-LB-16-D-L-15-P)</v>
          </cell>
          <cell r="C647" t="str">
            <v>EATON</v>
          </cell>
          <cell r="D647" t="str">
            <v>Eaton-Non Moving Stock</v>
          </cell>
        </row>
        <row r="648">
          <cell r="A648" t="str">
            <v>AM1R-A3-AB-16-D-L (MAGNETIC CKT BKR AMIR-A3-AB-16-D-L-4-P)</v>
          </cell>
          <cell r="B648" t="str">
            <v>AM1R-A3-AB-16-D-L(MAGNETIC CKT BKR AMIR-A3-AB-16-D-L-4-P)</v>
          </cell>
          <cell r="C648" t="str">
            <v>EATON</v>
          </cell>
          <cell r="D648" t="str">
            <v>Eaton-Non Moving Stock</v>
          </cell>
        </row>
        <row r="649">
          <cell r="A649" t="str">
            <v>Y7-290191_x000D_
 (MBS-I2_x000D_
)</v>
          </cell>
          <cell r="B649" t="str">
            <v>Y7-290191_x000D_
(MBS-I2_x000D_
)</v>
          </cell>
          <cell r="C649" t="str">
            <v>EATON</v>
          </cell>
          <cell r="D649" t="str">
            <v>Eaton-Non Moving Stock</v>
          </cell>
        </row>
        <row r="650">
          <cell r="A650" t="str">
            <v>Y7-118742_x000D_
 (MBS-I4_x000D_
)</v>
          </cell>
          <cell r="B650" t="str">
            <v>Y7-118742_x000D_
(MBS-I4_x000D_
)</v>
          </cell>
          <cell r="C650" t="str">
            <v>EATON</v>
          </cell>
          <cell r="D650" t="str">
            <v>Eaton-Non Moving Stock</v>
          </cell>
        </row>
        <row r="651">
          <cell r="A651" t="str">
            <v>265251 (MFD-80-B_x000D_
)</v>
          </cell>
          <cell r="B651" t="str">
            <v>265251(MFD-80-B_x000D_
)</v>
          </cell>
          <cell r="C651" t="str">
            <v>EATON</v>
          </cell>
          <cell r="D651" t="str">
            <v>Eaton-Non Moving Stock</v>
          </cell>
        </row>
        <row r="652">
          <cell r="A652" t="str">
            <v>265253 (MFD-CP8-NT_x000D_
)</v>
          </cell>
          <cell r="B652" t="str">
            <v>265253(MFD-CP8-NT_x000D_
)</v>
          </cell>
          <cell r="C652" t="str">
            <v>EATON</v>
          </cell>
          <cell r="D652" t="str">
            <v>Eaton-Non Moving Stock</v>
          </cell>
        </row>
        <row r="653">
          <cell r="A653" t="str">
            <v>265255 (MFD-T16_x000D_
)</v>
          </cell>
          <cell r="B653" t="str">
            <v>265255(MFD-T16_x000D_
)</v>
          </cell>
          <cell r="C653" t="str">
            <v>EATON</v>
          </cell>
          <cell r="D653" t="str">
            <v>Eaton-Non Moving Stock</v>
          </cell>
        </row>
        <row r="654">
          <cell r="A654" t="str">
            <v>NFI10-380 (Moeller Protection Relay 230-400 VAC)</v>
          </cell>
          <cell r="B654" t="str">
            <v>NFI10-380(Moeller Protection Relay 230-400 VAC)</v>
          </cell>
          <cell r="C654" t="str">
            <v>EATON</v>
          </cell>
          <cell r="D654" t="str">
            <v>Eaton-Non Moving Stock</v>
          </cell>
        </row>
        <row r="655">
          <cell r="A655" t="str">
            <v>Y7-102978 (MSC-D-16-M17(24VDC)/BBA)</v>
          </cell>
          <cell r="B655" t="str">
            <v>Y7-102978(MSC-D-16-M17(24VDC)/BBA)</v>
          </cell>
          <cell r="C655" t="str">
            <v>EATON</v>
          </cell>
          <cell r="D655" t="str">
            <v>Eaton-Non Moving Stock</v>
          </cell>
        </row>
        <row r="656">
          <cell r="A656" t="str">
            <v>Y7-283152 (MSC-D-32-M32(230V50HZ))</v>
          </cell>
          <cell r="B656" t="str">
            <v>Y7-283152(MSC-D-32-M32(230V50HZ))</v>
          </cell>
          <cell r="C656" t="str">
            <v>EATON</v>
          </cell>
          <cell r="D656" t="str">
            <v>Eaton-Non Moving Stock</v>
          </cell>
        </row>
        <row r="657">
          <cell r="A657" t="str">
            <v>Y7-266028 (N4-1600)</v>
          </cell>
          <cell r="B657" t="str">
            <v>Y7-266028(N4-1600)</v>
          </cell>
          <cell r="C657" t="str">
            <v>EATON</v>
          </cell>
          <cell r="D657" t="str">
            <v>Eaton-Non Moving Stock</v>
          </cell>
        </row>
        <row r="658">
          <cell r="A658" t="str">
            <v>400NHG2BI-BI_x000D_
_x000D_
 (NH FUSE 400A 500V GL/GG SIZE 2)</v>
          </cell>
          <cell r="B658" t="str">
            <v>400NHG2BI-BI_x000D_
_x000D_
(NH FUSE 400A 500V GL/GG SIZE 2)</v>
          </cell>
          <cell r="C658" t="str">
            <v>EATON</v>
          </cell>
          <cell r="D658" t="str">
            <v>Eaton-Non Moving Stock</v>
          </cell>
        </row>
        <row r="659">
          <cell r="A659" t="str">
            <v>72896.0 (NHI11-PKZ0)</v>
          </cell>
          <cell r="B659" t="str">
            <v>72896.0(NHI11-PKZ0)</v>
          </cell>
          <cell r="C659" t="str">
            <v>EATON</v>
          </cell>
          <cell r="D659" t="str">
            <v>Eaton-Non Moving Stock</v>
          </cell>
        </row>
        <row r="660">
          <cell r="A660" t="str">
            <v>76230 (NHI11S-PKZ2)</v>
          </cell>
          <cell r="B660" t="str">
            <v>76230(NHI11S-PKZ2)</v>
          </cell>
          <cell r="C660" t="str">
            <v>EATON</v>
          </cell>
          <cell r="D660" t="str">
            <v>Eaton-Non Moving Stock</v>
          </cell>
        </row>
        <row r="661">
          <cell r="A661" t="str">
            <v>Y7-72894 (NHI21-PKZ0)</v>
          </cell>
          <cell r="B661" t="str">
            <v>Y7-72894(NHI21-PKZ0)</v>
          </cell>
          <cell r="C661" t="str">
            <v>EATON</v>
          </cell>
          <cell r="D661" t="str">
            <v>Eaton-Non Moving Stock</v>
          </cell>
        </row>
        <row r="662">
          <cell r="A662" t="str">
            <v>Y7-82884 (NHI-E-10-PKZ0_x000D_
)</v>
          </cell>
          <cell r="B662" t="str">
            <v>Y7-82884(NHI-E-10-PKZ0_x000D_
)</v>
          </cell>
          <cell r="C662" t="str">
            <v>EATON</v>
          </cell>
          <cell r="D662" t="str">
            <v>Eaton-Non Moving Stock</v>
          </cell>
        </row>
        <row r="663">
          <cell r="A663" t="str">
            <v>Y7-229681_x000D_
 (NHI-E-10-PKZ0-C_x000D_
)</v>
          </cell>
          <cell r="B663" t="str">
            <v>Y7-229681_x000D_
(NHI-E-10-PKZ0-C_x000D_
)</v>
          </cell>
          <cell r="C663" t="str">
            <v>EATON</v>
          </cell>
          <cell r="D663" t="str">
            <v>Eaton-Non Moving Stock</v>
          </cell>
        </row>
        <row r="664">
          <cell r="A664" t="str">
            <v>Y7-000651 (N-P1E)</v>
          </cell>
          <cell r="B664" t="str">
            <v>Y7-000651(N-P1E)</v>
          </cell>
          <cell r="C664" t="str">
            <v>EATON</v>
          </cell>
          <cell r="D664" t="str">
            <v>Eaton-Non Moving Stock</v>
          </cell>
        </row>
        <row r="665">
          <cell r="A665" t="str">
            <v>261232 (NZM1/2-XV4)</v>
          </cell>
          <cell r="B665" t="str">
            <v>261232(NZM1/2-XV4)</v>
          </cell>
          <cell r="C665" t="str">
            <v>EATON</v>
          </cell>
          <cell r="D665" t="str">
            <v>Eaton-Non Moving Stock</v>
          </cell>
        </row>
        <row r="666">
          <cell r="A666" t="str">
            <v>Y7-266745 (NZM1-4-XIPK_x000D_
)</v>
          </cell>
          <cell r="B666" t="str">
            <v>Y7-266745(NZM1-4-XIPK_x000D_
)</v>
          </cell>
          <cell r="C666" t="str">
            <v>EATON</v>
          </cell>
          <cell r="D666" t="str">
            <v>Eaton-Non Moving Stock</v>
          </cell>
        </row>
        <row r="667">
          <cell r="A667" t="str">
            <v>259708 (NZM1-XA24AC/DC_x000D_
)</v>
          </cell>
          <cell r="B667" t="str">
            <v>259708(NZM1-XA24AC/DC_x000D_
)</v>
          </cell>
          <cell r="C667" t="str">
            <v>EATON</v>
          </cell>
          <cell r="D667" t="str">
            <v>Eaton-Non Moving Stock</v>
          </cell>
        </row>
        <row r="668">
          <cell r="A668" t="str">
            <v>271528 (NZM1-XCI43-TVDVR)</v>
          </cell>
          <cell r="B668" t="str">
            <v>271528(NZM1-XCI43-TVDVR)</v>
          </cell>
          <cell r="C668" t="str">
            <v>EATON</v>
          </cell>
          <cell r="D668" t="str">
            <v>Eaton-Non Moving Stock</v>
          </cell>
        </row>
        <row r="669">
          <cell r="A669" t="str">
            <v>Y7-260125 (NZM1-XDV_x000D_
)</v>
          </cell>
          <cell r="B669" t="str">
            <v>Y7-260125(NZM1-XDV_x000D_
)</v>
          </cell>
          <cell r="C669" t="str">
            <v>EATON</v>
          </cell>
          <cell r="D669" t="str">
            <v>Eaton-Non Moving Stock</v>
          </cell>
        </row>
        <row r="670">
          <cell r="A670" t="str">
            <v>27142T (NZM1-XKT)</v>
          </cell>
          <cell r="B670" t="str">
            <v>27142T(NZM1-XKT)</v>
          </cell>
          <cell r="C670" t="str">
            <v>EATON</v>
          </cell>
          <cell r="D670" t="str">
            <v>Eaton-Non Moving Stock</v>
          </cell>
        </row>
        <row r="671">
          <cell r="A671" t="str">
            <v>107245 (NZM1-XRAV_x000D_
)</v>
          </cell>
          <cell r="B671" t="str">
            <v>107245(NZM1-XRAV_x000D_
)</v>
          </cell>
          <cell r="C671" t="str">
            <v>EATON</v>
          </cell>
          <cell r="D671" t="str">
            <v>Eaton-Non Moving Stock</v>
          </cell>
        </row>
        <row r="672">
          <cell r="A672" t="str">
            <v>Y7-266641 (NZM1-XS-L_x000D_
)</v>
          </cell>
          <cell r="B672" t="str">
            <v>Y7-266641(NZM1-XS-L_x000D_
)</v>
          </cell>
          <cell r="C672" t="str">
            <v>EATON</v>
          </cell>
          <cell r="D672" t="str">
            <v>Eaton-Non Moving Stock</v>
          </cell>
        </row>
        <row r="673">
          <cell r="A673" t="str">
            <v>266665 (NZM1-XSM-R)</v>
          </cell>
          <cell r="B673" t="str">
            <v>266665(NZM1-XSM-R)</v>
          </cell>
          <cell r="C673" t="str">
            <v>EATON</v>
          </cell>
          <cell r="D673" t="str">
            <v>Eaton-Non Moving Stock</v>
          </cell>
        </row>
        <row r="674">
          <cell r="A674" t="str">
            <v>266644 (NZM1-XS-R_x000D_
)</v>
          </cell>
          <cell r="B674" t="str">
            <v>266644(NZM1-XS-R_x000D_
)</v>
          </cell>
          <cell r="C674" t="str">
            <v>EATON</v>
          </cell>
          <cell r="D674" t="str">
            <v>Eaton-Non Moving Stock</v>
          </cell>
        </row>
        <row r="675">
          <cell r="A675" t="str">
            <v>Y7-260166 (NZM1-XTVD_x000D_
)</v>
          </cell>
          <cell r="B675" t="str">
            <v>Y7-260166(NZM1-XTVD_x000D_
)</v>
          </cell>
          <cell r="C675" t="str">
            <v>EATON</v>
          </cell>
          <cell r="D675" t="str">
            <v>Eaton-Non Moving Stock</v>
          </cell>
        </row>
        <row r="676">
          <cell r="A676" t="str">
            <v>260166+261232 (NZM1-XTVD+NZM1/2-XV4)</v>
          </cell>
          <cell r="B676" t="str">
            <v>260166+261232(NZM1-XTVD+NZM1/2-XV4)</v>
          </cell>
          <cell r="C676" t="str">
            <v>EATON</v>
          </cell>
          <cell r="D676" t="str">
            <v>Eaton-Non Moving Stock</v>
          </cell>
        </row>
        <row r="677">
          <cell r="A677" t="str">
            <v>Y7-100683 (NZM1-XTVDV-NA)</v>
          </cell>
          <cell r="B677" t="str">
            <v>Y7-100683(NZM1-XTVDV-NA)</v>
          </cell>
          <cell r="C677" t="str">
            <v>EATON</v>
          </cell>
          <cell r="D677" t="str">
            <v>Eaton-Non Moving Stock</v>
          </cell>
        </row>
        <row r="678">
          <cell r="A678" t="str">
            <v>Y7-260178_x000D_
 (NZM1-XTVDVR_x000D_
)</v>
          </cell>
          <cell r="B678" t="str">
            <v>Y7-260178_x000D_
(NZM1-XTVDVR_x000D_
)</v>
          </cell>
          <cell r="C678" t="str">
            <v>EATON</v>
          </cell>
          <cell r="D678" t="str">
            <v>Eaton-Non Moving Stock</v>
          </cell>
        </row>
        <row r="679">
          <cell r="A679" t="str">
            <v>259442 (NZM1-XU208-240AC_x000D_
)</v>
          </cell>
          <cell r="B679" t="str">
            <v>259442(NZM1-XU208-240AC_x000D_
)</v>
          </cell>
          <cell r="C679" t="str">
            <v>EATON</v>
          </cell>
          <cell r="D679" t="str">
            <v>Eaton-Non Moving Stock</v>
          </cell>
        </row>
        <row r="680">
          <cell r="A680" t="str">
            <v>259434 (NZM1-XU24AC)</v>
          </cell>
          <cell r="B680" t="str">
            <v>259434(NZM1-XU24AC)</v>
          </cell>
          <cell r="C680" t="str">
            <v>EATON</v>
          </cell>
          <cell r="D680" t="str">
            <v>Eaton-Non Moving Stock</v>
          </cell>
        </row>
        <row r="681">
          <cell r="A681" t="str">
            <v>259452 (NZM1-XU24DC)</v>
          </cell>
          <cell r="B681" t="str">
            <v>259452(NZM1-XU24DC)</v>
          </cell>
          <cell r="C681" t="str">
            <v>EATON</v>
          </cell>
          <cell r="D681" t="str">
            <v>Eaton-Non Moving Stock</v>
          </cell>
        </row>
        <row r="682">
          <cell r="A682" t="str">
            <v>284402 (NZM1-XUHIV20LK24AC)</v>
          </cell>
          <cell r="B682" t="str">
            <v>284402(NZM1-XUHIV20LK24AC)</v>
          </cell>
          <cell r="C682" t="str">
            <v>EATON</v>
          </cell>
          <cell r="D682" t="str">
            <v>Eaton-Non Moving Stock</v>
          </cell>
        </row>
        <row r="683">
          <cell r="A683" t="str">
            <v>Y7-259763 (NZM2/3-XA208-250AC/DC_x000D_
)</v>
          </cell>
          <cell r="B683" t="str">
            <v>Y7-259763(NZM2/3-XA208-250AC/DC_x000D_
)</v>
          </cell>
          <cell r="C683" t="str">
            <v>EATON</v>
          </cell>
          <cell r="D683" t="str">
            <v>Eaton-Non Moving Stock</v>
          </cell>
        </row>
        <row r="684">
          <cell r="A684" t="str">
            <v>Y7-259430 (NZM2/3-XHIV_x000D_
)</v>
          </cell>
          <cell r="B684" t="str">
            <v>Y7-259430(NZM2/3-XHIV_x000D_
)</v>
          </cell>
          <cell r="C684" t="str">
            <v>EATON</v>
          </cell>
          <cell r="D684" t="str">
            <v>Eaton-Non Moving Stock</v>
          </cell>
        </row>
        <row r="685">
          <cell r="A685" t="str">
            <v>Y7-259497 (NZM2/3-XU110-130AC_x000D_
)</v>
          </cell>
          <cell r="B685" t="str">
            <v>Y7-259497(NZM2/3-XU110-130AC_x000D_
)</v>
          </cell>
          <cell r="C685" t="str">
            <v>EATON</v>
          </cell>
          <cell r="D685" t="str">
            <v>Eaton-Non Moving Stock</v>
          </cell>
        </row>
        <row r="686">
          <cell r="A686" t="str">
            <v>259501 (NZM2/3-XU380-440AC)</v>
          </cell>
          <cell r="B686" t="str">
            <v>259501(NZM2/3-XU380-440AC)</v>
          </cell>
          <cell r="C686" t="str">
            <v>EATON</v>
          </cell>
          <cell r="D686" t="str">
            <v>Eaton-Non Moving Stock</v>
          </cell>
        </row>
        <row r="687">
          <cell r="A687" t="str">
            <v>Y7-285291 (NZM2/3 -XUHIV20LK)</v>
          </cell>
          <cell r="B687" t="str">
            <v>Y7-285291(NZM2/3 -XUHIV20LK)</v>
          </cell>
          <cell r="C687" t="str">
            <v>EATON</v>
          </cell>
          <cell r="D687" t="str">
            <v>Eaton-Non Moving Stock</v>
          </cell>
        </row>
        <row r="688">
          <cell r="A688" t="str">
            <v>Y7-189733 (NZM2/3-XUHIV2A24DC)</v>
          </cell>
          <cell r="B688" t="str">
            <v>Y7-189733(NZM2/3-XUHIV2A24DC)</v>
          </cell>
          <cell r="C688" t="str">
            <v>EATON</v>
          </cell>
          <cell r="D688" t="str">
            <v>Eaton-Non Moving Stock</v>
          </cell>
        </row>
        <row r="689">
          <cell r="A689" t="str">
            <v>266755 (NZM2-4-160-XKC)</v>
          </cell>
          <cell r="B689" t="str">
            <v>266755(NZM2-4-160-XKC)</v>
          </cell>
          <cell r="C689" t="str">
            <v>EATON</v>
          </cell>
          <cell r="D689" t="str">
            <v>Eaton-Non Moving Stock</v>
          </cell>
        </row>
        <row r="690">
          <cell r="A690" t="str">
            <v xml:space="preserve">NZM2-4-XKTFP_x000D_
</v>
          </cell>
          <cell r="B690" t="str">
            <v xml:space="preserve">NZM2-4-XKTFP_x000D_
</v>
          </cell>
          <cell r="C690" t="str">
            <v>EATON</v>
          </cell>
          <cell r="D690" t="str">
            <v>Eaton-Non Moving Stock</v>
          </cell>
        </row>
        <row r="691">
          <cell r="A691" t="str">
            <v>271529 (NZM2-XCI43-TVDVR)</v>
          </cell>
          <cell r="B691" t="str">
            <v>271529(NZM2-XCI43-TVDVR)</v>
          </cell>
          <cell r="C691" t="str">
            <v>EATON</v>
          </cell>
          <cell r="D691" t="str">
            <v>Eaton-Non Moving Stock</v>
          </cell>
        </row>
        <row r="692">
          <cell r="A692" t="str">
            <v>Y7-116898 (NZM2-XHB-DAR-NA_x000D_
)</v>
          </cell>
          <cell r="B692" t="str">
            <v>Y7-116898(NZM2-XHB-DAR-NA_x000D_
)</v>
          </cell>
          <cell r="C692" t="str">
            <v>EATON</v>
          </cell>
          <cell r="D692" t="str">
            <v>Eaton-Non Moving Stock</v>
          </cell>
        </row>
        <row r="693">
          <cell r="A693" t="str">
            <v>Y7-260038 (NZM2-XKSA_x000D_
)</v>
          </cell>
          <cell r="B693" t="str">
            <v>Y7-260038(NZM2-XKSA_x000D_
)</v>
          </cell>
          <cell r="C693" t="str">
            <v>EATON</v>
          </cell>
          <cell r="D693" t="str">
            <v>Eaton-Non Moving Stock</v>
          </cell>
        </row>
        <row r="694">
          <cell r="A694" t="str">
            <v>NZM2-XKT</v>
          </cell>
          <cell r="B694" t="str">
            <v>NZM2-XKT</v>
          </cell>
          <cell r="C694" t="str">
            <v>EATON</v>
          </cell>
          <cell r="D694" t="str">
            <v>Eaton-Non Moving Stock</v>
          </cell>
        </row>
        <row r="695">
          <cell r="A695" t="str">
            <v>259832 (NZM2-XR208-240AC_x000D_
)</v>
          </cell>
          <cell r="B695" t="str">
            <v>259832(NZM2-XR208-240AC_x000D_
)</v>
          </cell>
          <cell r="C695" t="str">
            <v>EATON</v>
          </cell>
          <cell r="D695" t="str">
            <v>Eaton-Non Moving Stock</v>
          </cell>
        </row>
        <row r="696">
          <cell r="A696" t="str">
            <v>260168 (NZM2-XTVD)</v>
          </cell>
          <cell r="B696" t="str">
            <v>260168(NZM2-XTVD)</v>
          </cell>
          <cell r="C696" t="str">
            <v>EATON</v>
          </cell>
          <cell r="D696" t="str">
            <v>Eaton-Non Moving Stock</v>
          </cell>
        </row>
        <row r="697">
          <cell r="A697" t="str">
            <v>Y7-271446 (NZM2-XTVD-NA)</v>
          </cell>
          <cell r="B697" t="str">
            <v>Y7-271446(NZM2-XTVD-NA)</v>
          </cell>
          <cell r="C697" t="str">
            <v>EATON</v>
          </cell>
          <cell r="D697" t="str">
            <v>Eaton-Non Moving Stock</v>
          </cell>
        </row>
        <row r="698">
          <cell r="A698" t="str">
            <v>Y7-260168+Y7-261232 (NZM2-XTVD+NZM1/2-XV4)</v>
          </cell>
          <cell r="B698" t="str">
            <v>Y7-260168+Y7-261232(NZM2-XTVD+NZM1/2-XV4)</v>
          </cell>
          <cell r="C698" t="str">
            <v>EATON</v>
          </cell>
          <cell r="D698" t="str">
            <v>Eaton-Non Moving Stock</v>
          </cell>
        </row>
        <row r="699">
          <cell r="A699" t="str">
            <v>Y7-260180 (NZM2-XTVDVR)</v>
          </cell>
          <cell r="B699" t="str">
            <v>Y7-260180(NZM2-XTVDVR)</v>
          </cell>
          <cell r="C699" t="str">
            <v>EATON</v>
          </cell>
          <cell r="D699" t="str">
            <v>Eaton-Non Moving Stock</v>
          </cell>
        </row>
        <row r="700">
          <cell r="A700" t="str">
            <v>100680 (NZM2-XTVDVR-0NA)</v>
          </cell>
          <cell r="B700" t="str">
            <v>100680(NZM2-XTVDVR-0NA)</v>
          </cell>
          <cell r="C700" t="str">
            <v>EATON</v>
          </cell>
          <cell r="D700" t="str">
            <v>Eaton-Non Moving Stock</v>
          </cell>
        </row>
        <row r="701">
          <cell r="A701" t="str">
            <v>y7-266797 (NZM3/4-XSTS)</v>
          </cell>
          <cell r="B701" t="str">
            <v>y7-266797(NZM3/4-XSTS)</v>
          </cell>
          <cell r="C701" t="str">
            <v>EATON</v>
          </cell>
          <cell r="D701" t="str">
            <v>Eaton-Non Moving Stock</v>
          </cell>
        </row>
        <row r="702">
          <cell r="A702" t="str">
            <v>Y7-261234 (NZM3/4-XV4_x000D_
)</v>
          </cell>
          <cell r="B702" t="str">
            <v>Y7-261234(NZM3/4-XV4_x000D_
)</v>
          </cell>
          <cell r="C702" t="str">
            <v>EATON</v>
          </cell>
          <cell r="D702" t="str">
            <v>Eaton-Non Moving Stock</v>
          </cell>
        </row>
        <row r="703">
          <cell r="A703" t="str">
            <v>y7-260193 (NZM3/4-XV6)</v>
          </cell>
          <cell r="B703" t="str">
            <v>y7-260193(NZM3/4-XV6)</v>
          </cell>
          <cell r="C703" t="str">
            <v>EATON</v>
          </cell>
          <cell r="D703" t="str">
            <v>Eaton-Non Moving Stock</v>
          </cell>
        </row>
        <row r="704">
          <cell r="A704" t="str">
            <v>266804 (NZM3-XIPK)</v>
          </cell>
          <cell r="B704" t="str">
            <v>266804(NZM3-XIPK)</v>
          </cell>
          <cell r="C704" t="str">
            <v>EATON</v>
          </cell>
          <cell r="D704" t="str">
            <v>Eaton-Non Moving Stock</v>
          </cell>
        </row>
        <row r="705">
          <cell r="A705" t="str">
            <v>271461 (NZM3-XKA2)</v>
          </cell>
          <cell r="B705" t="str">
            <v>271461(NZM3-XKA2)</v>
          </cell>
          <cell r="C705" t="str">
            <v>EATON</v>
          </cell>
          <cell r="D705" t="str">
            <v>Eaton-Non Moving Stock</v>
          </cell>
        </row>
        <row r="706">
          <cell r="A706" t="str">
            <v>260042 (NZM3-XKC)</v>
          </cell>
          <cell r="B706" t="str">
            <v>260042(NZM3-XKC)</v>
          </cell>
          <cell r="C706" t="str">
            <v>EATON</v>
          </cell>
          <cell r="D706" t="str">
            <v>Eaton-Non Moving Stock</v>
          </cell>
        </row>
        <row r="707">
          <cell r="A707" t="str">
            <v>Y7-259850_x000D_
 (NZM3-XR208-240AC_x000D_
)</v>
          </cell>
          <cell r="B707" t="str">
            <v>Y7-259850_x000D_
(NZM3-XR208-240AC_x000D_
)</v>
          </cell>
          <cell r="C707" t="str">
            <v>EATON</v>
          </cell>
          <cell r="D707" t="str">
            <v>Eaton-Non Moving Stock</v>
          </cell>
        </row>
        <row r="708">
          <cell r="A708" t="str">
            <v>Y7-260170 (NZM3-XTVD_x000D_
)</v>
          </cell>
          <cell r="B708" t="str">
            <v>Y7-260170(NZM3-XTVD_x000D_
)</v>
          </cell>
          <cell r="C708" t="str">
            <v>EATON</v>
          </cell>
          <cell r="D708" t="str">
            <v>Eaton-Non Moving Stock</v>
          </cell>
        </row>
        <row r="709">
          <cell r="A709" t="str">
            <v>Y7-260170+Y7-261234 (NZM3-XTVD+NZM3/4-XV4)</v>
          </cell>
          <cell r="B709" t="str">
            <v>Y7-260170+Y7-261234(NZM3-XTVD+NZM3/4-XV4)</v>
          </cell>
          <cell r="C709" t="str">
            <v>EATON</v>
          </cell>
          <cell r="D709" t="str">
            <v>Eaton-Non Moving Stock</v>
          </cell>
        </row>
        <row r="710">
          <cell r="A710" t="str">
            <v>266836 (NZM4-XKA)</v>
          </cell>
          <cell r="B710" t="str">
            <v>266836(NZM4-XKA)</v>
          </cell>
          <cell r="C710" t="str">
            <v>EATON</v>
          </cell>
          <cell r="D710" t="str">
            <v>Eaton-Non Moving Stock</v>
          </cell>
        </row>
        <row r="711">
          <cell r="A711" t="str">
            <v>284473 (NZM4-XKM2S-1600)</v>
          </cell>
          <cell r="B711" t="str">
            <v>284473(NZM4-XKM2S-1600)</v>
          </cell>
          <cell r="C711" t="str">
            <v>EATON</v>
          </cell>
          <cell r="D711" t="str">
            <v>Eaton-Non Moving Stock</v>
          </cell>
        </row>
        <row r="712">
          <cell r="A712" t="str">
            <v>y7-266846 (NZM4-XKSA)</v>
          </cell>
          <cell r="B712" t="str">
            <v>y7-266846(NZM4-XKSA)</v>
          </cell>
          <cell r="C712" t="str">
            <v>EATON</v>
          </cell>
          <cell r="D712" t="str">
            <v>Eaton-Non Moving Stock</v>
          </cell>
        </row>
        <row r="713">
          <cell r="A713" t="str">
            <v>y7-281591 (NZM4-XKV95)</v>
          </cell>
          <cell r="B713" t="str">
            <v>y7-281591(NZM4-XKV95)</v>
          </cell>
          <cell r="C713" t="str">
            <v>EATON</v>
          </cell>
          <cell r="D713" t="str">
            <v>Eaton-Non Moving Stock</v>
          </cell>
        </row>
        <row r="714">
          <cell r="A714" t="str">
            <v>266614 (NZM4-XTVD)</v>
          </cell>
          <cell r="B714" t="str">
            <v>266614(NZM4-XTVD)</v>
          </cell>
          <cell r="C714" t="str">
            <v>EATON</v>
          </cell>
          <cell r="D714" t="str">
            <v>Eaton-Non Moving Stock</v>
          </cell>
        </row>
        <row r="715">
          <cell r="A715" t="str">
            <v>y7-266618 (NZM4-XTVDVR)</v>
          </cell>
          <cell r="B715" t="str">
            <v>y7-266618(NZM4-XTVDVR)</v>
          </cell>
          <cell r="C715" t="str">
            <v>EATON</v>
          </cell>
          <cell r="D715" t="str">
            <v>Eaton-Non Moving Stock</v>
          </cell>
        </row>
        <row r="716">
          <cell r="A716" t="str">
            <v>Y7-266193 (NZM4-XU208-240AC_x000D_
)</v>
          </cell>
          <cell r="B716" t="str">
            <v>Y7-266193(NZM4-XU208-240AC_x000D_
)</v>
          </cell>
          <cell r="C716" t="str">
            <v>EATON</v>
          </cell>
          <cell r="D716" t="str">
            <v>Eaton-Non Moving Stock</v>
          </cell>
        </row>
        <row r="717">
          <cell r="A717" t="str">
            <v>Y7-259079_x000D_
 (NZMB1-A100_x000D_
)</v>
          </cell>
          <cell r="B717" t="str">
            <v>Y7-259079_x000D_
(NZMB1-A100_x000D_
)</v>
          </cell>
          <cell r="C717" t="str">
            <v>EATON</v>
          </cell>
          <cell r="D717" t="str">
            <v>Eaton-Non Moving Stock</v>
          </cell>
        </row>
        <row r="718">
          <cell r="A718" t="str">
            <v>Y7-259080 (NZMB1-A125_x000D_
)</v>
          </cell>
          <cell r="B718" t="str">
            <v>Y7-259080(NZMB1-A125_x000D_
)</v>
          </cell>
          <cell r="C718" t="str">
            <v>EATON</v>
          </cell>
          <cell r="D718" t="str">
            <v>Eaton-Non Moving Stock</v>
          </cell>
        </row>
        <row r="719">
          <cell r="A719" t="str">
            <v>Y7-281230 (NZMB1-A160_x000D_
)</v>
          </cell>
          <cell r="B719" t="str">
            <v>Y7-281230(NZMB1-A160_x000D_
)</v>
          </cell>
          <cell r="C719" t="str">
            <v>EATON</v>
          </cell>
          <cell r="D719" t="str">
            <v>Eaton-Non Moving Stock</v>
          </cell>
        </row>
        <row r="720">
          <cell r="A720" t="str">
            <v>Y7-259075 (NZMB1-A40)</v>
          </cell>
          <cell r="B720" t="str">
            <v>Y7-259075(NZMB1-A40)</v>
          </cell>
          <cell r="C720" t="str">
            <v>EATON</v>
          </cell>
          <cell r="D720" t="str">
            <v>Eaton-Non Moving Stock</v>
          </cell>
        </row>
        <row r="721">
          <cell r="A721" t="str">
            <v>Y7-259077 (NZMB1-A63_x000D_
)</v>
          </cell>
          <cell r="B721" t="str">
            <v>Y7-259077(NZMB1-A63_x000D_
)</v>
          </cell>
          <cell r="C721" t="str">
            <v>EATON</v>
          </cell>
          <cell r="D721" t="str">
            <v>Eaton-Non Moving Stock</v>
          </cell>
        </row>
        <row r="722">
          <cell r="A722" t="str">
            <v>Y7-259078 (NZMB1-A80_x000D_
)</v>
          </cell>
          <cell r="B722" t="str">
            <v>Y7-259078(NZMB1-A80_x000D_
)</v>
          </cell>
          <cell r="C722" t="str">
            <v>EATON</v>
          </cell>
          <cell r="D722" t="str">
            <v>Eaton-Non Moving Stock</v>
          </cell>
        </row>
        <row r="723">
          <cell r="A723" t="str">
            <v>Y7-107582 (NZMB2-4-A300)</v>
          </cell>
          <cell r="B723" t="str">
            <v>Y7-107582(NZMB2-4-A300)</v>
          </cell>
          <cell r="C723" t="str">
            <v>EATON</v>
          </cell>
          <cell r="D723" t="str">
            <v>Eaton-Non Moving Stock</v>
          </cell>
        </row>
        <row r="724">
          <cell r="A724" t="str">
            <v>Y7-153380 (NZMB2-4-AF60-BT-NA)</v>
          </cell>
          <cell r="B724" t="str">
            <v>Y7-153380(NZMB2-4-AF60-BT-NA)</v>
          </cell>
          <cell r="C724" t="str">
            <v>EATON</v>
          </cell>
          <cell r="D724" t="str">
            <v>Eaton-Non Moving Stock</v>
          </cell>
        </row>
        <row r="725">
          <cell r="A725" t="str">
            <v>Y7-259089 (NZMB2-A200_x000D_
)</v>
          </cell>
          <cell r="B725" t="str">
            <v>Y7-259089(NZMB2-A200_x000D_
)</v>
          </cell>
          <cell r="C725" t="str">
            <v>EATON</v>
          </cell>
          <cell r="D725" t="str">
            <v>Eaton-Non Moving Stock</v>
          </cell>
        </row>
        <row r="726">
          <cell r="A726" t="str">
            <v>Y7-271397 (NZMC1-A125_x000D_
)</v>
          </cell>
          <cell r="B726" t="str">
            <v>Y7-271397(NZMC1-A125_x000D_
)</v>
          </cell>
          <cell r="C726" t="str">
            <v>EATON</v>
          </cell>
          <cell r="D726" t="str">
            <v>Eaton-Non Moving Stock</v>
          </cell>
        </row>
        <row r="727">
          <cell r="A727" t="str">
            <v>271394 (NZMC1-A63_x000D_
)</v>
          </cell>
          <cell r="B727" t="str">
            <v>271394(NZMC1-A63_x000D_
)</v>
          </cell>
          <cell r="C727" t="str">
            <v>EATON</v>
          </cell>
          <cell r="D727" t="str">
            <v>Eaton-Non Moving Stock</v>
          </cell>
        </row>
        <row r="728">
          <cell r="A728" t="str">
            <v>284410 (NZMH1-A50)</v>
          </cell>
          <cell r="B728" t="str">
            <v>284410(NZMH1-A50)</v>
          </cell>
          <cell r="C728" t="str">
            <v>EATON</v>
          </cell>
          <cell r="D728" t="str">
            <v>Eaton-Non Moving Stock</v>
          </cell>
        </row>
        <row r="729">
          <cell r="A729" t="str">
            <v>Y7-269235 (NZMH2-A100-NA_x000D_
)</v>
          </cell>
          <cell r="B729" t="str">
            <v>Y7-269235(NZMH2-A100-NA_x000D_
)</v>
          </cell>
          <cell r="C729" t="str">
            <v>EATON</v>
          </cell>
          <cell r="D729" t="str">
            <v>Eaton-Non Moving Stock</v>
          </cell>
        </row>
        <row r="730">
          <cell r="A730" t="str">
            <v>Y7-107806 (NZMH2-A160-BT-NA)</v>
          </cell>
          <cell r="B730" t="str">
            <v>Y7-107806(NZMH2-A160-BT-NA)</v>
          </cell>
          <cell r="C730" t="str">
            <v>EATON</v>
          </cell>
          <cell r="D730" t="str">
            <v>Eaton-Non Moving Stock</v>
          </cell>
        </row>
        <row r="731">
          <cell r="A731" t="str">
            <v>Y7-269228 (NZMH2-A20-NA)</v>
          </cell>
          <cell r="B731" t="str">
            <v>Y7-269228(NZMH2-A20-NA)</v>
          </cell>
          <cell r="C731" t="str">
            <v>EATON</v>
          </cell>
          <cell r="D731" t="str">
            <v>Eaton-Non Moving Stock</v>
          </cell>
        </row>
        <row r="732">
          <cell r="A732" t="str">
            <v>Y7-259095_x000D_
 (NZMH2-A40_x000D_
)</v>
          </cell>
          <cell r="B732" t="str">
            <v>Y7-259095_x000D_
(NZMH2-A40_x000D_
)</v>
          </cell>
          <cell r="C732" t="str">
            <v>EATON</v>
          </cell>
          <cell r="D732" t="str">
            <v>Eaton-Non Moving Stock</v>
          </cell>
        </row>
        <row r="733">
          <cell r="A733" t="str">
            <v>Y7-265815 (NZMN1-4-A63_x000D_
)</v>
          </cell>
          <cell r="B733" t="str">
            <v>Y7-265815(NZMN1-4-A63_x000D_
)</v>
          </cell>
          <cell r="C733" t="str">
            <v>EATON</v>
          </cell>
          <cell r="D733" t="str">
            <v>Eaton-Non Moving Stock</v>
          </cell>
        </row>
        <row r="734">
          <cell r="A734" t="str">
            <v>265817 (NZMN1-4-A80)</v>
          </cell>
          <cell r="B734" t="str">
            <v>265817(NZMN1-4-A80)</v>
          </cell>
          <cell r="C734" t="str">
            <v>EATON</v>
          </cell>
          <cell r="D734" t="str">
            <v>Eaton-Non Moving Stock</v>
          </cell>
        </row>
        <row r="735">
          <cell r="A735" t="str">
            <v>Y7-259085 (NZMN1-A100_x000D_
)</v>
          </cell>
          <cell r="B735" t="str">
            <v>Y7-259085(NZMN1-A100_x000D_
)</v>
          </cell>
          <cell r="C735" t="str">
            <v>EATON</v>
          </cell>
          <cell r="D735" t="str">
            <v>Eaton-Non Moving Stock</v>
          </cell>
        </row>
        <row r="736">
          <cell r="A736" t="str">
            <v>Y7-259086_x000D_
 (NZMN1-A125_x000D_
)</v>
          </cell>
          <cell r="B736" t="str">
            <v>Y7-259086_x000D_
(NZMN1-A125_x000D_
)</v>
          </cell>
          <cell r="C736" t="str">
            <v>EATON</v>
          </cell>
          <cell r="D736" t="str">
            <v>Eaton-Non Moving Stock</v>
          </cell>
        </row>
        <row r="737">
          <cell r="A737" t="str">
            <v>Y7-281234 (NZMN1-A160_x000D_
)</v>
          </cell>
          <cell r="B737" t="str">
            <v>Y7-281234(NZMN1-A160_x000D_
)</v>
          </cell>
          <cell r="C737" t="str">
            <v>EATON</v>
          </cell>
          <cell r="D737" t="str">
            <v>Eaton-Non Moving Stock</v>
          </cell>
        </row>
        <row r="738">
          <cell r="A738" t="str">
            <v>281232 (NZMN1-A25)</v>
          </cell>
          <cell r="B738" t="str">
            <v>281232(NZMN1-A25)</v>
          </cell>
          <cell r="C738" t="str">
            <v>EATON</v>
          </cell>
          <cell r="D738" t="str">
            <v>Eaton-Non Moving Stock</v>
          </cell>
        </row>
        <row r="739">
          <cell r="A739" t="str">
            <v>281233 (NZMN1-A32_x000D_
)</v>
          </cell>
          <cell r="B739" t="str">
            <v>281233(NZMN1-A32_x000D_
)</v>
          </cell>
          <cell r="C739" t="str">
            <v>EATON</v>
          </cell>
          <cell r="D739" t="str">
            <v>Eaton-Non Moving Stock</v>
          </cell>
        </row>
        <row r="740">
          <cell r="A740" t="str">
            <v>Y7-281565 (NZMN1-AF20-NA)</v>
          </cell>
          <cell r="B740" t="str">
            <v>Y7-281565(NZMN1-AF20-NA)</v>
          </cell>
          <cell r="C740" t="str">
            <v>EATON</v>
          </cell>
          <cell r="D740" t="str">
            <v>Eaton-Non Moving Stock</v>
          </cell>
        </row>
        <row r="741">
          <cell r="A741" t="str">
            <v>Y7-274231 (NZMN1-AF50-NA)</v>
          </cell>
          <cell r="B741" t="str">
            <v>Y7-274231(NZMN1-AF50-NA)</v>
          </cell>
          <cell r="C741" t="str">
            <v>EATON</v>
          </cell>
          <cell r="D741" t="str">
            <v>Eaton-Non Moving Stock</v>
          </cell>
        </row>
        <row r="742">
          <cell r="A742" t="str">
            <v>Y7-113006 (NZMN2-4-AF150-BT-NA)</v>
          </cell>
          <cell r="B742" t="str">
            <v>Y7-113006(NZMN2-4-AF150-BT-NA)</v>
          </cell>
          <cell r="C742" t="str">
            <v>EATON</v>
          </cell>
          <cell r="D742" t="str">
            <v>Eaton-Non Moving Stock</v>
          </cell>
        </row>
        <row r="743">
          <cell r="A743" t="str">
            <v>Y7-190348 (NZMN2-4-AF80-NA)</v>
          </cell>
          <cell r="B743" t="str">
            <v>Y7-190348(NZMN2-4-AF80-NA)</v>
          </cell>
          <cell r="C743" t="str">
            <v>EATON</v>
          </cell>
          <cell r="D743" t="str">
            <v>Eaton-Non Moving Stock</v>
          </cell>
        </row>
        <row r="744">
          <cell r="A744" t="str">
            <v>Y7-259093_x000D_
 (NZMN2-A200_x000D_
)</v>
          </cell>
          <cell r="B744" t="str">
            <v>Y7-259093_x000D_
(NZMN2-A200_x000D_
)</v>
          </cell>
          <cell r="C744" t="str">
            <v>EATON</v>
          </cell>
          <cell r="D744" t="str">
            <v>Eaton-Non Moving Stock</v>
          </cell>
        </row>
        <row r="745">
          <cell r="A745" t="str">
            <v>Y7-259094 (NZMN2-A250_x000D_
)</v>
          </cell>
          <cell r="B745" t="str">
            <v>Y7-259094(NZMN2-A250_x000D_
)</v>
          </cell>
          <cell r="C745" t="str">
            <v>EATON</v>
          </cell>
          <cell r="D745" t="str">
            <v>Eaton-Non Moving Stock</v>
          </cell>
        </row>
        <row r="746">
          <cell r="A746" t="str">
            <v>269222 (NZMN2-A63-NA)</v>
          </cell>
          <cell r="B746" t="str">
            <v>269222(NZMN2-A63-NA)</v>
          </cell>
          <cell r="C746" t="str">
            <v>EATON</v>
          </cell>
          <cell r="D746" t="str">
            <v>Eaton-Non Moving Stock</v>
          </cell>
        </row>
        <row r="747">
          <cell r="A747" t="str">
            <v>Y7-259124 (NZMN2-VE250_x000D_
)</v>
          </cell>
          <cell r="B747" t="str">
            <v>Y7-259124(NZMN2-VE250_x000D_
)</v>
          </cell>
          <cell r="C747" t="str">
            <v>EATON</v>
          </cell>
          <cell r="D747" t="str">
            <v>Eaton-Non Moving Stock</v>
          </cell>
        </row>
        <row r="748">
          <cell r="A748" t="str">
            <v>Y7-109670 (NZMN3-A400_x000D_
)</v>
          </cell>
          <cell r="B748" t="str">
            <v>Y7-109670(NZMN3-A400_x000D_
)</v>
          </cell>
          <cell r="C748" t="str">
            <v>EATON</v>
          </cell>
          <cell r="D748" t="str">
            <v>Eaton-Non Moving Stock</v>
          </cell>
        </row>
        <row r="749">
          <cell r="A749" t="str">
            <v>Y7-259115 (NZMN3-AE630_x000D_
)</v>
          </cell>
          <cell r="B749" t="str">
            <v>Y7-259115(NZMN3-AE630_x000D_
)</v>
          </cell>
          <cell r="C749" t="str">
            <v>EATON</v>
          </cell>
          <cell r="D749" t="str">
            <v>Eaton-Non Moving Stock</v>
          </cell>
        </row>
        <row r="750">
          <cell r="A750" t="str">
            <v>Y7-265772 (NZMN4-VE1600_x000D_
)</v>
          </cell>
          <cell r="B750" t="str">
            <v>Y7-265772(NZMN4-VE1600_x000D_
)</v>
          </cell>
          <cell r="C750" t="str">
            <v>EATON</v>
          </cell>
          <cell r="D750" t="str">
            <v>Eaton-Non Moving Stock</v>
          </cell>
        </row>
        <row r="751">
          <cell r="A751" t="str">
            <v>14752 (Over Load Relay ZE-12_x000D_
)</v>
          </cell>
          <cell r="B751" t="str">
            <v>14752(Over Load Relay ZE-12_x000D_
)</v>
          </cell>
          <cell r="C751" t="str">
            <v>EATON</v>
          </cell>
          <cell r="D751" t="str">
            <v>Eaton-Non Moving Stock</v>
          </cell>
        </row>
        <row r="752">
          <cell r="A752" t="str">
            <v>14432 (Over Load Relay ZE-1,6_x000D_
)</v>
          </cell>
          <cell r="B752" t="str">
            <v>14432(Over Load Relay ZE-1,6_x000D_
)</v>
          </cell>
          <cell r="C752" t="str">
            <v>EATON</v>
          </cell>
          <cell r="D752" t="str">
            <v>Eaton-Non Moving Stock</v>
          </cell>
        </row>
        <row r="753">
          <cell r="A753" t="str">
            <v>14565 (Over Load Relay ZE-6_x000D_
)</v>
          </cell>
          <cell r="B753" t="str">
            <v>14565(Over Load Relay ZE-6_x000D_
)</v>
          </cell>
          <cell r="C753" t="str">
            <v>EATON</v>
          </cell>
          <cell r="D753" t="str">
            <v>Eaton-Non Moving Stock</v>
          </cell>
        </row>
        <row r="754">
          <cell r="A754" t="str">
            <v>14708 (Over  Load Relay ZE-9_x000D_
)</v>
          </cell>
          <cell r="B754" t="str">
            <v>14708(Over Load Relay ZE-9_x000D_
)</v>
          </cell>
          <cell r="C754" t="str">
            <v>EATON</v>
          </cell>
          <cell r="D754" t="str">
            <v>Eaton-Non Moving Stock</v>
          </cell>
        </row>
        <row r="755">
          <cell r="A755" t="str">
            <v>41097 (P1-25/EA/SVB)</v>
          </cell>
          <cell r="B755" t="str">
            <v>41097(P1-25/EA/SVB)</v>
          </cell>
          <cell r="C755" t="str">
            <v>EATON</v>
          </cell>
          <cell r="D755" t="str">
            <v>Eaton-Non Moving Stock</v>
          </cell>
        </row>
        <row r="756">
          <cell r="A756" t="str">
            <v>Y7-81587 (P1-25/EA/SVB/N_x000D_
)</v>
          </cell>
          <cell r="B756" t="str">
            <v>Y7-81587(P1-25/EA/SVB/N_x000D_
)</v>
          </cell>
          <cell r="C756" t="str">
            <v>EATON</v>
          </cell>
          <cell r="D756" t="str">
            <v>Eaton-Non Moving Stock</v>
          </cell>
        </row>
        <row r="757">
          <cell r="A757" t="str">
            <v>Y7-83960 (P1-25/EA/SVB-SW/N)</v>
          </cell>
          <cell r="B757" t="str">
            <v>Y7-83960(P1-25/EA/SVB-SW/N)</v>
          </cell>
          <cell r="C757" t="str">
            <v>EATON</v>
          </cell>
          <cell r="D757" t="str">
            <v>Eaton-Non Moving Stock</v>
          </cell>
        </row>
        <row r="758">
          <cell r="A758" t="str">
            <v>Y7-227862_x000D_
 (P1-25/I2H/SVB-SW/HI11_x000D_
)</v>
          </cell>
          <cell r="B758" t="str">
            <v>Y7-227862_x000D_
(P1-25/I2H/SVB-SW/HI11_x000D_
)</v>
          </cell>
          <cell r="C758" t="str">
            <v>EATON</v>
          </cell>
          <cell r="D758" t="str">
            <v>Eaton-Non Moving Stock</v>
          </cell>
        </row>
        <row r="759">
          <cell r="A759" t="str">
            <v>207311 (P1-25/I2-SI/HI11-SW)</v>
          </cell>
          <cell r="B759" t="str">
            <v>207311(P1-25/I2-SI/HI11-SW)</v>
          </cell>
          <cell r="C759" t="str">
            <v>EATON</v>
          </cell>
          <cell r="D759" t="str">
            <v>Eaton-Non Moving Stock</v>
          </cell>
        </row>
        <row r="760">
          <cell r="A760" t="str">
            <v>207293 (P1-25/I2/SVB)</v>
          </cell>
          <cell r="B760" t="str">
            <v>207293(P1-25/I2/SVB)</v>
          </cell>
          <cell r="C760" t="str">
            <v>EATON</v>
          </cell>
          <cell r="D760" t="str">
            <v>Eaton-Non Moving Stock</v>
          </cell>
        </row>
        <row r="761">
          <cell r="A761" t="str">
            <v>Y7-207297_x000D_
 (P1-25/I2/SVB/HI11_x000D_
)</v>
          </cell>
          <cell r="B761" t="str">
            <v>Y7-207297_x000D_
(P1-25/I2/SVB/HI11_x000D_
)</v>
          </cell>
          <cell r="C761" t="str">
            <v>EATON</v>
          </cell>
          <cell r="D761" t="str">
            <v>Eaton-Non Moving Stock</v>
          </cell>
        </row>
        <row r="762">
          <cell r="A762" t="str">
            <v>207295.0 (P1-25/I2/SVB-SW/HI11)</v>
          </cell>
          <cell r="B762" t="str">
            <v>207295.0(P1-25/I2/SVB-SW/HI11)</v>
          </cell>
          <cell r="C762" t="str">
            <v>EATON</v>
          </cell>
          <cell r="D762" t="str">
            <v>Eaton-Non Moving Stock</v>
          </cell>
        </row>
        <row r="763">
          <cell r="A763" t="str">
            <v>Y7-207296 (P1-25/I2/SVB-SW/N_x000D_
)</v>
          </cell>
          <cell r="B763" t="str">
            <v>Y7-207296(P1-25/I2/SVB-SW/N_x000D_
)</v>
          </cell>
          <cell r="C763" t="str">
            <v>EATON</v>
          </cell>
          <cell r="D763" t="str">
            <v>Eaton-Non Moving Stock</v>
          </cell>
        </row>
        <row r="764">
          <cell r="A764" t="str">
            <v>81438 (P1-32/EA/SVB)</v>
          </cell>
          <cell r="B764" t="str">
            <v>81438(P1-32/EA/SVB)</v>
          </cell>
          <cell r="C764" t="str">
            <v>EATON</v>
          </cell>
          <cell r="D764" t="str">
            <v>Eaton-Non Moving Stock</v>
          </cell>
        </row>
        <row r="765">
          <cell r="A765" t="str">
            <v>72567.0 (P1-32/EA/SVB/HI11)</v>
          </cell>
          <cell r="B765" t="str">
            <v>72567.0(P1-32/EA/SVB/HI11)</v>
          </cell>
          <cell r="C765" t="str">
            <v>EATON</v>
          </cell>
          <cell r="D765" t="str">
            <v>Eaton-Non Moving Stock</v>
          </cell>
        </row>
        <row r="766">
          <cell r="A766" t="str">
            <v>Y7-91079_x000D_
 (P1-32/EA/SVB/N_x000D_
)</v>
          </cell>
          <cell r="B766" t="str">
            <v>Y7-91079_x000D_
(P1-32/EA/SVB/N_x000D_
)</v>
          </cell>
          <cell r="C766" t="str">
            <v>EATON</v>
          </cell>
          <cell r="D766" t="str">
            <v>Eaton-Non Moving Stock</v>
          </cell>
        </row>
        <row r="767">
          <cell r="A767" t="str">
            <v>53111 (P1-32/EA/SVB-SW)</v>
          </cell>
          <cell r="B767" t="str">
            <v>53111(P1-32/EA/SVB-SW)</v>
          </cell>
          <cell r="C767" t="str">
            <v>EATON</v>
          </cell>
          <cell r="D767" t="str">
            <v>Eaton-Non Moving Stock</v>
          </cell>
        </row>
        <row r="768">
          <cell r="A768" t="str">
            <v>Y7-53111 (P1-32/EA/SVB-SW_x000D_
)</v>
          </cell>
          <cell r="B768" t="str">
            <v>Y7-53111(P1-32/EA/SVB-SW_x000D_
)</v>
          </cell>
          <cell r="C768" t="str">
            <v>EATON</v>
          </cell>
          <cell r="D768" t="str">
            <v>Eaton-Non Moving Stock</v>
          </cell>
        </row>
        <row r="769">
          <cell r="A769" t="str">
            <v>Y7-110198 (P1-32/E/SVB)</v>
          </cell>
          <cell r="B769" t="str">
            <v>Y7-110198(P1-32/E/SVB)</v>
          </cell>
          <cell r="C769" t="str">
            <v>EATON</v>
          </cell>
          <cell r="D769" t="str">
            <v>Eaton-Non Moving Stock</v>
          </cell>
        </row>
        <row r="770">
          <cell r="A770" t="str">
            <v>Y7-227870_x000D_
 (P1-32/I2H/SVB/HI11_x000D_
)</v>
          </cell>
          <cell r="B770" t="str">
            <v>Y7-227870_x000D_
(P1-32/I2H/SVB/HI11_x000D_
)</v>
          </cell>
          <cell r="C770" t="str">
            <v>EATON</v>
          </cell>
          <cell r="D770" t="str">
            <v>Eaton-Non Moving Stock</v>
          </cell>
        </row>
        <row r="771">
          <cell r="A771" t="str">
            <v>207318 (P1-32/I2/SVB/HI11)</v>
          </cell>
          <cell r="B771" t="str">
            <v>207318(P1-32/I2/SVB/HI11)</v>
          </cell>
          <cell r="C771" t="str">
            <v>EATON</v>
          </cell>
          <cell r="D771" t="str">
            <v>Eaton-Non Moving Stock</v>
          </cell>
        </row>
        <row r="772">
          <cell r="A772" t="str">
            <v>207319 (P1-32/I2/SVB/N_x000D_
)</v>
          </cell>
          <cell r="B772" t="str">
            <v>207319(P1-32/I2/SVB/N_x000D_
)</v>
          </cell>
          <cell r="C772" t="str">
            <v>EATON</v>
          </cell>
          <cell r="D772" t="str">
            <v>Eaton-Non Moving Stock</v>
          </cell>
        </row>
        <row r="773">
          <cell r="A773" t="str">
            <v>207316.0 (P1-32/I2/SVB-SW/HI11)</v>
          </cell>
          <cell r="B773" t="str">
            <v>207316.0(P1-32/I2/SVB-SW/HI11)</v>
          </cell>
          <cell r="C773" t="str">
            <v>EATON</v>
          </cell>
          <cell r="D773" t="str">
            <v>Eaton-Non Moving Stock</v>
          </cell>
        </row>
        <row r="774">
          <cell r="A774" t="str">
            <v>207317 (P1-32/I2/SVB-SW/N)</v>
          </cell>
          <cell r="B774" t="str">
            <v>207317(P1-32/I2/SVB-SW/N)</v>
          </cell>
          <cell r="C774" t="str">
            <v>EATON</v>
          </cell>
          <cell r="D774" t="str">
            <v>Eaton-Non Moving Stock</v>
          </cell>
        </row>
        <row r="775">
          <cell r="A775" t="str">
            <v>95676.0 (P1-32/V/SVB)</v>
          </cell>
          <cell r="B775" t="str">
            <v>95676.0(P1-32/V/SVB)</v>
          </cell>
          <cell r="C775" t="str">
            <v>EATON</v>
          </cell>
          <cell r="D775" t="str">
            <v>Eaton-Non Moving Stock</v>
          </cell>
        </row>
        <row r="776">
          <cell r="A776" t="str">
            <v>Y7-74320 (P3-100/EA/SVB_x000D_
)</v>
          </cell>
          <cell r="B776" t="str">
            <v>Y7-74320(P3-100/EA/SVB_x000D_
)</v>
          </cell>
          <cell r="C776" t="str">
            <v>EATON</v>
          </cell>
          <cell r="D776" t="str">
            <v>Eaton-Non Moving Stock</v>
          </cell>
        </row>
        <row r="777">
          <cell r="A777" t="str">
            <v>207378 (P3-100/I5/SVB/HI11)</v>
          </cell>
          <cell r="B777" t="str">
            <v>207378(P3-100/I5/SVB/HI11)</v>
          </cell>
          <cell r="C777" t="str">
            <v>EATON</v>
          </cell>
          <cell r="D777" t="str">
            <v>Eaton-Non Moving Stock</v>
          </cell>
        </row>
        <row r="778">
          <cell r="A778" t="str">
            <v>207375 (P3-100/I5/SVB-SW/HI11_x000D_
)</v>
          </cell>
          <cell r="B778" t="str">
            <v>207375(P3-100/I5/SVB-SW/HI11_x000D_
)</v>
          </cell>
          <cell r="C778" t="str">
            <v>EATON</v>
          </cell>
          <cell r="D778" t="str">
            <v>Eaton-Non Moving Stock</v>
          </cell>
        </row>
        <row r="779">
          <cell r="A779" t="str">
            <v>Y7-207376 (P3-100/I5/SVB-SW/N_x000D_
)</v>
          </cell>
          <cell r="B779" t="str">
            <v>Y7-207376(P3-100/I5/SVB-SW/N_x000D_
)</v>
          </cell>
          <cell r="C779" t="str">
            <v>EATON</v>
          </cell>
          <cell r="D779" t="str">
            <v>Eaton-Non Moving Stock</v>
          </cell>
        </row>
        <row r="780">
          <cell r="A780" t="str">
            <v>31607 (P3-63/EA/SVB)</v>
          </cell>
          <cell r="B780" t="str">
            <v>31607(P3-63/EA/SVB)</v>
          </cell>
          <cell r="C780" t="str">
            <v>EATON</v>
          </cell>
          <cell r="D780" t="str">
            <v>Eaton-Non Moving Stock</v>
          </cell>
        </row>
        <row r="781">
          <cell r="A781" t="str">
            <v>Y7-207337_x000D_
 (P3-63/I3/SVB-SW/HI11_x000D_
)</v>
          </cell>
          <cell r="B781" t="str">
            <v>Y7-207337_x000D_
(P3-63/I3/SVB-SW/HI11_x000D_
)</v>
          </cell>
          <cell r="C781" t="str">
            <v>EATON</v>
          </cell>
          <cell r="D781" t="str">
            <v>Eaton-Non Moving Stock</v>
          </cell>
        </row>
        <row r="782">
          <cell r="A782" t="str">
            <v>Y7-207343 (P3-63/I4/SVB)</v>
          </cell>
          <cell r="B782" t="str">
            <v>Y7-207343(P3-63/I4/SVB)</v>
          </cell>
          <cell r="C782" t="str">
            <v>EATON</v>
          </cell>
          <cell r="D782" t="str">
            <v>Eaton-Non Moving Stock</v>
          </cell>
        </row>
        <row r="783">
          <cell r="A783" t="str">
            <v>207348 (P3-63/I4/SVB/HI11)</v>
          </cell>
          <cell r="B783" t="str">
            <v>207348(P3-63/I4/SVB/HI11)</v>
          </cell>
          <cell r="C783" t="str">
            <v>EATON</v>
          </cell>
          <cell r="D783" t="str">
            <v>Eaton-Non Moving Stock</v>
          </cell>
        </row>
        <row r="784">
          <cell r="A784" t="str">
            <v>207345.0 (P3-63/I4/SVB-SW/HI11)</v>
          </cell>
          <cell r="B784" t="str">
            <v>207345.0(P3-63/I4/SVB-SW/HI11)</v>
          </cell>
          <cell r="C784" t="str">
            <v>EATON</v>
          </cell>
          <cell r="D784" t="str">
            <v>Eaton-Non Moving Stock</v>
          </cell>
        </row>
        <row r="785">
          <cell r="A785" t="str">
            <v>Y7-207346 (P3-63/I4/SVB-SW/N_x000D_
)</v>
          </cell>
          <cell r="B785" t="str">
            <v>Y7-207346(P3-63/I4/SVB-SW/N_x000D_
)</v>
          </cell>
          <cell r="C785" t="str">
            <v>EATON</v>
          </cell>
          <cell r="D785" t="str">
            <v>Eaton-Non Moving Stock</v>
          </cell>
        </row>
        <row r="786">
          <cell r="A786" t="str">
            <v>48218 (P3-63/V/SVB)</v>
          </cell>
          <cell r="B786" t="str">
            <v>48218(P3-63/V/SVB)</v>
          </cell>
          <cell r="C786" t="str">
            <v>EATON</v>
          </cell>
          <cell r="D786" t="str">
            <v>Eaton-Non Moving Stock</v>
          </cell>
        </row>
        <row r="787">
          <cell r="A787" t="str">
            <v>Y7-280936 (P5-250/EA/SVB)</v>
          </cell>
          <cell r="B787" t="str">
            <v>Y7-280936(P5-250/EA/SVB)</v>
          </cell>
          <cell r="C787" t="str">
            <v>EATON</v>
          </cell>
          <cell r="D787" t="str">
            <v>Eaton-Non Moving Stock</v>
          </cell>
        </row>
        <row r="788">
          <cell r="A788" t="str">
            <v>Y7-280938 (P5-250/EA/SVB/N_x000D_
)</v>
          </cell>
          <cell r="B788" t="str">
            <v>Y7-280938(P5-250/EA/SVB/N_x000D_
)</v>
          </cell>
          <cell r="C788" t="str">
            <v>EATON</v>
          </cell>
          <cell r="D788" t="str">
            <v>Eaton-Non Moving Stock</v>
          </cell>
        </row>
        <row r="789">
          <cell r="A789" t="str">
            <v>Y7-280939 (P5-250/EA/SVB-SW)</v>
          </cell>
          <cell r="B789" t="str">
            <v>Y7-280939(P5-250/EA/SVB-SW)</v>
          </cell>
          <cell r="C789" t="str">
            <v>EATON</v>
          </cell>
          <cell r="D789" t="str">
            <v>Eaton-Non Moving Stock</v>
          </cell>
        </row>
        <row r="790">
          <cell r="A790" t="str">
            <v>Y7-280952_x000D_
 (P5-315/EA/SVB/N_x000D_
)</v>
          </cell>
          <cell r="B790" t="str">
            <v>Y7-280952_x000D_
(P5-315/EA/SVB/N_x000D_
)</v>
          </cell>
          <cell r="C790" t="str">
            <v>EATON</v>
          </cell>
          <cell r="D790" t="str">
            <v>Eaton-Non Moving Stock</v>
          </cell>
        </row>
        <row r="791">
          <cell r="A791" t="str">
            <v>66B1041G01 (PADLOCKABLE HANDLE LOCK TYPE P B 1, 2 &amp;)</v>
          </cell>
          <cell r="B791" t="str">
            <v>66B1041G01(PADLOCKABLE HANDLE LOCK TYPE P B 1, 2 &amp;)</v>
          </cell>
          <cell r="C791" t="str">
            <v>EATON</v>
          </cell>
          <cell r="D791" t="str">
            <v>Eaton-Non Moving Stock</v>
          </cell>
        </row>
        <row r="792">
          <cell r="A792" t="str">
            <v>282064_x000D_
 (PFNM-100/4/03_x000D_
)</v>
          </cell>
          <cell r="B792" t="str">
            <v>282064_x000D_
(PFNM-100/4/03_x000D_
)</v>
          </cell>
          <cell r="C792" t="str">
            <v>EATON</v>
          </cell>
          <cell r="D792" t="str">
            <v>Eaton-Non Moving Stock</v>
          </cell>
        </row>
        <row r="793">
          <cell r="A793" t="str">
            <v>Y7-121722 (PKE32_x000D_
)</v>
          </cell>
          <cell r="B793" t="str">
            <v>Y7-121722(PKE32_x000D_
)</v>
          </cell>
          <cell r="C793" t="str">
            <v>EATON</v>
          </cell>
          <cell r="D793" t="str">
            <v>Eaton-Non Moving Stock</v>
          </cell>
        </row>
        <row r="794">
          <cell r="A794" t="str">
            <v>121734 (PKE 32/XTU-32)</v>
          </cell>
          <cell r="B794" t="str">
            <v>121734(PKE 32/XTU-32)</v>
          </cell>
          <cell r="C794" t="str">
            <v>EATON</v>
          </cell>
          <cell r="D794" t="str">
            <v>Eaton-Non Moving Stock</v>
          </cell>
        </row>
        <row r="795">
          <cell r="A795" t="str">
            <v>Y7-138258 (PKE65_x000D_
)</v>
          </cell>
          <cell r="B795" t="str">
            <v>Y7-138258(PKE65_x000D_
)</v>
          </cell>
          <cell r="C795" t="str">
            <v>EATON</v>
          </cell>
          <cell r="D795" t="str">
            <v>Eaton-Non Moving Stock</v>
          </cell>
        </row>
        <row r="796">
          <cell r="A796" t="str">
            <v>Y7-126895 (PKE-SWD-32_x000D_
)</v>
          </cell>
          <cell r="B796" t="str">
            <v>Y7-126895(PKE-SWD-32_x000D_
)</v>
          </cell>
          <cell r="C796" t="str">
            <v>EATON</v>
          </cell>
          <cell r="D796" t="str">
            <v>Eaton-Non Moving Stock</v>
          </cell>
        </row>
        <row r="797">
          <cell r="A797" t="str">
            <v>Y7-121730 (PKE-XTUA-32_x000D_
)</v>
          </cell>
          <cell r="B797" t="str">
            <v>Y7-121730(PKE-XTUA-32_x000D_
)</v>
          </cell>
          <cell r="C797" t="str">
            <v>EATON</v>
          </cell>
          <cell r="D797" t="str">
            <v>Eaton-Non Moving Stock</v>
          </cell>
        </row>
        <row r="798">
          <cell r="A798" t="str">
            <v>Y7-138260 (PKE-XTUA-65_x000D_
)</v>
          </cell>
          <cell r="B798" t="str">
            <v>Y7-138260(PKE-XTUA-65_x000D_
)</v>
          </cell>
          <cell r="C798" t="str">
            <v>EATON</v>
          </cell>
          <cell r="D798" t="str">
            <v>Eaton-Non Moving Stock</v>
          </cell>
        </row>
        <row r="799">
          <cell r="A799" t="str">
            <v>Y7-236212 (PKNM-16/1N/C/003-MW)</v>
          </cell>
          <cell r="B799" t="str">
            <v>Y7-236212(PKNM-16/1N/C/003-MW)</v>
          </cell>
          <cell r="C799" t="str">
            <v>EATON</v>
          </cell>
          <cell r="D799" t="str">
            <v>Eaton-Non Moving Stock</v>
          </cell>
        </row>
        <row r="800">
          <cell r="A800" t="str">
            <v>72730 (PKZM0-0,16)</v>
          </cell>
          <cell r="B800" t="str">
            <v>72730(PKZM0-0,16)</v>
          </cell>
          <cell r="C800" t="str">
            <v>EATON</v>
          </cell>
          <cell r="D800" t="str">
            <v>Eaton-Non Moving Stock</v>
          </cell>
        </row>
        <row r="801">
          <cell r="A801" t="str">
            <v>Y7-72731_x000D_
 (PKZM0-0,25_x000D_
)</v>
          </cell>
          <cell r="B801" t="str">
            <v>Y7-72731_x000D_
(PKZM0-0,25_x000D_
)</v>
          </cell>
          <cell r="C801" t="str">
            <v>EATON</v>
          </cell>
          <cell r="D801" t="str">
            <v>Eaton-Non Moving Stock</v>
          </cell>
        </row>
        <row r="802">
          <cell r="A802" t="str">
            <v>Y7-72732 (PKZM0-0,4_x000D_
)</v>
          </cell>
          <cell r="B802" t="str">
            <v>Y7-72732(PKZM0-0,4_x000D_
)</v>
          </cell>
          <cell r="C802" t="str">
            <v>EATON</v>
          </cell>
          <cell r="D802" t="str">
            <v>Eaton-Non Moving Stock</v>
          </cell>
        </row>
        <row r="803">
          <cell r="A803" t="str">
            <v>72733.0 (PKZM0-0,63)</v>
          </cell>
          <cell r="B803" t="str">
            <v>72733.0(PKZM0-0,63)</v>
          </cell>
          <cell r="C803" t="str">
            <v>EATON</v>
          </cell>
          <cell r="D803" t="str">
            <v>Eaton-Non Moving Stock</v>
          </cell>
        </row>
        <row r="804">
          <cell r="A804" t="str">
            <v>Y7-72739_x000D_
 (PKZM0-10_x000D_
)</v>
          </cell>
          <cell r="B804" t="str">
            <v>Y7-72739_x000D_
(PKZM0-10_x000D_
)</v>
          </cell>
          <cell r="C804" t="str">
            <v>EATON</v>
          </cell>
          <cell r="D804" t="str">
            <v>Eaton-Non Moving Stock</v>
          </cell>
        </row>
        <row r="805">
          <cell r="A805" t="str">
            <v>229837.0 (PKZM0-10-SC)</v>
          </cell>
          <cell r="B805" t="str">
            <v>229837.0(PKZM0-10-SC)</v>
          </cell>
          <cell r="C805" t="str">
            <v>EATON</v>
          </cell>
          <cell r="D805" t="str">
            <v>Eaton-Non Moving Stock</v>
          </cell>
        </row>
        <row r="806">
          <cell r="A806" t="str">
            <v>Y7-88916 (PKZM0-10-T_x000D_
)</v>
          </cell>
          <cell r="B806" t="str">
            <v>Y7-88916(PKZM0-10-T_x000D_
)</v>
          </cell>
          <cell r="C806" t="str">
            <v>EATON</v>
          </cell>
          <cell r="D806" t="str">
            <v>Eaton-Non Moving Stock</v>
          </cell>
        </row>
        <row r="807">
          <cell r="A807" t="str">
            <v>Y7-278486_x000D_
 (PKZM0-12_x000D_
)</v>
          </cell>
          <cell r="B807" t="str">
            <v>Y7-278486_x000D_
(PKZM0-12_x000D_
)</v>
          </cell>
          <cell r="C807" t="str">
            <v>EATON</v>
          </cell>
          <cell r="D807" t="str">
            <v>Eaton-Non Moving Stock</v>
          </cell>
        </row>
        <row r="808">
          <cell r="A808" t="str">
            <v>229838.0 (PKZM0-16-SC)</v>
          </cell>
          <cell r="B808" t="str">
            <v>229838.0(PKZM0-16-SC)</v>
          </cell>
          <cell r="C808" t="str">
            <v>EATON</v>
          </cell>
          <cell r="D808" t="str">
            <v>Eaton-Non Moving Stock</v>
          </cell>
        </row>
        <row r="809">
          <cell r="A809" t="str">
            <v>Y7-229833_x000D_
 (PKZM0-1,6-SC_x000D_
)</v>
          </cell>
          <cell r="B809" t="str">
            <v>Y7-229833_x000D_
(PKZM0-1,6-SC_x000D_
)</v>
          </cell>
          <cell r="C809" t="str">
            <v>EATON</v>
          </cell>
          <cell r="D809" t="str">
            <v>Eaton-Non Moving Stock</v>
          </cell>
        </row>
        <row r="810">
          <cell r="A810" t="str">
            <v>Y7-88912 (PKZM0-1,6-T_x000D_
)</v>
          </cell>
          <cell r="B810" t="str">
            <v>Y7-88912(PKZM0-1,6-T_x000D_
)</v>
          </cell>
          <cell r="C810" t="str">
            <v>EATON</v>
          </cell>
          <cell r="D810" t="str">
            <v>Eaton-Non Moving Stock</v>
          </cell>
        </row>
        <row r="811">
          <cell r="A811" t="str">
            <v>Y7-88911 (PKZM0-1-T_x000D_
)</v>
          </cell>
          <cell r="B811" t="str">
            <v>Y7-88911(PKZM0-1-T_x000D_
)</v>
          </cell>
          <cell r="C811" t="str">
            <v>EATON</v>
          </cell>
          <cell r="D811" t="str">
            <v>Eaton-Non Moving Stock</v>
          </cell>
        </row>
        <row r="812">
          <cell r="A812" t="str">
            <v>46988 (PKZM0-20)</v>
          </cell>
          <cell r="B812" t="str">
            <v>46988(PKZM0-20)</v>
          </cell>
          <cell r="C812" t="str">
            <v>EATON</v>
          </cell>
          <cell r="D812" t="str">
            <v>Eaton-Non Moving Stock</v>
          </cell>
        </row>
        <row r="813">
          <cell r="A813" t="str">
            <v>46989.0 (PKZM0-25)</v>
          </cell>
          <cell r="B813" t="str">
            <v>46989.0(PKZM0-25)</v>
          </cell>
          <cell r="C813" t="str">
            <v>EATON</v>
          </cell>
          <cell r="D813" t="str">
            <v>Eaton-Non Moving Stock</v>
          </cell>
        </row>
        <row r="814">
          <cell r="A814" t="str">
            <v>Y7-88913 (PKZM0-2,5-T_x000D_
)</v>
          </cell>
          <cell r="B814" t="str">
            <v>Y7-88913(PKZM0-2,5-T_x000D_
)</v>
          </cell>
          <cell r="C814" t="str">
            <v>EATON</v>
          </cell>
          <cell r="D814" t="str">
            <v>Eaton-Non Moving Stock</v>
          </cell>
        </row>
        <row r="815">
          <cell r="A815" t="str">
            <v>Y7-278489_x000D_
 (PKZM0-32_x000D_
)</v>
          </cell>
          <cell r="B815" t="str">
            <v>Y7-278489_x000D_
(PKZM0-32_x000D_
)</v>
          </cell>
          <cell r="C815" t="str">
            <v>EATON</v>
          </cell>
          <cell r="D815" t="str">
            <v>Eaton-Non Moving Stock</v>
          </cell>
        </row>
        <row r="816">
          <cell r="A816" t="str">
            <v>229676 (PKZM0-4-C)</v>
          </cell>
          <cell r="B816" t="str">
            <v>229676(PKZM0-4-C)</v>
          </cell>
          <cell r="C816" t="str">
            <v>EATON</v>
          </cell>
          <cell r="D816" t="str">
            <v>Eaton-Non Moving Stock</v>
          </cell>
        </row>
        <row r="817">
          <cell r="A817" t="str">
            <v>Y7-88914 (PKZM0-4-T_x000D_
)</v>
          </cell>
          <cell r="B817" t="str">
            <v>Y7-88914(PKZM0-4-T_x000D_
)</v>
          </cell>
          <cell r="C817" t="str">
            <v>EATON</v>
          </cell>
          <cell r="D817" t="str">
            <v>Eaton-Non Moving Stock</v>
          </cell>
        </row>
        <row r="818">
          <cell r="A818" t="str">
            <v>Y7-88915 (PKZM0-6,3-T_x000D_
)</v>
          </cell>
          <cell r="B818" t="str">
            <v>Y7-88915(PKZM0-6,3-T_x000D_
)</v>
          </cell>
          <cell r="C818" t="str">
            <v>EATON</v>
          </cell>
          <cell r="D818" t="str">
            <v>Eaton-Non Moving Stock</v>
          </cell>
        </row>
        <row r="819">
          <cell r="A819" t="str">
            <v>283149 (PKZM0-XDM12)</v>
          </cell>
          <cell r="B819" t="str">
            <v>283149(PKZM0-XDM12)</v>
          </cell>
          <cell r="C819" t="str">
            <v>EATON</v>
          </cell>
          <cell r="D819" t="str">
            <v>Eaton-Non Moving Stock</v>
          </cell>
        </row>
        <row r="820">
          <cell r="A820" t="str">
            <v>283185 (PKZM0-XRM12)</v>
          </cell>
          <cell r="B820" t="str">
            <v>283185(PKZM0-XRM12)</v>
          </cell>
          <cell r="C820" t="str">
            <v>EATON</v>
          </cell>
          <cell r="D820" t="str">
            <v>Eaton-Non Moving Stock</v>
          </cell>
        </row>
        <row r="821">
          <cell r="A821" t="str">
            <v>Y7-222350 (PKZM4-16_x000D_
)</v>
          </cell>
          <cell r="B821" t="str">
            <v>Y7-222350(PKZM4-16_x000D_
)</v>
          </cell>
          <cell r="C821" t="str">
            <v>EATON</v>
          </cell>
          <cell r="D821" t="str">
            <v>Eaton-Non Moving Stock</v>
          </cell>
        </row>
        <row r="822">
          <cell r="A822" t="str">
            <v>Y7-222352 (PKZM4-25_x000D_
)</v>
          </cell>
          <cell r="B822" t="str">
            <v>Y7-222352(PKZM4-25_x000D_
)</v>
          </cell>
          <cell r="C822" t="str">
            <v>EATON</v>
          </cell>
          <cell r="D822" t="str">
            <v>Eaton-Non Moving Stock</v>
          </cell>
        </row>
        <row r="823">
          <cell r="A823" t="str">
            <v>248091 (PLHT-C80/4)</v>
          </cell>
          <cell r="B823" t="str">
            <v>248091(PLHT-C80/4)</v>
          </cell>
          <cell r="C823" t="str">
            <v>EATON</v>
          </cell>
          <cell r="D823" t="str">
            <v>Eaton-Non Moving Stock</v>
          </cell>
        </row>
        <row r="824">
          <cell r="A824" t="str">
            <v>242700 (PLS6-D10-MW)</v>
          </cell>
          <cell r="B824" t="str">
            <v>242700(PLS6-D10-MW)</v>
          </cell>
          <cell r="C824" t="str">
            <v>EATON</v>
          </cell>
          <cell r="D824" t="str">
            <v>Eaton-Non Moving Stock</v>
          </cell>
        </row>
        <row r="825">
          <cell r="A825" t="str">
            <v>242698 (PLS6-D6-MW)</v>
          </cell>
          <cell r="B825" t="str">
            <v>242698(PLS6-D6-MW)</v>
          </cell>
          <cell r="C825" t="str">
            <v>EATON</v>
          </cell>
          <cell r="D825" t="str">
            <v>Eaton-Non Moving Stock</v>
          </cell>
        </row>
        <row r="826">
          <cell r="A826" t="str">
            <v>EIN-810159 (PLSI-C20/3-GI)</v>
          </cell>
          <cell r="B826" t="str">
            <v>EIN-810159(PLSI-C20/3-GI)</v>
          </cell>
          <cell r="C826" t="str">
            <v>EATON</v>
          </cell>
          <cell r="D826" t="str">
            <v>Eaton-Non Moving Stock</v>
          </cell>
        </row>
        <row r="827">
          <cell r="A827" t="str">
            <v>EIN-810143 (PLSI-C20-GI)</v>
          </cell>
          <cell r="B827" t="str">
            <v>EIN-810143(PLSI-C20-GI)</v>
          </cell>
          <cell r="C827" t="str">
            <v>EATON</v>
          </cell>
          <cell r="D827" t="str">
            <v>Eaton-Non Moving Stock</v>
          </cell>
        </row>
        <row r="828">
          <cell r="A828" t="str">
            <v>EIN-810145 (PLSI-C32-GI)</v>
          </cell>
          <cell r="B828" t="str">
            <v>EIN-810145(PLSI-C32-GI)</v>
          </cell>
          <cell r="C828" t="str">
            <v>EATON</v>
          </cell>
          <cell r="D828" t="str">
            <v>Eaton-Non Moving Stock</v>
          </cell>
        </row>
        <row r="829">
          <cell r="A829" t="str">
            <v>266152 (PLSM-11S/RL)</v>
          </cell>
          <cell r="B829" t="str">
            <v>266152(PLSM-11S/RL)</v>
          </cell>
          <cell r="C829" t="str">
            <v>EATON</v>
          </cell>
          <cell r="D829" t="str">
            <v>Eaton-Non Moving Stock</v>
          </cell>
        </row>
        <row r="830">
          <cell r="A830" t="str">
            <v>Y7-182612 (PLSM-C10/3-EI)</v>
          </cell>
          <cell r="B830" t="str">
            <v>Y7-182612(PLSM-C10/3-EI)</v>
          </cell>
          <cell r="C830" t="str">
            <v>EATON</v>
          </cell>
          <cell r="D830" t="str">
            <v>Eaton-Non Moving Stock</v>
          </cell>
        </row>
        <row r="831">
          <cell r="A831" t="str">
            <v>Y7-182690 (PLSM-C10-EI)</v>
          </cell>
          <cell r="B831" t="str">
            <v>Y7-182690(PLSM-C10-EI)</v>
          </cell>
          <cell r="C831" t="str">
            <v>EATON</v>
          </cell>
          <cell r="D831" t="str">
            <v>Eaton-Non Moving Stock</v>
          </cell>
        </row>
        <row r="832">
          <cell r="A832" t="str">
            <v>Y7-242202 (PLSM-C10-MW)</v>
          </cell>
          <cell r="B832" t="str">
            <v>Y7-242202(PLSM-C10-MW)</v>
          </cell>
          <cell r="C832" t="str">
            <v>EATON</v>
          </cell>
          <cell r="D832" t="str">
            <v>Eaton-Non Moving Stock</v>
          </cell>
        </row>
        <row r="833">
          <cell r="A833" t="str">
            <v>Y7-242405 (PLSM-C16/2-MW)</v>
          </cell>
          <cell r="B833" t="str">
            <v>Y7-242405(PLSM-C16/2-MW)</v>
          </cell>
          <cell r="C833" t="str">
            <v>EATON</v>
          </cell>
          <cell r="D833" t="str">
            <v>Eaton-Non Moving Stock</v>
          </cell>
        </row>
        <row r="834">
          <cell r="A834" t="str">
            <v>Y7-242612 (PLSM-C16/4)</v>
          </cell>
          <cell r="B834" t="str">
            <v>Y7-242612(PLSM-C16/4)</v>
          </cell>
          <cell r="C834" t="str">
            <v>EATON</v>
          </cell>
          <cell r="D834" t="str">
            <v>Eaton-Non Moving Stock</v>
          </cell>
        </row>
        <row r="835">
          <cell r="A835" t="str">
            <v>Y7-185445 (PLSM-C16-OEM-EI_x000D_
)</v>
          </cell>
          <cell r="B835" t="str">
            <v>Y7-185445(PLSM-C16-OEM-EI_x000D_
)</v>
          </cell>
          <cell r="C835" t="str">
            <v>EATON</v>
          </cell>
          <cell r="D835" t="str">
            <v>Eaton-Non Moving Stock</v>
          </cell>
        </row>
        <row r="836">
          <cell r="A836" t="str">
            <v>Y7-242273 (PLSM-C20/1N-MW_x000D_
)</v>
          </cell>
          <cell r="B836" t="str">
            <v>Y7-242273(PLSM-C20/1N-MW_x000D_
)</v>
          </cell>
          <cell r="C836" t="str">
            <v>EATON</v>
          </cell>
          <cell r="D836" t="str">
            <v>Eaton-Non Moving Stock</v>
          </cell>
        </row>
        <row r="837">
          <cell r="A837" t="str">
            <v>Y7-242613 (PLSM-C20/4)</v>
          </cell>
          <cell r="B837" t="str">
            <v>Y7-242613(PLSM-C20/4)</v>
          </cell>
          <cell r="C837" t="str">
            <v>EATON</v>
          </cell>
          <cell r="D837" t="str">
            <v>Eaton-Non Moving Stock</v>
          </cell>
        </row>
        <row r="838">
          <cell r="A838" t="str">
            <v>Y7-242207 (PLSM-C20-MW_x000D_
)</v>
          </cell>
          <cell r="B838" t="str">
            <v>Y7-242207(PLSM-C20-MW_x000D_
)</v>
          </cell>
          <cell r="C838" t="str">
            <v>EATON</v>
          </cell>
          <cell r="D838" t="str">
            <v>Eaton-Non Moving Stock</v>
          </cell>
        </row>
        <row r="839">
          <cell r="A839" t="str">
            <v>242393.0 (PLSM C2/2 2A DP C Curve 10kA MCB)</v>
          </cell>
          <cell r="B839" t="str">
            <v>242393.0(PLSM C2/2 2A DP C Curve 10kA MCB)</v>
          </cell>
          <cell r="C839" t="str">
            <v>EATON</v>
          </cell>
          <cell r="D839" t="str">
            <v>Eaton-Non Moving Stock</v>
          </cell>
        </row>
        <row r="840">
          <cell r="A840" t="str">
            <v>Y7-242407 (PLSM-C25/2-MW_x000D_
)</v>
          </cell>
          <cell r="B840" t="str">
            <v>Y7-242407(PLSM-C25/2-MW_x000D_
)</v>
          </cell>
          <cell r="C840" t="str">
            <v>EATON</v>
          </cell>
          <cell r="D840" t="str">
            <v>Eaton-Non Moving Stock</v>
          </cell>
        </row>
        <row r="841">
          <cell r="A841" t="str">
            <v>Y7-242476 (PLSM-C25/3-MW_x000D_
)</v>
          </cell>
          <cell r="B841" t="str">
            <v>Y7-242476(PLSM-C25/3-MW_x000D_
)</v>
          </cell>
          <cell r="C841" t="str">
            <v>EATON</v>
          </cell>
          <cell r="D841" t="str">
            <v>Eaton-Non Moving Stock</v>
          </cell>
        </row>
        <row r="842">
          <cell r="A842" t="str">
            <v>Y7-242208_x000D_
 (PLSM-C25-MW_x000D_
)</v>
          </cell>
          <cell r="B842" t="str">
            <v>Y7-242208_x000D_
(PLSM-C25-MW_x000D_
)</v>
          </cell>
          <cell r="C842" t="str">
            <v>EATON</v>
          </cell>
          <cell r="D842" t="str">
            <v>Eaton-Non Moving Stock</v>
          </cell>
        </row>
        <row r="843">
          <cell r="A843" t="str">
            <v>Y7-242194 (PLSM-C2-MW)</v>
          </cell>
          <cell r="B843" t="str">
            <v>Y7-242194(PLSM-C2-MW)</v>
          </cell>
          <cell r="C843" t="str">
            <v>EATON</v>
          </cell>
          <cell r="D843" t="str">
            <v>Eaton-Non Moving Stock</v>
          </cell>
        </row>
        <row r="844">
          <cell r="A844" t="str">
            <v>Y7-242408_x000D_
 (PLSM-C32/2-MW_x000D_
)</v>
          </cell>
          <cell r="B844" t="str">
            <v>Y7-242408_x000D_
(PLSM-C32/2-MW_x000D_
)</v>
          </cell>
          <cell r="C844" t="str">
            <v>EATON</v>
          </cell>
          <cell r="D844" t="str">
            <v>Eaton-Non Moving Stock</v>
          </cell>
        </row>
        <row r="845">
          <cell r="A845" t="str">
            <v>182685 (PLSM-C3-E1)</v>
          </cell>
          <cell r="B845" t="str">
            <v>182685(PLSM-C3-E1)</v>
          </cell>
          <cell r="C845" t="str">
            <v>EATON</v>
          </cell>
          <cell r="D845" t="str">
            <v>Eaton-Non Moving Stock</v>
          </cell>
        </row>
        <row r="846">
          <cell r="A846" t="str">
            <v>Y7-242196 (PLSM-C3-MW_x000D_
)</v>
          </cell>
          <cell r="B846" t="str">
            <v>Y7-242196(PLSM-C3-MW_x000D_
)</v>
          </cell>
          <cell r="C846" t="str">
            <v>EATON</v>
          </cell>
          <cell r="D846" t="str">
            <v>Eaton-Non Moving Stock</v>
          </cell>
        </row>
        <row r="847">
          <cell r="A847" t="str">
            <v>Y7-242478 (PLSM-C40/3-MW_x000D_
)</v>
          </cell>
          <cell r="B847" t="str">
            <v>Y7-242478(PLSM-C40/3-MW_x000D_
)</v>
          </cell>
          <cell r="C847" t="str">
            <v>EATON</v>
          </cell>
          <cell r="D847" t="str">
            <v>Eaton-Non Moving Stock</v>
          </cell>
        </row>
        <row r="848">
          <cell r="A848" t="str">
            <v>Y7-242210_x000D_
 (PLSM-C40-MW_x000D_
)</v>
          </cell>
          <cell r="B848" t="str">
            <v>Y7-242210_x000D_
(PLSM-C40-MW_x000D_
)</v>
          </cell>
          <cell r="C848" t="str">
            <v>EATON</v>
          </cell>
          <cell r="D848" t="str">
            <v>Eaton-Non Moving Stock</v>
          </cell>
        </row>
        <row r="849">
          <cell r="A849" t="str">
            <v>Y7-242198 (PLSM-C4-MW)</v>
          </cell>
          <cell r="B849" t="str">
            <v>Y7-242198(PLSM-C4-MW)</v>
          </cell>
          <cell r="C849" t="str">
            <v>EATON</v>
          </cell>
          <cell r="D849" t="str">
            <v>Eaton-Non Moving Stock</v>
          </cell>
        </row>
        <row r="850">
          <cell r="A850" t="str">
            <v>Y7-182619 (PLSM-C50/3-EI)</v>
          </cell>
          <cell r="B850" t="str">
            <v>Y7-182619(PLSM-C50/3-EI)</v>
          </cell>
          <cell r="C850" t="str">
            <v>EATON</v>
          </cell>
          <cell r="D850" t="str">
            <v>Eaton-Non Moving Stock</v>
          </cell>
        </row>
        <row r="851">
          <cell r="A851" t="str">
            <v>Y7-242411 (PLSM-C63/2-MW_x000D_
)</v>
          </cell>
          <cell r="B851" t="str">
            <v>Y7-242411(PLSM-C63/2-MW_x000D_
)</v>
          </cell>
          <cell r="C851" t="str">
            <v>EATON</v>
          </cell>
          <cell r="D851" t="str">
            <v>Eaton-Non Moving Stock</v>
          </cell>
        </row>
        <row r="852">
          <cell r="A852" t="str">
            <v>Y7-242480 (PLSM-C63/3-MW_x000D_
)</v>
          </cell>
          <cell r="B852" t="str">
            <v>Y7-242480(PLSM-C63/3-MW_x000D_
)</v>
          </cell>
          <cell r="C852" t="str">
            <v>EATON</v>
          </cell>
          <cell r="D852" t="str">
            <v>Eaton-Non Moving Stock</v>
          </cell>
        </row>
        <row r="853">
          <cell r="A853" t="str">
            <v>Y7-242468 (PLSM-C6/3-MW_x000D_
)</v>
          </cell>
          <cell r="B853" t="str">
            <v>Y7-242468(PLSM-C6/3-MW_x000D_
)</v>
          </cell>
          <cell r="C853" t="str">
            <v>EATON</v>
          </cell>
          <cell r="D853" t="str">
            <v>Eaton-Non Moving Stock</v>
          </cell>
        </row>
        <row r="854">
          <cell r="A854" t="str">
            <v>Y7-182799 (PLSM-D25/2-EI)</v>
          </cell>
          <cell r="B854" t="str">
            <v>Y7-182799(PLSM-D25/2-EI)</v>
          </cell>
          <cell r="C854" t="str">
            <v>EATON</v>
          </cell>
          <cell r="D854" t="str">
            <v>Eaton-Non Moving Stock</v>
          </cell>
        </row>
        <row r="855">
          <cell r="A855" t="str">
            <v>Y7-242430 (PLSM-D25/2-MW_x000D_
)</v>
          </cell>
          <cell r="B855" t="str">
            <v>Y7-242430(PLSM-D25/2-MW_x000D_
)</v>
          </cell>
          <cell r="C855" t="str">
            <v>EATON</v>
          </cell>
          <cell r="D855" t="str">
            <v>Eaton-Non Moving Stock</v>
          </cell>
        </row>
        <row r="856">
          <cell r="A856" t="str">
            <v>242202 (PLSM‐C10 10A SP C Curve 10kA MCB)</v>
          </cell>
          <cell r="B856" t="str">
            <v>242202(PLSM‐C10 10A SP C Curve 10kA MCB)</v>
          </cell>
          <cell r="C856" t="str">
            <v>EATON</v>
          </cell>
          <cell r="D856" t="str">
            <v>Eaton-Non Moving Stock</v>
          </cell>
        </row>
        <row r="857">
          <cell r="A857" t="str">
            <v>242401 (PLSM‐C10/2 10A DP C Curve 10kA MCB)</v>
          </cell>
          <cell r="B857" t="str">
            <v>242401(PLSM‐C10/2 10A DP C Curve 10kA MCB)</v>
          </cell>
          <cell r="C857" t="str">
            <v>EATON</v>
          </cell>
          <cell r="D857" t="str">
            <v>Eaton-Non Moving Stock</v>
          </cell>
        </row>
        <row r="858">
          <cell r="A858" t="str">
            <v>242470 (PLSM‐C10/3 10A TP C Curve 10kA MCB)</v>
          </cell>
          <cell r="B858" t="str">
            <v>242470(PLSM‐C10/3 10A TP C Curve 10kA MCB)</v>
          </cell>
          <cell r="C858" t="str">
            <v>EATON</v>
          </cell>
          <cell r="D858" t="str">
            <v>Eaton-Non Moving Stock</v>
          </cell>
        </row>
        <row r="859">
          <cell r="A859" t="str">
            <v>242406 (PLSM‐C20/2 20A DP C Curve 10kA MCB)</v>
          </cell>
          <cell r="B859" t="str">
            <v>242406(PLSM‐C20/2 20A DP C Curve 10kA MCB)</v>
          </cell>
          <cell r="C859" t="str">
            <v>EATON</v>
          </cell>
          <cell r="D859" t="str">
            <v>Eaton-Non Moving Stock</v>
          </cell>
        </row>
        <row r="860">
          <cell r="A860" t="str">
            <v>242191 (PLSM‐C2 2 A SP C Curve 10kA MCB)</v>
          </cell>
          <cell r="B860" t="str">
            <v>242191(PLSM‐C2 2 A SP C Curve 10kA MCB)</v>
          </cell>
          <cell r="C860" t="str">
            <v>EATON</v>
          </cell>
          <cell r="D860" t="str">
            <v>Eaton-Non Moving Stock</v>
          </cell>
        </row>
        <row r="861">
          <cell r="A861" t="str">
            <v>242531 (PLSM‐C2/3N 2A TPN C Curve 10kA MCB)</v>
          </cell>
          <cell r="B861" t="str">
            <v>242531(PLSM‐C2/3N 2A TPN C Curve 10kA MCB)</v>
          </cell>
          <cell r="C861" t="str">
            <v>EATON</v>
          </cell>
          <cell r="D861" t="str">
            <v>Eaton-Non Moving Stock</v>
          </cell>
        </row>
        <row r="862">
          <cell r="A862" t="str">
            <v>242397 (PLSM‐C4/2 4A DP C Curve 10kA MCB)</v>
          </cell>
          <cell r="B862" t="str">
            <v>242397(PLSM‐C4/2 4A DP C Curve 10kA MCB)</v>
          </cell>
          <cell r="C862" t="str">
            <v>EATON</v>
          </cell>
          <cell r="D862" t="str">
            <v>Eaton-Non Moving Stock</v>
          </cell>
        </row>
        <row r="863">
          <cell r="A863" t="str">
            <v>242416 (PLSM‐D2/2 2A DP D Curve 10kA MCB)</v>
          </cell>
          <cell r="B863" t="str">
            <v>242416(PLSM‐D2/2 2A DP D Curve 10kA MCB)</v>
          </cell>
          <cell r="C863" t="str">
            <v>EATON</v>
          </cell>
          <cell r="D863" t="str">
            <v>Eaton-Non Moving Stock</v>
          </cell>
        </row>
        <row r="864">
          <cell r="A864" t="str">
            <v>259142 (PN1-125)</v>
          </cell>
          <cell r="B864" t="str">
            <v>259142(PN1-125)</v>
          </cell>
          <cell r="C864" t="str">
            <v>EATON</v>
          </cell>
          <cell r="D864" t="str">
            <v>Eaton-Non Moving Stock</v>
          </cell>
        </row>
        <row r="865">
          <cell r="A865" t="str">
            <v>Y7-281235 (PN1-160_x000D_
)</v>
          </cell>
          <cell r="B865" t="str">
            <v>Y7-281235(PN1-160_x000D_
)</v>
          </cell>
          <cell r="C865" t="str">
            <v>EATON</v>
          </cell>
          <cell r="D865" t="str">
            <v>Eaton-Non Moving Stock</v>
          </cell>
        </row>
        <row r="866">
          <cell r="A866" t="str">
            <v>Y7-266005 (PN2-160)</v>
          </cell>
          <cell r="B866" t="str">
            <v>Y7-266005(PN2-160)</v>
          </cell>
          <cell r="C866" t="str">
            <v>EATON</v>
          </cell>
          <cell r="D866" t="str">
            <v>Eaton-Non Moving Stock</v>
          </cell>
        </row>
        <row r="867">
          <cell r="A867" t="str">
            <v>110308 (PN2-160-BT)</v>
          </cell>
          <cell r="B867" t="str">
            <v>110308(PN2-160-BT)</v>
          </cell>
          <cell r="C867" t="str">
            <v>EATON</v>
          </cell>
          <cell r="D867" t="str">
            <v>Eaton-Non Moving Stock</v>
          </cell>
        </row>
        <row r="868">
          <cell r="A868" t="str">
            <v>110309 (PN2-200-BT)</v>
          </cell>
          <cell r="B868" t="str">
            <v>110309(PN2-200-BT)</v>
          </cell>
          <cell r="C868" t="str">
            <v>EATON</v>
          </cell>
          <cell r="D868" t="str">
            <v>Eaton-Non Moving Stock</v>
          </cell>
        </row>
        <row r="869">
          <cell r="A869" t="str">
            <v>Y7-266011 (PN2-4-160)</v>
          </cell>
          <cell r="B869" t="str">
            <v>Y7-266011(PN2-4-160)</v>
          </cell>
          <cell r="C869" t="str">
            <v>EATON</v>
          </cell>
          <cell r="D869" t="str">
            <v>Eaton-Non Moving Stock</v>
          </cell>
        </row>
        <row r="870">
          <cell r="A870" t="str">
            <v>266018 (PN3-630)</v>
          </cell>
          <cell r="B870" t="str">
            <v>266018(PN3-630)</v>
          </cell>
          <cell r="C870" t="str">
            <v>EATON</v>
          </cell>
          <cell r="D870" t="str">
            <v>Eaton-Non Moving Stock</v>
          </cell>
        </row>
        <row r="871">
          <cell r="A871" t="str">
            <v>PNFM-100/4/03</v>
          </cell>
          <cell r="B871" t="str">
            <v>PNFM-100/4/03</v>
          </cell>
          <cell r="C871" t="str">
            <v>EATON</v>
          </cell>
          <cell r="D871" t="str">
            <v>Eaton-Non Moving Stock</v>
          </cell>
        </row>
        <row r="872">
          <cell r="A872" t="str">
            <v>PDG12G0030TFFJ (Power Defense PDG1 2P 35kA/480V)</v>
          </cell>
          <cell r="B872" t="str">
            <v>PDG12G0030TFFJ(Power Defense PDG1 2P 35kA/480V)</v>
          </cell>
          <cell r="C872" t="str">
            <v>EATON</v>
          </cell>
          <cell r="D872" t="str">
            <v>Eaton-Non Moving Stock</v>
          </cell>
        </row>
        <row r="873">
          <cell r="A873" t="str">
            <v>PDG12G0040TFFJ (Power Defense PDG1 2P 35kA/480VA)</v>
          </cell>
          <cell r="B873" t="str">
            <v>PDG12G0040TFFJ(Power Defense PDG1 2P 35kA/480VA)</v>
          </cell>
          <cell r="C873" t="str">
            <v>EATON</v>
          </cell>
          <cell r="D873" t="str">
            <v>Eaton-Non Moving Stock</v>
          </cell>
        </row>
        <row r="874">
          <cell r="A874" t="str">
            <v>PDG13M0040TFFJ (Power Defense PDG1 3P 65kA/480V)</v>
          </cell>
          <cell r="B874" t="str">
            <v>PDG13M0040TFFJ(Power Defense PDG1 3P 65kA/480V)</v>
          </cell>
          <cell r="C874" t="str">
            <v>EATON</v>
          </cell>
          <cell r="D874" t="str">
            <v>Eaton-Non Moving Stock</v>
          </cell>
        </row>
        <row r="875">
          <cell r="A875" t="str">
            <v>16370-3 (POWER DIST BLOCK 15PK)</v>
          </cell>
          <cell r="B875" t="str">
            <v>16370-3(POWER DIST BLOCK 15PK)</v>
          </cell>
          <cell r="C875" t="str">
            <v>EATON</v>
          </cell>
          <cell r="D875" t="str">
            <v>Eaton-Non Moving Stock</v>
          </cell>
        </row>
        <row r="876">
          <cell r="A876" t="str">
            <v>120935 (P-SOL30 / DC-switch-disconnector 30A)</v>
          </cell>
          <cell r="B876" t="str">
            <v>120935(P-SOL30 / DC-switch-disconnector 30A)</v>
          </cell>
          <cell r="C876" t="str">
            <v>EATON</v>
          </cell>
          <cell r="D876" t="str">
            <v>Eaton-Non Moving Stock</v>
          </cell>
        </row>
        <row r="877">
          <cell r="A877" t="str">
            <v>86450 (Q18D-GN)</v>
          </cell>
          <cell r="B877" t="str">
            <v>86450(Q18D-GN)</v>
          </cell>
          <cell r="C877" t="str">
            <v>EATON</v>
          </cell>
          <cell r="D877" t="str">
            <v>Eaton-Non Moving Stock</v>
          </cell>
        </row>
        <row r="878">
          <cell r="A878" t="str">
            <v>86176 (Q18DR-GN)</v>
          </cell>
          <cell r="B878" t="str">
            <v>86176(Q18DR-GN)</v>
          </cell>
          <cell r="C878" t="str">
            <v>EATON</v>
          </cell>
          <cell r="D878" t="str">
            <v>Eaton-Non Moving Stock</v>
          </cell>
        </row>
        <row r="879">
          <cell r="A879" t="str">
            <v>93623 (Q18D-X)</v>
          </cell>
          <cell r="B879" t="str">
            <v>93623(Q18D-X)</v>
          </cell>
          <cell r="C879" t="str">
            <v>EATON</v>
          </cell>
          <cell r="D879" t="str">
            <v>Eaton-Non Moving Stock</v>
          </cell>
        </row>
        <row r="880">
          <cell r="A880" t="str">
            <v>87915 (Q18LF-GE/WB)</v>
          </cell>
          <cell r="B880" t="str">
            <v>87915(Q18LF-GE/WB)</v>
          </cell>
          <cell r="C880" t="str">
            <v>EATON</v>
          </cell>
          <cell r="D880" t="str">
            <v>Eaton-Non Moving Stock</v>
          </cell>
        </row>
        <row r="881">
          <cell r="A881" t="str">
            <v>88406_x000D_
 (Q18LF-WS_x000D_
)</v>
          </cell>
          <cell r="B881" t="str">
            <v>88406_x000D_
(Q18LF-WS_x000D_
)</v>
          </cell>
          <cell r="C881" t="str">
            <v>EATON</v>
          </cell>
          <cell r="D881" t="str">
            <v>Eaton-Non Moving Stock</v>
          </cell>
        </row>
        <row r="882">
          <cell r="A882" t="str">
            <v>88059 (Q18LF-WS/WB)</v>
          </cell>
          <cell r="B882" t="str">
            <v>88059(Q18LF-WS/WB)</v>
          </cell>
          <cell r="C882" t="str">
            <v>EATON</v>
          </cell>
          <cell r="D882" t="str">
            <v>Eaton-Non Moving Stock</v>
          </cell>
        </row>
        <row r="883">
          <cell r="A883" t="str">
            <v>88338 (Q18LT-BL/WB)</v>
          </cell>
          <cell r="B883" t="str">
            <v>88338(Q18LT-BL/WB)</v>
          </cell>
          <cell r="C883" t="str">
            <v>EATON</v>
          </cell>
          <cell r="D883" t="str">
            <v>Eaton-Non Moving Stock</v>
          </cell>
        </row>
        <row r="884">
          <cell r="A884" t="str">
            <v>88509.0 (Q18LT-GN/WB)</v>
          </cell>
          <cell r="B884" t="str">
            <v>88509.0(Q18LT-GN/WB)</v>
          </cell>
          <cell r="C884" t="str">
            <v>EATON</v>
          </cell>
          <cell r="D884" t="str">
            <v>Eaton-Non Moving Stock</v>
          </cell>
        </row>
        <row r="885">
          <cell r="A885" t="str">
            <v>86382 (Q18LTR-GE/WB)</v>
          </cell>
          <cell r="B885" t="str">
            <v>86382(Q18LTR-GE/WB)</v>
          </cell>
          <cell r="C885" t="str">
            <v>EATON</v>
          </cell>
          <cell r="D885" t="str">
            <v>Eaton-Non Moving Stock</v>
          </cell>
        </row>
        <row r="886">
          <cell r="A886" t="str">
            <v>88537.0 (Q18LT-RT/WB)</v>
          </cell>
          <cell r="B886" t="str">
            <v>88537.0(Q18LT-RT/WB)</v>
          </cell>
          <cell r="C886" t="str">
            <v>EATON</v>
          </cell>
          <cell r="D886" t="str">
            <v>Eaton-Non Moving Stock</v>
          </cell>
        </row>
        <row r="887">
          <cell r="A887" t="str">
            <v>88561_x000D_
 (Q18LT-WS/WB_x000D_
)</v>
          </cell>
          <cell r="B887" t="str">
            <v>88561_x000D_
(Q18LT-WS/WB_x000D_
)</v>
          </cell>
          <cell r="C887" t="str">
            <v>EATON</v>
          </cell>
          <cell r="D887" t="str">
            <v>Eaton-Non Moving Stock</v>
          </cell>
        </row>
        <row r="888">
          <cell r="A888" t="str">
            <v>39247 (Q18LWK1R-GN/WB)</v>
          </cell>
          <cell r="B888" t="str">
            <v>39247(Q18LWK1R-GN/WB)</v>
          </cell>
          <cell r="C888" t="str">
            <v>EATON</v>
          </cell>
          <cell r="D888" t="str">
            <v>Eaton-Non Moving Stock</v>
          </cell>
        </row>
        <row r="889">
          <cell r="A889" t="str">
            <v>39248 (Q18LWK1R-RT/WB)</v>
          </cell>
          <cell r="B889" t="str">
            <v>39248(Q18LWK1R-RT/WB)</v>
          </cell>
          <cell r="C889" t="str">
            <v>EATON</v>
          </cell>
          <cell r="D889" t="str">
            <v>Eaton-Non Moving Stock</v>
          </cell>
        </row>
        <row r="890">
          <cell r="A890" t="str">
            <v>38930 (Q18LWK1-RT/WB)</v>
          </cell>
          <cell r="B890" t="str">
            <v>38930(Q18LWK1-RT/WB)</v>
          </cell>
          <cell r="C890" t="str">
            <v>EATON</v>
          </cell>
          <cell r="D890" t="str">
            <v>Eaton-Non Moving Stock</v>
          </cell>
        </row>
        <row r="891">
          <cell r="A891" t="str">
            <v>39335 (Q18LWK1R-WS/WB)</v>
          </cell>
          <cell r="B891" t="str">
            <v>39335(Q18LWK1R-WS/WB)</v>
          </cell>
          <cell r="C891" t="str">
            <v>EATON</v>
          </cell>
          <cell r="D891" t="str">
            <v>Eaton-Non Moving Stock</v>
          </cell>
        </row>
        <row r="892">
          <cell r="A892" t="str">
            <v>38805 (Q18S1R)</v>
          </cell>
          <cell r="B892" t="str">
            <v>38805(Q18S1R)</v>
          </cell>
          <cell r="C892" t="str">
            <v>EATON</v>
          </cell>
          <cell r="D892" t="str">
            <v>Eaton-Non Moving Stock</v>
          </cell>
        </row>
        <row r="893">
          <cell r="A893" t="str">
            <v>Y7-36515 (Q18WK1)</v>
          </cell>
          <cell r="B893" t="str">
            <v>Y7-36515(Q18WK1)</v>
          </cell>
          <cell r="C893" t="str">
            <v>EATON</v>
          </cell>
          <cell r="D893" t="str">
            <v>Eaton-Non Moving Stock</v>
          </cell>
        </row>
        <row r="894">
          <cell r="A894" t="str">
            <v>36598 (Q18WK1R)</v>
          </cell>
          <cell r="B894" t="str">
            <v>36598(Q18WK1R)</v>
          </cell>
          <cell r="C894" t="str">
            <v>EATON</v>
          </cell>
          <cell r="D894" t="str">
            <v>Eaton-Non Moving Stock</v>
          </cell>
        </row>
        <row r="895">
          <cell r="A895" t="str">
            <v>72309 (Q18WK3R)</v>
          </cell>
          <cell r="B895" t="str">
            <v>72309(Q18WK3R)</v>
          </cell>
          <cell r="C895" t="str">
            <v>EATON</v>
          </cell>
          <cell r="D895" t="str">
            <v>Eaton-Non Moving Stock</v>
          </cell>
        </row>
        <row r="896">
          <cell r="A896" t="str">
            <v>Y7-90479 (Q25LT-BL)</v>
          </cell>
          <cell r="B896" t="str">
            <v>Y7-90479(Q25LT-BL)</v>
          </cell>
          <cell r="C896" t="str">
            <v>EATON</v>
          </cell>
          <cell r="D896" t="str">
            <v>Eaton-Non Moving Stock</v>
          </cell>
        </row>
        <row r="897">
          <cell r="A897" t="str">
            <v>Y7-86173_x000D_
 (Q25LT-GE_x000D_
)</v>
          </cell>
          <cell r="B897" t="str">
            <v>Y7-86173_x000D_
(Q25LT-GE_x000D_
)</v>
          </cell>
          <cell r="C897" t="str">
            <v>EATON</v>
          </cell>
          <cell r="D897" t="str">
            <v>Eaton-Non Moving Stock</v>
          </cell>
        </row>
        <row r="898">
          <cell r="A898" t="str">
            <v>Y7-86206_x000D_
 (Q25LT-GN_x000D_
)</v>
          </cell>
          <cell r="B898" t="str">
            <v>Y7-86206_x000D_
(Q25LT-GN_x000D_
)</v>
          </cell>
          <cell r="C898" t="str">
            <v>EATON</v>
          </cell>
          <cell r="D898" t="str">
            <v>Eaton-Non Moving Stock</v>
          </cell>
        </row>
        <row r="899">
          <cell r="A899" t="str">
            <v>Y7-86238_x000D_
 (Q25LT-RT_x000D_
)</v>
          </cell>
          <cell r="B899" t="str">
            <v>Y7-86238_x000D_
(Q25LT-RT_x000D_
)</v>
          </cell>
          <cell r="C899" t="str">
            <v>EATON</v>
          </cell>
          <cell r="D899" t="str">
            <v>Eaton-Non Moving Stock</v>
          </cell>
        </row>
        <row r="900">
          <cell r="A900" t="str">
            <v>72370 (Q25PV)</v>
          </cell>
          <cell r="B900" t="str">
            <v>72370(Q25PV)</v>
          </cell>
          <cell r="C900" t="str">
            <v>EATON</v>
          </cell>
          <cell r="D900" t="str">
            <v>Eaton-Non Moving Stock</v>
          </cell>
        </row>
        <row r="901">
          <cell r="A901" t="str">
            <v>2606D81G14 (Quicklag Type B Dummy Breaker)</v>
          </cell>
          <cell r="B901" t="str">
            <v>2606D81G14(Quicklag Type B Dummy Breaker)</v>
          </cell>
          <cell r="C901" t="str">
            <v>EATON</v>
          </cell>
          <cell r="D901" t="str">
            <v>Eaton-Non Moving Stock</v>
          </cell>
        </row>
        <row r="902">
          <cell r="A902" t="str">
            <v>TWRSGF 15B (Receptacle Duplex 15A-125VAC GFCI)</v>
          </cell>
          <cell r="B902" t="str">
            <v>TWRSGF 15B(Receptacle Duplex 15A-125VAC GFCI)</v>
          </cell>
          <cell r="C902" t="str">
            <v>EATON</v>
          </cell>
          <cell r="D902" t="str">
            <v>Eaton-Non Moving Stock</v>
          </cell>
        </row>
        <row r="903">
          <cell r="A903" t="str">
            <v>063676 (RE-PKZ2(220-240V50/60HZ,DC))</v>
          </cell>
          <cell r="B903" t="str">
            <v>063676(RE-PKZ2(220-240V50/60HZ,DC))</v>
          </cell>
          <cell r="C903" t="str">
            <v>EATON</v>
          </cell>
          <cell r="D903" t="str">
            <v>Eaton-Non Moving Stock</v>
          </cell>
        </row>
        <row r="904">
          <cell r="A904" t="str">
            <v>63325 (SE00-11-PKZ0)</v>
          </cell>
          <cell r="B904" t="str">
            <v>63325(SE00-11-PKZ0)</v>
          </cell>
          <cell r="C904" t="str">
            <v>EATON</v>
          </cell>
          <cell r="D904" t="str">
            <v>Eaton-Non Moving Stock</v>
          </cell>
        </row>
        <row r="905">
          <cell r="A905" t="str">
            <v>63333 (SE00-20-PKZO)</v>
          </cell>
          <cell r="B905" t="str">
            <v>63333(SE00-20-PKZO)</v>
          </cell>
          <cell r="C905" t="str">
            <v>EATON</v>
          </cell>
          <cell r="D905" t="str">
            <v>Eaton-Non Moving Stock</v>
          </cell>
        </row>
        <row r="906">
          <cell r="A906" t="str">
            <v>Y7-205352 (SL-100-L-RYG/24_x000D_
)</v>
          </cell>
          <cell r="B906" t="str">
            <v>Y7-205352(SL-100-L-RYG/24_x000D_
)</v>
          </cell>
          <cell r="C906" t="str">
            <v>EATON</v>
          </cell>
          <cell r="D906" t="str">
            <v>Eaton-Non Moving Stock</v>
          </cell>
        </row>
        <row r="907">
          <cell r="A907" t="str">
            <v>Y7-202094 (SL-100-L-RYG/24 LED_x000D_
)</v>
          </cell>
          <cell r="B907" t="str">
            <v>Y7-202094(SL-100-L-RYG/24 LED_x000D_
)</v>
          </cell>
          <cell r="C907" t="str">
            <v>EATON</v>
          </cell>
          <cell r="D907" t="str">
            <v>Eaton-Non Moving Stock</v>
          </cell>
        </row>
        <row r="908">
          <cell r="A908" t="str">
            <v>Y7-204989 (STN0,8(480*/230*))</v>
          </cell>
          <cell r="B908" t="str">
            <v>Y7-204989(STN0,8(480*/230*))</v>
          </cell>
          <cell r="C908" t="str">
            <v>EATON</v>
          </cell>
          <cell r="D908" t="str">
            <v>Eaton-Non Moving Stock</v>
          </cell>
        </row>
        <row r="909">
          <cell r="A909" t="str">
            <v>Y7-204991 (STN1,0(480*/115*))</v>
          </cell>
          <cell r="B909" t="str">
            <v>Y7-204991(STN1,0(480*/115*))</v>
          </cell>
          <cell r="C909" t="str">
            <v>EATON</v>
          </cell>
          <cell r="D909" t="str">
            <v>Eaton-Non Moving Stock</v>
          </cell>
        </row>
        <row r="910">
          <cell r="A910" t="str">
            <v>57892 (SVB-T0)</v>
          </cell>
          <cell r="B910" t="str">
            <v>57892(SVB-T0)</v>
          </cell>
          <cell r="C910" t="str">
            <v>EATON</v>
          </cell>
          <cell r="D910" t="str">
            <v>Eaton-Non Moving Stock</v>
          </cell>
        </row>
        <row r="911">
          <cell r="A911" t="str">
            <v>Y7-116022 (SWD4-8SF2-5_x000D_
)</v>
          </cell>
          <cell r="B911" t="str">
            <v>Y7-116022(SWD4-8SF2-5_x000D_
)</v>
          </cell>
          <cell r="C911" t="str">
            <v>EATON</v>
          </cell>
          <cell r="D911" t="str">
            <v>Eaton-Non Moving Stock</v>
          </cell>
        </row>
        <row r="912">
          <cell r="A912" t="str">
            <v>091078 (T0-1-102/EA/SVB)</v>
          </cell>
          <cell r="B912" t="str">
            <v>091078(T0-1-102/EA/SVB)</v>
          </cell>
          <cell r="C912" t="str">
            <v>EATON</v>
          </cell>
          <cell r="D912" t="str">
            <v>Eaton-Non Moving Stock</v>
          </cell>
        </row>
        <row r="913">
          <cell r="A913" t="str">
            <v>Y7-207149_x000D_
 (T0-2-15679/I1/SVB_x000D_
)</v>
          </cell>
          <cell r="B913" t="str">
            <v>Y7-207149_x000D_
(T0-2-15679/I1/SVB_x000D_
)</v>
          </cell>
          <cell r="C913" t="str">
            <v>EATON</v>
          </cell>
          <cell r="D913" t="str">
            <v>Eaton-Non Moving Stock</v>
          </cell>
        </row>
        <row r="914">
          <cell r="A914" t="str">
            <v>207150 (T0-2-15679/I1/SVB-SW)</v>
          </cell>
          <cell r="B914" t="str">
            <v>207150(T0-2-15679/I1/SVB-SW)</v>
          </cell>
          <cell r="C914" t="str">
            <v>EATON</v>
          </cell>
          <cell r="D914" t="str">
            <v>Eaton-Non Moving Stock</v>
          </cell>
        </row>
        <row r="915">
          <cell r="A915" t="str">
            <v>38873.0 (T0-2-1/EA/SVB)</v>
          </cell>
          <cell r="B915" t="str">
            <v>38873.0(T0-2-1/EA/SVB)</v>
          </cell>
          <cell r="C915" t="str">
            <v>EATON</v>
          </cell>
          <cell r="D915" t="str">
            <v>Eaton-Non Moving Stock</v>
          </cell>
        </row>
        <row r="916">
          <cell r="A916" t="str">
            <v>Y7-207147 (T0-2-1/I1/SVB_x000D_
)</v>
          </cell>
          <cell r="B916" t="str">
            <v>Y7-207147(T0-2-1/I1/SVB_x000D_
)</v>
          </cell>
          <cell r="C916" t="str">
            <v>EATON</v>
          </cell>
          <cell r="D916" t="str">
            <v>Eaton-Non Moving Stock</v>
          </cell>
        </row>
        <row r="917">
          <cell r="A917" t="str">
            <v>43619 (T0-2-1/V/SVB)</v>
          </cell>
          <cell r="B917" t="str">
            <v>43619(T0-2-1/V/SVB)</v>
          </cell>
          <cell r="C917" t="str">
            <v>EATON</v>
          </cell>
          <cell r="D917" t="str">
            <v>Eaton-Non Moving Stock</v>
          </cell>
        </row>
        <row r="918">
          <cell r="A918" t="str">
            <v>y7-98841 (T0-2-8324/V/SVB)</v>
          </cell>
          <cell r="B918" t="str">
            <v>y7-98841(T0-2-8324/V/SVB)</v>
          </cell>
          <cell r="C918" t="str">
            <v>EATON</v>
          </cell>
          <cell r="D918" t="str">
            <v>Eaton-Non Moving Stock</v>
          </cell>
        </row>
        <row r="919">
          <cell r="A919" t="str">
            <v>Y7-207401 (T0-2-8900/EA/SVB-SW)</v>
          </cell>
          <cell r="B919" t="str">
            <v>Y7-207401(T0-2-8900/EA/SVB-SW)</v>
          </cell>
          <cell r="C919" t="str">
            <v>EATON</v>
          </cell>
          <cell r="D919" t="str">
            <v>Eaton-Non Moving Stock</v>
          </cell>
        </row>
        <row r="920">
          <cell r="A920" t="str">
            <v>207151 (T0-2-8900/I1/SVB_x000D_
)</v>
          </cell>
          <cell r="B920" t="str">
            <v>207151(T0-2-8900/I1/SVB_x000D_
)</v>
          </cell>
          <cell r="C920" t="str">
            <v>EATON</v>
          </cell>
          <cell r="D920" t="str">
            <v>Eaton-Non Moving Stock</v>
          </cell>
        </row>
        <row r="921">
          <cell r="A921" t="str">
            <v>36482 (T0-3-15423/EZ)</v>
          </cell>
          <cell r="B921" t="str">
            <v>36482(T0-3-15423/EZ)</v>
          </cell>
          <cell r="C921" t="str">
            <v>EATON</v>
          </cell>
          <cell r="D921" t="str">
            <v>Eaton-Non Moving Stock</v>
          </cell>
        </row>
        <row r="922">
          <cell r="A922" t="str">
            <v>Y7-207153_x000D_
 (T0-3-15680/I1/SVB_x000D_
)</v>
          </cell>
          <cell r="B922" t="str">
            <v>Y7-207153_x000D_
(T0-3-15680/I1/SVB_x000D_
)</v>
          </cell>
          <cell r="C922" t="str">
            <v>EATON</v>
          </cell>
          <cell r="D922" t="str">
            <v>Eaton-Non Moving Stock</v>
          </cell>
        </row>
        <row r="923">
          <cell r="A923" t="str">
            <v>Y7-207154_x000D_
 (T0-3-15680/I1/SVB-SW_x000D_
)</v>
          </cell>
          <cell r="B923" t="str">
            <v>Y7-207154_x000D_
(T0-3-15680/I1/SVB-SW_x000D_
)</v>
          </cell>
          <cell r="C923" t="str">
            <v>EATON</v>
          </cell>
          <cell r="D923" t="str">
            <v>Eaton-Non Moving Stock</v>
          </cell>
        </row>
        <row r="924">
          <cell r="A924" t="str">
            <v>Y7-207157_x000D_
 (T0-3-15683/I1/SVB_x000D_
)</v>
          </cell>
          <cell r="B924" t="str">
            <v>Y7-207157_x000D_
(T0-3-15683/I1/SVB_x000D_
)</v>
          </cell>
          <cell r="C924" t="str">
            <v>EATON</v>
          </cell>
          <cell r="D924" t="str">
            <v>Eaton-Non Moving Stock</v>
          </cell>
        </row>
        <row r="925">
          <cell r="A925" t="str">
            <v>207158.0 (T0-3-15683/I1/SVB-SW)</v>
          </cell>
          <cell r="B925" t="str">
            <v>207158.0(T0-3-15683/I1/SVB-SW)</v>
          </cell>
          <cell r="C925" t="str">
            <v>EATON</v>
          </cell>
          <cell r="D925" t="str">
            <v>Eaton-Non Moving Stock</v>
          </cell>
        </row>
        <row r="926">
          <cell r="A926" t="str">
            <v>Y7-231934_x000D_
 (T0-3-8901/I1/SVB_x000D_
)</v>
          </cell>
          <cell r="B926" t="str">
            <v>Y7-231934_x000D_
(T0-3-8901/I1/SVB_x000D_
)</v>
          </cell>
          <cell r="C926" t="str">
            <v>EATON</v>
          </cell>
          <cell r="D926" t="str">
            <v>Eaton-Non Moving Stock</v>
          </cell>
        </row>
        <row r="927">
          <cell r="A927" t="str">
            <v>Y7-207161 (T0-4-15682/I1/SVB_x000D_
)</v>
          </cell>
          <cell r="B927" t="str">
            <v>Y7-207161(T0-4-15682/I1/SVB_x000D_
)</v>
          </cell>
          <cell r="C927" t="str">
            <v>EATON</v>
          </cell>
          <cell r="D927" t="str">
            <v>Eaton-Non Moving Stock</v>
          </cell>
        </row>
        <row r="928">
          <cell r="A928" t="str">
            <v>Y7-207162 (T0-4-15682/I1/SVB-SW)</v>
          </cell>
          <cell r="B928" t="str">
            <v>Y7-207162(T0-4-15682/I1/SVB-SW)</v>
          </cell>
          <cell r="C928" t="str">
            <v>EATON</v>
          </cell>
          <cell r="D928" t="str">
            <v>Eaton-Non Moving Stock</v>
          </cell>
        </row>
        <row r="929">
          <cell r="A929" t="str">
            <v>Y7-14374 (T3-1-102/EA/SVB_x000D_
)</v>
          </cell>
          <cell r="B929" t="str">
            <v>Y7-14374(T3-1-102/EA/SVB_x000D_
)</v>
          </cell>
          <cell r="C929" t="str">
            <v>EATON</v>
          </cell>
          <cell r="D929" t="str">
            <v>Eaton-Non Moving Stock</v>
          </cell>
        </row>
        <row r="930">
          <cell r="A930" t="str">
            <v>y7-008771 (T3-2-8324/EA/SVB)</v>
          </cell>
          <cell r="B930" t="str">
            <v>y7-008771(T3-2-8324/EA/SVB)</v>
          </cell>
          <cell r="C930" t="str">
            <v>EATON</v>
          </cell>
          <cell r="D930" t="str">
            <v>Eaton-Non Moving Stock</v>
          </cell>
        </row>
        <row r="931">
          <cell r="A931" t="str">
            <v>Y7-207206 (T3-3-15683/I2/SVB)</v>
          </cell>
          <cell r="B931" t="str">
            <v>Y7-207206(T3-3-15683/I2/SVB)</v>
          </cell>
          <cell r="C931" t="str">
            <v>EATON</v>
          </cell>
          <cell r="D931" t="str">
            <v>Eaton-Non Moving Stock</v>
          </cell>
        </row>
        <row r="932">
          <cell r="A932" t="str">
            <v>Y7-207207 (T3-3-15683/I2/SVB-SW)</v>
          </cell>
          <cell r="B932" t="str">
            <v>Y7-207207(T3-3-15683/I2/SVB-SW)</v>
          </cell>
          <cell r="C932" t="str">
            <v>EATON</v>
          </cell>
          <cell r="D932" t="str">
            <v>Eaton-Non Moving Stock</v>
          </cell>
        </row>
        <row r="933">
          <cell r="A933" t="str">
            <v>76072 (T3-3-8342/V/SVB)</v>
          </cell>
          <cell r="B933" t="str">
            <v>76072(T3-3-8342/V/SVB)</v>
          </cell>
          <cell r="C933" t="str">
            <v>EATON</v>
          </cell>
          <cell r="D933" t="str">
            <v>Eaton-Non Moving Stock</v>
          </cell>
        </row>
        <row r="934">
          <cell r="A934" t="str">
            <v>Y7-207210_x000D_
 (T3-4-15682/I2/SVB_x000D_
)</v>
          </cell>
          <cell r="B934" t="str">
            <v>Y7-207210_x000D_
(T3-4-15682/I2/SVB_x000D_
)</v>
          </cell>
          <cell r="C934" t="str">
            <v>EATON</v>
          </cell>
          <cell r="D934" t="str">
            <v>Eaton-Non Moving Stock</v>
          </cell>
        </row>
        <row r="935">
          <cell r="A935" t="str">
            <v>Y7-207211 (T3-4-15682/I2/SVB-SW_x000D_
)</v>
          </cell>
          <cell r="B935" t="str">
            <v>Y7-207211(T3-4-15682/I2/SVB-SW_x000D_
)</v>
          </cell>
          <cell r="C935" t="str">
            <v>EATON</v>
          </cell>
          <cell r="D935" t="str">
            <v>Eaton-Non Moving Stock</v>
          </cell>
        </row>
        <row r="936">
          <cell r="A936" t="str">
            <v>207277 (T5-3-8901/I5/SVB)</v>
          </cell>
          <cell r="B936" t="str">
            <v>207277(T5-3-8901/I5/SVB)</v>
          </cell>
          <cell r="C936" t="str">
            <v>EATON</v>
          </cell>
          <cell r="D936" t="str">
            <v>Eaton-Non Moving Stock</v>
          </cell>
        </row>
        <row r="937">
          <cell r="A937" t="str">
            <v>Y7-207281 (T5-4-15682/I5/SVB)</v>
          </cell>
          <cell r="B937" t="str">
            <v>Y7-207281(T5-4-15682/I5/SVB)</v>
          </cell>
          <cell r="C937" t="str">
            <v>EATON</v>
          </cell>
          <cell r="D937" t="str">
            <v>Eaton-Non Moving Stock</v>
          </cell>
        </row>
        <row r="938">
          <cell r="A938" t="str">
            <v>207250 (T5B-3-8342/I4-SI)</v>
          </cell>
          <cell r="B938" t="str">
            <v>207250(T5B-3-8342/I4-SI)</v>
          </cell>
          <cell r="C938" t="str">
            <v>EATON</v>
          </cell>
          <cell r="D938" t="str">
            <v>Eaton-Non Moving Stock</v>
          </cell>
        </row>
        <row r="939">
          <cell r="A939" t="str">
            <v>Y7-207245_x000D_
 (T5B-3-8901/I4/SVB-SW_x000D_
)</v>
          </cell>
          <cell r="B939" t="str">
            <v>Y7-207245_x000D_
(T5B-3-8901/I4/SVB-SW_x000D_
)</v>
          </cell>
          <cell r="C939" t="str">
            <v>EATON</v>
          </cell>
          <cell r="D939" t="str">
            <v>Eaton-Non Moving Stock</v>
          </cell>
        </row>
        <row r="940">
          <cell r="A940" t="str">
            <v>Y7-207425 (T5B-4-15682/EA/SVB_x000D_
)</v>
          </cell>
          <cell r="B940" t="str">
            <v>Y7-207425(T5B-4-15682/EA/SVB_x000D_
)</v>
          </cell>
          <cell r="C940" t="str">
            <v>EATON</v>
          </cell>
          <cell r="D940" t="str">
            <v>Eaton-Non Moving Stock</v>
          </cell>
        </row>
        <row r="941">
          <cell r="A941" t="str">
            <v>Y7-207246 (T5B-4-15682/I4/SVB)</v>
          </cell>
          <cell r="B941" t="str">
            <v>Y7-207246(T5B-4-15682/I4/SVB)</v>
          </cell>
          <cell r="C941" t="str">
            <v>EATON</v>
          </cell>
          <cell r="D941" t="str">
            <v>Eaton-Non Moving Stock</v>
          </cell>
        </row>
        <row r="942">
          <cell r="A942" t="str">
            <v>Y7-207247 (T5B-4-15682/I4/SVB-SW)</v>
          </cell>
          <cell r="B942" t="str">
            <v>Y7-207247(T5B-4-15682/I4/SVB-SW)</v>
          </cell>
          <cell r="C942" t="str">
            <v>EATON</v>
          </cell>
          <cell r="D942" t="str">
            <v>Eaton-Non Moving Stock</v>
          </cell>
        </row>
        <row r="943">
          <cell r="A943" t="str">
            <v>Y7-201448 (T6-160-6/I45/SVB/HI11)</v>
          </cell>
          <cell r="B943" t="str">
            <v>Y7-201448(T6-160-6/I45/SVB/HI11)</v>
          </cell>
          <cell r="C943" t="str">
            <v>EATON</v>
          </cell>
          <cell r="D943" t="str">
            <v>Eaton-Non Moving Stock</v>
          </cell>
        </row>
        <row r="944">
          <cell r="A944" t="str">
            <v>207161 (TO-4-15682/I1/SVB)</v>
          </cell>
          <cell r="B944" t="str">
            <v>207161(TO-4-15682/I1/SVB)</v>
          </cell>
          <cell r="C944" t="str">
            <v>EATON</v>
          </cell>
          <cell r="D944" t="str">
            <v>Eaton-Non Moving Stock</v>
          </cell>
        </row>
        <row r="945">
          <cell r="A945" t="str">
            <v>JJS-30 (TRON FAST ACTING FUSE CLASS T JJS-30)</v>
          </cell>
          <cell r="B945" t="str">
            <v>JJS-30(TRON FAST ACTING FUSE CLASS T JJS-30)</v>
          </cell>
          <cell r="C945" t="str">
            <v>EATON</v>
          </cell>
          <cell r="D945" t="str">
            <v>Eaton-Non Moving Stock</v>
          </cell>
        </row>
        <row r="946">
          <cell r="A946" t="str">
            <v>SAMI-9N (TYPE (250V RK,K5,H 0-30)_x000D_
)</v>
          </cell>
          <cell r="B946" t="str">
            <v>SAMI-9N(TYPE(250V RK,K5,H 0-30)_x000D_
)</v>
          </cell>
          <cell r="C946" t="str">
            <v>EATON</v>
          </cell>
          <cell r="D946" t="str">
            <v>Eaton-Non Moving Stock</v>
          </cell>
        </row>
        <row r="947">
          <cell r="A947" t="str">
            <v>FD3125 (TYPE FD BREAKER 3P 125A 600VAC MAX)</v>
          </cell>
          <cell r="B947" t="str">
            <v>FD3125(TYPE FD BREAKER 3P 125A 600VAC MAX)</v>
          </cell>
          <cell r="C947" t="str">
            <v>EATON</v>
          </cell>
          <cell r="D947" t="str">
            <v>Eaton-Non Moving Stock</v>
          </cell>
        </row>
        <row r="948">
          <cell r="A948" t="str">
            <v>73135 (U-PKZ0(230V50HZ))</v>
          </cell>
          <cell r="B948" t="str">
            <v>73135(U-PKZ0(230V50HZ))</v>
          </cell>
          <cell r="C948" t="str">
            <v>EATON</v>
          </cell>
          <cell r="D948" t="str">
            <v>Eaton-Non Moving Stock</v>
          </cell>
        </row>
        <row r="949">
          <cell r="A949" t="str">
            <v>73129 (U-PKZ0(24V50HZ))</v>
          </cell>
          <cell r="B949" t="str">
            <v>73129(U-PKZ0(24V50HZ))</v>
          </cell>
          <cell r="C949" t="str">
            <v>EATON</v>
          </cell>
          <cell r="D949" t="str">
            <v>Eaton-Non Moving Stock</v>
          </cell>
        </row>
        <row r="950">
          <cell r="A950" t="str">
            <v>AS400-14P (UPS RELAY CARD)</v>
          </cell>
          <cell r="B950" t="str">
            <v>AS400-14P(UPS RELAY CARD)</v>
          </cell>
          <cell r="C950" t="str">
            <v>EATON</v>
          </cell>
          <cell r="D950" t="str">
            <v>Eaton-Non Moving Stock</v>
          </cell>
        </row>
        <row r="951">
          <cell r="A951" t="str">
            <v>Y7-10320 (VGDILE48)</v>
          </cell>
          <cell r="B951" t="str">
            <v>Y7-10320(VGDILE48)</v>
          </cell>
          <cell r="C951" t="str">
            <v>EATON</v>
          </cell>
          <cell r="D951" t="str">
            <v>Eaton-Non Moving Stock</v>
          </cell>
        </row>
        <row r="952">
          <cell r="A952" t="str">
            <v>VHI-NZMH4</v>
          </cell>
          <cell r="B952" t="str">
            <v>VHI-NZMH4</v>
          </cell>
          <cell r="C952" t="str">
            <v>EATON</v>
          </cell>
          <cell r="D952" t="str">
            <v>Eaton-Non Moving Stock</v>
          </cell>
        </row>
        <row r="953">
          <cell r="A953" t="str">
            <v>152351 (XTCD012B10E2I)</v>
          </cell>
          <cell r="B953" t="str">
            <v>152351(XTCD012B10E2I)</v>
          </cell>
          <cell r="C953" t="str">
            <v>EATON</v>
          </cell>
          <cell r="D953" t="str">
            <v>Eaton-Non Moving Stock</v>
          </cell>
        </row>
        <row r="954">
          <cell r="A954" t="str">
            <v>152401 (XTCD040F11H2)</v>
          </cell>
          <cell r="B954" t="str">
            <v>152401(XTCD040F11H2)</v>
          </cell>
          <cell r="C954" t="str">
            <v>EATON</v>
          </cell>
          <cell r="D954" t="str">
            <v>Eaton-Non Moving Stock</v>
          </cell>
        </row>
        <row r="955">
          <cell r="A955" t="str">
            <v>CMD00701 (XTOD38-32)</v>
          </cell>
          <cell r="B955" t="str">
            <v>CMD00701(XTOD38-32)</v>
          </cell>
          <cell r="C955" t="str">
            <v>EATON</v>
          </cell>
          <cell r="D955" t="str">
            <v>Eaton-Non Moving Stock</v>
          </cell>
        </row>
        <row r="956">
          <cell r="A956" t="str">
            <v>CMD00705 (XTOD95-50)</v>
          </cell>
          <cell r="B956" t="str">
            <v>CMD00705(XTOD95-50)</v>
          </cell>
          <cell r="C956" t="str">
            <v>EATON</v>
          </cell>
          <cell r="D956" t="str">
            <v>Eaton-Non Moving Stock</v>
          </cell>
        </row>
        <row r="957">
          <cell r="A957" t="str">
            <v>142537 (XV-102-D8-70TWR-10	_x000D_
)</v>
          </cell>
          <cell r="B957" t="str">
            <v>142537(XV-102-D8-70TWR-10	_x000D_
)</v>
          </cell>
          <cell r="C957" t="str">
            <v>EATON</v>
          </cell>
          <cell r="D957" t="str">
            <v>Eaton-Non Moving Stock</v>
          </cell>
        </row>
        <row r="958">
          <cell r="A958" t="str">
            <v>278433 (ZB12-0,4)</v>
          </cell>
          <cell r="B958" t="str">
            <v>278433(ZB12-0,4)</v>
          </cell>
          <cell r="C958" t="str">
            <v>EATON</v>
          </cell>
          <cell r="D958" t="str">
            <v>Eaton-Non Moving Stock</v>
          </cell>
        </row>
        <row r="959">
          <cell r="A959" t="str">
            <v>278464 (ZB150-100)</v>
          </cell>
          <cell r="B959" t="str">
            <v>278464(ZB150-100)</v>
          </cell>
          <cell r="C959" t="str">
            <v>EATON</v>
          </cell>
          <cell r="D959" t="str">
            <v>Eaton-Non Moving Stock</v>
          </cell>
        </row>
        <row r="960">
          <cell r="A960" t="str">
            <v>y7-278459 (ZB65-57)</v>
          </cell>
          <cell r="B960" t="str">
            <v>y7-278459(ZB65-57)</v>
          </cell>
          <cell r="C960" t="str">
            <v>EATON</v>
          </cell>
          <cell r="D960" t="str">
            <v>Eaton-Non Moving Stock</v>
          </cell>
        </row>
        <row r="961">
          <cell r="A961" t="str">
            <v>14518 (ZE-4)</v>
          </cell>
          <cell r="B961" t="str">
            <v>14518(ZE-4)</v>
          </cell>
          <cell r="C961" t="str">
            <v>EATON</v>
          </cell>
          <cell r="D961" t="str">
            <v>Eaton-Non Moving Stock</v>
          </cell>
        </row>
        <row r="962">
          <cell r="A962" t="str">
            <v>Y7-104902 (Z-EB/50/UL)</v>
          </cell>
          <cell r="B962" t="str">
            <v>Y7-104902(Z-EB/50/UL)</v>
          </cell>
          <cell r="C962" t="str">
            <v>EATON</v>
          </cell>
          <cell r="D962" t="str">
            <v>Eaton-Non Moving Stock</v>
          </cell>
        </row>
        <row r="963">
          <cell r="A963" t="str">
            <v>104901 (Z-EK/35/UL)</v>
          </cell>
          <cell r="B963" t="str">
            <v>104901(Z-EK/35/UL)</v>
          </cell>
          <cell r="C963" t="str">
            <v>EATON</v>
          </cell>
          <cell r="D963" t="str">
            <v>Eaton-Non Moving Stock</v>
          </cell>
        </row>
        <row r="964">
          <cell r="A964" t="str">
            <v>30170.0 (ZFS61/62-T0)</v>
          </cell>
          <cell r="B964" t="str">
            <v>30170.0(ZFS61/62-T0)</v>
          </cell>
          <cell r="C964" t="str">
            <v>EATON</v>
          </cell>
          <cell r="D964" t="str">
            <v>Eaton-Non Moving Stock</v>
          </cell>
        </row>
        <row r="965">
          <cell r="A965" t="str">
            <v>Y7-65957 (ZFS62-NZM7)</v>
          </cell>
          <cell r="B965" t="str">
            <v>Y7-65957(ZFS62-NZM7)</v>
          </cell>
          <cell r="C965" t="str">
            <v>EATON</v>
          </cell>
          <cell r="D965" t="str">
            <v>Eaton-Non Moving Stock</v>
          </cell>
        </row>
        <row r="966">
          <cell r="A966" t="str">
            <v>271064 (Z-GV-16/3P-3TE Busbar)</v>
          </cell>
          <cell r="B966" t="str">
            <v>271064(Z-GV-16/3P-3TE Busbar)</v>
          </cell>
          <cell r="C966" t="str">
            <v>EATON</v>
          </cell>
          <cell r="D966" t="str">
            <v>Eaton-Non Moving Stock</v>
          </cell>
        </row>
        <row r="967">
          <cell r="A967" t="str">
            <v>248398 (Z-MS-10/2 Manual Motor Starter Z-MS)</v>
          </cell>
          <cell r="B967" t="str">
            <v>248398(Z-MS-10/2 Manual Motor Starter Z-MS)</v>
          </cell>
          <cell r="C967" t="str">
            <v>EATON</v>
          </cell>
          <cell r="D967" t="str">
            <v>Eaton-Non Moving Stock</v>
          </cell>
        </row>
        <row r="968">
          <cell r="A968" t="str">
            <v>248408 (Z-MS-2,5/3 Manual Motor Starter Z-MS)</v>
          </cell>
          <cell r="B968" t="str">
            <v>248408(Z-MS-2,5/3 Manual Motor Starter Z-MS)</v>
          </cell>
          <cell r="C968" t="str">
            <v>EATON</v>
          </cell>
          <cell r="D968" t="str">
            <v>Eaton-Non Moving Stock</v>
          </cell>
        </row>
        <row r="969">
          <cell r="A969" t="str">
            <v>Y7-104896 (Z-SV/UL-16/2P-2TE/12)</v>
          </cell>
          <cell r="B969" t="str">
            <v>Y7-104896(Z-SV/UL-16/2P-2TE/12)</v>
          </cell>
          <cell r="C969" t="str">
            <v>EATON</v>
          </cell>
          <cell r="D969" t="str">
            <v>Eaton-Non Moving Stock</v>
          </cell>
        </row>
        <row r="970">
          <cell r="A970" t="str">
            <v>Y7-104897 (Z-SV/UL-16/2P-2TE/18)</v>
          </cell>
          <cell r="B970" t="str">
            <v>Y7-104897(Z-SV/UL-16/2P-2TE/18)</v>
          </cell>
          <cell r="C970" t="str">
            <v>EATON</v>
          </cell>
          <cell r="D970" t="str">
            <v>Eaton-Non Moving Stock</v>
          </cell>
        </row>
        <row r="971">
          <cell r="A971" t="str">
            <v>264930 (Z-V-AK/2+3P End Cap)</v>
          </cell>
          <cell r="B971" t="str">
            <v>264930(Z-V-AK/2+3P End Cap)</v>
          </cell>
          <cell r="C971" t="str">
            <v>EATON</v>
          </cell>
          <cell r="D971" t="str">
            <v>Eaton-Non Moving Stock</v>
          </cell>
        </row>
        <row r="972">
          <cell r="A972" t="str">
            <v>ECFA01L (Aux Contact 1NC -Front - EC Contactor)</v>
          </cell>
          <cell r="B972" t="str">
            <v>ECFA01L(Aux Contact 1NC -Front - EC Contactor)</v>
          </cell>
          <cell r="C972" t="str">
            <v>EATON</v>
          </cell>
          <cell r="D972" t="str">
            <v>Eaton-Non Moving Stock</v>
          </cell>
        </row>
        <row r="973">
          <cell r="A973" t="str">
            <v>ECRFA11L (Aux Contact 1NO+1NC -Front-ECR Cont. Relay)</v>
          </cell>
          <cell r="B973" t="str">
            <v>ECRFA11L(Aux Contact 1NO+1NC -Front-ECR Cont. Relay)</v>
          </cell>
          <cell r="C973" t="str">
            <v>EATON</v>
          </cell>
          <cell r="D973" t="str">
            <v>Eaton-Non Moving Stock</v>
          </cell>
        </row>
        <row r="974">
          <cell r="A974" t="str">
            <v>EMCFA11L (Aux Contact 1NO+1NC-Front-EMC Cont)</v>
          </cell>
          <cell r="B974" t="str">
            <v>EMCFA11L(Aux Contact 1NO+1NC-Front-EMC Cont)</v>
          </cell>
          <cell r="C974" t="str">
            <v>EATON</v>
          </cell>
          <cell r="D974" t="str">
            <v>Eaton-Non Moving Stock</v>
          </cell>
        </row>
        <row r="975">
          <cell r="A975" t="str">
            <v>ECSA11L (Aux Contact 1NO+1NC-Side - EC Contactor)</v>
          </cell>
          <cell r="B975" t="str">
            <v>ECSA11L(Aux Contact 1NO+1NC-Side - EC Contactor)</v>
          </cell>
          <cell r="C975" t="str">
            <v>EATON</v>
          </cell>
          <cell r="D975" t="str">
            <v>Eaton-Non Moving Stock</v>
          </cell>
        </row>
        <row r="976">
          <cell r="A976" t="str">
            <v>EMCFA02L (Aux Contact 2NC - Front - EMC Cont)</v>
          </cell>
          <cell r="B976" t="str">
            <v>EMCFA02L(Aux Contact 2NC - Front - EMC Cont)</v>
          </cell>
          <cell r="C976" t="str">
            <v>EATON</v>
          </cell>
          <cell r="D976" t="str">
            <v>Eaton-Non Moving Stock</v>
          </cell>
        </row>
        <row r="977">
          <cell r="A977" t="str">
            <v>EMCFA20L (Aux Contact 2NO- Front -EMC Cont)</v>
          </cell>
          <cell r="B977" t="str">
            <v>EMCFA20L(Aux Contact 2NO- Front -EMC Cont)</v>
          </cell>
          <cell r="C977" t="str">
            <v>EATON</v>
          </cell>
          <cell r="D977" t="str">
            <v>Eaton-Non Moving Stock</v>
          </cell>
        </row>
        <row r="978">
          <cell r="A978" t="str">
            <v>EC105SSDD600L (Diode Surge Supressor (12-600VDC)-EC Con)</v>
          </cell>
          <cell r="B978" t="str">
            <v>EC105SSDD600L(Diode Surge Supressor(12-600VDC)-EC Con)</v>
          </cell>
          <cell r="C978" t="str">
            <v>EATON</v>
          </cell>
          <cell r="D978" t="str">
            <v>Eaton-Non Moving Stock</v>
          </cell>
        </row>
        <row r="979">
          <cell r="A979" t="str">
            <v>152360 (D LINE CONTACTORS 16A 1 NO 220VAC _x000D_
)</v>
          </cell>
          <cell r="B979" t="str">
            <v>152360(D LINE CONTACTORS 16A 1 NO 220VAC _x000D_
)</v>
          </cell>
          <cell r="C979" t="str">
            <v>EATON</v>
          </cell>
          <cell r="D979" t="str">
            <v>Eaton-Non Moving Stock</v>
          </cell>
        </row>
        <row r="980">
          <cell r="A980" t="str">
            <v>XTCD085G22AOI (D LINE CONTACTORS 85A 2NO + 2NC 220AC Coil_x000D_
)</v>
          </cell>
          <cell r="B980" t="str">
            <v>XTCD085G22AOI(D LINE CONTACTORS 85A 2NO + 2NC 220AC Coil_x000D_
)</v>
          </cell>
          <cell r="C980" t="str">
            <v>EATON</v>
          </cell>
          <cell r="D980" t="str">
            <v>Eaton-Non Moving Stock</v>
          </cell>
        </row>
        <row r="981">
          <cell r="A981" t="str">
            <v>XTCD012B10B21 (D Line Contactors XTCD012B10B21)</v>
          </cell>
          <cell r="B981" t="str">
            <v>XTCD012B10B21(D Line Contactors XTCD012B10B21)</v>
          </cell>
          <cell r="C981" t="str">
            <v>EATON</v>
          </cell>
          <cell r="D981" t="str">
            <v>Eaton-Non Moving Stock</v>
          </cell>
        </row>
        <row r="982">
          <cell r="A982" t="str">
            <v>152480 (D LINE THERMAL OVERLOAD RELAY 0.45A-0.67A_x000D_
)</v>
          </cell>
          <cell r="B982" t="str">
            <v>152480(D LINE THERMAL OVERLOAD RELAY 0.45A-0.67A_x000D_
)</v>
          </cell>
          <cell r="C982" t="str">
            <v>EATON</v>
          </cell>
          <cell r="D982" t="str">
            <v>Eaton-Non Moving Stock</v>
          </cell>
        </row>
        <row r="983">
          <cell r="A983" t="str">
            <v>152497 (D LINE THERMAL OVERLOAD RELAY 40EC1)</v>
          </cell>
          <cell r="B983" t="str">
            <v>152497(D LINE THERMAL OVERLOAD RELAY 40EC1)</v>
          </cell>
          <cell r="C983" t="str">
            <v>EATON</v>
          </cell>
          <cell r="D983" t="str">
            <v>Eaton-Non Moving Stock</v>
          </cell>
        </row>
        <row r="984">
          <cell r="A984" t="str">
            <v>XTODP45CCI (D LINE THERMAL OVERLOAD RELAY-45CCI)</v>
          </cell>
          <cell r="B984" t="str">
            <v>XTODP45CCI(D LINE THERMAL OVERLOAD RELAY-45CCI)</v>
          </cell>
          <cell r="C984" t="str">
            <v>EATON</v>
          </cell>
          <cell r="D984" t="str">
            <v>Eaton-Non Moving Stock</v>
          </cell>
        </row>
        <row r="985">
          <cell r="A985" t="str">
            <v>152504 (D LINE THERMAL OVERLOAD RELAY 50GC1)</v>
          </cell>
          <cell r="B985" t="str">
            <v>152504(D LINE THERMAL OVERLOAD RELAY 50GC1)</v>
          </cell>
          <cell r="C985" t="str">
            <v>EATON</v>
          </cell>
          <cell r="D985" t="str">
            <v>Eaton-Non Moving Stock</v>
          </cell>
        </row>
        <row r="986">
          <cell r="A986" t="str">
            <v>EKZ-AF11 (EKZ Aux Contact 1NO +1NC Front Mounted)</v>
          </cell>
          <cell r="B986" t="str">
            <v>EKZ-AF11(EKZ Aux Contact 1NO +1NC Front Mounted)</v>
          </cell>
          <cell r="C986" t="str">
            <v>EATON</v>
          </cell>
          <cell r="D986" t="str">
            <v>Eaton-Non Moving Stock</v>
          </cell>
        </row>
        <row r="987">
          <cell r="A987" t="str">
            <v>EKZ-CL4512 (EKZ Commoning Link 45mm-2xFr-1 MPCB)</v>
          </cell>
          <cell r="B987" t="str">
            <v>EKZ-CL4512(EKZ Commoning Link 45mm-2xFr-1 MPCB)</v>
          </cell>
          <cell r="C987" t="str">
            <v>EATON</v>
          </cell>
          <cell r="D987" t="str">
            <v>Eaton-Non Moving Stock</v>
          </cell>
        </row>
        <row r="988">
          <cell r="A988" t="str">
            <v>EKZ-CL4513 (EKZ Commoning Link 45mm-3xFr-1 MPCB)</v>
          </cell>
          <cell r="B988" t="str">
            <v>EKZ-CL4513(EKZ Commoning Link 45mm-3xFr-1 MPCB)</v>
          </cell>
          <cell r="C988" t="str">
            <v>EATON</v>
          </cell>
          <cell r="D988" t="str">
            <v>Eaton-Non Moving Stock</v>
          </cell>
        </row>
        <row r="989">
          <cell r="A989" t="str">
            <v>EKZ-CL4514 (EKZ Commoning Link 45mm-4xFr-1 MPCB)</v>
          </cell>
          <cell r="B989" t="str">
            <v>EKZ-CL4514(EKZ Commoning Link 45mm-4xFr-1 MPCB)</v>
          </cell>
          <cell r="C989" t="str">
            <v>EATON</v>
          </cell>
          <cell r="D989" t="str">
            <v>Eaton-Non Moving Stock</v>
          </cell>
        </row>
        <row r="990">
          <cell r="A990" t="str">
            <v>EKZ-CL4515 (EKZ Commoning Link 45mm-5xFr-1 MPCB)</v>
          </cell>
          <cell r="B990" t="str">
            <v>EKZ-CL4515(EKZ Commoning Link 45mm-5xFr-1 MPCB)</v>
          </cell>
          <cell r="C990" t="str">
            <v>EATON</v>
          </cell>
          <cell r="D990" t="str">
            <v>Eaton-Non Moving Stock</v>
          </cell>
        </row>
        <row r="991">
          <cell r="A991" t="str">
            <v>EKZ-FT1 (EKZ Feeder Terminal_fr-1)</v>
          </cell>
          <cell r="B991" t="str">
            <v>EKZ-FT1(EKZ Feeder Terminal_fr-1)</v>
          </cell>
          <cell r="C991" t="str">
            <v>EATON</v>
          </cell>
          <cell r="D991" t="str">
            <v>Eaton-Non Moving Stock</v>
          </cell>
        </row>
        <row r="992">
          <cell r="A992" t="str">
            <v>EKZ-EC025LMD (EKZ Link Module-EC Cont. 9-25A DC_Fr-1)</v>
          </cell>
          <cell r="B992" t="str">
            <v>EKZ-EC025LMD(EKZ Link Module-EC Cont. 9-25A DC_Fr-1)</v>
          </cell>
          <cell r="C992" t="str">
            <v>EATON</v>
          </cell>
          <cell r="D992" t="str">
            <v>Eaton-Non Moving Stock</v>
          </cell>
        </row>
        <row r="993">
          <cell r="A993" t="str">
            <v>EKZ-RH1YR (EKZ Operating Handle for Frame 1, FPYR)</v>
          </cell>
          <cell r="B993" t="str">
            <v>EKZ-RH1YR(EKZ Operating Handle for Frame 1, FPYR)</v>
          </cell>
          <cell r="C993" t="str">
            <v>EATON</v>
          </cell>
          <cell r="D993" t="str">
            <v>Eaton-Non Moving Stock</v>
          </cell>
        </row>
        <row r="994">
          <cell r="A994" t="str">
            <v>EKZ-RH2YR (EKZ Operating Handle for Frame 2, FPYR)</v>
          </cell>
          <cell r="B994" t="str">
            <v>EKZ-RH2YR(EKZ Operating Handle for Frame 2, FPYR)</v>
          </cell>
          <cell r="C994" t="str">
            <v>EATON</v>
          </cell>
          <cell r="D994" t="str">
            <v>Eaton-Non Moving Stock</v>
          </cell>
        </row>
        <row r="995">
          <cell r="A995" t="str">
            <v>EKZ-PS1 (EKZ Protective Shroud_Fr-1)</v>
          </cell>
          <cell r="B995" t="str">
            <v>EKZ-PS1(EKZ Protective Shroud_Fr-1)</v>
          </cell>
          <cell r="C995" t="str">
            <v>EATON</v>
          </cell>
          <cell r="D995" t="str">
            <v>Eaton-Non Moving Stock</v>
          </cell>
        </row>
        <row r="996">
          <cell r="A996" t="str">
            <v>EKZ-TB1 (EKZ Terminal Barrier_Line Side_Fr-1)</v>
          </cell>
          <cell r="B996" t="str">
            <v>EKZ-TB1(EKZ Terminal Barrier_Line Side_Fr-1)</v>
          </cell>
          <cell r="C996" t="str">
            <v>EATON</v>
          </cell>
          <cell r="D996" t="str">
            <v>Eaton-Non Moving Stock</v>
          </cell>
        </row>
        <row r="997">
          <cell r="A997" t="str">
            <v>EKZ-AST11F2 (EKZ Trip Indication 1NO+ 1NC Left_Fr-2)</v>
          </cell>
          <cell r="B997" t="str">
            <v>EKZ-AST11F2(EKZ Trip Indication 1NO+ 1NC Left_Fr-2)</v>
          </cell>
          <cell r="C997" t="str">
            <v>EATON</v>
          </cell>
          <cell r="D997" t="str">
            <v>Eaton-Non Moving Stock</v>
          </cell>
        </row>
        <row r="998">
          <cell r="A998" t="str">
            <v>EKZ-AST11 (EKZ Trip Indication 1NO+1NC_Left_Fr-1)</v>
          </cell>
          <cell r="B998" t="str">
            <v>EKZ-AST11(EKZ Trip Indication 1NO+1NC_Left_Fr-1)</v>
          </cell>
          <cell r="C998" t="str">
            <v>EATON</v>
          </cell>
          <cell r="D998" t="str">
            <v>Eaton-Non Moving Stock</v>
          </cell>
        </row>
        <row r="999">
          <cell r="A999" t="str">
            <v>EC012P3001D024L (E-Line Contactor 12A 3P 1NC 24VDC)</v>
          </cell>
          <cell r="B999" t="str">
            <v>EC012P3001D024L(E-Line Contactor 12A 3P 1NC 24VDC)</v>
          </cell>
          <cell r="C999" t="str">
            <v>EATON</v>
          </cell>
          <cell r="D999" t="str">
            <v>Eaton-Non Moving Stock</v>
          </cell>
        </row>
        <row r="1000">
          <cell r="A1000" t="str">
            <v>EC018P3001D024L (E-Line Contactor 18A 3P 1NC 24VDC)</v>
          </cell>
          <cell r="B1000" t="str">
            <v>EC018P3001D024L(E-Line Contactor 18A 3P 1NC 24VDC)</v>
          </cell>
          <cell r="C1000" t="str">
            <v>EATON</v>
          </cell>
          <cell r="D1000" t="str">
            <v>Eaton-Non Moving Stock</v>
          </cell>
        </row>
        <row r="1001">
          <cell r="A1001" t="str">
            <v>EC018P3010D024L (E-Line  Contactor 18A 3P 1NO 24VDC)</v>
          </cell>
          <cell r="B1001" t="str">
            <v>EC018P3010D024L(E-Line Contactor 18A 3P 1NO 24VDC)</v>
          </cell>
          <cell r="C1001" t="str">
            <v>EATON</v>
          </cell>
          <cell r="D1001" t="str">
            <v>Eaton-Non Moving Stock</v>
          </cell>
        </row>
        <row r="1002">
          <cell r="A1002" t="str">
            <v>EC025P3001D024L (E-Line Contactor 25A 3P 1NC 24VDC)</v>
          </cell>
          <cell r="B1002" t="str">
            <v>EC025P3001D024L(E-Line Contactor 25A 3P 1NC 24VDC)</v>
          </cell>
          <cell r="C1002" t="str">
            <v>EATON</v>
          </cell>
          <cell r="D1002" t="str">
            <v>Eaton-Non Moving Stock</v>
          </cell>
        </row>
        <row r="1003">
          <cell r="A1003" t="str">
            <v>EC025P3010D024L (E-Line Contactor 25A 3P 1NO 24VDC)</v>
          </cell>
          <cell r="B1003" t="str">
            <v>EC025P3010D024L(E-Line Contactor 25A 3P 1NO 24VDC)</v>
          </cell>
          <cell r="C1003" t="str">
            <v>EATON</v>
          </cell>
          <cell r="D1003" t="str">
            <v>Eaton-Non Moving Stock</v>
          </cell>
        </row>
        <row r="1004">
          <cell r="A1004" t="str">
            <v>EC032P3000D024L (E-Line Contactor 32A 3P 24VDC)</v>
          </cell>
          <cell r="B1004" t="str">
            <v>EC032P3000D024L(E-Line Contactor 32A 3P 24VDC)</v>
          </cell>
          <cell r="C1004" t="str">
            <v>EATON</v>
          </cell>
          <cell r="D1004" t="str">
            <v>Eaton-Non Moving Stock</v>
          </cell>
        </row>
        <row r="1005">
          <cell r="A1005" t="str">
            <v>EC009P3001D024L (E-Line Contactor 9A 3P 1NC 24VDC)</v>
          </cell>
          <cell r="B1005" t="str">
            <v>EC009P3001D024L(E-Line Contactor 9A 3P 1NC 24VDC)</v>
          </cell>
          <cell r="C1005" t="str">
            <v>EATON</v>
          </cell>
          <cell r="D1005" t="str">
            <v>Eaton-Non Moving Stock</v>
          </cell>
        </row>
        <row r="1006">
          <cell r="A1006" t="str">
            <v>EC009P3010D024L (E-Line Contactor 9A 3P 1NO 24VDC)</v>
          </cell>
          <cell r="B1006" t="str">
            <v>EC009P3010D024L(E-Line Contactor 9A 3P 1NO 24VDC)</v>
          </cell>
          <cell r="C1006" t="str">
            <v>EATON</v>
          </cell>
          <cell r="D1006" t="str">
            <v>Eaton-Non Moving Stock</v>
          </cell>
        </row>
        <row r="1007">
          <cell r="A1007" t="str">
            <v>ECR016P0022D024L (E-Line Cont. Relay 4P 2NO 2NC 24VDC)</v>
          </cell>
          <cell r="B1007" t="str">
            <v>ECR016P0022D024L(E-Line Cont. Relay 4P 2NO 2NC 24VDC)</v>
          </cell>
          <cell r="C1007" t="str">
            <v>EATON</v>
          </cell>
          <cell r="D1007" t="str">
            <v>Eaton-Non Moving Stock</v>
          </cell>
        </row>
        <row r="1008">
          <cell r="A1008" t="str">
            <v>ECR016P0031D024L (E-Line Cont. Relay 4P 3NO 1NC 24VDC)</v>
          </cell>
          <cell r="B1008" t="str">
            <v>ECR016P0031D024L(E-Line Cont. Relay 4P 3NO 1NC 24VDC)</v>
          </cell>
          <cell r="C1008" t="str">
            <v>EATON</v>
          </cell>
          <cell r="D1008" t="str">
            <v>Eaton-Non Moving Stock</v>
          </cell>
        </row>
        <row r="1009">
          <cell r="A1009" t="str">
            <v>EKZM0-0.25 (E-Line Rotary MPCB Fr-1, 0.16-0.25A, TM)</v>
          </cell>
          <cell r="B1009" t="str">
            <v>EKZM0-0.25 (E-Line Rotary MPCB Fr-1, 0.16-0.25A, TM)</v>
          </cell>
          <cell r="C1009" t="str">
            <v>EATON</v>
          </cell>
          <cell r="D1009" t="str">
            <v>Eaton-Non Moving Stock</v>
          </cell>
        </row>
        <row r="1010">
          <cell r="A1010" t="str">
            <v>EKZM0-0.4 (E-Line Rotary MPCB Fr-1, 0.25-0.4A, TM)</v>
          </cell>
          <cell r="B1010" t="str">
            <v>EKZM0-0.4 (E-Line Rotary MPCB Fr-1, 0.25-0.4A, TM)</v>
          </cell>
          <cell r="C1010" t="str">
            <v>EATON</v>
          </cell>
          <cell r="D1010" t="str">
            <v>Eaton-Non Moving Stock</v>
          </cell>
        </row>
        <row r="1011">
          <cell r="A1011" t="str">
            <v>EKZM0-0.63 (E-Line Rotary MPCB Fr-1, 0.4-0.63A, TM)</v>
          </cell>
          <cell r="B1011" t="str">
            <v>EKZM0-0.63(E-Line Rotary MPCB Fr-1, 0.4-0.63A, TM)</v>
          </cell>
          <cell r="C1011" t="str">
            <v>EATON</v>
          </cell>
          <cell r="D1011" t="str">
            <v>Eaton-Non Moving Stock</v>
          </cell>
        </row>
        <row r="1012">
          <cell r="A1012" t="str">
            <v>EKZM0-1 (E-Line Rotary MPCB Fr-1, 0.63-1.0A, TM)</v>
          </cell>
          <cell r="B1012" t="str">
            <v>EKZM0-1 (E-Line Rotary MPCB Fr-1, 0.63-1.0A, TM)</v>
          </cell>
          <cell r="C1012" t="str">
            <v>EATON</v>
          </cell>
          <cell r="D1012" t="str">
            <v>Eaton-Non Moving Stock</v>
          </cell>
        </row>
        <row r="1013">
          <cell r="A1013" t="str">
            <v>EKZM0-2.50 (E-Line Rotary MPCB Fr-1, 1.6-2.5A, TM)</v>
          </cell>
          <cell r="B1013" t="str">
            <v>EKZM0-2.50(E-Line Rotary MPCB Fr-1, 1.6-2.5A, TM)</v>
          </cell>
          <cell r="C1013" t="str">
            <v>EATON</v>
          </cell>
          <cell r="D1013" t="str">
            <v>Eaton-Non Moving Stock</v>
          </cell>
        </row>
        <row r="1014">
          <cell r="A1014" t="str">
            <v>EKZM0-32 (E-Line Rotary MPCB Fr-1, 25-32A, TM)</v>
          </cell>
          <cell r="B1014" t="str">
            <v>EKZM0-32 (E-Line Rotary MPCB Fr-1, 25-32A, TM)</v>
          </cell>
          <cell r="C1014" t="str">
            <v>EATON</v>
          </cell>
          <cell r="D1014" t="str">
            <v>Eaton-Non Moving Stock</v>
          </cell>
        </row>
        <row r="1015">
          <cell r="A1015" t="str">
            <v>EKZM0-6.3 (E-Line Rotary MPCB Fr-1, 4.0-6.3A, TM)</v>
          </cell>
          <cell r="B1015" t="str">
            <v>EKZM0-6.3(E-Line Rotary MPCB Fr-1, 4.0-6.3A, TM)</v>
          </cell>
          <cell r="C1015" t="str">
            <v>EATON</v>
          </cell>
          <cell r="D1015" t="str">
            <v>Eaton-Non Moving Stock</v>
          </cell>
        </row>
        <row r="1016">
          <cell r="A1016" t="str">
            <v>EKZM0-10 (E-Line Rotary MPCB Fr-1, 6.3-10a, TM)</v>
          </cell>
          <cell r="B1016" t="str">
            <v>EKZM0-10(E-Line Rotary MPCB Fr-1, 6.3-10a, TM)</v>
          </cell>
          <cell r="C1016" t="str">
            <v>EATON</v>
          </cell>
          <cell r="D1016" t="str">
            <v>Eaton-Non Moving Stock</v>
          </cell>
        </row>
        <row r="1017">
          <cell r="A1017" t="str">
            <v>EKZM4-32 (E-Line Rotary MPCB Fr-2 22-32A, TM)</v>
          </cell>
          <cell r="B1017" t="str">
            <v>EKZM4-32(E-Line Rotary MPCB Fr-2 22-32A, TM)</v>
          </cell>
          <cell r="C1017" t="str">
            <v>EATON</v>
          </cell>
          <cell r="D1017" t="str">
            <v>Eaton-Non Moving Stock</v>
          </cell>
        </row>
        <row r="1018">
          <cell r="A1018" t="str">
            <v>EKZM4-40 (E-Line Rotary MPCB Fr-2, 28-40A, TM)</v>
          </cell>
          <cell r="B1018" t="str">
            <v>EKZM4-40(E-Line Rotary MPCB Fr-2, 28-40A, TM)</v>
          </cell>
          <cell r="C1018" t="str">
            <v>EATON</v>
          </cell>
          <cell r="D1018" t="str">
            <v>Eaton-Non Moving Stock</v>
          </cell>
        </row>
        <row r="1019">
          <cell r="A1019" t="str">
            <v>EKZM0-1.60 (EM-Line Rotary MPCB Fr-1, 1.0-1. 6A TMM)</v>
          </cell>
          <cell r="B1019" t="str">
            <v>EKZM0-1.60(EM-Line Rotary MPCB Fr-1, 1.0-1. 6A TMM)</v>
          </cell>
          <cell r="C1019" t="str">
            <v>EATON</v>
          </cell>
          <cell r="D1019" t="str">
            <v>Eaton-Non Moving Stock</v>
          </cell>
        </row>
        <row r="1020">
          <cell r="A1020" t="str">
            <v>ECSMEIL (Mech &amp; Elec Interlock - EC Contactor)</v>
          </cell>
          <cell r="B1020" t="str">
            <v>ECSMEIL(Mech &amp; Elec Interlock - EC Contactor)</v>
          </cell>
          <cell r="C1020" t="str">
            <v>EATON</v>
          </cell>
          <cell r="D1020" t="str">
            <v>Eaton-Non Moving Stock</v>
          </cell>
        </row>
        <row r="1021">
          <cell r="A1021" t="str">
            <v>ECFA10L (Aux Contact 1 NO- Front-EC Contactor)</v>
          </cell>
          <cell r="B1021" t="str">
            <v>ECFA10L(Aux Contact 1 NO- Front-EC Contactor)</v>
          </cell>
          <cell r="C1021" t="str">
            <v>EATON</v>
          </cell>
          <cell r="D1021" t="str">
            <v>Eaton-Planned Stock Specific Customer</v>
          </cell>
        </row>
        <row r="1022">
          <cell r="A1022" t="str">
            <v>122000 (BB-UL-EC/1)</v>
          </cell>
          <cell r="B1022" t="str">
            <v>122000(BB-UL-EC/1)</v>
          </cell>
          <cell r="C1022" t="str">
            <v>EATON</v>
          </cell>
          <cell r="D1022" t="str">
            <v>Eaton-Planned Stock Specific Customer</v>
          </cell>
        </row>
        <row r="1023">
          <cell r="A1023" t="str">
            <v>LP-CC-1 (Bussmann Class Cc Fuse Low Peak Time Delay)</v>
          </cell>
          <cell r="B1023" t="str">
            <v>LP-CC-1(Bussmann Class Cc Fuse Low Peak Time Delay)</v>
          </cell>
          <cell r="C1023" t="str">
            <v>EATON</v>
          </cell>
          <cell r="D1023" t="str">
            <v>Eaton-Planned Stock Specific Customer</v>
          </cell>
        </row>
        <row r="1024">
          <cell r="A1024" t="str">
            <v>174335 (DE1-343D6FN-N20N)</v>
          </cell>
          <cell r="B1024" t="str">
            <v>174335(DE1-343D6FN-N20N)</v>
          </cell>
          <cell r="C1024" t="str">
            <v>EATON</v>
          </cell>
          <cell r="D1024" t="str">
            <v>Eaton-Planned Stock Specific Customer</v>
          </cell>
        </row>
        <row r="1025">
          <cell r="A1025" t="str">
            <v>Y7-277780 (DILM40 (RDC24))</v>
          </cell>
          <cell r="B1025" t="str">
            <v>Y7-277780(DILM40 (RDC24))</v>
          </cell>
          <cell r="C1025" t="str">
            <v>EATON</v>
          </cell>
          <cell r="D1025" t="str">
            <v>Eaton-Planned Stock Specific Customer</v>
          </cell>
        </row>
        <row r="1026">
          <cell r="A1026" t="str">
            <v>Y7-277844 (DILM50 (RDC24))</v>
          </cell>
          <cell r="B1026" t="str">
            <v>Y7-277844(DILM50 (RDC24))</v>
          </cell>
          <cell r="C1026" t="str">
            <v>EATON</v>
          </cell>
          <cell r="D1026" t="str">
            <v>Eaton-Planned Stock Specific Customer</v>
          </cell>
        </row>
        <row r="1027">
          <cell r="A1027" t="str">
            <v>Y7-199238 (DILM9-01(24VDC)-PI)</v>
          </cell>
          <cell r="B1027" t="str">
            <v>Y7-199238(DILM9-01(24VDC)-PI)</v>
          </cell>
          <cell r="C1027" t="str">
            <v>EATON</v>
          </cell>
          <cell r="D1027" t="str">
            <v>Eaton-Planned Stock Specific Customer</v>
          </cell>
        </row>
        <row r="1028">
          <cell r="A1028" t="str">
            <v>199233 (DILMC9-10(24VDC))</v>
          </cell>
          <cell r="B1028" t="str">
            <v>199233(DILMC9-10(24VDC))</v>
          </cell>
          <cell r="C1028" t="str">
            <v>EATON</v>
          </cell>
          <cell r="D1028" t="str">
            <v>Eaton-Planned Stock Specific Customer</v>
          </cell>
        </row>
        <row r="1029">
          <cell r="A1029" t="str">
            <v>EKZ-AS11 (EKZ Aux Contact 1NO+1NC_Left Mounted)</v>
          </cell>
          <cell r="B1029" t="str">
            <v>EKZ-AS11(EKZ Aux Contact 1NO+1NC_Left Mounted)</v>
          </cell>
          <cell r="C1029" t="str">
            <v>EATON</v>
          </cell>
          <cell r="D1029" t="str">
            <v>Eaton-Planned Stock Specific Customer</v>
          </cell>
        </row>
        <row r="1030">
          <cell r="A1030" t="str">
            <v>EC012P3010D024L (E-Line Contactor 12A 3P 1NO 24VDC)</v>
          </cell>
          <cell r="B1030" t="str">
            <v>EC012P3010D024L(E-Line Contactor 12A 3P 1NO 24VDC)</v>
          </cell>
          <cell r="C1030" t="str">
            <v>EATON</v>
          </cell>
          <cell r="D1030" t="str">
            <v>Eaton-Planned Stock Specific Customer</v>
          </cell>
        </row>
        <row r="1031">
          <cell r="A1031" t="str">
            <v>EC065P3000D024L (E-Line Contactor 65A 3P 24VDC)</v>
          </cell>
          <cell r="B1031" t="str">
            <v>EC065P3000D024L(E-Line Contactor 65A 3P 24VDC)</v>
          </cell>
          <cell r="C1031" t="str">
            <v>EATON</v>
          </cell>
          <cell r="D1031" t="str">
            <v>Eaton-Planned Stock Specific Customer</v>
          </cell>
        </row>
        <row r="1032">
          <cell r="A1032" t="str">
            <v>EKZM0-0.16 (E-Line Rotary MPCB Fr-1, 0.1-0.16A, TM)</v>
          </cell>
          <cell r="B1032" t="str">
            <v>EKZM0-0.16 (E-Line Rotary MPCB Fr-1, 0.1-0.16A, TM)</v>
          </cell>
          <cell r="C1032" t="str">
            <v>EATON</v>
          </cell>
          <cell r="D1032" t="str">
            <v>Eaton-Planned Stock Specific Customer</v>
          </cell>
        </row>
        <row r="1033">
          <cell r="A1033" t="str">
            <v>EKZM0-16 (E-Line Rotary MPCB Fr-1, 10-16A, TM)</v>
          </cell>
          <cell r="B1033" t="str">
            <v>EKZM0-16(E-Line Rotary MPCB Fr-1, 10-16A, TM)</v>
          </cell>
          <cell r="C1033" t="str">
            <v>EATON</v>
          </cell>
          <cell r="D1033" t="str">
            <v>Eaton-Planned Stock Specific Customer</v>
          </cell>
        </row>
        <row r="1034">
          <cell r="A1034" t="str">
            <v>EKZM0-20 (E-Line Rotary MPCB Fr-1, 16-20A, TM)</v>
          </cell>
          <cell r="B1034" t="str">
            <v>EKZM0-20(E-Line Rotary MPCB Fr-1, 16-20A, TM)</v>
          </cell>
          <cell r="C1034" t="str">
            <v>EATON</v>
          </cell>
          <cell r="D1034" t="str">
            <v>Eaton-Planned Stock Specific Customer</v>
          </cell>
        </row>
        <row r="1035">
          <cell r="A1035" t="str">
            <v>EKZM0-25 (E-Line Rotary MPCB Fr-1 20-25A, TM)</v>
          </cell>
          <cell r="B1035" t="str">
            <v>EKZM0-25(E-Line Rotary MPCB Fr-1 20-25A, TM)</v>
          </cell>
          <cell r="C1035" t="str">
            <v>EATON</v>
          </cell>
          <cell r="D1035" t="str">
            <v>Eaton-Planned Stock Specific Customer</v>
          </cell>
        </row>
        <row r="1036">
          <cell r="A1036" t="str">
            <v>EKZM0-4 (E-Line Rotary MPCB Fr-1, 2.5-4.0A, TM)</v>
          </cell>
          <cell r="B1036" t="str">
            <v>EKZM0-4(E-Line Rotary MPCB Fr-1, 2.5-4.0A, TM)</v>
          </cell>
          <cell r="C1036" t="str">
            <v>EATON</v>
          </cell>
          <cell r="D1036" t="str">
            <v>Eaton-Planned Stock Specific Customer</v>
          </cell>
        </row>
        <row r="1037">
          <cell r="A1037" t="str">
            <v>Y7-66167 (EMT6-DB)</v>
          </cell>
          <cell r="B1037" t="str">
            <v>Y7-66167(EMT6-DB)</v>
          </cell>
          <cell r="C1037" t="str">
            <v>EATON</v>
          </cell>
          <cell r="D1037" t="str">
            <v>Eaton-Planned Stock Specific Customer</v>
          </cell>
        </row>
        <row r="1038">
          <cell r="A1038" t="str">
            <v>278531 (FAZ-B10/1)</v>
          </cell>
          <cell r="B1038" t="str">
            <v>278531(FAZ-B10/1)</v>
          </cell>
          <cell r="C1038" t="str">
            <v>EATON</v>
          </cell>
          <cell r="D1038" t="str">
            <v>Eaton-Planned Stock Specific Customer</v>
          </cell>
        </row>
        <row r="1039">
          <cell r="A1039" t="str">
            <v>Y7-102090 (FAZ-C16/1-NA)</v>
          </cell>
          <cell r="B1039" t="str">
            <v>Y7-102090(FAZ-C16/1-NA)</v>
          </cell>
          <cell r="C1039" t="str">
            <v>EATON</v>
          </cell>
          <cell r="D1039" t="str">
            <v>Eaton-Planned Stock Specific Customer</v>
          </cell>
        </row>
        <row r="1040">
          <cell r="A1040" t="str">
            <v>170M4467 (FUSE 700A 690V 1BKN/50 AR UC)</v>
          </cell>
          <cell r="B1040" t="str">
            <v>170M4467(FUSE 700A 690V 1BKN/50 AR UC)</v>
          </cell>
          <cell r="C1040" t="str">
            <v>EATON</v>
          </cell>
          <cell r="D1040" t="str">
            <v>Eaton-Planned Stock Specific Customer</v>
          </cell>
        </row>
        <row r="1041">
          <cell r="A1041" t="str">
            <v>170M4218 (FUSE 800A 690V 1TN/110 AR UC)</v>
          </cell>
          <cell r="B1041" t="str">
            <v>170M4218(FUSE 800A 690V 1TN/110 AR UC)</v>
          </cell>
          <cell r="C1041" t="str">
            <v>EATON</v>
          </cell>
          <cell r="D1041" t="str">
            <v>Eaton-Planned Stock Specific Customer</v>
          </cell>
        </row>
        <row r="1042">
          <cell r="A1042" t="str">
            <v>LPCC-2 (FUSE LOW-PEAK CC TD)</v>
          </cell>
          <cell r="B1042" t="str">
            <v>LPCC-2(FUSE LOW-PEAK CC TD)</v>
          </cell>
          <cell r="C1042" t="str">
            <v>EATON</v>
          </cell>
          <cell r="D1042" t="str">
            <v>Eaton-Planned Stock Specific Customer</v>
          </cell>
        </row>
        <row r="1043">
          <cell r="A1043" t="str">
            <v>BK-GMA-10-R (GMA 10A BUSS FA BK 100 BOX -R)</v>
          </cell>
          <cell r="B1043" t="str">
            <v>BK-GMA-10-R(GMA 10A BUSS FA BK 100 BOX -R)</v>
          </cell>
          <cell r="C1043" t="str">
            <v>EATON</v>
          </cell>
          <cell r="D1043" t="str">
            <v>Eaton-Planned Stock Specific Customer</v>
          </cell>
        </row>
        <row r="1044">
          <cell r="A1044" t="str">
            <v>BK-GMA-2-R (GMA 2A BUSS FA BK 100 BOX -R)</v>
          </cell>
          <cell r="B1044" t="str">
            <v>BK-GMA-2-R(GMA 2A BUSS FA BK 100 BOX -R)</v>
          </cell>
          <cell r="C1044" t="str">
            <v>EATON</v>
          </cell>
          <cell r="D1044" t="str">
            <v>Eaton-Planned Stock Specific Customer</v>
          </cell>
        </row>
        <row r="1045">
          <cell r="A1045" t="str">
            <v>BK-GMA-3-5-R (GMA 3.5A BUSS FA BK 100 BOX -R)</v>
          </cell>
          <cell r="B1045" t="str">
            <v>BK-GMA-3-5-R(GMA 3.5A BUSS FA BK 100 BOX -R)</v>
          </cell>
          <cell r="C1045" t="str">
            <v>EATON</v>
          </cell>
          <cell r="D1045" t="str">
            <v>Eaton-Planned Stock Specific Customer</v>
          </cell>
        </row>
        <row r="1046">
          <cell r="A1046" t="str">
            <v>BK-GMA-4-R (GMA 4A BUSS FA BK 100 BOX -R)</v>
          </cell>
          <cell r="B1046" t="str">
            <v>BK-GMA-4-R(GMA 4A BUSS FA BK 100 BOX -R)</v>
          </cell>
          <cell r="C1046" t="str">
            <v>EATON</v>
          </cell>
          <cell r="D1046" t="str">
            <v>Eaton-Planned Stock Specific Customer</v>
          </cell>
        </row>
        <row r="1047">
          <cell r="A1047" t="str">
            <v>BK-GMA-500-R (GMA 500mA BUSS FA BK 100 BOX -R)</v>
          </cell>
          <cell r="B1047" t="str">
            <v>BK-GMA-500-R(GMA 500mA BUSS FA BK 100 BOX -R)</v>
          </cell>
          <cell r="C1047" t="str">
            <v>EATON</v>
          </cell>
          <cell r="D1047" t="str">
            <v>Eaton-Planned Stock Specific Customer</v>
          </cell>
        </row>
        <row r="1048">
          <cell r="A1048" t="str">
            <v>BK-GMA-5-R (GMA 5A BUSS FA BK 100 BOX -R)</v>
          </cell>
          <cell r="B1048" t="str">
            <v>BK-GMA-5-R(GMA 5A BUSS FA BK 100 BOX -R)</v>
          </cell>
          <cell r="C1048" t="str">
            <v>EATON</v>
          </cell>
          <cell r="D1048" t="str">
            <v>Eaton-Planned Stock Specific Customer</v>
          </cell>
        </row>
        <row r="1049">
          <cell r="A1049" t="str">
            <v>BK-GMA-7-R (GMA 7A BUSS FA BK 100 BOX -R)</v>
          </cell>
          <cell r="B1049" t="str">
            <v>BK-GMA-7-R(GMA 7A BUSS FA BK 100 BOX -R)</v>
          </cell>
          <cell r="C1049" t="str">
            <v>EATON</v>
          </cell>
          <cell r="D1049" t="str">
            <v>Eaton-Planned Stock Specific Customer</v>
          </cell>
        </row>
        <row r="1050">
          <cell r="A1050" t="str">
            <v>BK-GMA-800-R (GMA 800mA BUSS FA BK 100 BOX -R)</v>
          </cell>
          <cell r="B1050" t="str">
            <v>BK-GMA-800-R(GMA 800mA BUSS FA BK 100 BOX -R)</v>
          </cell>
          <cell r="C1050" t="str">
            <v>EATON</v>
          </cell>
          <cell r="D1050" t="str">
            <v>Eaton-Planned Stock Specific Customer</v>
          </cell>
        </row>
        <row r="1051">
          <cell r="A1051" t="str">
            <v>216611 (M22-D-W-X1)</v>
          </cell>
          <cell r="B1051" t="str">
            <v>216611(M22-D-W-X1)</v>
          </cell>
          <cell r="C1051" t="str">
            <v>EATON</v>
          </cell>
          <cell r="D1051" t="str">
            <v>Eaton-Planned Stock Specific Customer</v>
          </cell>
        </row>
        <row r="1052">
          <cell r="A1052" t="str">
            <v>111783 (M22-WRS-MS4)</v>
          </cell>
          <cell r="B1052" t="str">
            <v>111783(M22-WRS-MS4)</v>
          </cell>
          <cell r="C1052" t="str">
            <v>EATON</v>
          </cell>
          <cell r="D1052" t="str">
            <v>Eaton-Planned Stock Specific Customer</v>
          </cell>
        </row>
        <row r="1053">
          <cell r="A1053" t="str">
            <v>Y7-113759/ FAZ-C10/1-NA (MCB 1P, 10A 10kA)</v>
          </cell>
          <cell r="B1053" t="str">
            <v>Y7-113759/ FAZ-C10/1-NA(MCB 1P, 10A 10kA)</v>
          </cell>
          <cell r="C1053" t="str">
            <v>EATON</v>
          </cell>
          <cell r="D1053" t="str">
            <v>Eaton-Planned Stock Specific Customer</v>
          </cell>
        </row>
        <row r="1054">
          <cell r="A1054" t="str">
            <v>NZM3-XKVI (MCCB Spreader 400A)</v>
          </cell>
          <cell r="B1054" t="str">
            <v>NZM3-XKVI(MCCB Spreader 400A)</v>
          </cell>
          <cell r="C1054" t="str">
            <v>EATON</v>
          </cell>
          <cell r="D1054" t="str">
            <v>Eaton-Planned Stock Specific Customer</v>
          </cell>
        </row>
        <row r="1055">
          <cell r="A1055" t="str">
            <v>260191 (NZM 1/2-XV6)</v>
          </cell>
          <cell r="B1055" t="str">
            <v>260191(NZM 1/2-XV6)</v>
          </cell>
          <cell r="C1055" t="str">
            <v>EATON</v>
          </cell>
          <cell r="D1055" t="str">
            <v>Eaton-Planned Stock Specific Customer</v>
          </cell>
        </row>
        <row r="1056">
          <cell r="A1056" t="str">
            <v>260021 (NZM1-XKSA)</v>
          </cell>
          <cell r="B1056" t="str">
            <v>260021(NZM1-XKSA)</v>
          </cell>
          <cell r="C1056" t="str">
            <v>EATON</v>
          </cell>
          <cell r="D1056" t="str">
            <v>Eaton-Planned Stock Specific Customer</v>
          </cell>
        </row>
        <row r="1057">
          <cell r="A1057" t="str">
            <v>100780 (NZM1-XKSFA)</v>
          </cell>
          <cell r="B1057" t="str">
            <v>100780(NZM1-XKSFA)</v>
          </cell>
          <cell r="C1057" t="str">
            <v>EATON</v>
          </cell>
          <cell r="D1057" t="str">
            <v>Eaton-Planned Stock Specific Customer</v>
          </cell>
        </row>
        <row r="1058">
          <cell r="A1058" t="str">
            <v>Y7-259114 (NZMN3- AE400)</v>
          </cell>
          <cell r="B1058" t="str">
            <v>Y7-259114(NZMN3- AE400)</v>
          </cell>
          <cell r="C1058" t="str">
            <v>EATON</v>
          </cell>
          <cell r="D1058" t="str">
            <v>Eaton-Planned Stock Specific Customer</v>
          </cell>
        </row>
        <row r="1059">
          <cell r="A1059" t="str">
            <v>60230 (P3-63/V/SVB-SW)</v>
          </cell>
          <cell r="B1059" t="str">
            <v>60230(P3-63/V/SVB-SW)</v>
          </cell>
          <cell r="C1059" t="str">
            <v>EATON</v>
          </cell>
          <cell r="D1059" t="str">
            <v>Eaton-Planned Stock Specific Customer</v>
          </cell>
        </row>
        <row r="1060">
          <cell r="A1060" t="str">
            <v>400132 (PKZM0-10-SC/AK-GVP2)</v>
          </cell>
          <cell r="B1060" t="str">
            <v>400132(PKZM0-10-SC/AK-GVP2)</v>
          </cell>
          <cell r="C1060" t="str">
            <v>EATON</v>
          </cell>
          <cell r="D1060" t="str">
            <v>Eaton-Planned Stock Specific Customer</v>
          </cell>
        </row>
        <row r="1061">
          <cell r="A1061" t="str">
            <v>156398 (PKZM0-32/AK)</v>
          </cell>
          <cell r="B1061" t="str">
            <v>156398(PKZM0-32/AK)</v>
          </cell>
          <cell r="C1061" t="str">
            <v>EATON</v>
          </cell>
          <cell r="D1061" t="str">
            <v>Eaton-Planned Stock Specific Customer</v>
          </cell>
        </row>
        <row r="1062">
          <cell r="A1062" t="str">
            <v>265338 (PKZM0-4/AK)</v>
          </cell>
          <cell r="B1062" t="str">
            <v>265338(PKZM0-4/AK)</v>
          </cell>
          <cell r="C1062" t="str">
            <v>EATON</v>
          </cell>
          <cell r="D1062" t="str">
            <v>Eaton-Planned Stock Specific Customer</v>
          </cell>
        </row>
        <row r="1063">
          <cell r="A1063" t="str">
            <v>39425 (PKZM0-6, 30+NHI 11 4-6, 30A)</v>
          </cell>
          <cell r="B1063" t="str">
            <v>39425(PKZM0-6, 30+NHI 11 4-6, 30A)</v>
          </cell>
          <cell r="C1063" t="str">
            <v>EATON</v>
          </cell>
          <cell r="D1063" t="str">
            <v>Eaton-Planned Stock Specific Customer</v>
          </cell>
        </row>
        <row r="1064">
          <cell r="A1064" t="str">
            <v>EIN-810144 (PLSI-C25)</v>
          </cell>
          <cell r="B1064" t="str">
            <v>EIN-810144(PLSI-C25)</v>
          </cell>
          <cell r="C1064" t="str">
            <v>EATON</v>
          </cell>
          <cell r="D1064" t="str">
            <v>Eaton-Planned Stock Specific Customer</v>
          </cell>
        </row>
        <row r="1065">
          <cell r="A1065" t="str">
            <v>Y7-222413 (PLZM4-63)</v>
          </cell>
          <cell r="B1065" t="str">
            <v>Y7-222413(PLZM4-63)</v>
          </cell>
          <cell r="C1065" t="str">
            <v>EATON</v>
          </cell>
          <cell r="D1065" t="str">
            <v>Eaton-Non Moving Stock</v>
          </cell>
        </row>
        <row r="1066">
          <cell r="A1066" t="str">
            <v>259141 (PN1-100)</v>
          </cell>
          <cell r="B1066" t="str">
            <v>259141(PN1-100)</v>
          </cell>
          <cell r="C1066" t="str">
            <v>EATON</v>
          </cell>
          <cell r="D1066" t="str">
            <v>Eaton-Planned Stock Specific Customer</v>
          </cell>
        </row>
        <row r="1067">
          <cell r="A1067" t="str">
            <v>259140 (PN1-63)</v>
          </cell>
          <cell r="B1067" t="str">
            <v>259140(PN1-63)</v>
          </cell>
          <cell r="C1067" t="str">
            <v>EATON</v>
          </cell>
          <cell r="D1067" t="str">
            <v>Eaton-Planned Stock Specific Customer</v>
          </cell>
        </row>
        <row r="1068">
          <cell r="A1068" t="str">
            <v>207067 (T0-1-15401/I1)</v>
          </cell>
          <cell r="B1068" t="str">
            <v>207067(T0-1-15401/I1)</v>
          </cell>
          <cell r="C1068" t="str">
            <v>EATON</v>
          </cell>
          <cell r="D1068" t="str">
            <v>Eaton-Planned Stock Specific Customer</v>
          </cell>
        </row>
        <row r="1069">
          <cell r="A1069" t="str">
            <v>ER2M12L (Thermal Overload Relays Type ER2)</v>
          </cell>
          <cell r="B1069" t="str">
            <v>ER2M12L(Thermal Overload Relays Type ER2)</v>
          </cell>
          <cell r="C1069" t="str">
            <v>EATON</v>
          </cell>
          <cell r="D1069" t="str">
            <v>Eaton-Planned Stock Specific Customer</v>
          </cell>
        </row>
        <row r="1070">
          <cell r="A1070" t="str">
            <v>ER2M18L (Thermal Overload Relays Type M18L)</v>
          </cell>
          <cell r="B1070" t="str">
            <v>ER2M18L(Thermal Overload Relays Type M18L)</v>
          </cell>
          <cell r="C1070" t="str">
            <v>EATON</v>
          </cell>
          <cell r="D1070" t="str">
            <v>Eaton-Planned Stock Specific Customer</v>
          </cell>
        </row>
        <row r="1071">
          <cell r="A1071" t="str">
            <v>Y7-63961_x000D_
 (B3.0/2-PKZ0_x000D_
)</v>
          </cell>
          <cell r="B1071" t="str">
            <v>Y7-63961_x000D_
(B3.0/2-PKZ0_x000D_
)</v>
          </cell>
          <cell r="C1071" t="str">
            <v>EATON</v>
          </cell>
          <cell r="D1071" t="str">
            <v>Eaton-Probat India</v>
          </cell>
        </row>
        <row r="1072">
          <cell r="A1072" t="str">
            <v>Y7-276424_x000D_
 (DILA-XHI04_x000D_
)</v>
          </cell>
          <cell r="B1072" t="str">
            <v>Y7-276424_x000D_
(DILA-XHI04_x000D_
)</v>
          </cell>
          <cell r="C1072" t="str">
            <v>EATON</v>
          </cell>
          <cell r="D1072" t="str">
            <v>Eaton-Probat India</v>
          </cell>
        </row>
        <row r="1073">
          <cell r="A1073" t="str">
            <v>Y7-276530 (DILA-XHIC04)</v>
          </cell>
          <cell r="B1073" t="str">
            <v>Y7-276530(DILA-XHIC04)</v>
          </cell>
          <cell r="C1073" t="str">
            <v>EATON</v>
          </cell>
          <cell r="D1073" t="str">
            <v>Eaton-Probat India</v>
          </cell>
        </row>
        <row r="1074">
          <cell r="A1074" t="str">
            <v>Y7-277004 (DILM17-10(230V50HZ,240V60HZ)_x000D_
)</v>
          </cell>
          <cell r="B1074" t="str">
            <v>Y7-277004(DILM17-10(230V50HZ,240V60HZ)_x000D_
)</v>
          </cell>
          <cell r="C1074" t="str">
            <v>EATON</v>
          </cell>
          <cell r="D1074" t="str">
            <v>Eaton-Probat India</v>
          </cell>
        </row>
        <row r="1075">
          <cell r="A1075" t="str">
            <v>Y7-199279 (DILM17-11(230V50HZ, 240V60HZ)-PI)</v>
          </cell>
          <cell r="B1075" t="str">
            <v>Y7-199279(DILM17-11(230V50HZ, 240V60HZ)-PI)</v>
          </cell>
          <cell r="C1075" t="str">
            <v>EATON</v>
          </cell>
          <cell r="D1075" t="str">
            <v>Eaton-Probat India</v>
          </cell>
        </row>
        <row r="1076">
          <cell r="A1076" t="str">
            <v>Y7-276565_x000D_
 (DILM7-10(24VDC)_x000D_
)</v>
          </cell>
          <cell r="B1076" t="str">
            <v>Y7-276565_x000D_
(DILM7-10(24VDC)_x000D_
)</v>
          </cell>
          <cell r="C1076" t="str">
            <v>EATON</v>
          </cell>
          <cell r="D1076" t="str">
            <v>Eaton-Probat India</v>
          </cell>
        </row>
        <row r="1077">
          <cell r="A1077" t="str">
            <v>276705.0 (DILM9-10(24VDC))</v>
          </cell>
          <cell r="B1077" t="str">
            <v>276705.0(DILM9-10(24VDC))</v>
          </cell>
          <cell r="C1077" t="str">
            <v>EATON</v>
          </cell>
          <cell r="D1077" t="str">
            <v>Eaton-Probat India</v>
          </cell>
        </row>
        <row r="1078">
          <cell r="A1078" t="str">
            <v>Y7-277581 (DILMC17-10(230V50HZ,240V60HZ)_x000D_
)</v>
          </cell>
          <cell r="B1078" t="str">
            <v>Y7-277581(DILMC17-10(230V50HZ,240V60HZ)_x000D_
)</v>
          </cell>
          <cell r="C1078" t="str">
            <v>EATON</v>
          </cell>
          <cell r="D1078" t="str">
            <v>Eaton-Probat India</v>
          </cell>
        </row>
        <row r="1079">
          <cell r="A1079" t="str">
            <v>Y7-277468 (DILMC9-10(24VDC)_x000D_
)</v>
          </cell>
          <cell r="B1079" t="str">
            <v>Y7-277468(DILMC9-10(24VDC)_x000D_
)</v>
          </cell>
          <cell r="C1079" t="str">
            <v>EATON</v>
          </cell>
          <cell r="D1079" t="str">
            <v>Eaton-Probat India</v>
          </cell>
        </row>
        <row r="1080">
          <cell r="A1080" t="str">
            <v>Y7-192391 (EMS2-DO-T-2,4-24VDC)</v>
          </cell>
          <cell r="B1080" t="str">
            <v>Y7-192391(EMS2-DO-T-2,4-24VDC)</v>
          </cell>
          <cell r="C1080" t="str">
            <v>EATON</v>
          </cell>
          <cell r="D1080" t="str">
            <v>Eaton-Probat India</v>
          </cell>
        </row>
        <row r="1081">
          <cell r="A1081" t="str">
            <v>Y7-278523 (FAZ-B2/1)</v>
          </cell>
          <cell r="B1081" t="str">
            <v>Y7-278523(FAZ-B2/1)</v>
          </cell>
          <cell r="C1081" t="str">
            <v>EATON</v>
          </cell>
          <cell r="D1081" t="str">
            <v>Eaton-Probat India</v>
          </cell>
        </row>
        <row r="1082">
          <cell r="A1082" t="str">
            <v>Y7-278752_x000D_
 (FAZ-C4/2_x000D_
)</v>
          </cell>
          <cell r="B1082" t="str">
            <v>Y7-278752_x000D_
(FAZ-C4/2_x000D_
)</v>
          </cell>
          <cell r="C1082" t="str">
            <v>EATON</v>
          </cell>
          <cell r="D1082" t="str">
            <v>Eaton-Probat India</v>
          </cell>
        </row>
        <row r="1083">
          <cell r="A1083" t="str">
            <v>Y7-227871 (P1-32/I2H/SVB/N)</v>
          </cell>
          <cell r="B1083" t="str">
            <v>Y7-227871(P1-32/I2H/SVB/N)</v>
          </cell>
          <cell r="C1083" t="str">
            <v>EATON</v>
          </cell>
          <cell r="D1083" t="str">
            <v>Eaton-Probat India</v>
          </cell>
        </row>
        <row r="1084">
          <cell r="A1084" t="str">
            <v>Y7-207349 (P3-63/I4/SVB/N)</v>
          </cell>
          <cell r="B1084" t="str">
            <v>Y7-207349(P3-63/I4/SVB/N)</v>
          </cell>
          <cell r="C1084" t="str">
            <v>EATON</v>
          </cell>
          <cell r="D1084" t="str">
            <v>Eaton-Probat India</v>
          </cell>
        </row>
        <row r="1085">
          <cell r="A1085" t="str">
            <v>72734.0 (PKZM0-1)</v>
          </cell>
          <cell r="B1085" t="str">
            <v>72734.0(PKZM0-1)</v>
          </cell>
          <cell r="C1085" t="str">
            <v>EATON</v>
          </cell>
          <cell r="D1085" t="str">
            <v>Eaton-Probat India</v>
          </cell>
        </row>
        <row r="1086">
          <cell r="A1086" t="str">
            <v>72735 (PKZM0-1.6)</v>
          </cell>
          <cell r="B1086" t="str">
            <v>72735(PKZM0-1.6)</v>
          </cell>
          <cell r="C1086" t="str">
            <v>EATON</v>
          </cell>
          <cell r="D1086" t="str">
            <v>Eaton-Probat India</v>
          </cell>
        </row>
        <row r="1087">
          <cell r="A1087" t="str">
            <v>Y7-46938_x000D_
 (PKZM0-16_x000D_
)</v>
          </cell>
          <cell r="B1087" t="str">
            <v>Y7-46938_x000D_
(PKZM0-16_x000D_
)</v>
          </cell>
          <cell r="C1087" t="str">
            <v>EATON</v>
          </cell>
          <cell r="D1087" t="str">
            <v>Eaton-Probat India</v>
          </cell>
        </row>
        <row r="1088">
          <cell r="A1088" t="str">
            <v>Y7-72736_x000D_
 (PKZM0-2,5_x000D_
)</v>
          </cell>
          <cell r="B1088" t="str">
            <v>Y7-72736_x000D_
(PKZM0-2,5_x000D_
)</v>
          </cell>
          <cell r="C1088" t="str">
            <v>EATON</v>
          </cell>
          <cell r="D1088" t="str">
            <v>Eaton-Probat India</v>
          </cell>
        </row>
        <row r="1089">
          <cell r="A1089" t="str">
            <v>Y7-72737 (PKZM0-4_x000D_
)</v>
          </cell>
          <cell r="B1089" t="str">
            <v>Y7-72737(PKZM0-4_x000D_
)</v>
          </cell>
          <cell r="C1089" t="str">
            <v>EATON</v>
          </cell>
          <cell r="D1089" t="str">
            <v>Eaton-Probat India</v>
          </cell>
        </row>
        <row r="1090">
          <cell r="A1090" t="str">
            <v>72738 (PKZM0-6,3)</v>
          </cell>
          <cell r="B1090" t="str">
            <v>72738(PKZM0-6,3)</v>
          </cell>
          <cell r="C1090" t="str">
            <v>EATON</v>
          </cell>
          <cell r="D1090" t="str">
            <v>Eaton-Probat India</v>
          </cell>
        </row>
        <row r="1091">
          <cell r="A1091" t="str">
            <v>Y7-53030 (TS35X7,5)</v>
          </cell>
          <cell r="B1091" t="str">
            <v>Y7-53030(TS35X7,5)</v>
          </cell>
          <cell r="C1091" t="str">
            <v>EATON</v>
          </cell>
          <cell r="D1091" t="str">
            <v>Eaton-Probat India</v>
          </cell>
        </row>
        <row r="1092">
          <cell r="A1092" t="str">
            <v>242544 ("PLSM-C20/3N_x000D_
 Y7-242544"_x000D_
)</v>
          </cell>
          <cell r="B1092" t="str">
            <v>242544("PLSM-C20/3N_x000D_
 Y7-242544"_x000D_
)</v>
          </cell>
          <cell r="C1092" t="str">
            <v>EATON</v>
          </cell>
          <cell r="D1092" t="str">
            <v>Eaton-Rinac</v>
          </cell>
        </row>
        <row r="1093">
          <cell r="A1093" t="str">
            <v>NSD4-BI (4AMP 550V AC BS88 Fuse)</v>
          </cell>
          <cell r="B1093" t="str">
            <v>NSD4-BI(4AMP 550V AC BS88 Fuse)</v>
          </cell>
          <cell r="C1093" t="str">
            <v>EATON</v>
          </cell>
          <cell r="D1093" t="str">
            <v>Eaton-Rinac</v>
          </cell>
        </row>
        <row r="1094">
          <cell r="A1094" t="str">
            <v>NSD6-BI (6AMP 550V AC BS88 Fuse)</v>
          </cell>
          <cell r="B1094" t="str">
            <v>NSD6-BI(6AMP 550V AC BS88 Fuse)</v>
          </cell>
          <cell r="C1094" t="str">
            <v>EATON</v>
          </cell>
          <cell r="D1094" t="str">
            <v>Eaton-Rinac</v>
          </cell>
        </row>
        <row r="1095">
          <cell r="A1095" t="str">
            <v>112537 (BZMB1-4-A100-AP)</v>
          </cell>
          <cell r="B1095" t="str">
            <v>112537(BZMB1-4-A100-AP)</v>
          </cell>
          <cell r="C1095" t="str">
            <v>EATON</v>
          </cell>
          <cell r="D1095" t="str">
            <v>Eaton-Rinac</v>
          </cell>
        </row>
        <row r="1096">
          <cell r="A1096" t="str">
            <v>112533 (BZMB1-4-A80-AP)</v>
          </cell>
          <cell r="B1096" t="str">
            <v>112533(BZMB1-4-A80-AP)</v>
          </cell>
          <cell r="C1096" t="str">
            <v>EATON</v>
          </cell>
          <cell r="D1096" t="str">
            <v>Eaton-Rinac</v>
          </cell>
        </row>
        <row r="1097">
          <cell r="A1097" t="str">
            <v>152381 (D LINE CONTACTORS XTCD032D11AO)</v>
          </cell>
          <cell r="B1097" t="str">
            <v>152381(D LINE CONTACTORS XTCD032D11AO)</v>
          </cell>
          <cell r="C1097" t="str">
            <v>EATON</v>
          </cell>
          <cell r="D1097" t="str">
            <v>Eaton-Rinac</v>
          </cell>
        </row>
        <row r="1098">
          <cell r="A1098" t="str">
            <v>NZM1-4-XKVI (EXTEND TERM,FP,NZM1-4-XKT)</v>
          </cell>
          <cell r="B1098" t="str">
            <v>NZM1-4-XKVI(EXTEND TERM,FP,NZM1-4-XKT)</v>
          </cell>
          <cell r="C1098" t="str">
            <v>EATON</v>
          </cell>
          <cell r="D1098" t="str">
            <v>Eaton-Rinac</v>
          </cell>
        </row>
        <row r="1099">
          <cell r="A1099" t="str">
            <v>FA20-BI (Fuse Holder 20AMP FA20)</v>
          </cell>
          <cell r="B1099" t="str">
            <v>FA20-BI(Fuse Holder 20AMP FA20)</v>
          </cell>
          <cell r="C1099" t="str">
            <v>EATON</v>
          </cell>
          <cell r="D1099" t="str">
            <v>Eaton-Rinac</v>
          </cell>
        </row>
        <row r="1100">
          <cell r="A1100" t="str">
            <v>82882.0 (NHI-E-11-PKZ0)</v>
          </cell>
          <cell r="B1100" t="str">
            <v>82882.0(NHI-E-11-PKZ0)</v>
          </cell>
          <cell r="C1100" t="str">
            <v>EATON</v>
          </cell>
          <cell r="D1100" t="str">
            <v>Eaton-Rinac</v>
          </cell>
        </row>
        <row r="1101">
          <cell r="A1101" t="str">
            <v>NZM2-4-XKVI (NZM2-4-XKT)</v>
          </cell>
          <cell r="B1101" t="str">
            <v>NZM2-4-XKVI(NZM2-4-XKT)</v>
          </cell>
          <cell r="C1101" t="str">
            <v>EATON</v>
          </cell>
          <cell r="D1101" t="str">
            <v>Eaton-Rinac</v>
          </cell>
        </row>
        <row r="1102">
          <cell r="A1102" t="str">
            <v>265809 (NZMB1-4-A125)</v>
          </cell>
          <cell r="B1102" t="str">
            <v>265809(NZMB1-4-A125)</v>
          </cell>
          <cell r="C1102" t="str">
            <v>EATON</v>
          </cell>
          <cell r="D1102" t="str">
            <v>Eaton-Rinac</v>
          </cell>
        </row>
        <row r="1103">
          <cell r="A1103" t="str">
            <v>281243 (NZMB1-4-A160)</v>
          </cell>
          <cell r="B1103" t="str">
            <v>281243(NZMB1-4-A160)</v>
          </cell>
          <cell r="C1103" t="str">
            <v>EATON</v>
          </cell>
          <cell r="D1103" t="str">
            <v>Eaton-Rinac</v>
          </cell>
        </row>
        <row r="1104">
          <cell r="A1104" t="str">
            <v>Y7-265852 (NZMB2-4-A200_x000D_
)</v>
          </cell>
          <cell r="B1104" t="str">
            <v>Y7-265852(NZMB2-4-A200_x000D_
)</v>
          </cell>
          <cell r="C1104" t="str">
            <v>EATON</v>
          </cell>
          <cell r="D1104" t="str">
            <v>Eaton-Rinac</v>
          </cell>
        </row>
        <row r="1105">
          <cell r="A1105" t="str">
            <v>278478 (PKZM01-0,63)</v>
          </cell>
          <cell r="B1105" t="str">
            <v>278478(PKZM01-0,63)</v>
          </cell>
          <cell r="C1105" t="str">
            <v>EATON</v>
          </cell>
          <cell r="D1105" t="str">
            <v>Eaton-Rinac</v>
          </cell>
        </row>
        <row r="1106">
          <cell r="A1106" t="str">
            <v>Y7-278479 (PKZM01-1)</v>
          </cell>
          <cell r="B1106" t="str">
            <v>Y7-278479(PKZM01-1)</v>
          </cell>
          <cell r="C1106" t="str">
            <v>EATON</v>
          </cell>
          <cell r="D1106" t="str">
            <v>Eaton-Rinac</v>
          </cell>
        </row>
        <row r="1107">
          <cell r="A1107" t="str">
            <v>278484 (PKZM01-10)</v>
          </cell>
          <cell r="B1107" t="str">
            <v>278484(PKZM01-10)</v>
          </cell>
          <cell r="C1107" t="str">
            <v>EATON</v>
          </cell>
          <cell r="D1107" t="str">
            <v>Eaton-Rinac</v>
          </cell>
        </row>
        <row r="1108">
          <cell r="A1108" t="str">
            <v>278485 (PKZM01-12)</v>
          </cell>
          <cell r="B1108" t="str">
            <v>278485(PKZM01-12)</v>
          </cell>
          <cell r="C1108" t="str">
            <v>EATON</v>
          </cell>
          <cell r="D1108" t="str">
            <v>Eaton-Rinac</v>
          </cell>
        </row>
        <row r="1109">
          <cell r="A1109" t="str">
            <v>278480 (PKZM01-1,6)</v>
          </cell>
          <cell r="B1109" t="str">
            <v>278480(PKZM01-1,6)</v>
          </cell>
          <cell r="C1109" t="str">
            <v>EATON</v>
          </cell>
          <cell r="D1109" t="str">
            <v>Eaton-Rinac</v>
          </cell>
        </row>
        <row r="1110">
          <cell r="A1110" t="str">
            <v>Y7-283390_x000D_
 (PKZM01-16A_x000D_
)</v>
          </cell>
          <cell r="B1110" t="str">
            <v>Y7-283390_x000D_
(PKZM01-16A_x000D_
)</v>
          </cell>
          <cell r="C1110" t="str">
            <v>EATON</v>
          </cell>
          <cell r="D1110" t="str">
            <v>Eaton-Rinac</v>
          </cell>
        </row>
        <row r="1111">
          <cell r="A1111" t="str">
            <v>283383 (PKZM01-20)</v>
          </cell>
          <cell r="B1111" t="str">
            <v>283383(PKZM01-20)</v>
          </cell>
          <cell r="C1111" t="str">
            <v>EATON</v>
          </cell>
          <cell r="D1111" t="str">
            <v>Eaton-Rinac</v>
          </cell>
        </row>
        <row r="1112">
          <cell r="A1112" t="str">
            <v>278481 (PKZM01-2,5)</v>
          </cell>
          <cell r="B1112" t="str">
            <v>278481(PKZM01-2,5)</v>
          </cell>
          <cell r="C1112" t="str">
            <v>EATON</v>
          </cell>
          <cell r="D1112" t="str">
            <v>Eaton-Rinac</v>
          </cell>
        </row>
        <row r="1113">
          <cell r="A1113" t="str">
            <v>Y7-288893 (PKZM01-25_x000D_
)</v>
          </cell>
          <cell r="B1113" t="str">
            <v>Y7-288893(PKZM01-25_x000D_
)</v>
          </cell>
          <cell r="C1113" t="str">
            <v>EATON</v>
          </cell>
          <cell r="D1113" t="str">
            <v>Eaton-Rinac</v>
          </cell>
        </row>
        <row r="1114">
          <cell r="A1114" t="str">
            <v>278482 (PKZM01-4)</v>
          </cell>
          <cell r="B1114" t="str">
            <v>278482(PKZM01-4)</v>
          </cell>
          <cell r="C1114" t="str">
            <v>EATON</v>
          </cell>
          <cell r="D1114" t="str">
            <v>Eaton-Rinac</v>
          </cell>
        </row>
        <row r="1115">
          <cell r="A1115" t="str">
            <v>Y7-278483 (PKZM01-6,3_x000D_
)</v>
          </cell>
          <cell r="B1115" t="str">
            <v>Y7-278483(PKZM01-6,3_x000D_
)</v>
          </cell>
          <cell r="C1115" t="str">
            <v>EATON</v>
          </cell>
          <cell r="D1115" t="str">
            <v>Eaton-Rinac</v>
          </cell>
        </row>
        <row r="1116">
          <cell r="A1116" t="str">
            <v>Y7-222353 (PKZM4-32_x000D_
)</v>
          </cell>
          <cell r="B1116" t="str">
            <v>Y7-222353(PKZM4-32_x000D_
)</v>
          </cell>
          <cell r="C1116" t="str">
            <v>EATON</v>
          </cell>
          <cell r="D1116" t="str">
            <v>Eaton-Rinac</v>
          </cell>
        </row>
        <row r="1117">
          <cell r="A1117" t="str">
            <v>Y7-222354 (PKZM4-40_x000D_
)</v>
          </cell>
          <cell r="B1117" t="str">
            <v>Y7-222354(PKZM4-40_x000D_
)</v>
          </cell>
          <cell r="C1117" t="str">
            <v>EATON</v>
          </cell>
          <cell r="D1117" t="str">
            <v>Eaton-Rinac</v>
          </cell>
        </row>
        <row r="1118">
          <cell r="A1118" t="str">
            <v>Y7-222355 (PKZM4-50)</v>
          </cell>
          <cell r="B1118" t="str">
            <v>Y7-222355(PKZM4-50)</v>
          </cell>
          <cell r="C1118" t="str">
            <v>EATON</v>
          </cell>
          <cell r="D1118" t="str">
            <v>Eaton-Rinac</v>
          </cell>
        </row>
        <row r="1119">
          <cell r="A1119" t="str">
            <v>EIN-810149 (PLSI-C10/2-GI)</v>
          </cell>
          <cell r="B1119" t="str">
            <v>EIN-810149(PLSI-C10/2-GI)</v>
          </cell>
          <cell r="C1119" t="str">
            <v>EATON</v>
          </cell>
          <cell r="D1119" t="str">
            <v>Eaton-Rinac</v>
          </cell>
        </row>
        <row r="1120">
          <cell r="A1120" t="str">
            <v>EIN-810165 (PLSI-C10/4-GI)</v>
          </cell>
          <cell r="B1120" t="str">
            <v>EIN-810165(PLSI-C10/4-GI)</v>
          </cell>
          <cell r="C1120" t="str">
            <v>EATON</v>
          </cell>
          <cell r="D1120" t="str">
            <v>Eaton-Rinac</v>
          </cell>
        </row>
        <row r="1121">
          <cell r="A1121" t="str">
            <v>EIN-810141 (PLSI-C10-GI)</v>
          </cell>
          <cell r="B1121" t="str">
            <v>EIN-810141(PLSI-C10-GI)</v>
          </cell>
          <cell r="C1121" t="str">
            <v>EATON</v>
          </cell>
          <cell r="D1121" t="str">
            <v>Eaton-Rinac</v>
          </cell>
        </row>
        <row r="1122">
          <cell r="A1122" t="str">
            <v>EIN-810150 (PLSI-C16/2-GI)</v>
          </cell>
          <cell r="B1122" t="str">
            <v>EIN-810150(PLSI-C16/2-GI)</v>
          </cell>
          <cell r="C1122" t="str">
            <v>EATON</v>
          </cell>
          <cell r="D1122" t="str">
            <v>Eaton-Rinac</v>
          </cell>
        </row>
        <row r="1123">
          <cell r="A1123" t="str">
            <v>EIN-810158 (PLSI-C16/3-GI)</v>
          </cell>
          <cell r="B1123" t="str">
            <v>EIN-810158(PLSI-C16/3-GI)</v>
          </cell>
          <cell r="C1123" t="str">
            <v>EATON</v>
          </cell>
          <cell r="D1123" t="str">
            <v>Eaton-Rinac</v>
          </cell>
        </row>
        <row r="1124">
          <cell r="A1124" t="str">
            <v>EIN-810142 (PLSI-C16/GI)</v>
          </cell>
          <cell r="B1124" t="str">
            <v>EIN-810142(PLSI-C16/GI)</v>
          </cell>
          <cell r="C1124" t="str">
            <v>EATON</v>
          </cell>
          <cell r="D1124" t="str">
            <v>Eaton-Rinac</v>
          </cell>
        </row>
        <row r="1125">
          <cell r="A1125" t="str">
            <v>EIN-810151 (PLSI-C20/2-GI)</v>
          </cell>
          <cell r="B1125" t="str">
            <v>EIN-810151(PLSI-C20/2-GI)</v>
          </cell>
          <cell r="C1125" t="str">
            <v>EATON</v>
          </cell>
          <cell r="D1125" t="str">
            <v>Eaton-Rinac</v>
          </cell>
        </row>
        <row r="1126">
          <cell r="A1126" t="str">
            <v>EIN-810167 (PLSI-C20/4-GI)</v>
          </cell>
          <cell r="B1126" t="str">
            <v>EIN-810167(PLSI-C20/4-GI)</v>
          </cell>
          <cell r="C1126" t="str">
            <v>EATON</v>
          </cell>
          <cell r="D1126" t="str">
            <v>Eaton-Rinac</v>
          </cell>
        </row>
        <row r="1127">
          <cell r="A1127" t="str">
            <v>EIN-810152 (PLSI-C25/2-GI)</v>
          </cell>
          <cell r="B1127" t="str">
            <v>EIN-810152(PLSI-C25/2-GI)</v>
          </cell>
          <cell r="C1127" t="str">
            <v>EATON</v>
          </cell>
          <cell r="D1127" t="str">
            <v>Eaton-Rinac</v>
          </cell>
        </row>
        <row r="1128">
          <cell r="A1128" t="str">
            <v>810168 (PLSI-C25/4-GI)</v>
          </cell>
          <cell r="B1128" t="str">
            <v>810168(PLSI-C25/4-GI)</v>
          </cell>
          <cell r="C1128" t="str">
            <v>EATON</v>
          </cell>
          <cell r="D1128" t="str">
            <v>Eaton-Rinac</v>
          </cell>
        </row>
        <row r="1129">
          <cell r="A1129" t="str">
            <v>EIN-810153 (PLSI-C32/2-GI)</v>
          </cell>
          <cell r="B1129" t="str">
            <v>EIN-810153(PLSI-C32/2-GI)</v>
          </cell>
          <cell r="C1129" t="str">
            <v>EATON</v>
          </cell>
          <cell r="D1129" t="str">
            <v>Eaton-Rinac</v>
          </cell>
        </row>
        <row r="1130">
          <cell r="A1130" t="str">
            <v>EIN-810169 (PLSI-C32/4-GI)</v>
          </cell>
          <cell r="B1130" t="str">
            <v>EIN-810169(PLSI-C32/4-GI)</v>
          </cell>
          <cell r="C1130" t="str">
            <v>EATON</v>
          </cell>
          <cell r="D1130" t="str">
            <v>Eaton-Rinac</v>
          </cell>
        </row>
        <row r="1131">
          <cell r="A1131" t="str">
            <v>EIN-810154 (PLSI-C40/2-GI)</v>
          </cell>
          <cell r="B1131" t="str">
            <v>EIN-810154(PLSI-C40/2-GI)</v>
          </cell>
          <cell r="C1131" t="str">
            <v>EATON</v>
          </cell>
          <cell r="D1131" t="str">
            <v>Eaton-Rinac</v>
          </cell>
        </row>
        <row r="1132">
          <cell r="A1132" t="str">
            <v>EIN-810170 (PLSI-C40/4-GI)</v>
          </cell>
          <cell r="B1132" t="str">
            <v>EIN-810170(PLSI-C40/4-GI)</v>
          </cell>
          <cell r="C1132" t="str">
            <v>EATON</v>
          </cell>
          <cell r="D1132" t="str">
            <v>Eaton-Rinac</v>
          </cell>
        </row>
        <row r="1133">
          <cell r="A1133" t="str">
            <v>EIN-810148 (PLSI-C6/2-GI)</v>
          </cell>
          <cell r="B1133" t="str">
            <v>EIN-810148(PLSI-C6/2-GI)</v>
          </cell>
          <cell r="C1133" t="str">
            <v>EATON</v>
          </cell>
          <cell r="D1133" t="str">
            <v>Eaton-Rinac</v>
          </cell>
        </row>
        <row r="1134">
          <cell r="A1134" t="str">
            <v>EIN-810171_x000D_
 (PLSI-C63/4-GI_x000D_
)</v>
          </cell>
          <cell r="B1134" t="str">
            <v>EIN-810171_x000D_
(PLSI-C63/4-GI_x000D_
)</v>
          </cell>
          <cell r="C1134" t="str">
            <v>EATON</v>
          </cell>
          <cell r="D1134" t="str">
            <v>Eaton-Rinac</v>
          </cell>
        </row>
        <row r="1135">
          <cell r="A1135" t="str">
            <v>EIN-810164 (PLSI-C6/4-GI)</v>
          </cell>
          <cell r="B1135" t="str">
            <v>EIN-810164(PLSI-C6/4-GI)</v>
          </cell>
          <cell r="C1135" t="str">
            <v>EATON</v>
          </cell>
          <cell r="D1135" t="str">
            <v>Eaton-Rinac</v>
          </cell>
        </row>
        <row r="1136">
          <cell r="A1136" t="str">
            <v>EIN-810140 (PLSI-C6-GI)</v>
          </cell>
          <cell r="B1136" t="str">
            <v>EIN-810140(PLSI-C6-GI)</v>
          </cell>
          <cell r="C1136" t="str">
            <v>EATON</v>
          </cell>
          <cell r="D1136" t="str">
            <v>Eaton-Rinac</v>
          </cell>
        </row>
        <row r="1137">
          <cell r="A1137" t="str">
            <v>Y7-106318 (PLSM-C10/1N-EI_x000D_
)</v>
          </cell>
          <cell r="B1137" t="str">
            <v>Y7-106318(PLSM-C10/1N-EI_x000D_
)</v>
          </cell>
          <cell r="C1137" t="str">
            <v>EATON</v>
          </cell>
          <cell r="D1137" t="str">
            <v>Eaton-Rinac</v>
          </cell>
        </row>
        <row r="1138">
          <cell r="A1138" t="str">
            <v>Y7-242539 (PLSM-C10/3N-MW_x000D_
)</v>
          </cell>
          <cell r="B1138" t="str">
            <v>Y7-242539(PLSM-C10/3N-MW_x000D_
)</v>
          </cell>
          <cell r="C1138" t="str">
            <v>EATON</v>
          </cell>
          <cell r="D1138" t="str">
            <v>Eaton-Rinac</v>
          </cell>
        </row>
        <row r="1139">
          <cell r="A1139" t="str">
            <v>242608 (PLSM-C10/4)</v>
          </cell>
          <cell r="B1139" t="str">
            <v>242608(PLSM-C10/4)</v>
          </cell>
          <cell r="C1139" t="str">
            <v>EATON</v>
          </cell>
          <cell r="D1139" t="str">
            <v>Eaton-Rinac</v>
          </cell>
        </row>
        <row r="1140">
          <cell r="A1140" t="str">
            <v>Y7-106319 (PLSM-C16/1N-EI)</v>
          </cell>
          <cell r="B1140" t="str">
            <v>Y7-106319(PLSM-C16/1N-EI)</v>
          </cell>
          <cell r="C1140" t="str">
            <v>EATON</v>
          </cell>
          <cell r="D1140" t="str">
            <v>Eaton-Rinac</v>
          </cell>
        </row>
        <row r="1141">
          <cell r="A1141" t="str">
            <v>Y7-242474 (PLSM-C16/3-MW_x000D_
)</v>
          </cell>
          <cell r="B1141" t="str">
            <v>Y7-242474(PLSM-C16/3-MW_x000D_
)</v>
          </cell>
          <cell r="C1141" t="str">
            <v>EATON</v>
          </cell>
          <cell r="D1141" t="str">
            <v>Eaton-Rinac</v>
          </cell>
        </row>
        <row r="1142">
          <cell r="A1142" t="str">
            <v>Y7-182631 (PLSM-C16/3N-EI)</v>
          </cell>
          <cell r="B1142" t="str">
            <v>Y7-182631(PLSM-C16/3N-EI)</v>
          </cell>
          <cell r="C1142" t="str">
            <v>EATON</v>
          </cell>
          <cell r="D1142" t="str">
            <v>Eaton-Rinac</v>
          </cell>
        </row>
        <row r="1143">
          <cell r="A1143" t="str">
            <v>Y7-242543 (PLSM-C16/3N-MW)</v>
          </cell>
          <cell r="B1143" t="str">
            <v>Y7-242543(PLSM-C16/3N-MW)</v>
          </cell>
          <cell r="C1143" t="str">
            <v>EATON</v>
          </cell>
          <cell r="D1143" t="str">
            <v>Eaton-Rinac</v>
          </cell>
        </row>
        <row r="1144">
          <cell r="A1144" t="str">
            <v>EIN-810166 (PLSM-C16/4-GI)</v>
          </cell>
          <cell r="B1144" t="str">
            <v>EIN-810166(PLSM-C16/4-GI)</v>
          </cell>
          <cell r="C1144" t="str">
            <v>EATON</v>
          </cell>
          <cell r="D1144" t="str">
            <v>Eaton-Rinac</v>
          </cell>
        </row>
        <row r="1145">
          <cell r="A1145" t="str">
            <v>Y7-242206_x000D_
 (PLSM-C16-MW_x000D_
)</v>
          </cell>
          <cell r="B1145" t="str">
            <v>Y7-242206_x000D_
(PLSM-C16-MW_x000D_
)</v>
          </cell>
          <cell r="C1145" t="str">
            <v>EATON</v>
          </cell>
          <cell r="D1145" t="str">
            <v>Eaton-Rinac</v>
          </cell>
        </row>
        <row r="1146">
          <cell r="A1146" t="str">
            <v>Y7-106320 (PLSM-C20/1N-EI_x000D_
)</v>
          </cell>
          <cell r="B1146" t="str">
            <v>Y7-106320(PLSM-C20/1N-EI_x000D_
)</v>
          </cell>
          <cell r="C1146" t="str">
            <v>EATON</v>
          </cell>
          <cell r="D1146" t="str">
            <v>Eaton-Rinac</v>
          </cell>
        </row>
        <row r="1147">
          <cell r="A1147" t="str">
            <v>Y7-242475 (PLSM-C20/3-MW_x000D_
)</v>
          </cell>
          <cell r="B1147" t="str">
            <v>Y7-242475(PLSM-C20/3-MW_x000D_
)</v>
          </cell>
          <cell r="C1147" t="str">
            <v>EATON</v>
          </cell>
          <cell r="D1147" t="str">
            <v>Eaton-Rinac</v>
          </cell>
        </row>
        <row r="1148">
          <cell r="A1148" t="str">
            <v>Y7-242544 (PLSM-C20/3N-MW)</v>
          </cell>
          <cell r="B1148" t="str">
            <v>Y7-242544(PLSM-C20/3N-MW)</v>
          </cell>
          <cell r="C1148" t="str">
            <v>EATON</v>
          </cell>
          <cell r="D1148" t="str">
            <v>Eaton-Rinac</v>
          </cell>
        </row>
        <row r="1149">
          <cell r="A1149" t="str">
            <v>Y7-106321 (PLSM-C25/1N-E1)</v>
          </cell>
          <cell r="B1149" t="str">
            <v>Y7-106321(PLSM-C25/1N-E1)</v>
          </cell>
          <cell r="C1149" t="str">
            <v>EATON</v>
          </cell>
          <cell r="D1149" t="str">
            <v>Eaton-Rinac</v>
          </cell>
        </row>
        <row r="1150">
          <cell r="A1150" t="str">
            <v>Y7-242545 (PLSM-C25/3N-MW_x000D_
)</v>
          </cell>
          <cell r="B1150" t="str">
            <v>Y7-242545(PLSM-C25/3N-MW_x000D_
)</v>
          </cell>
          <cell r="C1150" t="str">
            <v>EATON</v>
          </cell>
          <cell r="D1150" t="str">
            <v>Eaton-Rinac</v>
          </cell>
        </row>
        <row r="1151">
          <cell r="A1151" t="str">
            <v>Y7-242614 (Plsm-C25/4-Mw)</v>
          </cell>
          <cell r="B1151" t="str">
            <v>Y7-242614(Plsm-C25/4-Mw)</v>
          </cell>
          <cell r="C1151" t="str">
            <v>EATON</v>
          </cell>
          <cell r="D1151" t="str">
            <v>Eaton-Rinac</v>
          </cell>
        </row>
        <row r="1152">
          <cell r="A1152" t="str">
            <v>Y7-106322 (PLSM-C32/1N-EI)</v>
          </cell>
          <cell r="B1152" t="str">
            <v>Y7-106322(PLSM-C32/1N-EI)</v>
          </cell>
          <cell r="C1152" t="str">
            <v>EATON</v>
          </cell>
          <cell r="D1152" t="str">
            <v>Eaton-Rinac</v>
          </cell>
        </row>
        <row r="1153">
          <cell r="A1153" t="str">
            <v>Y7-242546 (PLSM-C32/3N-MW)</v>
          </cell>
          <cell r="B1153" t="str">
            <v>Y7-242546(PLSM-C32/3N-MW)</v>
          </cell>
          <cell r="C1153" t="str">
            <v>EATON</v>
          </cell>
          <cell r="D1153" t="str">
            <v>Eaton-Rinac</v>
          </cell>
        </row>
        <row r="1154">
          <cell r="A1154" t="str">
            <v>242615 (PLSM-C32/4)</v>
          </cell>
          <cell r="B1154" t="str">
            <v>242615(PLSM-C32/4)</v>
          </cell>
          <cell r="C1154" t="str">
            <v>EATON</v>
          </cell>
          <cell r="D1154" t="str">
            <v>Eaton-Rinac</v>
          </cell>
        </row>
        <row r="1155">
          <cell r="A1155" t="str">
            <v>Y7-242547 (PLSM-C40/3N-MW)</v>
          </cell>
          <cell r="B1155" t="str">
            <v>Y7-242547(PLSM-C40/3N-MW)</v>
          </cell>
          <cell r="C1155" t="str">
            <v>EATON</v>
          </cell>
          <cell r="D1155" t="str">
            <v>Eaton-Rinac</v>
          </cell>
        </row>
        <row r="1156">
          <cell r="A1156" t="str">
            <v>y7-242397_x000D_
 (PLSM-C4/2-MW_x000D_
)</v>
          </cell>
          <cell r="B1156" t="str">
            <v>y7-242397_x000D_
(PLSM-C4/2-MW_x000D_
)</v>
          </cell>
          <cell r="C1156" t="str">
            <v>EATON</v>
          </cell>
          <cell r="D1156" t="str">
            <v>Eaton-Rinac</v>
          </cell>
        </row>
        <row r="1157">
          <cell r="A1157" t="str">
            <v>Y7-182636 (PLSM-C50/3N-E1)</v>
          </cell>
          <cell r="B1157" t="str">
            <v>Y7-182636(PLSM-C50/3N-E1)</v>
          </cell>
          <cell r="C1157" t="str">
            <v>EATON</v>
          </cell>
          <cell r="D1157" t="str">
            <v>Eaton-Rinac</v>
          </cell>
        </row>
        <row r="1158">
          <cell r="A1158" t="str">
            <v>Y7-242548 (PLSM-C50/3N-MW_x000D_
)</v>
          </cell>
          <cell r="B1158" t="str">
            <v>Y7-242548(PLSM-C50/3N-MW_x000D_
)</v>
          </cell>
          <cell r="C1158" t="str">
            <v>EATON</v>
          </cell>
          <cell r="D1158" t="str">
            <v>Eaton-Rinac</v>
          </cell>
        </row>
        <row r="1159">
          <cell r="A1159" t="str">
            <v>Y7-242199 (PLSM-C5-MW_x000D_
)</v>
          </cell>
          <cell r="B1159" t="str">
            <v>Y7-242199(PLSM-C5-MW_x000D_
)</v>
          </cell>
          <cell r="C1159" t="str">
            <v>EATON</v>
          </cell>
          <cell r="D1159" t="str">
            <v>Eaton-Rinac</v>
          </cell>
        </row>
        <row r="1160">
          <cell r="A1160" t="str">
            <v>Y7-106317 (PLSM-C6/1N-EI_x000D_
)</v>
          </cell>
          <cell r="B1160" t="str">
            <v>Y7-106317(PLSM-C6/1N-EI_x000D_
)</v>
          </cell>
          <cell r="C1160" t="str">
            <v>EATON</v>
          </cell>
          <cell r="D1160" t="str">
            <v>Eaton-Rinac</v>
          </cell>
        </row>
        <row r="1161">
          <cell r="A1161" t="str">
            <v>Y7-242399 (PLSM-C6/2-MW_x000D_
)</v>
          </cell>
          <cell r="B1161" t="str">
            <v>Y7-242399(PLSM-C6/2-MW_x000D_
)</v>
          </cell>
          <cell r="C1161" t="str">
            <v>EATON</v>
          </cell>
          <cell r="D1161" t="str">
            <v>Eaton-Rinac</v>
          </cell>
        </row>
        <row r="1162">
          <cell r="A1162" t="str">
            <v>Y7-242549 (PLSM-C63/3N-MW)</v>
          </cell>
          <cell r="B1162" t="str">
            <v>Y7-242549(PLSM-C63/3N-MW)</v>
          </cell>
          <cell r="C1162" t="str">
            <v>EATON</v>
          </cell>
          <cell r="D1162" t="str">
            <v>Eaton-Rinac</v>
          </cell>
        </row>
        <row r="1163">
          <cell r="A1163" t="str">
            <v>Y7-242537 (PLSM-C6/3N-MW_x000D_
)</v>
          </cell>
          <cell r="B1163" t="str">
            <v>Y7-242537(PLSM-C6/3N-MW_x000D_
)</v>
          </cell>
          <cell r="C1163" t="str">
            <v>EATON</v>
          </cell>
          <cell r="D1163" t="str">
            <v>Eaton-Rinac</v>
          </cell>
        </row>
        <row r="1164">
          <cell r="A1164" t="str">
            <v>242198 (PLSM‐C4 4A SP C Curve 10kA MCB)</v>
          </cell>
          <cell r="B1164" t="str">
            <v>242198(PLSM‐C4 4A SP C Curve 10kA MCB)</v>
          </cell>
          <cell r="C1164" t="str">
            <v>EATON</v>
          </cell>
          <cell r="D1164" t="str">
            <v>Eaton-Rinac</v>
          </cell>
        </row>
        <row r="1165">
          <cell r="A1165" t="str">
            <v>242549 (PLSM‐C63/3N 63A TPN C Currve 10kA MCB)</v>
          </cell>
          <cell r="B1165" t="str">
            <v>242549(PLSM‐C63/3N 63A TPN C Currve 10kA MCB)</v>
          </cell>
          <cell r="C1165" t="str">
            <v>EATON</v>
          </cell>
          <cell r="D1165" t="str">
            <v>Eaton-Rinac</v>
          </cell>
        </row>
        <row r="1166">
          <cell r="A1166" t="str">
            <v>152318 (XTCD007B10AO1 D LINE CONTACTORS)</v>
          </cell>
          <cell r="B1166" t="str">
            <v>152318(XTCD007B10AO1 D LINE CONTACTORS)</v>
          </cell>
          <cell r="C1166" t="str">
            <v>EATON</v>
          </cell>
          <cell r="D1166" t="str">
            <v>Eaton-Rinac</v>
          </cell>
        </row>
        <row r="1167">
          <cell r="A1167" t="str">
            <v>CMD00505 (XTCD007B10AOI)</v>
          </cell>
          <cell r="B1167" t="str">
            <v>CMD00505(XTCD007B10AOI)</v>
          </cell>
          <cell r="C1167" t="str">
            <v>EATON</v>
          </cell>
          <cell r="D1167" t="str">
            <v>Eaton-Rinac</v>
          </cell>
        </row>
        <row r="1168">
          <cell r="A1168" t="str">
            <v>152323 (XTCD007B10E2I)</v>
          </cell>
          <cell r="B1168" t="str">
            <v>152323(XTCD007B10E2I)</v>
          </cell>
          <cell r="C1168" t="str">
            <v>EATON</v>
          </cell>
          <cell r="D1168" t="str">
            <v>Eaton-Rinac</v>
          </cell>
        </row>
        <row r="1169">
          <cell r="A1169" t="str">
            <v>Y7-152331 (XTCD009B01H2)</v>
          </cell>
          <cell r="B1169" t="str">
            <v>Y7-152331(XTCD009B01H2)</v>
          </cell>
          <cell r="C1169" t="str">
            <v>EATON</v>
          </cell>
          <cell r="D1169" t="str">
            <v>Eaton-Rinac</v>
          </cell>
        </row>
        <row r="1170">
          <cell r="A1170" t="str">
            <v>152338 (XTCD009B10)</v>
          </cell>
          <cell r="B1170" t="str">
            <v>152338(XTCD009B10)</v>
          </cell>
          <cell r="C1170" t="str">
            <v>EATON</v>
          </cell>
          <cell r="D1170" t="str">
            <v>Eaton-Rinac</v>
          </cell>
        </row>
        <row r="1171">
          <cell r="A1171" t="str">
            <v>152332 (XTCD009B10AO D LINE CONTACTORS)</v>
          </cell>
          <cell r="B1171" t="str">
            <v>152332(XTCD009B10AO D LINE CONTACTORS)</v>
          </cell>
          <cell r="C1171" t="str">
            <v>EATON</v>
          </cell>
          <cell r="D1171" t="str">
            <v>Eaton-Rinac</v>
          </cell>
        </row>
        <row r="1172">
          <cell r="A1172" t="str">
            <v>CMD00513 (XTCD009B10AOI)</v>
          </cell>
          <cell r="B1172" t="str">
            <v>CMD00513(XTCD009B10AOI)</v>
          </cell>
          <cell r="C1172" t="str">
            <v>EATON</v>
          </cell>
          <cell r="D1172" t="str">
            <v>Eaton-Rinac</v>
          </cell>
        </row>
        <row r="1173">
          <cell r="A1173" t="str">
            <v>152346 (XTCD012B10A0)</v>
          </cell>
          <cell r="B1173" t="str">
            <v>152346(XTCD012B10A0)</v>
          </cell>
          <cell r="C1173" t="str">
            <v>EATON</v>
          </cell>
          <cell r="D1173" t="str">
            <v>Eaton-Rinac</v>
          </cell>
        </row>
        <row r="1174">
          <cell r="A1174" t="str">
            <v>CMD00521 (XTCD012B10AOI)</v>
          </cell>
          <cell r="B1174" t="str">
            <v>CMD00521(XTCD012B10AOI)</v>
          </cell>
          <cell r="C1174" t="str">
            <v>EATON</v>
          </cell>
          <cell r="D1174" t="str">
            <v>Eaton-Rinac</v>
          </cell>
        </row>
        <row r="1175">
          <cell r="A1175" t="str">
            <v>152365 (XTCD016B10E2I)</v>
          </cell>
          <cell r="B1175" t="str">
            <v>152365(XTCD016B10E2I)</v>
          </cell>
          <cell r="C1175" t="str">
            <v>EATON</v>
          </cell>
          <cell r="D1175" t="str">
            <v>Eaton-Rinac</v>
          </cell>
        </row>
        <row r="1176">
          <cell r="A1176" t="str">
            <v>152367 (XTCD022C11AO D LINE CONTACTORS)</v>
          </cell>
          <cell r="B1176" t="str">
            <v>152367(XTCD022C11AO D LINE CONTACTORS)</v>
          </cell>
          <cell r="C1176" t="str">
            <v>EATON</v>
          </cell>
          <cell r="D1176" t="str">
            <v>Eaton-Rinac</v>
          </cell>
        </row>
        <row r="1177">
          <cell r="A1177" t="str">
            <v>152374 (XTCD026C11AOI D LINE CONTACTORS)</v>
          </cell>
          <cell r="B1177" t="str">
            <v>152374(XTCD026C11AOI D LINE CONTACTORS)</v>
          </cell>
          <cell r="C1177" t="str">
            <v>EATON</v>
          </cell>
          <cell r="D1177" t="str">
            <v>Eaton-Rinac</v>
          </cell>
        </row>
        <row r="1178">
          <cell r="A1178" t="str">
            <v>152379 (XTCD026C11E2I)</v>
          </cell>
          <cell r="B1178" t="str">
            <v>152379(XTCD026C11E2I)</v>
          </cell>
          <cell r="C1178" t="str">
            <v>EATON</v>
          </cell>
          <cell r="D1178" t="str">
            <v>Eaton-Rinac</v>
          </cell>
        </row>
        <row r="1179">
          <cell r="A1179" t="str">
            <v>152388 (XTCD038E11AOI)</v>
          </cell>
          <cell r="B1179" t="str">
            <v>152388(XTCD038E11AOI)</v>
          </cell>
          <cell r="C1179" t="str">
            <v>EATON</v>
          </cell>
          <cell r="D1179" t="str">
            <v>Eaton-Rinac</v>
          </cell>
        </row>
        <row r="1180">
          <cell r="A1180" t="str">
            <v>152395 (XTCD040F11AO D LINE CONTACTORS)</v>
          </cell>
          <cell r="B1180" t="str">
            <v>152395(XTCD040F11AO D LINE CONTACTORS)</v>
          </cell>
          <cell r="C1180" t="str">
            <v>EATON</v>
          </cell>
          <cell r="D1180" t="str">
            <v>Eaton-Rinac</v>
          </cell>
        </row>
        <row r="1181">
          <cell r="A1181" t="str">
            <v>CMD00561 (XTCD040F11AOI)</v>
          </cell>
          <cell r="B1181" t="str">
            <v>CMD00561(XTCD040F11AOI)</v>
          </cell>
          <cell r="C1181" t="str">
            <v>EATON</v>
          </cell>
          <cell r="D1181" t="str">
            <v>Eaton-Rinac</v>
          </cell>
        </row>
        <row r="1182">
          <cell r="A1182" t="str">
            <v>152402 (XTCD055G22AO D LINE DONTACTORS)</v>
          </cell>
          <cell r="B1182" t="str">
            <v>152402(XTCD055G22AO D LINE DONTACTORS)</v>
          </cell>
          <cell r="C1182" t="str">
            <v>EATON</v>
          </cell>
          <cell r="D1182" t="str">
            <v>Eaton-Rinac</v>
          </cell>
        </row>
        <row r="1183">
          <cell r="A1183" t="str">
            <v>152409 (XTCD065G22A0)</v>
          </cell>
          <cell r="B1183" t="str">
            <v>152409(XTCD065G22A0)</v>
          </cell>
          <cell r="C1183" t="str">
            <v>EATON</v>
          </cell>
          <cell r="D1183" t="str">
            <v>Eaton-Rinac</v>
          </cell>
        </row>
        <row r="1184">
          <cell r="A1184" t="str">
            <v>CMD00519 (XTCD12-11 (110V50/ 60Hz))</v>
          </cell>
          <cell r="B1184" t="str">
            <v>CMD00519(XTCD12-11 (110V50/ 60Hz))</v>
          </cell>
          <cell r="C1184" t="str">
            <v>EATON</v>
          </cell>
          <cell r="D1184" t="str">
            <v>Eaton-Rinac</v>
          </cell>
        </row>
        <row r="1185">
          <cell r="A1185" t="str">
            <v>CMD00520 (XTCD12-11 220V 50/60Hz)</v>
          </cell>
          <cell r="B1185" t="str">
            <v>CMD00520(XTCD12-11 220V 50/60Hz)</v>
          </cell>
          <cell r="C1185" t="str">
            <v>EATON</v>
          </cell>
          <cell r="D1185" t="str">
            <v>Eaton-Rinac</v>
          </cell>
        </row>
        <row r="1186">
          <cell r="A1186" t="str">
            <v>CMD00651 (XTCD170-XH122)</v>
          </cell>
          <cell r="B1186" t="str">
            <v>CMD00651(XTCD170-XH122)</v>
          </cell>
          <cell r="C1186" t="str">
            <v>EATON</v>
          </cell>
          <cell r="D1186" t="str">
            <v>Eaton-Rinac</v>
          </cell>
        </row>
        <row r="1187">
          <cell r="A1187" t="str">
            <v>CMD00648 (XTCD170-XHI11)</v>
          </cell>
          <cell r="B1187" t="str">
            <v>CMD00648(XTCD170-XHI11)</v>
          </cell>
          <cell r="C1187" t="str">
            <v>EATON</v>
          </cell>
          <cell r="D1187" t="str">
            <v>Eaton-Rinac</v>
          </cell>
        </row>
        <row r="1188">
          <cell r="A1188" t="str">
            <v>CMD00527 (XTCD18- 11 (110V50/60Hz))</v>
          </cell>
          <cell r="B1188" t="str">
            <v>CMD00527(XTCD18- 11 (110V50/60Hz))</v>
          </cell>
          <cell r="C1188" t="str">
            <v>EATON</v>
          </cell>
          <cell r="D1188" t="str">
            <v>Eaton-Rinac</v>
          </cell>
        </row>
        <row r="1189">
          <cell r="A1189" t="str">
            <v>CMD00529 (XTCD18-11(230V50/60Hz))</v>
          </cell>
          <cell r="B1189" t="str">
            <v>CMD00529(XTCD18-11(230V50/60Hz))</v>
          </cell>
          <cell r="C1189" t="str">
            <v>EATON</v>
          </cell>
          <cell r="D1189" t="str">
            <v>Eaton-Rinac</v>
          </cell>
        </row>
        <row r="1190">
          <cell r="A1190" t="str">
            <v>XTCD225J22AOI (225A)</v>
          </cell>
          <cell r="B1190" t="str">
            <v>XTCD225J22AOI(225A)</v>
          </cell>
          <cell r="C1190" t="str">
            <v>EATON</v>
          </cell>
          <cell r="D1190" t="str">
            <v>Eaton-Rinac</v>
          </cell>
        </row>
        <row r="1191">
          <cell r="A1191" t="str">
            <v>CMD00537 (XTCD25-11)</v>
          </cell>
          <cell r="B1191" t="str">
            <v>CMD00537(XTCD25-11)</v>
          </cell>
          <cell r="C1191" t="str">
            <v>EATON</v>
          </cell>
          <cell r="D1191" t="str">
            <v>Eaton-Rinac</v>
          </cell>
        </row>
        <row r="1192">
          <cell r="A1192" t="str">
            <v>CMD00535 (XTCD25-11 (110V50/ 60Hz))</v>
          </cell>
          <cell r="B1192" t="str">
            <v>CMD00535(XTCD25-11 (110V50/ 60Hz))</v>
          </cell>
          <cell r="C1192" t="str">
            <v>EATON</v>
          </cell>
          <cell r="D1192" t="str">
            <v>Eaton-Rinac</v>
          </cell>
        </row>
        <row r="1193">
          <cell r="A1193" t="str">
            <v>CMD00545 (XTCD32-11)</v>
          </cell>
          <cell r="B1193" t="str">
            <v>CMD00545(XTCD32-11)</v>
          </cell>
          <cell r="C1193" t="str">
            <v>EATON</v>
          </cell>
          <cell r="D1193" t="str">
            <v>Eaton-Rinac</v>
          </cell>
        </row>
        <row r="1194">
          <cell r="A1194" t="str">
            <v>CMD00544 (XTCD32-11(220V50/60Hz))</v>
          </cell>
          <cell r="B1194" t="str">
            <v>CMD00544(XTCD32-11(220V50/60Hz))</v>
          </cell>
          <cell r="C1194" t="str">
            <v>EATON</v>
          </cell>
          <cell r="D1194" t="str">
            <v>Eaton-Rinac</v>
          </cell>
        </row>
        <row r="1195">
          <cell r="A1195" t="str">
            <v>CMD00553 (XTCD38-11 230V AC)</v>
          </cell>
          <cell r="B1195" t="str">
            <v>CMD00553(XTCD38-11 230V AC)</v>
          </cell>
          <cell r="C1195" t="str">
            <v>EATON</v>
          </cell>
          <cell r="D1195" t="str">
            <v>Eaton-Rinac</v>
          </cell>
        </row>
        <row r="1196">
          <cell r="A1196" t="str">
            <v>CMD00560 (XTCD40-11(220V50/60Hz))</v>
          </cell>
          <cell r="B1196" t="str">
            <v>CMD00560(XTCD40-11(220V50/60Hz))</v>
          </cell>
          <cell r="C1196" t="str">
            <v>EATON</v>
          </cell>
          <cell r="D1196" t="str">
            <v>Eaton-Rinac</v>
          </cell>
        </row>
        <row r="1197">
          <cell r="A1197" t="str">
            <v>CMD00569 (XTCD50-11)</v>
          </cell>
          <cell r="B1197" t="str">
            <v>CMD00569(XTCD50-11)</v>
          </cell>
          <cell r="C1197" t="str">
            <v>EATON</v>
          </cell>
          <cell r="D1197" t="str">
            <v>Eaton-Rinac</v>
          </cell>
        </row>
        <row r="1198">
          <cell r="A1198" t="str">
            <v>CMD00577 (XTCD65-11(230v50/60Hz))</v>
          </cell>
          <cell r="B1198" t="str">
            <v>CMD00577(XTCD65-11(230v50/60Hz))</v>
          </cell>
          <cell r="C1198" t="str">
            <v>EATON</v>
          </cell>
          <cell r="D1198" t="str">
            <v>Eaton-Rinac</v>
          </cell>
        </row>
        <row r="1199">
          <cell r="A1199" t="str">
            <v>CMD00585 (XTCD80-11(230V50/60Hz))</v>
          </cell>
          <cell r="B1199" t="str">
            <v>CMD00585(XTCD80-11(230V50/60Hz))</v>
          </cell>
          <cell r="C1199" t="str">
            <v>EATON</v>
          </cell>
          <cell r="D1199" t="str">
            <v>Eaton-Rinac</v>
          </cell>
        </row>
        <row r="1200">
          <cell r="A1200" t="str">
            <v>CMD00511 (XTCD9-11 (110V50/60Hz))</v>
          </cell>
          <cell r="B1200" t="str">
            <v>CMD00511(XTCD9-11 (110V50/60Hz))</v>
          </cell>
          <cell r="C1200" t="str">
            <v>EATON</v>
          </cell>
          <cell r="D1200" t="str">
            <v>Eaton-Rinac</v>
          </cell>
        </row>
        <row r="1201">
          <cell r="A1201" t="str">
            <v>152431 (XTCDXFAG11 CONTACTOR-ASSESSORIES)</v>
          </cell>
          <cell r="B1201" t="str">
            <v>152431(XTCDXFAG11 CONTACTOR-ASSESSORIES)</v>
          </cell>
          <cell r="C1201" t="str">
            <v>EATON</v>
          </cell>
          <cell r="D1201" t="str">
            <v>Eaton-Rinac</v>
          </cell>
        </row>
        <row r="1202">
          <cell r="A1202" t="str">
            <v>152435 (XTCDXFAG22 CONTACTOR-ASSESSORIES)</v>
          </cell>
          <cell r="B1202" t="str">
            <v>152435(XTCDXFAG22 CONTACTOR-ASSESSORIES)</v>
          </cell>
          <cell r="C1202" t="str">
            <v>EATON</v>
          </cell>
          <cell r="D1202" t="str">
            <v>Eaton-Rinac</v>
          </cell>
        </row>
        <row r="1203">
          <cell r="A1203" t="str">
            <v>177666 (XTCG080E00E2 110V AC-03P Contactor)</v>
          </cell>
          <cell r="B1203" t="str">
            <v>177666(XTCG080E00E2 110V AC-03P Contactor)</v>
          </cell>
          <cell r="C1203" t="str">
            <v>EATON</v>
          </cell>
          <cell r="D1203" t="str">
            <v>Eaton-Rinac</v>
          </cell>
        </row>
        <row r="1204">
          <cell r="A1204" t="str">
            <v>152481 (XTOD001CC1 D LINE THERMAL OVERLOAD RELAY)</v>
          </cell>
          <cell r="B1204" t="str">
            <v>152481(XTOD001CC1 D LINE THERMAL OVERLOAD RELAY)</v>
          </cell>
          <cell r="C1204" t="str">
            <v>EATON</v>
          </cell>
          <cell r="D1204" t="str">
            <v>Eaton-Rinac</v>
          </cell>
        </row>
        <row r="1205">
          <cell r="A1205" t="str">
            <v>152487 (XTOD006CC1 D LINE CONTACTORS)</v>
          </cell>
          <cell r="B1205" t="str">
            <v>152487(XTOD006CC1 D LINE CONTACTORS)</v>
          </cell>
          <cell r="C1205" t="str">
            <v>EATON</v>
          </cell>
          <cell r="D1205" t="str">
            <v>Eaton-Rinac</v>
          </cell>
        </row>
        <row r="1206">
          <cell r="A1206" t="str">
            <v>152489 (XTOD013CCI D LINE CONTACTORS)</v>
          </cell>
          <cell r="B1206" t="str">
            <v>152489(XTOD013CCI D LINE CONTACTORS)</v>
          </cell>
          <cell r="C1206" t="str">
            <v>EATON</v>
          </cell>
          <cell r="D1206" t="str">
            <v>Eaton-Rinac</v>
          </cell>
        </row>
        <row r="1207">
          <cell r="A1207" t="str">
            <v>152490 (XTOD018CC1 DLINE THERMAL OVERLOAD)</v>
          </cell>
          <cell r="B1207" t="str">
            <v>152490(XTOD018CC1 DLINE THERMAL OVERLOAD)</v>
          </cell>
          <cell r="C1207" t="str">
            <v>EATON</v>
          </cell>
          <cell r="D1207" t="str">
            <v>Eaton-Rinac</v>
          </cell>
        </row>
        <row r="1208">
          <cell r="A1208" t="str">
            <v>152491 (XTOD024CCI  D LINE CONTACTORS)</v>
          </cell>
          <cell r="B1208" t="str">
            <v>152491(XTOD024CCI  D LINE CONTACTORS)</v>
          </cell>
          <cell r="C1208" t="str">
            <v>EATON</v>
          </cell>
          <cell r="D1208" t="str">
            <v>Eaton-Rinac</v>
          </cell>
        </row>
        <row r="1209">
          <cell r="A1209" t="str">
            <v>152492 (XTOD030CC1 D LINE THERMAL OVERLOAD RELAY)</v>
          </cell>
          <cell r="B1209" t="str">
            <v>152492(XTOD030CC1 D LINE THERMAL OVERLOAD RELAY)</v>
          </cell>
          <cell r="C1209" t="str">
            <v>EATON</v>
          </cell>
          <cell r="D1209" t="str">
            <v>Eaton-Rinac</v>
          </cell>
        </row>
        <row r="1210">
          <cell r="A1210" t="str">
            <v>CMD00690 (XTOD18-0.63)</v>
          </cell>
          <cell r="B1210" t="str">
            <v>CMD00690(XTOD18-0.63)</v>
          </cell>
          <cell r="C1210" t="str">
            <v>EATON</v>
          </cell>
          <cell r="D1210" t="str">
            <v>Eaton-Rinac</v>
          </cell>
        </row>
        <row r="1211">
          <cell r="A1211" t="str">
            <v>CMD00691 (XTOD18-1)</v>
          </cell>
          <cell r="B1211" t="str">
            <v>CMD00691(XTOD18-1)</v>
          </cell>
          <cell r="C1211" t="str">
            <v>EATON</v>
          </cell>
          <cell r="D1211" t="str">
            <v>Eaton-Rinac</v>
          </cell>
        </row>
        <row r="1212">
          <cell r="A1212" t="str">
            <v>CMD00697 (XTOD18-10)</v>
          </cell>
          <cell r="B1212" t="str">
            <v>CMD00697(XTOD18-10)</v>
          </cell>
          <cell r="C1212" t="str">
            <v>EATON</v>
          </cell>
          <cell r="D1212" t="str">
            <v>Eaton-Rinac</v>
          </cell>
        </row>
        <row r="1213">
          <cell r="A1213" t="str">
            <v>CMD00698 (XTOD18-13)</v>
          </cell>
          <cell r="B1213" t="str">
            <v>CMD00698(XTOD18-13)</v>
          </cell>
          <cell r="C1213" t="str">
            <v>EATON</v>
          </cell>
          <cell r="D1213" t="str">
            <v>Eaton-Rinac</v>
          </cell>
        </row>
        <row r="1214">
          <cell r="A1214" t="str">
            <v>CMD00692 (XTOD18-1.6)</v>
          </cell>
          <cell r="B1214" t="str">
            <v>CMD00692(XTOD18-1.6)</v>
          </cell>
          <cell r="C1214" t="str">
            <v>EATON</v>
          </cell>
          <cell r="D1214" t="str">
            <v>Eaton-Rinac</v>
          </cell>
        </row>
        <row r="1215">
          <cell r="A1215" t="str">
            <v>CMD00699_x000D_
 (XTOD18-18_x000D_
)</v>
          </cell>
          <cell r="B1215" t="str">
            <v>CMD00699_x000D_
(XTOD18-18_x000D_
)</v>
          </cell>
          <cell r="C1215" t="str">
            <v>EATON</v>
          </cell>
          <cell r="D1215" t="str">
            <v>Eaton-Rinac</v>
          </cell>
        </row>
        <row r="1216">
          <cell r="A1216" t="str">
            <v>CMD00693 (XTOD18-2.5)</v>
          </cell>
          <cell r="B1216" t="str">
            <v>CMD00693(XTOD18-2.5)</v>
          </cell>
          <cell r="C1216" t="str">
            <v>EATON</v>
          </cell>
          <cell r="D1216" t="str">
            <v>Eaton-Rinac</v>
          </cell>
        </row>
        <row r="1217">
          <cell r="A1217" t="str">
            <v>CMD00694 (XTOD18-4)</v>
          </cell>
          <cell r="B1217" t="str">
            <v>CMD00694(XTOD18-4)</v>
          </cell>
          <cell r="C1217" t="str">
            <v>EATON</v>
          </cell>
          <cell r="D1217" t="str">
            <v>Eaton-Rinac</v>
          </cell>
        </row>
        <row r="1218">
          <cell r="A1218" t="str">
            <v>CMD00695 (XTOD18-6)</v>
          </cell>
          <cell r="B1218" t="str">
            <v>CMD00695(XTOD18-6)</v>
          </cell>
          <cell r="C1218" t="str">
            <v>EATON</v>
          </cell>
          <cell r="D1218" t="str">
            <v>Eaton-Rinac</v>
          </cell>
        </row>
        <row r="1219">
          <cell r="A1219" t="str">
            <v>CMD00696 (XTOD18-8)</v>
          </cell>
          <cell r="B1219" t="str">
            <v>CMD00696(XTOD18-8)</v>
          </cell>
          <cell r="C1219" t="str">
            <v>EATON</v>
          </cell>
          <cell r="D1219" t="str">
            <v>Eaton-Rinac</v>
          </cell>
        </row>
        <row r="1220">
          <cell r="A1220" t="str">
            <v>152482 (XTOD1P5CC1 D LINE CONTACTORS)</v>
          </cell>
          <cell r="B1220" t="str">
            <v>152482(XTOD1P5CC1 D LINE CONTACTORS)</v>
          </cell>
          <cell r="C1220" t="str">
            <v>EATON</v>
          </cell>
          <cell r="D1220" t="str">
            <v>Eaton-Rinac</v>
          </cell>
        </row>
        <row r="1221">
          <cell r="A1221" t="str">
            <v>Y7-152483 (XTOD2P2CC1 Relay 1.4-2.1A OLR)</v>
          </cell>
          <cell r="B1221" t="str">
            <v>Y7-152483(XTOD2P2CC1 Relay 1.4-2.1A OLR)</v>
          </cell>
          <cell r="C1221" t="str">
            <v>EATON</v>
          </cell>
          <cell r="D1221" t="str">
            <v>Eaton-Rinac</v>
          </cell>
        </row>
        <row r="1222">
          <cell r="A1222" t="str">
            <v>152484 (XTOD2P7CC1 D LINE CONTACTORS)</v>
          </cell>
          <cell r="B1222" t="str">
            <v>152484(XTOD2P7CC1 D LINE CONTACTORS)</v>
          </cell>
          <cell r="C1222" t="str">
            <v>EATON</v>
          </cell>
          <cell r="D1222" t="str">
            <v>Eaton-Rinac</v>
          </cell>
        </row>
        <row r="1223">
          <cell r="A1223" t="str">
            <v>CMD00702 (XTOD38-40)</v>
          </cell>
          <cell r="B1223" t="str">
            <v>CMD00702(XTOD38-40)</v>
          </cell>
          <cell r="C1223" t="str">
            <v>EATON</v>
          </cell>
          <cell r="D1223" t="str">
            <v>Eaton-Rinac</v>
          </cell>
        </row>
        <row r="1224">
          <cell r="A1224" t="str">
            <v>152485 (XTOD3P6CC1 D LINE CONTACTORS)</v>
          </cell>
          <cell r="B1224" t="str">
            <v>152485(XTOD3P6CC1 D LINE CONTACTORS)</v>
          </cell>
          <cell r="C1224" t="str">
            <v>EATON</v>
          </cell>
          <cell r="D1224" t="str">
            <v>Eaton-Rinac</v>
          </cell>
        </row>
        <row r="1225">
          <cell r="A1225" t="str">
            <v>152488 (XTOD8P5CC1 D LINE CONTACTOR)</v>
          </cell>
          <cell r="B1225" t="str">
            <v>152488(XTOD8P5CC1 D LINE CONTACTOR)</v>
          </cell>
          <cell r="C1225" t="str">
            <v>EATON</v>
          </cell>
          <cell r="D1225" t="str">
            <v>Eaton-Rinac</v>
          </cell>
        </row>
        <row r="1226">
          <cell r="A1226" t="str">
            <v>CMD00703 (XTOD95- 32)</v>
          </cell>
          <cell r="B1226" t="str">
            <v>CMD00703(XTOD95- 32)</v>
          </cell>
          <cell r="C1226" t="str">
            <v>EATON</v>
          </cell>
          <cell r="D1226" t="str">
            <v>Eaton-Rinac</v>
          </cell>
        </row>
        <row r="1227">
          <cell r="A1227" t="str">
            <v>CMD00704 (XTOD95-40)</v>
          </cell>
          <cell r="B1227" t="str">
            <v>CMD00704(XTOD95-40)</v>
          </cell>
          <cell r="C1227" t="str">
            <v>EATON</v>
          </cell>
          <cell r="D1227" t="str">
            <v>Eaton-Rinac</v>
          </cell>
        </row>
        <row r="1228">
          <cell r="A1228" t="str">
            <v>CMD00706 (XT-OD95-65)</v>
          </cell>
          <cell r="B1228" t="str">
            <v>CMD00706(XT-OD95-65)</v>
          </cell>
          <cell r="C1228" t="str">
            <v>EATON</v>
          </cell>
          <cell r="D1228" t="str">
            <v>Eaton-Rinac</v>
          </cell>
        </row>
        <row r="1229">
          <cell r="A1229" t="str">
            <v>Y7-229490 (M22-R4K7)</v>
          </cell>
          <cell r="B1229" t="str">
            <v>Y7-229490(M22-R4K7)</v>
          </cell>
          <cell r="C1229" t="str">
            <v>EATON</v>
          </cell>
          <cell r="D1229" t="str">
            <v>Eaton-Schenck Process</v>
          </cell>
        </row>
        <row r="1230">
          <cell r="A1230" t="str">
            <v>SBN332N_x000D_
 (ISOLATOR  3P   32A_x000D_
)</v>
          </cell>
          <cell r="B1230" t="str">
            <v>SBN332N_x000D_
(ISOLATOR  3P   32A_x000D_
)</v>
          </cell>
          <cell r="C1230" t="str">
            <v>HAGER</v>
          </cell>
          <cell r="D1230" t="str">
            <v>Hager-Incap Contracting</v>
          </cell>
        </row>
        <row r="1231">
          <cell r="A1231" t="str">
            <v>SBN363N_x000D_
 (ISOLATOR  3P   63A_x000D_
)</v>
          </cell>
          <cell r="B1231" t="str">
            <v>SBN363N_x000D_
(ISOLATOR  3P   63A_x000D_
)</v>
          </cell>
          <cell r="C1231" t="str">
            <v>HAGER</v>
          </cell>
          <cell r="D1231" t="str">
            <v>Hager-Incap Contracting</v>
          </cell>
        </row>
        <row r="1232">
          <cell r="A1232" t="str">
            <v>SBN490N_x000D_
 (ISOLATOR  4P   100A_x000D_
)</v>
          </cell>
          <cell r="B1232" t="str">
            <v>SBN490N_x000D_
(ISOLATOR  4P   100A_x000D_
)</v>
          </cell>
          <cell r="C1232" t="str">
            <v>HAGER</v>
          </cell>
          <cell r="D1232" t="str">
            <v>Hager-Incap Contracting</v>
          </cell>
        </row>
        <row r="1233">
          <cell r="A1233" t="str">
            <v>SBN432N_x000D_
 (ISOLATOR  4P   32A_x000D_
)</v>
          </cell>
          <cell r="B1233" t="str">
            <v>SBN432N_x000D_
(ISOLATOR  4P   32A_x000D_
)</v>
          </cell>
          <cell r="C1233" t="str">
            <v>HAGER</v>
          </cell>
          <cell r="D1233" t="str">
            <v>Hager-Incap Contracting</v>
          </cell>
        </row>
        <row r="1234">
          <cell r="A1234" t="str">
            <v>SBN463N_x000D_
 (ISOLATOR  4P   63A_x000D_
)</v>
          </cell>
          <cell r="B1234" t="str">
            <v>SBN463N_x000D_
(ISOLATOR  4P   63A_x000D_
)</v>
          </cell>
          <cell r="C1234" t="str">
            <v>HAGER</v>
          </cell>
          <cell r="D1234" t="str">
            <v>Hager-Incap Contracting</v>
          </cell>
        </row>
        <row r="1235">
          <cell r="A1235" t="str">
            <v>BRAP651001ELN (
Aluminum base, 65x100, anodised)</v>
          </cell>
          <cell r="B1235" t="str">
            <v>BRAP651001ELN(
Aluminum base, 65x100, anodised)</v>
          </cell>
          <cell r="C1235" t="str">
            <v>HAGER</v>
          </cell>
          <cell r="D1235" t="str">
            <v>HAGER</v>
          </cell>
        </row>
        <row r="1236">
          <cell r="A1236" t="str">
            <v>VYE1000M (1000A FP MCOS Hinged Door Box)</v>
          </cell>
          <cell r="B1236" t="str">
            <v>VYE1000M(1000A FP MCOS Hinged Door Box)</v>
          </cell>
          <cell r="C1236" t="str">
            <v>HAGER</v>
          </cell>
          <cell r="D1236" t="str">
            <v>HAGER</v>
          </cell>
        </row>
        <row r="1237">
          <cell r="A1237" t="str">
            <v>VYE100M (100A FP MCOS Hinged Door Box)</v>
          </cell>
          <cell r="B1237" t="str">
            <v>VYE100M(100A FP MCOS Hinged Door Box)</v>
          </cell>
          <cell r="C1237" t="str">
            <v>HAGER</v>
          </cell>
          <cell r="D1237" t="str">
            <v>HAGER</v>
          </cell>
        </row>
        <row r="1238">
          <cell r="A1238" t="str">
            <v>VYA110CZ (10A 1M Metal P&amp;S IP30 box)</v>
          </cell>
          <cell r="B1238" t="str">
            <v>VYA110CZ(10A 1M Metal P&amp;S IP30 box)</v>
          </cell>
          <cell r="C1238" t="str">
            <v>HAGER</v>
          </cell>
          <cell r="D1238" t="str">
            <v>HAGER</v>
          </cell>
        </row>
        <row r="1239">
          <cell r="A1239" t="str">
            <v>WSNSW31 (10A 1-Way)</v>
          </cell>
          <cell r="B1239" t="str">
            <v>WSNSW31(10A 1-Way)</v>
          </cell>
          <cell r="C1239" t="str">
            <v>HAGER</v>
          </cell>
          <cell r="D1239" t="str">
            <v>HAGER</v>
          </cell>
        </row>
        <row r="1240">
          <cell r="A1240" t="str">
            <v>WSNSW31A (10A 1-Way  ANTH)</v>
          </cell>
          <cell r="B1240" t="str">
            <v>WSNSW31A(10A 1-Way ANTH)</v>
          </cell>
          <cell r="C1240" t="str">
            <v>HAGER</v>
          </cell>
          <cell r="D1240" t="str">
            <v>HAGER</v>
          </cell>
        </row>
        <row r="1241">
          <cell r="A1241" t="str">
            <v>WSNSK11 (10 A 2 Pin Flat and Round Socket with safety shutter)</v>
          </cell>
          <cell r="B1241" t="str">
            <v>WSNSK11(10 A 2 Pin Flat and Round Socket with safety shutter)</v>
          </cell>
          <cell r="C1241" t="str">
            <v>HAGER</v>
          </cell>
          <cell r="D1241" t="str">
            <v>HAGER</v>
          </cell>
        </row>
        <row r="1242">
          <cell r="A1242" t="str">
            <v>WSNSK11A (10 A 2 Pin Flat and Round Socket with safety shutter  ANTH)</v>
          </cell>
          <cell r="B1242" t="str">
            <v>WSNSK11A(10 A 2 Pin Flat and Round Socket with safety shutter ANTH)</v>
          </cell>
          <cell r="C1242" t="str">
            <v>HAGER</v>
          </cell>
          <cell r="D1242" t="str">
            <v>HAGER</v>
          </cell>
        </row>
        <row r="1243">
          <cell r="A1243" t="str">
            <v>VZ130i (10A 2P Metal Plug)</v>
          </cell>
          <cell r="B1243" t="str">
            <v>VZ130i(10A 2P Metal Plug)</v>
          </cell>
          <cell r="C1243" t="str">
            <v>HAGER</v>
          </cell>
          <cell r="D1243" t="str">
            <v>HAGER</v>
          </cell>
        </row>
        <row r="1244">
          <cell r="A1244" t="str">
            <v>VZ140i (10A 2P Metal Socket)</v>
          </cell>
          <cell r="B1244" t="str">
            <v>VZ140i(10A 2P Metal Socket)</v>
          </cell>
          <cell r="C1244" t="str">
            <v>HAGER</v>
          </cell>
          <cell r="D1244" t="str">
            <v>HAGER</v>
          </cell>
        </row>
        <row r="1245">
          <cell r="A1245" t="str">
            <v>AE210Y (10A DP RCBO 100mA)</v>
          </cell>
          <cell r="B1245" t="str">
            <v>AE210Y(10A DP RCBO 100mA)</v>
          </cell>
          <cell r="C1245" t="str">
            <v>HAGER</v>
          </cell>
          <cell r="D1245" t="str">
            <v>HAGER</v>
          </cell>
        </row>
        <row r="1246">
          <cell r="A1246" t="str">
            <v>AD210Y (10A DP RCBO 30mA)</v>
          </cell>
          <cell r="B1246" t="str">
            <v>AD210Y(10A DP RCBO 30mA)</v>
          </cell>
          <cell r="C1246" t="str">
            <v>HAGER</v>
          </cell>
          <cell r="D1246" t="str">
            <v>HAGER</v>
          </cell>
        </row>
        <row r="1247">
          <cell r="A1247" t="str">
            <v>NC110N (10A SP C Curve MCB)</v>
          </cell>
          <cell r="B1247" t="str">
            <v>NC110N(10A SP C Curve MCB)</v>
          </cell>
          <cell r="C1247" t="str">
            <v>HAGER</v>
          </cell>
          <cell r="D1247" t="str">
            <v>HAGER</v>
          </cell>
        </row>
        <row r="1248">
          <cell r="A1248" t="str">
            <v>SPN505 (10 KA I max telephone lines Analogue)</v>
          </cell>
          <cell r="B1248" t="str">
            <v>SPN505(10 KA I max telephone lines Analogue)</v>
          </cell>
          <cell r="C1248" t="str">
            <v>HAGER</v>
          </cell>
          <cell r="D1248" t="str">
            <v>HAGER</v>
          </cell>
        </row>
        <row r="1249">
          <cell r="A1249" t="str">
            <v>SPN504 (10 KA I max telephone lines Digital)</v>
          </cell>
          <cell r="B1249" t="str">
            <v>SPN504(10 KA I max telephone lines Digital)</v>
          </cell>
          <cell r="C1249" t="str">
            <v>HAGER</v>
          </cell>
          <cell r="D1249" t="str">
            <v>HAGER</v>
          </cell>
        </row>
        <row r="1250">
          <cell r="A1250" t="str">
            <v>VYE1250M (1250A FP MCOS Hinged Door Box)</v>
          </cell>
          <cell r="B1250" t="str">
            <v>VYE1250M(1250A FP MCOS Hinged Door Box)</v>
          </cell>
          <cell r="C1250" t="str">
            <v>HAGER</v>
          </cell>
          <cell r="D1250" t="str">
            <v>HAGER</v>
          </cell>
        </row>
        <row r="1251">
          <cell r="A1251" t="str">
            <v>HBA125H (125A 3 Pole Adjustable sensitivity till 6A, Adjustable tripping 1s)</v>
          </cell>
          <cell r="B1251" t="str">
            <v>HBA125H(125A 3 Pole Adjustable sensitivity till 6A, Adjustable tripping 1s)</v>
          </cell>
          <cell r="C1251" t="str">
            <v>HAGER</v>
          </cell>
          <cell r="D1251" t="str">
            <v>HAGER</v>
          </cell>
        </row>
        <row r="1252">
          <cell r="A1252" t="str">
            <v>HBA127H (125A 3 Pole ldn=300 mA fixed sensitivity instantaneous tripping)</v>
          </cell>
          <cell r="B1252" t="str">
            <v>HBA127H(125A 3 Pole ldn=300 mA fixed sensitivity instantaneous tripping)</v>
          </cell>
          <cell r="C1252" t="str">
            <v>HAGER</v>
          </cell>
          <cell r="D1252" t="str">
            <v>HAGER</v>
          </cell>
        </row>
        <row r="1253">
          <cell r="A1253" t="str">
            <v>HBA126H (125A 4 Pole Adjustable sensitivity till 6A, Adjustable tripping 1s)</v>
          </cell>
          <cell r="B1253" t="str">
            <v>HBA126H(125A 4 Pole Adjustable sensitivity till 6A, Adjustable tripping 1s)</v>
          </cell>
          <cell r="C1253" t="str">
            <v>HAGER</v>
          </cell>
          <cell r="D1253" t="str">
            <v>HAGER</v>
          </cell>
        </row>
        <row r="1254">
          <cell r="A1254" t="str">
            <v>HBA128H (125A 4 Pole ldn=300 mA fixed sensitivity instantaneous tripping)</v>
          </cell>
          <cell r="B1254" t="str">
            <v>HBA128H(125A 4 Pole ldn=300 mA fixed sensitivity instantaneous tripping)</v>
          </cell>
          <cell r="C1254" t="str">
            <v>HAGER</v>
          </cell>
          <cell r="D1254" t="str">
            <v>HAGER</v>
          </cell>
        </row>
        <row r="1255">
          <cell r="A1255" t="str">
            <v>VYE125M (125A FP MCOS Hinged Door Box)</v>
          </cell>
          <cell r="B1255" t="str">
            <v>VYE125M(125A FP MCOS Hinged Door Box)</v>
          </cell>
          <cell r="C1255" t="str">
            <v>HAGER</v>
          </cell>
          <cell r="D1255" t="str">
            <v>HAGER</v>
          </cell>
        </row>
        <row r="1256">
          <cell r="A1256" t="str">
            <v>BDH380E (125A RCD AoB 3P, 30mA Fixed -HI)</v>
          </cell>
          <cell r="B1256" t="str">
            <v>BDH380E(125A RCD AoB 3P, 30mA Fixed -HI)</v>
          </cell>
          <cell r="C1256" t="str">
            <v>HAGER</v>
          </cell>
          <cell r="D1256" t="str">
            <v>HAGER</v>
          </cell>
        </row>
        <row r="1257">
          <cell r="A1257" t="str">
            <v>BDC380E (125A RCD AoB 3P, 30mA Fixed settings type AC)</v>
          </cell>
          <cell r="B1257" t="str">
            <v>BDC380E(125A RCD AoB 3P, 30mA Fixed settings type AC)</v>
          </cell>
          <cell r="C1257" t="str">
            <v>HAGER</v>
          </cell>
          <cell r="D1257" t="str">
            <v>HAGER</v>
          </cell>
        </row>
        <row r="1258">
          <cell r="A1258" t="str">
            <v>BTH380E (125A RCD AoB 3P, adjustable- Hi)</v>
          </cell>
          <cell r="B1258" t="str">
            <v>BTH380E(125A RCD AoB 3P, adjustable- Hi)</v>
          </cell>
          <cell r="C1258" t="str">
            <v>HAGER</v>
          </cell>
          <cell r="D1258" t="str">
            <v>HAGER</v>
          </cell>
        </row>
        <row r="1259">
          <cell r="A1259" t="str">
            <v>BTC380E (125A RCD AoB 3P, adjustable settings type AC)</v>
          </cell>
          <cell r="B1259" t="str">
            <v>BTC380E(125A RCD AoB 3P, adjustable settings type AC)</v>
          </cell>
          <cell r="C1259" t="str">
            <v>HAGER</v>
          </cell>
          <cell r="D1259" t="str">
            <v>HAGER</v>
          </cell>
        </row>
        <row r="1260">
          <cell r="A1260" t="str">
            <v>BFH480E (125A RCD AoB 4P, 300mA Fixed - Hi)</v>
          </cell>
          <cell r="B1260" t="str">
            <v>BFH480E(125A RCD AoB 4P, 300mA Fixed - Hi)</v>
          </cell>
          <cell r="C1260" t="str">
            <v>HAGER</v>
          </cell>
          <cell r="D1260" t="str">
            <v>HAGER</v>
          </cell>
        </row>
        <row r="1261">
          <cell r="A1261" t="str">
            <v>BFC480E (125A RCD AoB 4P, 300mA Fixed settings type AC)</v>
          </cell>
          <cell r="B1261" t="str">
            <v>BFC480E(125A RCD AoB 4P, 300mA Fixed settings type AC)</v>
          </cell>
          <cell r="C1261" t="str">
            <v>HAGER</v>
          </cell>
          <cell r="D1261" t="str">
            <v>HAGER</v>
          </cell>
        </row>
        <row r="1262">
          <cell r="A1262" t="str">
            <v>BDH480E (125A RCD AoB 4P, 30mA Fixed- Hi)</v>
          </cell>
          <cell r="B1262" t="str">
            <v>BDH480E(125A RCD AoB 4P, 30mA Fixed- Hi)</v>
          </cell>
          <cell r="C1262" t="str">
            <v>HAGER</v>
          </cell>
          <cell r="D1262" t="str">
            <v>HAGER</v>
          </cell>
        </row>
        <row r="1263">
          <cell r="A1263" t="str">
            <v>BDC480E (125A RCD AoB 4P, 30mA Fixed settings type AC)</v>
          </cell>
          <cell r="B1263" t="str">
            <v>BDC480E(125A RCD AoB 4P, 30mA Fixed settings type AC)</v>
          </cell>
          <cell r="C1263" t="str">
            <v>HAGER</v>
          </cell>
          <cell r="D1263" t="str">
            <v>HAGER</v>
          </cell>
        </row>
        <row r="1264">
          <cell r="A1264" t="str">
            <v>BTH480E (125A RCD AoB 4P, adjustable - Hi)</v>
          </cell>
          <cell r="B1264" t="str">
            <v>BTH480E(125A RCD AoB 4P, adjustable - Hi)</v>
          </cell>
          <cell r="C1264" t="str">
            <v>HAGER</v>
          </cell>
          <cell r="D1264" t="str">
            <v>HAGER</v>
          </cell>
        </row>
        <row r="1265">
          <cell r="A1265" t="str">
            <v>BTC480E (125A RCD AoB 4P, adjustable settings type AC)</v>
          </cell>
          <cell r="B1265" t="str">
            <v>BTC480E(125A RCD AoB 4P, adjustable settings type AC)</v>
          </cell>
          <cell r="C1265" t="str">
            <v>HAGER</v>
          </cell>
          <cell r="D1265" t="str">
            <v>HAGER</v>
          </cell>
        </row>
        <row r="1266">
          <cell r="A1266" t="str">
            <v>WSNCG12S (12 Mod Cover &amp; Grid Plate Alu)</v>
          </cell>
          <cell r="B1266" t="str">
            <v>WSNCG12S(12 Mod Cover &amp; Grid Plate Alu)</v>
          </cell>
          <cell r="C1266" t="str">
            <v>HAGER</v>
          </cell>
          <cell r="D1266" t="str">
            <v>HAGER</v>
          </cell>
        </row>
        <row r="1267">
          <cell r="A1267" t="str">
            <v>WSNCG12A (12 Mod Cover &amp; Grid Plate anthracite)</v>
          </cell>
          <cell r="B1267" t="str">
            <v>WSNCG12A(12 Mod Cover &amp; Grid Plate anthracite)</v>
          </cell>
          <cell r="C1267" t="str">
            <v>HAGER</v>
          </cell>
          <cell r="D1267" t="str">
            <v>HAGER</v>
          </cell>
        </row>
        <row r="1268">
          <cell r="A1268" t="str">
            <v>WSNCG12 (12 Mod Cover &amp; Grid Plate White)</v>
          </cell>
          <cell r="B1268" t="str">
            <v>WSNCG12(12 Mod Cover &amp; Grid Plate White)</v>
          </cell>
          <cell r="C1268" t="str">
            <v>HAGER</v>
          </cell>
          <cell r="D1268" t="str">
            <v>HAGER</v>
          </cell>
        </row>
        <row r="1269">
          <cell r="A1269" t="str">
            <v>VZ123i (12 Way 8 Segment Cover Plate - 4 Mod)</v>
          </cell>
          <cell r="B1269" t="str">
            <v>VZ123i(12 Way 8 Segment Cover Plate - 4 Mod)</v>
          </cell>
          <cell r="C1269" t="str">
            <v>HAGER</v>
          </cell>
          <cell r="D1269" t="str">
            <v>HAGER</v>
          </cell>
        </row>
        <row r="1270">
          <cell r="A1270" t="str">
            <v>WSNSK22 (13/10/6 A combi socket for all pins)</v>
          </cell>
          <cell r="B1270" t="str">
            <v>WSNSK22(13/10/6 A combi socket for all pins)</v>
          </cell>
          <cell r="C1270" t="str">
            <v>HAGER</v>
          </cell>
          <cell r="D1270" t="str">
            <v>HAGER</v>
          </cell>
        </row>
        <row r="1271">
          <cell r="A1271" t="str">
            <v>WSNSK22A (13/10/6 A combi socket for all pins  ANTH)</v>
          </cell>
          <cell r="B1271" t="str">
            <v>WSNSK22A(13/10/6 A combi socket for all pins ANTH)</v>
          </cell>
          <cell r="C1271" t="str">
            <v>HAGER</v>
          </cell>
          <cell r="D1271" t="str">
            <v>HAGER</v>
          </cell>
        </row>
        <row r="1272">
          <cell r="A1272" t="str">
            <v>VYE1600M (1600A FP MCOS Hinged Door Box)</v>
          </cell>
          <cell r="B1272" t="str">
            <v>VYE1600M(1600A FP MCOS Hinged Door Box)</v>
          </cell>
          <cell r="C1272" t="str">
            <v>HAGER</v>
          </cell>
          <cell r="D1272" t="str">
            <v>HAGER</v>
          </cell>
        </row>
        <row r="1273">
          <cell r="A1273" t="str">
            <v>HBA160H (160A 3 Pole Adjustable sensitivity till 6A, Adjustable tripping 1s)</v>
          </cell>
          <cell r="B1273" t="str">
            <v>HBA160H(160A 3 Pole Adjustable sensitivity till 6A, Adjustable tripping 1s)</v>
          </cell>
          <cell r="C1273" t="str">
            <v>HAGER</v>
          </cell>
          <cell r="D1273" t="str">
            <v>HAGER</v>
          </cell>
        </row>
        <row r="1274">
          <cell r="A1274" t="str">
            <v>HBA161H (160A 4 Pole Adjustable sensitivity till 6A, Adjustable tripping 1s)</v>
          </cell>
          <cell r="B1274" t="str">
            <v>HBA161H(160A 4 Pole Adjustable sensitivity till 6A, Adjustable tripping 1s)</v>
          </cell>
          <cell r="C1274" t="str">
            <v>HAGER</v>
          </cell>
          <cell r="D1274" t="str">
            <v>HAGER</v>
          </cell>
        </row>
        <row r="1275">
          <cell r="A1275" t="str">
            <v>VYE160M (160A FP MCOS Hinged Door Box)</v>
          </cell>
          <cell r="B1275" t="str">
            <v>VYE160M(160A FP MCOS Hinged Door Box)</v>
          </cell>
          <cell r="C1275" t="str">
            <v>HAGER</v>
          </cell>
          <cell r="D1275" t="str">
            <v>HAGER</v>
          </cell>
        </row>
        <row r="1276">
          <cell r="A1276" t="str">
            <v>VYM160CMZ (160A MCCB Single Door IP30 box)</v>
          </cell>
          <cell r="B1276" t="str">
            <v>VYM160CMZ(160A MCCB Single Door IP30 box)</v>
          </cell>
          <cell r="C1276" t="str">
            <v>HAGER</v>
          </cell>
          <cell r="D1276" t="str">
            <v>HAGER</v>
          </cell>
        </row>
        <row r="1277">
          <cell r="A1277" t="str">
            <v>WSNSW51 (16A 1-Way)</v>
          </cell>
          <cell r="B1277" t="str">
            <v>WSNSW51(16A 1-Way)</v>
          </cell>
          <cell r="C1277" t="str">
            <v>HAGER</v>
          </cell>
          <cell r="D1277" t="str">
            <v>HAGER</v>
          </cell>
        </row>
        <row r="1278">
          <cell r="A1278" t="str">
            <v>WSNSW51A (16A 1-Way  ANTH)</v>
          </cell>
          <cell r="B1278" t="str">
            <v>WSNSW51A(16A 1-Way ANTH)</v>
          </cell>
          <cell r="C1278" t="str">
            <v>HAGER</v>
          </cell>
          <cell r="D1278" t="str">
            <v>HAGER</v>
          </cell>
        </row>
        <row r="1279">
          <cell r="A1279" t="str">
            <v>WSNSL51 (16A 1-Way with indication)</v>
          </cell>
          <cell r="B1279" t="str">
            <v>WSNSL51(16A 1-Way with indication)</v>
          </cell>
          <cell r="C1279" t="str">
            <v>HAGER</v>
          </cell>
          <cell r="D1279" t="str">
            <v>HAGER</v>
          </cell>
        </row>
        <row r="1280">
          <cell r="A1280" t="str">
            <v>WSNSL51A (16A 1-Way with indication  ANTH)</v>
          </cell>
          <cell r="B1280" t="str">
            <v>WSNSL51A(16A 1-Way with indication ANTH)</v>
          </cell>
          <cell r="C1280" t="str">
            <v>HAGER</v>
          </cell>
          <cell r="D1280" t="str">
            <v>HAGER</v>
          </cell>
        </row>
        <row r="1281">
          <cell r="A1281" t="str">
            <v>WSNSW61 (16A 2-Way)</v>
          </cell>
          <cell r="B1281" t="str">
            <v>WSNSW61(16A 2-Way)</v>
          </cell>
          <cell r="C1281" t="str">
            <v>HAGER</v>
          </cell>
          <cell r="D1281" t="str">
            <v>HAGER</v>
          </cell>
        </row>
        <row r="1282">
          <cell r="A1282" t="str">
            <v>WSNSW61A (16A 2-Way  ANTH)</v>
          </cell>
          <cell r="B1282" t="str">
            <v>WSNSW61A(16A 2-Way ANTH)</v>
          </cell>
          <cell r="C1282" t="str">
            <v>HAGER</v>
          </cell>
          <cell r="D1282" t="str">
            <v>HAGER</v>
          </cell>
        </row>
        <row r="1283">
          <cell r="A1283" t="str">
            <v>VYB416CZ (16A 3Pin 4M Plastic P&amp;S IP30 box)</v>
          </cell>
          <cell r="B1283" t="str">
            <v>VYB416CZ(16A 3Pin 4M Plastic P&amp;S IP30 box)</v>
          </cell>
          <cell r="C1283" t="str">
            <v>HAGER</v>
          </cell>
          <cell r="D1283" t="str">
            <v>HAGER</v>
          </cell>
        </row>
        <row r="1284">
          <cell r="A1284" t="str">
            <v>VYB416C (16A 3Pin 4M Plastic P&amp;S IP30 box_x000D_
)</v>
          </cell>
          <cell r="B1284" t="str">
            <v>VYB416C(16A 3Pin 4M Plastic P&amp;S IP30 box_x000D_
)</v>
          </cell>
          <cell r="C1284" t="str">
            <v>HAGER</v>
          </cell>
          <cell r="D1284" t="str">
            <v>HAGER</v>
          </cell>
        </row>
        <row r="1285">
          <cell r="A1285" t="str">
            <v>AE216Y (16A DP RCBO 100mA)</v>
          </cell>
          <cell r="B1285" t="str">
            <v>AE216Y(16A DP RCBO 100mA)</v>
          </cell>
          <cell r="C1285" t="str">
            <v>HAGER</v>
          </cell>
          <cell r="D1285" t="str">
            <v>HAGER</v>
          </cell>
        </row>
        <row r="1286">
          <cell r="A1286" t="str">
            <v>AF216Y (16A DP RCBO 300mA)</v>
          </cell>
          <cell r="B1286" t="str">
            <v>AF216Y(16A DP RCBO 300mA)</v>
          </cell>
          <cell r="C1286" t="str">
            <v>HAGER</v>
          </cell>
          <cell r="D1286" t="str">
            <v>HAGER</v>
          </cell>
        </row>
        <row r="1287">
          <cell r="A1287" t="str">
            <v>AD216Y (16A DP RCBO 30mA)</v>
          </cell>
          <cell r="B1287" t="str">
            <v>AD216Y(16A DP RCBO 30mA)</v>
          </cell>
          <cell r="C1287" t="str">
            <v>HAGER</v>
          </cell>
          <cell r="D1287" t="str">
            <v>HAGER</v>
          </cell>
        </row>
        <row r="1288">
          <cell r="A1288" t="str">
            <v>AE416Y (16A FP RCBO 100mA)</v>
          </cell>
          <cell r="B1288" t="str">
            <v>AE416Y(16A FP RCBO 100mA)</v>
          </cell>
          <cell r="C1288" t="str">
            <v>HAGER</v>
          </cell>
          <cell r="D1288" t="str">
            <v>HAGER</v>
          </cell>
        </row>
        <row r="1289">
          <cell r="A1289" t="str">
            <v>AF416Y (16A FP RCBO 300mA)</v>
          </cell>
          <cell r="B1289" t="str">
            <v>AF416Y(16A FP RCBO 300mA)</v>
          </cell>
          <cell r="C1289" t="str">
            <v>HAGER</v>
          </cell>
          <cell r="D1289" t="str">
            <v>HAGER</v>
          </cell>
        </row>
        <row r="1290">
          <cell r="A1290" t="str">
            <v>AD416Y (16A FP RCBO 30mA)</v>
          </cell>
          <cell r="B1290" t="str">
            <v>AD416Y(16A FP RCBO 30mA)</v>
          </cell>
          <cell r="C1290" t="str">
            <v>HAGER</v>
          </cell>
          <cell r="D1290" t="str">
            <v>HAGER</v>
          </cell>
        </row>
        <row r="1291">
          <cell r="A1291" t="str">
            <v>NC116N (16A SP C Curve MCB)</v>
          </cell>
          <cell r="B1291" t="str">
            <v>NC116N(16A SP C Curve MCB)</v>
          </cell>
          <cell r="C1291" t="str">
            <v>HAGER</v>
          </cell>
          <cell r="D1291" t="str">
            <v>HAGER</v>
          </cell>
        </row>
        <row r="1292">
          <cell r="A1292" t="str">
            <v>WSNSW51R (16A Switch 1Way)</v>
          </cell>
          <cell r="B1292" t="str">
            <v>WSNSW51R(16A Switch 1Way)</v>
          </cell>
          <cell r="C1292" t="str">
            <v>HAGER</v>
          </cell>
          <cell r="D1292" t="str">
            <v>HAGER</v>
          </cell>
        </row>
        <row r="1293">
          <cell r="A1293" t="str">
            <v>WSNCG18S (18 Mod Cover &amp; Grid Plate Alu)</v>
          </cell>
          <cell r="B1293" t="str">
            <v>WSNCG18S(18 Mod Cover &amp; Grid Plate Alu)</v>
          </cell>
          <cell r="C1293" t="str">
            <v>HAGER</v>
          </cell>
          <cell r="D1293" t="str">
            <v>HAGER</v>
          </cell>
        </row>
        <row r="1294">
          <cell r="A1294" t="str">
            <v>WSNCG18A (18 Mod Cover &amp; Grid Plate anthracite)</v>
          </cell>
          <cell r="B1294" t="str">
            <v>WSNCG18A(18 Mod Cover &amp; Grid Plate anthracite)</v>
          </cell>
          <cell r="C1294" t="str">
            <v>HAGER</v>
          </cell>
          <cell r="D1294" t="str">
            <v>HAGER</v>
          </cell>
        </row>
        <row r="1295">
          <cell r="A1295" t="str">
            <v>WSNCG18 (18 Mod Cover &amp; Grid Plate White)</v>
          </cell>
          <cell r="B1295" t="str">
            <v>WSNCG18(18 Mod Cover &amp; Grid Plate White)</v>
          </cell>
          <cell r="C1295" t="str">
            <v>HAGER</v>
          </cell>
          <cell r="D1295" t="str">
            <v>HAGER</v>
          </cell>
        </row>
        <row r="1296">
          <cell r="A1296" t="str">
            <v>G2850 (1 gang mounting box for 60mm, low voltage)</v>
          </cell>
          <cell r="B1296" t="str">
            <v>G2850(1 gang mounting box for 60mm, low voltage)</v>
          </cell>
          <cell r="C1296" t="str">
            <v>HAGER</v>
          </cell>
          <cell r="D1296" t="str">
            <v>HAGER</v>
          </cell>
        </row>
        <row r="1297">
          <cell r="A1297" t="str">
            <v>G2870 (1 gang mounting Frame for 60mm, low voltage)</v>
          </cell>
          <cell r="B1297" t="str">
            <v>G2870(1 gang mounting Frame for 60mm, low voltage)</v>
          </cell>
          <cell r="C1297" t="str">
            <v>HAGER</v>
          </cell>
          <cell r="D1297" t="str">
            <v>HAGER</v>
          </cell>
        </row>
        <row r="1298">
          <cell r="A1298" t="str">
            <v>WSNCG1S (1 Mod Cover &amp; Grid Plate Alu)</v>
          </cell>
          <cell r="B1298" t="str">
            <v>WSNCG1S(1 Mod Cover &amp; Grid Plate Alu)</v>
          </cell>
          <cell r="C1298" t="str">
            <v>HAGER</v>
          </cell>
          <cell r="D1298" t="str">
            <v>HAGER</v>
          </cell>
        </row>
        <row r="1299">
          <cell r="A1299" t="str">
            <v>WSNCG1A (1 Mod Cover &amp; Grid Plate anthracite)</v>
          </cell>
          <cell r="B1299" t="str">
            <v>WSNCG1A(1 Mod Cover &amp; Grid Plate anthracite)</v>
          </cell>
          <cell r="C1299" t="str">
            <v>HAGER</v>
          </cell>
          <cell r="D1299" t="str">
            <v>HAGER</v>
          </cell>
        </row>
        <row r="1300">
          <cell r="A1300" t="str">
            <v>WSNCG1 (1 Mod Cover &amp; Grid Plate White)</v>
          </cell>
          <cell r="B1300" t="str">
            <v>WSNCG1(1 Mod Cover &amp; Grid Plate White)</v>
          </cell>
          <cell r="C1300" t="str">
            <v>HAGER</v>
          </cell>
          <cell r="D1300" t="str">
            <v>HAGER</v>
          </cell>
        </row>
        <row r="1301">
          <cell r="A1301" t="str">
            <v>VF118PJ (1 Row X 18 Mod Plain Door Flush Mounting)</v>
          </cell>
          <cell r="B1301" t="str">
            <v>VF118PJ(1 Row X 18 Mod Plain Door Flush Mounting)</v>
          </cell>
          <cell r="C1301" t="str">
            <v>HAGER</v>
          </cell>
          <cell r="D1301" t="str">
            <v>HAGER</v>
          </cell>
        </row>
        <row r="1302">
          <cell r="A1302" t="str">
            <v>VS118PJ (1 Row X 18 Mod Plain Door Surface Mounting)</v>
          </cell>
          <cell r="B1302" t="str">
            <v>VS118PJ(1 Row X 18 Mod Plain Door Surface Mounting)</v>
          </cell>
          <cell r="C1302" t="str">
            <v>HAGER</v>
          </cell>
          <cell r="D1302" t="str">
            <v>HAGER</v>
          </cell>
        </row>
        <row r="1303">
          <cell r="A1303" t="str">
            <v>VF118TJ (1 Row X 18 Mod Transparent Door Flush Mounting)</v>
          </cell>
          <cell r="B1303" t="str">
            <v>VF118TJ(1 Row X 18 Mod Transparent Door Flush Mounting)</v>
          </cell>
          <cell r="C1303" t="str">
            <v>HAGER</v>
          </cell>
          <cell r="D1303" t="str">
            <v>HAGER</v>
          </cell>
        </row>
        <row r="1304">
          <cell r="A1304" t="str">
            <v>VS118TJ (1 Row X 18 Mod Transparent Door Surface Mounting)</v>
          </cell>
          <cell r="B1304" t="str">
            <v>VS118TJ(1 Row X 18 Mod Transparent Door Surface Mounting)</v>
          </cell>
          <cell r="C1304" t="str">
            <v>HAGER</v>
          </cell>
          <cell r="D1304" t="str">
            <v>HAGER</v>
          </cell>
        </row>
        <row r="1305">
          <cell r="A1305" t="str">
            <v>VYE200M (200A FP MCOS Hinged Door Box)</v>
          </cell>
          <cell r="B1305" t="str">
            <v>VYE200M(200A FP MCOS Hinged Door Box)</v>
          </cell>
          <cell r="C1305" t="str">
            <v>HAGER</v>
          </cell>
          <cell r="D1305" t="str">
            <v>HAGER</v>
          </cell>
        </row>
        <row r="1306">
          <cell r="A1306" t="str">
            <v>VYA120CZ (20A 1M Metal P&amp;S IP30 box)</v>
          </cell>
          <cell r="B1306" t="str">
            <v>VYA120CZ(20A 1M Metal P&amp;S IP30 box)</v>
          </cell>
          <cell r="C1306" t="str">
            <v>HAGER</v>
          </cell>
          <cell r="D1306" t="str">
            <v>HAGER</v>
          </cell>
        </row>
        <row r="1307">
          <cell r="A1307" t="str">
            <v>WSNSW71 (20A 1 way switch)</v>
          </cell>
          <cell r="B1307" t="str">
            <v>WSNSW71(20A 1 way switch)</v>
          </cell>
          <cell r="C1307" t="str">
            <v>HAGER</v>
          </cell>
          <cell r="D1307" t="str">
            <v>HAGER</v>
          </cell>
        </row>
        <row r="1308">
          <cell r="A1308" t="str">
            <v>WSNSW71A (20A 1 way switch  ANTH)</v>
          </cell>
          <cell r="B1308" t="str">
            <v>WSNSW71A(20A 1 way switch ANTH)</v>
          </cell>
          <cell r="C1308" t="str">
            <v>HAGER</v>
          </cell>
          <cell r="D1308" t="str">
            <v>HAGER</v>
          </cell>
        </row>
        <row r="1309">
          <cell r="A1309" t="str">
            <v>WSNSL71 (20A 1 way switch with indicator)</v>
          </cell>
          <cell r="B1309" t="str">
            <v>WSNSL71(20A 1 way switch with indicator)</v>
          </cell>
          <cell r="C1309" t="str">
            <v>HAGER</v>
          </cell>
          <cell r="D1309" t="str">
            <v>HAGER</v>
          </cell>
        </row>
        <row r="1310">
          <cell r="A1310" t="str">
            <v>WSNSL71A (20A 1 way switch with indicator  ANTH)</v>
          </cell>
          <cell r="B1310" t="str">
            <v>WSNSL71A(20A 1 way switch with indicator ANTH)</v>
          </cell>
          <cell r="C1310" t="str">
            <v>HAGER</v>
          </cell>
          <cell r="D1310" t="str">
            <v>HAGER</v>
          </cell>
        </row>
        <row r="1311">
          <cell r="A1311" t="str">
            <v>VYA220C (20A 2M Metal PandS IP30 Box)</v>
          </cell>
          <cell r="B1311" t="str">
            <v>VYA220C(20A 2M Metal PandS IP30 Box)</v>
          </cell>
          <cell r="C1311" t="str">
            <v>HAGER</v>
          </cell>
          <cell r="D1311" t="str">
            <v>HAGER</v>
          </cell>
        </row>
        <row r="1312">
          <cell r="A1312" t="str">
            <v>VYA220CZ (20A 2M Metal P&amp;S IP30 Box)</v>
          </cell>
          <cell r="B1312" t="str">
            <v>VYA220CZ(20A 2M Metal P&amp;S IP30 Box)</v>
          </cell>
          <cell r="C1312" t="str">
            <v>HAGER</v>
          </cell>
          <cell r="D1312" t="str">
            <v>HAGER</v>
          </cell>
        </row>
        <row r="1313">
          <cell r="A1313" t="str">
            <v>VZ131i (20A 2P Metal Plug)</v>
          </cell>
          <cell r="B1313" t="str">
            <v>VZ131i(20A 2P Metal Plug)</v>
          </cell>
          <cell r="C1313" t="str">
            <v>HAGER</v>
          </cell>
          <cell r="D1313" t="str">
            <v>HAGER</v>
          </cell>
        </row>
        <row r="1314">
          <cell r="A1314" t="str">
            <v>VZ141i (20A 2P Metal Socket)</v>
          </cell>
          <cell r="B1314" t="str">
            <v>VZ141i(20A 2P Metal Socket)</v>
          </cell>
          <cell r="C1314" t="str">
            <v>HAGER</v>
          </cell>
          <cell r="D1314" t="str">
            <v>HAGER</v>
          </cell>
        </row>
        <row r="1315">
          <cell r="A1315" t="str">
            <v>VZ132i (20A 3P Metal Plug)</v>
          </cell>
          <cell r="B1315" t="str">
            <v>VZ132i(20A 3P Metal Plug)</v>
          </cell>
          <cell r="C1315" t="str">
            <v>HAGER</v>
          </cell>
          <cell r="D1315" t="str">
            <v>HAGER</v>
          </cell>
        </row>
        <row r="1316">
          <cell r="A1316" t="str">
            <v>VZ142i (20A 3P Metal Socket)</v>
          </cell>
          <cell r="B1316" t="str">
            <v>VZ142i(20A 3P Metal Socket)</v>
          </cell>
          <cell r="C1316" t="str">
            <v>HAGER</v>
          </cell>
          <cell r="D1316" t="str">
            <v>HAGER</v>
          </cell>
        </row>
        <row r="1317">
          <cell r="A1317" t="str">
            <v>VYA420CZ (20A 4M 3Pin Metal P&amp;S IP30 box)</v>
          </cell>
          <cell r="B1317" t="str">
            <v>VYA420CZ(20A 4M 3Pin Metal P&amp;S IP30 box)</v>
          </cell>
          <cell r="C1317" t="str">
            <v>HAGER</v>
          </cell>
          <cell r="D1317" t="str">
            <v>HAGER</v>
          </cell>
        </row>
        <row r="1318">
          <cell r="A1318" t="str">
            <v>WSNSW81 (20A DP 1 way Switch with indicator)</v>
          </cell>
          <cell r="B1318" t="str">
            <v>WSNSW81(20A DP 1 way Switch with indicator)</v>
          </cell>
          <cell r="C1318" t="str">
            <v>HAGER</v>
          </cell>
          <cell r="D1318" t="str">
            <v>HAGER</v>
          </cell>
        </row>
        <row r="1319">
          <cell r="A1319" t="str">
            <v>WSNSW81A (20A DP 1 way Switch with indicator  ANTH)</v>
          </cell>
          <cell r="B1319" t="str">
            <v>WSNSW81A(20A DP 1 way Switch with indicator ANTH)</v>
          </cell>
          <cell r="C1319" t="str">
            <v>HAGER</v>
          </cell>
          <cell r="D1319" t="str">
            <v>HAGER</v>
          </cell>
        </row>
        <row r="1320">
          <cell r="A1320" t="str">
            <v>NC120N (20A SP C Cure MCB)</v>
          </cell>
          <cell r="B1320" t="str">
            <v>NC120N(20A SP C Cure MCB)</v>
          </cell>
          <cell r="C1320" t="str">
            <v>HAGER</v>
          </cell>
          <cell r="D1320" t="str">
            <v>HAGER</v>
          </cell>
        </row>
        <row r="1321">
          <cell r="A1321" t="str">
            <v>24G1 Sq mm</v>
          </cell>
          <cell r="B1321" t="str">
            <v>24G1 Sq mm</v>
          </cell>
          <cell r="C1321" t="str">
            <v>HAGER</v>
          </cell>
          <cell r="D1321" t="str">
            <v>HAGER</v>
          </cell>
        </row>
        <row r="1322">
          <cell r="A1322" t="str">
            <v>JN2L2503MH6 (250A 3P MCCB INCOMER KIT)</v>
          </cell>
          <cell r="B1322" t="str">
            <v>JN2L2503MH6(250A 3P MCCB INCOMER KIT)</v>
          </cell>
          <cell r="C1322" t="str">
            <v>HAGER</v>
          </cell>
          <cell r="D1322" t="str">
            <v>HAGER</v>
          </cell>
        </row>
        <row r="1323">
          <cell r="A1323" t="str">
            <v>HBB251H (250A 4 Pole Adjustable sensitivity till 6A, Adjustable tripping 1s)</v>
          </cell>
          <cell r="B1323" t="str">
            <v>HBB251H(250A 4 Pole Adjustable sensitivity till 6A, Adjustable tripping 1s)</v>
          </cell>
          <cell r="C1323" t="str">
            <v>HAGER</v>
          </cell>
          <cell r="D1323" t="str">
            <v>HAGER</v>
          </cell>
        </row>
        <row r="1324">
          <cell r="A1324" t="str">
            <v>VYD00E2 (250A Cable End box)</v>
          </cell>
          <cell r="B1324" t="str">
            <v>VYD00E2(250A Cable End box)</v>
          </cell>
          <cell r="C1324" t="str">
            <v>HAGER</v>
          </cell>
          <cell r="D1324" t="str">
            <v>HAGER</v>
          </cell>
        </row>
        <row r="1325">
          <cell r="A1325" t="str">
            <v>VYE250M (250A FP MCOS Hinged Door Box)</v>
          </cell>
          <cell r="B1325" t="str">
            <v>VYE250M(250A FP MCOS Hinged Door Box)</v>
          </cell>
          <cell r="C1325" t="str">
            <v>HAGER</v>
          </cell>
          <cell r="D1325" t="str">
            <v>HAGER</v>
          </cell>
        </row>
        <row r="1326">
          <cell r="A1326" t="str">
            <v>VYM250CMZ (250A MCCB Single Door IP30 box)</v>
          </cell>
          <cell r="B1326" t="str">
            <v>VYM250CMZ(250A MCCB Single Door IP30 box)</v>
          </cell>
          <cell r="C1326" t="str">
            <v>HAGER</v>
          </cell>
          <cell r="D1326" t="str">
            <v>HAGER</v>
          </cell>
        </row>
        <row r="1327">
          <cell r="A1327" t="str">
            <v>VYV12GM2Z (250A MCCB VTPN 12way IP42 AD DB)</v>
          </cell>
          <cell r="B1327" t="str">
            <v>VYV12GM2Z(250A MCCB VTPN 12way IP42 AD DB)</v>
          </cell>
          <cell r="C1327" t="str">
            <v>HAGER</v>
          </cell>
          <cell r="D1327" t="str">
            <v>HAGER</v>
          </cell>
        </row>
        <row r="1328">
          <cell r="A1328" t="str">
            <v>VYV12DM2Z (250A MCCB VTPN 12way IP42 DD DB)</v>
          </cell>
          <cell r="B1328" t="str">
            <v>VYV12DM2Z(250A MCCB VTPN 12way IP42 DD DB)</v>
          </cell>
          <cell r="C1328" t="str">
            <v>HAGER</v>
          </cell>
          <cell r="D1328" t="str">
            <v>HAGER</v>
          </cell>
        </row>
        <row r="1329">
          <cell r="A1329" t="str">
            <v>VYV12PM2Z (250A MCCB VTPN 12way IP54 DD DB)</v>
          </cell>
          <cell r="B1329" t="str">
            <v>VYV12PM2Z(250A MCCB VTPN 12way IP54 DD DB)</v>
          </cell>
          <cell r="C1329" t="str">
            <v>HAGER</v>
          </cell>
          <cell r="D1329" t="str">
            <v>HAGER</v>
          </cell>
        </row>
        <row r="1330">
          <cell r="A1330" t="str">
            <v>VYV16GM2Z (250A MCCB VTPN 16way IP42 AD DB)</v>
          </cell>
          <cell r="B1330" t="str">
            <v>VYV16GM2Z(250A MCCB VTPN 16way IP42 AD DB)</v>
          </cell>
          <cell r="C1330" t="str">
            <v>HAGER</v>
          </cell>
          <cell r="D1330" t="str">
            <v>HAGER</v>
          </cell>
        </row>
        <row r="1331">
          <cell r="A1331" t="str">
            <v>VYV16DM2Z (250A MCCB VTPN 16way IP42 DD DB)</v>
          </cell>
          <cell r="B1331" t="str">
            <v>VYV16DM2Z(250A MCCB VTPN 16way IP42 DD DB)</v>
          </cell>
          <cell r="C1331" t="str">
            <v>HAGER</v>
          </cell>
          <cell r="D1331" t="str">
            <v>HAGER</v>
          </cell>
        </row>
        <row r="1332">
          <cell r="A1332" t="str">
            <v>VYV04GM2Z (250A MCCB VTPN 4way IP42 AD DB)</v>
          </cell>
          <cell r="B1332" t="str">
            <v>VYV04GM2Z(250A MCCB VTPN 4way IP42 AD DB)</v>
          </cell>
          <cell r="C1332" t="str">
            <v>HAGER</v>
          </cell>
          <cell r="D1332" t="str">
            <v>HAGER</v>
          </cell>
        </row>
        <row r="1333">
          <cell r="A1333" t="str">
            <v>VYV04DM2Z (250A MCCB VTPN 4Way IP42 DD DB)</v>
          </cell>
          <cell r="B1333" t="str">
            <v>VYV04DM2Z(250A MCCB VTPN 4Way IP42 DD DB)</v>
          </cell>
          <cell r="C1333" t="str">
            <v>HAGER</v>
          </cell>
          <cell r="D1333" t="str">
            <v>HAGER</v>
          </cell>
        </row>
        <row r="1334">
          <cell r="A1334" t="str">
            <v>VYV04PM2Z (250A MCCB VTPN 4way IP54 DD DB)</v>
          </cell>
          <cell r="B1334" t="str">
            <v>VYV04PM2Z(250A MCCB VTPN 4way IP54 DD DB)</v>
          </cell>
          <cell r="C1334" t="str">
            <v>HAGER</v>
          </cell>
          <cell r="D1334" t="str">
            <v>HAGER</v>
          </cell>
        </row>
        <row r="1335">
          <cell r="A1335" t="str">
            <v>VYV06GM2Z (250A MCCB VTPN 6way IP42 AD DB)</v>
          </cell>
          <cell r="B1335" t="str">
            <v>VYV06GM2Z(250A MCCB VTPN 6way IP42 AD DB)</v>
          </cell>
          <cell r="C1335" t="str">
            <v>HAGER</v>
          </cell>
          <cell r="D1335" t="str">
            <v>HAGER</v>
          </cell>
        </row>
        <row r="1336">
          <cell r="A1336" t="str">
            <v>VYV06DM2Z (250A MCCB VTPN 6way IP42 DD DB)</v>
          </cell>
          <cell r="B1336" t="str">
            <v>VYV06DM2Z(250A MCCB VTPN 6way IP42 DD DB)</v>
          </cell>
          <cell r="C1336" t="str">
            <v>HAGER</v>
          </cell>
          <cell r="D1336" t="str">
            <v>HAGER</v>
          </cell>
        </row>
        <row r="1337">
          <cell r="A1337" t="str">
            <v>VYV06PM2Z (250A MCCB VTPN 6way IP54 DD DB)</v>
          </cell>
          <cell r="B1337" t="str">
            <v>VYV06PM2Z(250A MCCB VTPN 6way IP54 DD DB)</v>
          </cell>
          <cell r="C1337" t="str">
            <v>HAGER</v>
          </cell>
          <cell r="D1337" t="str">
            <v>HAGER</v>
          </cell>
        </row>
        <row r="1338">
          <cell r="A1338" t="str">
            <v>VYV08GM2Z (250A MCCB VTPN 8way IP42 AD DB)</v>
          </cell>
          <cell r="B1338" t="str">
            <v>VYV08GM2Z(250A MCCB VTPN 8way IP42 AD DB)</v>
          </cell>
          <cell r="C1338" t="str">
            <v>HAGER</v>
          </cell>
          <cell r="D1338" t="str">
            <v>HAGER</v>
          </cell>
        </row>
        <row r="1339">
          <cell r="A1339" t="str">
            <v>VYV08DM2Z (250A MCCB VTPN 8way IP42 DD DB)</v>
          </cell>
          <cell r="B1339" t="str">
            <v>VYV08DM_x000D_
(8 way, MCCB+24 modules IP43 Double Door DBs vertical TPN distribution boards (x160 h3 MCCB incomer)_x000D_
)</v>
          </cell>
          <cell r="C1339" t="str">
            <v>HAGER</v>
          </cell>
          <cell r="D1339" t="str">
            <v>HAGER</v>
          </cell>
        </row>
        <row r="1340">
          <cell r="A1340" t="str">
            <v>VYV08PM2Z (250A MCCB VTPN 8way IP54 DD DB)</v>
          </cell>
          <cell r="B1340" t="str">
            <v>VYV08PM2Z(250A MCCB VTPN 8way IP54 DD DB)</v>
          </cell>
          <cell r="C1340" t="str">
            <v>HAGER</v>
          </cell>
          <cell r="D1340" t="str">
            <v>HAGER</v>
          </cell>
        </row>
        <row r="1341">
          <cell r="A1341" t="str">
            <v>VYD00M2 (250A meter box)</v>
          </cell>
          <cell r="B1341" t="str">
            <v>VYD00M2(250A meter box)</v>
          </cell>
          <cell r="C1341" t="str">
            <v>HAGER</v>
          </cell>
          <cell r="D1341" t="str">
            <v>HAGER</v>
          </cell>
        </row>
        <row r="1342">
          <cell r="A1342" t="str">
            <v>JN2B00004S16 (250A P'LBOARD 4 WAY 125A OUTGOERS)</v>
          </cell>
          <cell r="B1342" t="str">
            <v>JN2B00004S16(250A P'LBOARD 4 WAY 125A OUTGOERS)</v>
          </cell>
          <cell r="C1342" t="str">
            <v>HAGER</v>
          </cell>
          <cell r="D1342" t="str">
            <v>HAGER</v>
          </cell>
        </row>
        <row r="1343">
          <cell r="A1343" t="str">
            <v>JN2B00010S16 (250A Panel BOARD 10WAY Surface)</v>
          </cell>
          <cell r="B1343" t="str">
            <v>JN2B00010S16(250A Panel BOARD 10WAY Surface)</v>
          </cell>
          <cell r="C1343" t="str">
            <v>HAGER</v>
          </cell>
          <cell r="D1343" t="str">
            <v>HAGER</v>
          </cell>
        </row>
        <row r="1344">
          <cell r="A1344" t="str">
            <v>JN2B00012S16 (250A Panel BOARD 12WAY Surface)</v>
          </cell>
          <cell r="B1344" t="str">
            <v>JN2B00012S16(250A Panel BOARD 12WAY Surface)</v>
          </cell>
          <cell r="C1344" t="str">
            <v>HAGER</v>
          </cell>
          <cell r="D1344" t="str">
            <v>HAGER</v>
          </cell>
        </row>
        <row r="1345">
          <cell r="A1345" t="str">
            <v>JN2B00016S16 (250A Panel BOARD 16WAY Surface)</v>
          </cell>
          <cell r="B1345" t="str">
            <v>JN2B00016S16(250A Panel BOARD 16WAY Surface)</v>
          </cell>
          <cell r="C1345" t="str">
            <v>HAGER</v>
          </cell>
          <cell r="D1345" t="str">
            <v>HAGER</v>
          </cell>
        </row>
        <row r="1346">
          <cell r="A1346" t="str">
            <v>JN2B00006S16 (250A Panel BOARD 6 WAY Surface)</v>
          </cell>
          <cell r="B1346" t="str">
            <v>JN2B00006S16(250A Panel BOARD 6 WAY Surface)</v>
          </cell>
          <cell r="C1346" t="str">
            <v>HAGER</v>
          </cell>
          <cell r="D1346" t="str">
            <v>HAGER</v>
          </cell>
        </row>
        <row r="1347">
          <cell r="A1347" t="str">
            <v>JN2B00008S16 (250A Panel BOARD 8 WAY Surface)</v>
          </cell>
          <cell r="B1347" t="str">
            <v>JN2B00008S16(250A Panel BOARD 8 WAY Surface)</v>
          </cell>
          <cell r="C1347" t="str">
            <v>HAGER</v>
          </cell>
          <cell r="D1347" t="str">
            <v>HAGER</v>
          </cell>
        </row>
        <row r="1348">
          <cell r="A1348" t="str">
            <v>AE225Y (25A DP RCBO 100mA)</v>
          </cell>
          <cell r="B1348" t="str">
            <v>AE225Y(25A DP RCBO 100mA)</v>
          </cell>
          <cell r="C1348" t="str">
            <v>HAGER</v>
          </cell>
          <cell r="D1348" t="str">
            <v>HAGER</v>
          </cell>
        </row>
        <row r="1349">
          <cell r="A1349" t="str">
            <v>AF225Y (25A DP RCBO 300mA)</v>
          </cell>
          <cell r="B1349" t="str">
            <v>AF225Y(25A DP RCBO 300mA)</v>
          </cell>
          <cell r="C1349" t="str">
            <v>HAGER</v>
          </cell>
          <cell r="D1349" t="str">
            <v>HAGER</v>
          </cell>
        </row>
        <row r="1350">
          <cell r="A1350" t="str">
            <v>AD225Y (25A DP RCBO 30mA)</v>
          </cell>
          <cell r="B1350" t="str">
            <v>AD225Y(25A DP RCBO 30mA)</v>
          </cell>
          <cell r="C1350" t="str">
            <v>HAGER</v>
          </cell>
          <cell r="D1350" t="str">
            <v>HAGER</v>
          </cell>
        </row>
        <row r="1351">
          <cell r="A1351" t="str">
            <v>AE425Y (25A FP RCBO 100mA)</v>
          </cell>
          <cell r="B1351" t="str">
            <v>AE425Y(25A FP RCBO 100mA)</v>
          </cell>
          <cell r="C1351" t="str">
            <v>HAGER</v>
          </cell>
          <cell r="D1351" t="str">
            <v>HAGER</v>
          </cell>
        </row>
        <row r="1352">
          <cell r="A1352" t="str">
            <v>AF425Y (25A FP RCBO 300mA)</v>
          </cell>
          <cell r="B1352" t="str">
            <v>AF425Y(25A FP RCBO 300mA)</v>
          </cell>
          <cell r="C1352" t="str">
            <v>HAGER</v>
          </cell>
          <cell r="D1352" t="str">
            <v>HAGER</v>
          </cell>
        </row>
        <row r="1353">
          <cell r="A1353" t="str">
            <v>AD425Y (25A FP RCBO 30mA)</v>
          </cell>
          <cell r="B1353" t="str">
            <v>AD425Y(25A FP RCBO 30mA)</v>
          </cell>
          <cell r="C1353" t="str">
            <v>HAGER</v>
          </cell>
          <cell r="D1353" t="str">
            <v>HAGER</v>
          </cell>
        </row>
        <row r="1354">
          <cell r="A1354" t="str">
            <v>WSNMS12 (25A motor starter switch)</v>
          </cell>
          <cell r="B1354" t="str">
            <v>WSNMS12(25A motor starter switch)</v>
          </cell>
          <cell r="C1354" t="str">
            <v>HAGER</v>
          </cell>
          <cell r="D1354" t="str">
            <v>HAGER</v>
          </cell>
        </row>
        <row r="1355">
          <cell r="A1355" t="str">
            <v>WSNMS12A (25A motor starter switch  ANTH)</v>
          </cell>
          <cell r="B1355" t="str">
            <v>WSNMS12A(25A motor starter switch ANTH)</v>
          </cell>
          <cell r="C1355" t="str">
            <v>HAGER</v>
          </cell>
          <cell r="D1355" t="str">
            <v>HAGER</v>
          </cell>
        </row>
        <row r="1356">
          <cell r="A1356" t="str">
            <v>WSNSK32 (25 and 10A protruded socket)</v>
          </cell>
          <cell r="B1356" t="str">
            <v>WSNSK32(25 and 10A protruded socket)</v>
          </cell>
          <cell r="C1356" t="str">
            <v>HAGER</v>
          </cell>
          <cell r="D1356" t="str">
            <v>HAGER</v>
          </cell>
        </row>
        <row r="1357">
          <cell r="A1357" t="str">
            <v>WSNSK32A (25 and 10A protruded socket  ANTH)</v>
          </cell>
          <cell r="B1357" t="str">
            <v>WSNSK32A(25 and 10A protruded socket ANTH)</v>
          </cell>
          <cell r="C1357" t="str">
            <v>HAGER</v>
          </cell>
          <cell r="D1357" t="str">
            <v>HAGER</v>
          </cell>
        </row>
        <row r="1358">
          <cell r="A1358" t="str">
            <v>113112 (2.5X3CORE 2XWY STR FRLS COPP ARMD 1.1KV CABLE)</v>
          </cell>
          <cell r="B1358" t="str">
            <v>113112(2.5X3CORE 2XWY STR FRLS COPP ARMD 1.1KV CABLE)</v>
          </cell>
          <cell r="C1358" t="str">
            <v>HAGER</v>
          </cell>
          <cell r="D1358" t="str">
            <v>HAGER</v>
          </cell>
        </row>
        <row r="1359">
          <cell r="A1359" t="str">
            <v>EG293B (2 channel yearly time switch)</v>
          </cell>
          <cell r="B1359" t="str">
            <v>EG293B(2 channel yearly time switch)</v>
          </cell>
          <cell r="C1359" t="str">
            <v>HAGER</v>
          </cell>
          <cell r="D1359" t="str">
            <v>HAGER</v>
          </cell>
        </row>
        <row r="1360">
          <cell r="A1360" t="str">
            <v>WS110 (2 MGlossy White USB Charger/Systo or Essensya)</v>
          </cell>
          <cell r="B1360" t="str">
            <v>WS110(2 MGlossy White USB Charger/Systo or Essensya)</v>
          </cell>
          <cell r="C1360" t="str">
            <v>HAGER</v>
          </cell>
          <cell r="D1360" t="str">
            <v>HAGER</v>
          </cell>
        </row>
        <row r="1361">
          <cell r="A1361" t="str">
            <v>WSNCG2S (2 Mod Cover &amp; Grid Plate Alu)</v>
          </cell>
          <cell r="B1361" t="str">
            <v>WSNCG2S(2 Mod Cover &amp; Grid Plate Alu)</v>
          </cell>
          <cell r="C1361" t="str">
            <v>HAGER</v>
          </cell>
          <cell r="D1361" t="str">
            <v>HAGER</v>
          </cell>
        </row>
        <row r="1362">
          <cell r="A1362" t="str">
            <v>WSNCG2A (2 Mod Cover &amp; Grid Plate anthracite)</v>
          </cell>
          <cell r="B1362" t="str">
            <v>WSNCG2A(2 Mod Cover &amp; Grid Plate anthracite)</v>
          </cell>
          <cell r="C1362" t="str">
            <v>HAGER</v>
          </cell>
          <cell r="D1362" t="str">
            <v>HAGER</v>
          </cell>
        </row>
        <row r="1363">
          <cell r="A1363" t="str">
            <v>WSNCG2 (2 Mod Cover &amp; Grid Plate White)</v>
          </cell>
          <cell r="B1363" t="str">
            <v>WSNCG2(2 Mod Cover &amp; Grid Plate White)</v>
          </cell>
          <cell r="C1363" t="str">
            <v>HAGER</v>
          </cell>
          <cell r="D1363" t="str">
            <v>HAGER</v>
          </cell>
        </row>
        <row r="1364">
          <cell r="A1364" t="str">
            <v>VYF214GZ (2R 28M Flexy IP43 Acrylic Door DB)</v>
          </cell>
          <cell r="B1364" t="str">
            <v>VYF214GZ(2R 28M Flexy IP43 Acrylic Door DB)</v>
          </cell>
          <cell r="C1364" t="str">
            <v>HAGER</v>
          </cell>
          <cell r="D1364" t="str">
            <v>HAGER</v>
          </cell>
        </row>
        <row r="1365">
          <cell r="A1365" t="str">
            <v>VYF214DZ (2R 28M Flexy IP43 Double Door DB)</v>
          </cell>
          <cell r="B1365" t="str">
            <v>VYF214DZ(2R 28M Flexy IP43 Double Door DB)</v>
          </cell>
          <cell r="C1365" t="str">
            <v>HAGER</v>
          </cell>
          <cell r="D1365" t="str">
            <v>HAGER</v>
          </cell>
        </row>
        <row r="1366">
          <cell r="A1366" t="str">
            <v>VYF214D (2R 28M Flexy IP43 Double Door DB_x000D_
)</v>
          </cell>
          <cell r="B1366" t="str">
            <v>VYF214D(2R 28M Flexy IP43 Double Door DB_x000D_
)</v>
          </cell>
          <cell r="C1366" t="str">
            <v>HAGER</v>
          </cell>
          <cell r="D1366" t="str">
            <v>HAGER</v>
          </cell>
        </row>
        <row r="1367">
          <cell r="A1367" t="str">
            <v>VYF214PZ (2R 28M Flexy IP54 Double Door DB)</v>
          </cell>
          <cell r="B1367" t="str">
            <v>VYF214PZ(2R 28M Flexy IP54 Double Door DB)</v>
          </cell>
          <cell r="C1367" t="str">
            <v>HAGER</v>
          </cell>
          <cell r="D1367" t="str">
            <v>HAGER</v>
          </cell>
        </row>
        <row r="1368">
          <cell r="A1368" t="str">
            <v>VF218PJ (2 Row X 18 Mod Plain Door Flush Mounting)</v>
          </cell>
          <cell r="B1368" t="str">
            <v>VF218PJ(2 Row X 18 Mod Plain Door Flush Mounting)</v>
          </cell>
          <cell r="C1368" t="str">
            <v>HAGER</v>
          </cell>
          <cell r="D1368" t="str">
            <v>HAGER</v>
          </cell>
        </row>
        <row r="1369">
          <cell r="A1369" t="str">
            <v>VS218PJ (2 Row X 18 Mod Plain Door Surface Mounting)</v>
          </cell>
          <cell r="B1369" t="str">
            <v>VS218PJ(2 Row X 18 Mod Plain Door Surface Mounting)</v>
          </cell>
          <cell r="C1369" t="str">
            <v>HAGER</v>
          </cell>
          <cell r="D1369" t="str">
            <v>HAGER</v>
          </cell>
        </row>
        <row r="1370">
          <cell r="A1370" t="str">
            <v>VF218TJ (2 Row X 18 Mod Transparent Door Flush Mounting)</v>
          </cell>
          <cell r="B1370" t="str">
            <v>VF218TJ(2 Row X 18 Mod Transparent Door Flush Mounting)</v>
          </cell>
          <cell r="C1370" t="str">
            <v>HAGER</v>
          </cell>
          <cell r="D1370" t="str">
            <v>HAGER</v>
          </cell>
        </row>
        <row r="1371">
          <cell r="A1371" t="str">
            <v>VS218TJ (2 Row X 18 Mod Transparent Door Surface Mounting)</v>
          </cell>
          <cell r="B1371" t="str">
            <v>VS218TJ(2 Row X 18 Mod Transparent Door Surface Mounting)</v>
          </cell>
          <cell r="C1371" t="str">
            <v>HAGER</v>
          </cell>
          <cell r="D1371" t="str">
            <v>HAGER</v>
          </cell>
        </row>
        <row r="1372">
          <cell r="A1372" t="str">
            <v>VYM02C_x000D_
 (2 way, 2 modules one way enclosures_x000D_
)</v>
          </cell>
          <cell r="B1372" t="str">
            <v>VYM02C_x000D_
(2 way, 2 modules one way enclosures_x000D_
)</v>
          </cell>
          <cell r="C1372" t="str">
            <v>HAGER</v>
          </cell>
          <cell r="D1372" t="str">
            <v>HAGER</v>
          </cell>
        </row>
        <row r="1373">
          <cell r="A1373" t="str">
            <v>VYM02CZ (2Way Single Door IP30 box)</v>
          </cell>
          <cell r="B1373" t="str">
            <v>VYM02CZ(2Way Single Door IP30 box)</v>
          </cell>
          <cell r="C1373" t="str">
            <v>HAGER</v>
          </cell>
          <cell r="D1373" t="str">
            <v>HAGER</v>
          </cell>
        </row>
        <row r="1374">
          <cell r="A1374" t="str">
            <v>VYE315M (315A FP MCOS Hinged Door Box)</v>
          </cell>
          <cell r="B1374" t="str">
            <v>VYE315M(315A FP MCOS Hinged Door Box)</v>
          </cell>
          <cell r="C1374" t="str">
            <v>HAGER</v>
          </cell>
          <cell r="D1374" t="str">
            <v>HAGER</v>
          </cell>
        </row>
        <row r="1375">
          <cell r="A1375" t="str">
            <v>VYB432CZ (32A 3Pin 4M Plastic P&amp;S IP30 box)</v>
          </cell>
          <cell r="B1375" t="str">
            <v>VYB432CZ(32A 3Pin 4M Plastic P&amp;S IP30 box)</v>
          </cell>
          <cell r="C1375" t="str">
            <v>HAGER</v>
          </cell>
          <cell r="D1375" t="str">
            <v>HAGER</v>
          </cell>
        </row>
        <row r="1376">
          <cell r="A1376" t="str">
            <v>VZ133i (32A 3P Metal Plug)</v>
          </cell>
          <cell r="B1376" t="str">
            <v>VZ133i(32A 3P Metal Plug)</v>
          </cell>
          <cell r="C1376" t="str">
            <v>HAGER</v>
          </cell>
          <cell r="D1376" t="str">
            <v>HAGER</v>
          </cell>
        </row>
        <row r="1377">
          <cell r="A1377" t="str">
            <v>VZ143i (32A 3P Metal Socket)</v>
          </cell>
          <cell r="B1377" t="str">
            <v>VZ143i(32A 3P Metal Socket)</v>
          </cell>
          <cell r="C1377" t="str">
            <v>HAGER</v>
          </cell>
          <cell r="D1377" t="str">
            <v>HAGER</v>
          </cell>
        </row>
        <row r="1378">
          <cell r="A1378" t="str">
            <v>VYA432CZ (32A 4M 3Pin Metal P&amp;S IP30 box)</v>
          </cell>
          <cell r="B1378" t="str">
            <v>VYA432CZ(32A 4M 3Pin Metal P&amp;S IP30 box)</v>
          </cell>
          <cell r="C1378" t="str">
            <v>HAGER</v>
          </cell>
          <cell r="D1378" t="str">
            <v>HAGER</v>
          </cell>
        </row>
        <row r="1379">
          <cell r="A1379" t="str">
            <v>VYA432C (32A 4M 3Pin Metal P&amp;S IP30 box_x000D_
)</v>
          </cell>
          <cell r="B1379" t="str">
            <v>VYA432C(32A 4M 3Pin Metal P&amp;S IP30 box_x000D_
)</v>
          </cell>
          <cell r="C1379" t="str">
            <v>HAGER</v>
          </cell>
          <cell r="D1379" t="str">
            <v>HAGER</v>
          </cell>
        </row>
        <row r="1380">
          <cell r="A1380" t="str">
            <v>VYB832CZ (32A 5Pin 8M Plastic P&amp;S IP30 box)</v>
          </cell>
          <cell r="B1380" t="str">
            <v>VYB832CZ(32A 5Pin 8M Plastic P&amp;S IP30 box)</v>
          </cell>
          <cell r="C1380" t="str">
            <v>HAGER</v>
          </cell>
          <cell r="D1380" t="str">
            <v>HAGER</v>
          </cell>
        </row>
        <row r="1381">
          <cell r="A1381" t="str">
            <v>VYB832C (32A 5Pin 8M Plastic P&amp;S IP30 box_x000D_
)</v>
          </cell>
          <cell r="B1381" t="str">
            <v>VYB832C(32A 5Pin 8M Plastic P&amp;S IP30 box_x000D_
)</v>
          </cell>
          <cell r="C1381" t="str">
            <v>HAGER</v>
          </cell>
          <cell r="D1381" t="str">
            <v>HAGER</v>
          </cell>
        </row>
        <row r="1382">
          <cell r="A1382" t="str">
            <v>AE232Y (32A DP RCBO 100mA)</v>
          </cell>
          <cell r="B1382" t="str">
            <v>AE232Y(32A DP RCBO 100mA)</v>
          </cell>
          <cell r="C1382" t="str">
            <v>HAGER</v>
          </cell>
          <cell r="D1382" t="str">
            <v>HAGER</v>
          </cell>
        </row>
        <row r="1383">
          <cell r="A1383" t="str">
            <v>AF232Y (32A DP RCBO 300mA)</v>
          </cell>
          <cell r="B1383" t="str">
            <v>AF232Y(32A DP RCBO 300mA)</v>
          </cell>
          <cell r="C1383" t="str">
            <v>HAGER</v>
          </cell>
          <cell r="D1383" t="str">
            <v>HAGER</v>
          </cell>
        </row>
        <row r="1384">
          <cell r="A1384" t="str">
            <v>AD232Y (32A DP RCBO 30mA)</v>
          </cell>
          <cell r="B1384" t="str">
            <v>AD232Y(32A DP RCBO 30mA)</v>
          </cell>
          <cell r="C1384" t="str">
            <v>HAGER</v>
          </cell>
          <cell r="D1384" t="str">
            <v>HAGER</v>
          </cell>
        </row>
        <row r="1385">
          <cell r="A1385" t="str">
            <v>AE432Y (32A FP RCBO 100mA)</v>
          </cell>
          <cell r="B1385" t="str">
            <v>AE432Y(32A FP RCBO 100mA)</v>
          </cell>
          <cell r="C1385" t="str">
            <v>HAGER</v>
          </cell>
          <cell r="D1385" t="str">
            <v>HAGER</v>
          </cell>
        </row>
        <row r="1386">
          <cell r="A1386" t="str">
            <v>AF432Y (32A FP RCBO 300mA)</v>
          </cell>
          <cell r="B1386" t="str">
            <v>AF432Y(32A FP RCBO 300mA)</v>
          </cell>
          <cell r="C1386" t="str">
            <v>HAGER</v>
          </cell>
          <cell r="D1386" t="str">
            <v>HAGER</v>
          </cell>
        </row>
        <row r="1387">
          <cell r="A1387" t="str">
            <v>AD432Y (32A FP RCBO 30mA)</v>
          </cell>
          <cell r="B1387" t="str">
            <v>AD432Y(32A FP RCBO 30mA)</v>
          </cell>
          <cell r="C1387" t="str">
            <v>HAGER</v>
          </cell>
          <cell r="D1387" t="str">
            <v>HAGER</v>
          </cell>
        </row>
        <row r="1388">
          <cell r="A1388" t="str">
            <v>WSNSL92A (32A Switch 2 Pole 1 Way with indicator  ANTH)</v>
          </cell>
          <cell r="B1388" t="str">
            <v>WSNSL92A(32A Switch 2 Pole 1 Way with indicator ANTH)</v>
          </cell>
          <cell r="C1388" t="str">
            <v>HAGER</v>
          </cell>
          <cell r="D1388" t="str">
            <v>HAGER</v>
          </cell>
        </row>
        <row r="1389">
          <cell r="A1389" t="str">
            <v>WSNSL92 (32A Switch DP Way with indicator)</v>
          </cell>
          <cell r="B1389" t="str">
            <v>WSNSL92(32A Switch DP Way with indicator)</v>
          </cell>
          <cell r="C1389" t="str">
            <v>HAGER</v>
          </cell>
          <cell r="D1389" t="str">
            <v>HAGER</v>
          </cell>
        </row>
        <row r="1390">
          <cell r="A1390" t="str">
            <v>L43529010 (3D internal corner  for  GBD5010009010)</v>
          </cell>
          <cell r="B1390" t="str">
            <v>L43529010(3D internal corner for GBD5010009010)</v>
          </cell>
          <cell r="C1390" t="str">
            <v>HAGER</v>
          </cell>
          <cell r="D1390" t="str">
            <v>HAGER</v>
          </cell>
        </row>
        <row r="1391">
          <cell r="A1391" t="str">
            <v>L43549010 (3D internal corner  for  GBD5013109010)</v>
          </cell>
          <cell r="B1391" t="str">
            <v>L43549010(3D internal corner for GBD5013109010)</v>
          </cell>
          <cell r="C1391" t="str">
            <v>HAGER</v>
          </cell>
          <cell r="D1391" t="str">
            <v>HAGER</v>
          </cell>
        </row>
        <row r="1392">
          <cell r="A1392" t="str">
            <v>L43569010 (3D internal corner  for  GBD5016109010)</v>
          </cell>
          <cell r="B1392" t="str">
            <v>L43569010(3D internal corner for GBD5016109010)</v>
          </cell>
          <cell r="C1392" t="str">
            <v>HAGER</v>
          </cell>
          <cell r="D1392" t="str">
            <v>HAGER</v>
          </cell>
        </row>
        <row r="1393">
          <cell r="A1393" t="str">
            <v>WSNCG3S (3 Mod Cover &amp; Grid Plate Alu)</v>
          </cell>
          <cell r="B1393" t="str">
            <v>WSNCG3S(3 Mod Cover &amp; Grid Plate Alu)</v>
          </cell>
          <cell r="C1393" t="str">
            <v>HAGER</v>
          </cell>
          <cell r="D1393" t="str">
            <v>HAGER</v>
          </cell>
        </row>
        <row r="1394">
          <cell r="A1394" t="str">
            <v>WSNCG3A (3 Mod Cover &amp; Grid Plate anthracite)</v>
          </cell>
          <cell r="B1394" t="str">
            <v>WSNCG3A(3 Mod Cover &amp; Grid Plate anthracite)</v>
          </cell>
          <cell r="C1394" t="str">
            <v>HAGER</v>
          </cell>
          <cell r="D1394" t="str">
            <v>HAGER</v>
          </cell>
        </row>
        <row r="1395">
          <cell r="A1395" t="str">
            <v>WSNCG3 (3 Mod Cover &amp; Grid Plate White)</v>
          </cell>
          <cell r="B1395" t="str">
            <v>WSNCG3(3 Mod Cover &amp; Grid Plate White)</v>
          </cell>
          <cell r="C1395" t="str">
            <v>HAGER</v>
          </cell>
          <cell r="D1395" t="str">
            <v>HAGER</v>
          </cell>
        </row>
        <row r="1396">
          <cell r="A1396" t="str">
            <v>VYF314GZ (3R 42M Flexy IP43 Acrylic Door DB)</v>
          </cell>
          <cell r="B1396" t="str">
            <v>VYF314GZ(3R 42M Flexy IP43 Acrylic Door DB)</v>
          </cell>
          <cell r="C1396" t="str">
            <v>HAGER</v>
          </cell>
          <cell r="D1396" t="str">
            <v>HAGER</v>
          </cell>
        </row>
        <row r="1397">
          <cell r="A1397" t="str">
            <v>VYF314DZ (3R 42M Flexy IP43 Double Door DB)</v>
          </cell>
          <cell r="B1397" t="str">
            <v>VYF314DZ(3R 42M Flexy IP43 Double Door DB)</v>
          </cell>
          <cell r="C1397" t="str">
            <v>HAGER</v>
          </cell>
          <cell r="D1397" t="str">
            <v>HAGER</v>
          </cell>
        </row>
        <row r="1398">
          <cell r="A1398" t="str">
            <v>VYF314D (3R 42M Flexy IP43 Double Door DB_x000D_
)</v>
          </cell>
          <cell r="B1398" t="str">
            <v>VYF314D(3R 42M Flexy IP43 Double Door DB_x000D_
)</v>
          </cell>
          <cell r="C1398" t="str">
            <v>HAGER</v>
          </cell>
          <cell r="D1398" t="str">
            <v>HAGER</v>
          </cell>
        </row>
        <row r="1399">
          <cell r="A1399" t="str">
            <v>VYF314PZ (3R 42M Flexy IP54 Double Door DB)</v>
          </cell>
          <cell r="B1399" t="str">
            <v>VYF314PZ(3R 42M Flexy IP54 Double Door DB)</v>
          </cell>
          <cell r="C1399" t="str">
            <v>HAGER</v>
          </cell>
          <cell r="D1399" t="str">
            <v>HAGER</v>
          </cell>
        </row>
        <row r="1400">
          <cell r="A1400" t="str">
            <v>WSNDT31 (3 x female RCA AV Connector)</v>
          </cell>
          <cell r="B1400" t="str">
            <v>WSNDT31(3 x female RCA AV Connector)</v>
          </cell>
          <cell r="C1400" t="str">
            <v>HAGER</v>
          </cell>
          <cell r="D1400" t="str">
            <v>HAGER</v>
          </cell>
        </row>
        <row r="1401">
          <cell r="A1401" t="str">
            <v>WSNDT31A (3 x female RCA AV Connector  ANTH)</v>
          </cell>
          <cell r="B1401" t="str">
            <v>WSNDT31A(3 x female RCA AV Connector ANTH)</v>
          </cell>
          <cell r="C1401" t="str">
            <v>HAGER</v>
          </cell>
          <cell r="D1401" t="str">
            <v>HAGER</v>
          </cell>
        </row>
        <row r="1402">
          <cell r="A1402" t="str">
            <v>JN4L4003MH6 (400A 3P MCCB INCOMER KIT)</v>
          </cell>
          <cell r="B1402" t="str">
            <v>JN4L4003MH6(400A 3P MCCB INCOMER KIT)</v>
          </cell>
          <cell r="C1402" t="str">
            <v>HAGER</v>
          </cell>
          <cell r="D1402" t="str">
            <v>HAGER</v>
          </cell>
        </row>
        <row r="1403">
          <cell r="A1403" t="str">
            <v>HBD401H (400A 4 Pole Adjustable sensitivity till 6A, Adjustable tripping 1s)</v>
          </cell>
          <cell r="B1403" t="str">
            <v>HBD401H(400A 4 Pole Adjustable sensitivity till 6A, Adjustable tripping 1s)</v>
          </cell>
          <cell r="C1403" t="str">
            <v>HAGER</v>
          </cell>
          <cell r="D1403" t="str">
            <v>HAGER</v>
          </cell>
        </row>
        <row r="1404">
          <cell r="A1404" t="str">
            <v>VYE400M (400A FP MCOS Hinged Door Box)</v>
          </cell>
          <cell r="B1404" t="str">
            <v>VYE400M(400A FP MCOS Hinged Door Box)</v>
          </cell>
          <cell r="C1404" t="str">
            <v>HAGER</v>
          </cell>
          <cell r="D1404" t="str">
            <v>HAGER</v>
          </cell>
        </row>
        <row r="1405">
          <cell r="A1405" t="str">
            <v>JN4B00010S16 (400A P'LBOARD 10WAY 125A OUTGOERS)</v>
          </cell>
          <cell r="B1405" t="str">
            <v>JN4B00010S16(400A P'LBOARD 10WAY 125A OUTGOERS)</v>
          </cell>
          <cell r="C1405" t="str">
            <v>HAGER</v>
          </cell>
          <cell r="D1405" t="str">
            <v>HAGER</v>
          </cell>
        </row>
        <row r="1406">
          <cell r="A1406" t="str">
            <v>JN4B00012S16 (400A P'LBOARD 12WAY 125A OUTGOERS)</v>
          </cell>
          <cell r="B1406" t="str">
            <v>JN4B00012S16(400A P'LBOARD 12WAY 125A OUTGOERS)</v>
          </cell>
          <cell r="C1406" t="str">
            <v>HAGER</v>
          </cell>
          <cell r="D1406" t="str">
            <v>HAGER</v>
          </cell>
        </row>
        <row r="1407">
          <cell r="A1407" t="str">
            <v>JN4B00016S16 (400A P'LBOARD 16WAY 125A OUTGOERS)</v>
          </cell>
          <cell r="B1407" t="str">
            <v>JN4B00016S16(400A P'LBOARD 16WAY 125A OUTGOERS)</v>
          </cell>
          <cell r="C1407" t="str">
            <v>HAGER</v>
          </cell>
          <cell r="D1407" t="str">
            <v>HAGER</v>
          </cell>
        </row>
        <row r="1408">
          <cell r="A1408" t="str">
            <v>JN4B00004S16 (400A P'LBOARD 4 WAY 125A OUTGOERS)</v>
          </cell>
          <cell r="B1408" t="str">
            <v>JN4B00004S16(400A P'LBOARD 4 WAY 125A OUTGOERS)</v>
          </cell>
          <cell r="C1408" t="str">
            <v>HAGER</v>
          </cell>
          <cell r="D1408" t="str">
            <v>HAGER</v>
          </cell>
        </row>
        <row r="1409">
          <cell r="A1409" t="str">
            <v>JN4B00006S16 (400A P'LBOARD 6 WAY 125A OUTGOERS)</v>
          </cell>
          <cell r="B1409" t="str">
            <v>JN4B00006S16(400A P'LBOARD 6 WAY 125A OUTGOERS)</v>
          </cell>
          <cell r="C1409" t="str">
            <v>HAGER</v>
          </cell>
          <cell r="D1409" t="str">
            <v>HAGER</v>
          </cell>
        </row>
        <row r="1410">
          <cell r="A1410" t="str">
            <v>JN4B00008S16 (400A P'LBOARD 8 WAY 125A OUTGOERS)</v>
          </cell>
          <cell r="B1410" t="str">
            <v>JN4B00008S16(400A P'LBOARD 8 WAY 125A OUTGOERS)</v>
          </cell>
          <cell r="C1410" t="str">
            <v>HAGER</v>
          </cell>
          <cell r="D1410" t="str">
            <v>HAGER</v>
          </cell>
        </row>
        <row r="1411">
          <cell r="A1411" t="str">
            <v>NC240N (40A DP C Curve MCB)</v>
          </cell>
          <cell r="B1411" t="str">
            <v>NC240N(40A DP C Curve MCB)</v>
          </cell>
          <cell r="C1411" t="str">
            <v>HAGER</v>
          </cell>
          <cell r="D1411" t="str">
            <v>HAGER</v>
          </cell>
        </row>
        <row r="1412">
          <cell r="A1412" t="str">
            <v>AE240Y (40A DP RCBO 100mA)</v>
          </cell>
          <cell r="B1412" t="str">
            <v>AE240Y(40A DP RCBO 100mA)</v>
          </cell>
          <cell r="C1412" t="str">
            <v>HAGER</v>
          </cell>
          <cell r="D1412" t="str">
            <v>HAGER</v>
          </cell>
        </row>
        <row r="1413">
          <cell r="A1413" t="str">
            <v>AF240Y (40A DP RCBO 300mA)</v>
          </cell>
          <cell r="B1413" t="str">
            <v>AF240Y(40A DP RCBO 300mA)</v>
          </cell>
          <cell r="C1413" t="str">
            <v>HAGER</v>
          </cell>
          <cell r="D1413" t="str">
            <v>HAGER</v>
          </cell>
        </row>
        <row r="1414">
          <cell r="A1414" t="str">
            <v>AD240Y (40A DP RCBO 30mA)</v>
          </cell>
          <cell r="B1414" t="str">
            <v>AD240Y(40A DP RCBO 30mA)</v>
          </cell>
          <cell r="C1414" t="str">
            <v>HAGER</v>
          </cell>
          <cell r="D1414" t="str">
            <v>HAGER</v>
          </cell>
        </row>
        <row r="1415">
          <cell r="A1415" t="str">
            <v>AE440Y (40A FP RCBO 100mA)</v>
          </cell>
          <cell r="B1415" t="str">
            <v>AE440Y(40A FP RCBO 100mA)</v>
          </cell>
          <cell r="C1415" t="str">
            <v>HAGER</v>
          </cell>
          <cell r="D1415" t="str">
            <v>HAGER</v>
          </cell>
        </row>
        <row r="1416">
          <cell r="A1416" t="str">
            <v>AEC440Y (40A FP RCBO 100mA_x000D_
)</v>
          </cell>
          <cell r="B1416" t="str">
            <v>AEC440Y(40A FP RCBO 100mA_x000D_
)</v>
          </cell>
          <cell r="C1416" t="str">
            <v>HAGER</v>
          </cell>
          <cell r="D1416" t="str">
            <v>HAGER</v>
          </cell>
        </row>
        <row r="1417">
          <cell r="A1417" t="str">
            <v>AF440Y (40A FP RCBO 300mA)</v>
          </cell>
          <cell r="B1417" t="str">
            <v>AF440Y(40A FP RCBO 300mA)</v>
          </cell>
          <cell r="C1417" t="str">
            <v>HAGER</v>
          </cell>
          <cell r="D1417" t="str">
            <v>HAGER</v>
          </cell>
        </row>
        <row r="1418">
          <cell r="A1418" t="str">
            <v>AD440Y (40A FP RCBO 30mA)</v>
          </cell>
          <cell r="B1418" t="str">
            <v>AD440Y(40A FP RCBO 30mA)</v>
          </cell>
          <cell r="C1418" t="str">
            <v>HAGER</v>
          </cell>
          <cell r="D1418" t="str">
            <v>HAGER</v>
          </cell>
        </row>
        <row r="1419">
          <cell r="A1419" t="str">
            <v>WSNCG4S (4 Mod Cover &amp; Grid Plate Alu)</v>
          </cell>
          <cell r="B1419" t="str">
            <v>WSNCG4S(4 Mod Cover &amp; Grid Plate Alu)</v>
          </cell>
          <cell r="C1419" t="str">
            <v>HAGER</v>
          </cell>
          <cell r="D1419" t="str">
            <v>HAGER</v>
          </cell>
        </row>
        <row r="1420">
          <cell r="A1420" t="str">
            <v>WSNCG4A (4 Mod Cover &amp; Grid Plate anthracite)</v>
          </cell>
          <cell r="B1420" t="str">
            <v>WSNCG4A(4 Mod Cover &amp; Grid Plate anthracite)</v>
          </cell>
          <cell r="C1420" t="str">
            <v>HAGER</v>
          </cell>
          <cell r="D1420" t="str">
            <v>HAGER</v>
          </cell>
        </row>
        <row r="1421">
          <cell r="A1421" t="str">
            <v>WSNCG4 (4 Mod Cover &amp; Grid Plate White)</v>
          </cell>
          <cell r="B1421" t="str">
            <v>WSNCG4(4 Mod Cover &amp; Grid Plate White)</v>
          </cell>
          <cell r="C1421" t="str">
            <v>HAGER</v>
          </cell>
          <cell r="D1421" t="str">
            <v>HAGER</v>
          </cell>
        </row>
        <row r="1422">
          <cell r="A1422" t="str">
            <v>VYF414GZ (4R 56M Flexy IP43 Acrylic Door DB)</v>
          </cell>
          <cell r="B1422" t="str">
            <v>VYF414GZ(4R 56M Flexy IP43 Acrylic Door DB)</v>
          </cell>
          <cell r="C1422" t="str">
            <v>HAGER</v>
          </cell>
          <cell r="D1422" t="str">
            <v>HAGER</v>
          </cell>
        </row>
        <row r="1423">
          <cell r="A1423" t="str">
            <v>VYF414DZ (4R 56M Flexy IP43 Double Door DB)</v>
          </cell>
          <cell r="B1423" t="str">
            <v>VYF414DZ(4R 56M Flexy IP43 Double Door DB)</v>
          </cell>
          <cell r="C1423" t="str">
            <v>HAGER</v>
          </cell>
          <cell r="D1423" t="str">
            <v>HAGER</v>
          </cell>
        </row>
        <row r="1424">
          <cell r="A1424" t="str">
            <v>VYF414PZ (4R 56M Flexy IP54 Double Door DB)</v>
          </cell>
          <cell r="B1424" t="str">
            <v>VYF414PZ(4R 56M Flexy IP54 Double Door DB)</v>
          </cell>
          <cell r="C1424" t="str">
            <v>HAGER</v>
          </cell>
          <cell r="D1424" t="str">
            <v>HAGER</v>
          </cell>
        </row>
        <row r="1425">
          <cell r="A1425" t="str">
            <v>VYF416GZ (4R 64M Flexy IP43 Acrylic Door DB)</v>
          </cell>
          <cell r="B1425" t="str">
            <v>VYF416GZ(4R 64M Flexy IP43 Acrylic Door DB)</v>
          </cell>
          <cell r="C1425" t="str">
            <v>HAGER</v>
          </cell>
          <cell r="D1425" t="str">
            <v>HAGER</v>
          </cell>
        </row>
        <row r="1426">
          <cell r="A1426" t="str">
            <v>VYF416DZ (4R 64M Flexy IP43 Double Door DB)</v>
          </cell>
          <cell r="B1426" t="str">
            <v>VYF416DZ(4R 64M Flexy IP43 Double Door DB)</v>
          </cell>
          <cell r="C1426" t="str">
            <v>HAGER</v>
          </cell>
          <cell r="D1426" t="str">
            <v>HAGER</v>
          </cell>
        </row>
        <row r="1427">
          <cell r="A1427" t="str">
            <v>VYF416D (4R 64M Flexy IP43 Double Door DB_x000D_
)</v>
          </cell>
          <cell r="B1427" t="str">
            <v>VYF416D(4R 64M Flexy IP43 Double Door DB_x000D_
)</v>
          </cell>
          <cell r="C1427" t="str">
            <v>HAGER</v>
          </cell>
          <cell r="D1427" t="str">
            <v>HAGER</v>
          </cell>
        </row>
        <row r="1428">
          <cell r="A1428" t="str">
            <v>VYF416PZ (4R 64M Flexy IP54 Double Door DB)</v>
          </cell>
          <cell r="B1428" t="str">
            <v>VYF416PZ(4R 64M Flexy IP54 Double Door DB)</v>
          </cell>
          <cell r="C1428" t="str">
            <v>HAGER</v>
          </cell>
          <cell r="D1428" t="str">
            <v>HAGER</v>
          </cell>
        </row>
        <row r="1429">
          <cell r="A1429" t="str">
            <v>VYG04DL_x000D_
 (4 way, 12+12+12 modules IP43 Double Door DBs TPN phase segregated distribution boards_x000D_
)</v>
          </cell>
          <cell r="B1429" t="str">
            <v>VYG04DL_x000D_
(4 way, 12+12+12 modules IP43 Double Door DBs TPN phase segregated distribution boards_x000D_
)</v>
          </cell>
          <cell r="C1429" t="str">
            <v>HAGER</v>
          </cell>
          <cell r="D1429" t="str">
            <v>HAGER</v>
          </cell>
        </row>
        <row r="1430">
          <cell r="A1430" t="str">
            <v>VYV04DL_x000D_
 (4 way, 12+12 modules IP43 Double Door DBs_x000D_
)</v>
          </cell>
          <cell r="B1430" t="str">
            <v>VYV04DL_x000D_
(4 way, 12+12 modules IP43 Double Door DBs_x000D_
)</v>
          </cell>
          <cell r="C1430" t="str">
            <v>HAGER</v>
          </cell>
          <cell r="D1430" t="str">
            <v>HAGER</v>
          </cell>
        </row>
        <row r="1431">
          <cell r="A1431" t="str">
            <v>VYM04C_x000D_
 (4 way, 4 modules one way enclosures_x000D_
)</v>
          </cell>
          <cell r="B1431" t="str">
            <v>VYM04C_x000D_
(4 way, 4 modules one way enclosures_x000D_
)</v>
          </cell>
          <cell r="C1431" t="str">
            <v>HAGER</v>
          </cell>
          <cell r="D1431" t="str">
            <v>HAGER</v>
          </cell>
        </row>
        <row r="1432">
          <cell r="A1432" t="str">
            <v>VYT04DH (4 way, 8+12 modules IP43 Double Door DBs TPN distribution boards_x000D_
)</v>
          </cell>
          <cell r="B1432" t="str">
            <v>VYT04DH(4 way, 8+12 modules IP43 Double Door DBs TPN distribution boards_x000D_
)</v>
          </cell>
          <cell r="C1432" t="str">
            <v>HAGER</v>
          </cell>
          <cell r="D1432" t="str">
            <v>HAGER</v>
          </cell>
        </row>
        <row r="1433">
          <cell r="A1433" t="str">
            <v>VZ120i (4 Way 8 Segment Cover Plate - 4 Mod)</v>
          </cell>
          <cell r="B1433" t="str">
            <v>VZ120i(4 Way 8 Segment Cover Plate - 4 Mod)</v>
          </cell>
          <cell r="C1433" t="str">
            <v>HAGER</v>
          </cell>
          <cell r="D1433" t="str">
            <v>HAGER</v>
          </cell>
        </row>
        <row r="1434">
          <cell r="A1434" t="str">
            <v>VYM04CZ (4Way Single Door IP30 box)</v>
          </cell>
          <cell r="B1434" t="str">
            <v>VYM04CZ(4Way Single Door IP30 box)</v>
          </cell>
          <cell r="C1434" t="str">
            <v>HAGER</v>
          </cell>
          <cell r="D1434" t="str">
            <v>HAGER</v>
          </cell>
        </row>
        <row r="1435">
          <cell r="A1435" t="str">
            <v>HBD631H (500A 4 Pole Adjustable sensitivity till 6A, Adjustable tripping 1s)</v>
          </cell>
          <cell r="B1435" t="str">
            <v>HBD631H(500A 4 Pole Adjustable sensitivity till 6A, Adjustable tripping 1s)</v>
          </cell>
          <cell r="C1435" t="str">
            <v>HAGER</v>
          </cell>
          <cell r="D1435" t="str">
            <v>HAGER</v>
          </cell>
        </row>
        <row r="1436">
          <cell r="A1436" t="str">
            <v>WSNSK22R (6/13A universal socket)</v>
          </cell>
          <cell r="B1436" t="str">
            <v>WSNSK22R(6/13A universal socket)</v>
          </cell>
          <cell r="C1436" t="str">
            <v>HAGER</v>
          </cell>
          <cell r="D1436" t="str">
            <v>HAGER</v>
          </cell>
        </row>
        <row r="1437">
          <cell r="A1437" t="str">
            <v>WSNSK53 (6/16 A 3 pin Socket Flat)</v>
          </cell>
          <cell r="B1437" t="str">
            <v>WSNSK53(6/16 A 3 pin Socket Flat)</v>
          </cell>
          <cell r="C1437" t="str">
            <v>HAGER</v>
          </cell>
          <cell r="D1437" t="str">
            <v>HAGER</v>
          </cell>
        </row>
        <row r="1438">
          <cell r="A1438" t="str">
            <v>WSNSK53A (6/16 A 3 pin Socket Flat  ANTH)</v>
          </cell>
          <cell r="B1438" t="str">
            <v>WSNSK53A(6/16 A 3 pin Socket Flat ANTH)</v>
          </cell>
          <cell r="C1438" t="str">
            <v>HAGER</v>
          </cell>
          <cell r="D1438" t="str">
            <v>HAGER</v>
          </cell>
        </row>
        <row r="1439">
          <cell r="A1439" t="str">
            <v>WSNSK42 (6/16 A 3 pin Socket protruded)</v>
          </cell>
          <cell r="B1439" t="str">
            <v>WSNSK42(6/16 A 3 pin Socket protruded)</v>
          </cell>
          <cell r="C1439" t="str">
            <v>HAGER</v>
          </cell>
          <cell r="D1439" t="str">
            <v>HAGER</v>
          </cell>
        </row>
        <row r="1440">
          <cell r="A1440" t="str">
            <v>WSNSK42A (6/16 A 3 pin Socket protruded  ANTH)</v>
          </cell>
          <cell r="B1440" t="str">
            <v>WSNSK42A(6/16 A 3 pin Socket protruded ANTH)</v>
          </cell>
          <cell r="C1440" t="str">
            <v>HAGER</v>
          </cell>
          <cell r="D1440" t="str">
            <v>HAGER</v>
          </cell>
        </row>
        <row r="1441">
          <cell r="A1441" t="str">
            <v>WSNSK53R (6/16A Socket)</v>
          </cell>
          <cell r="B1441" t="str">
            <v>WSNSK53R(6/16A Socket)</v>
          </cell>
          <cell r="C1441" t="str">
            <v>HAGER</v>
          </cell>
          <cell r="D1441" t="str">
            <v>HAGER</v>
          </cell>
        </row>
        <row r="1442">
          <cell r="A1442" t="str">
            <v>WSNSK42R (6/16A socket protruded)</v>
          </cell>
          <cell r="B1442" t="str">
            <v>WSNSK42R(6/16A socket protruded)</v>
          </cell>
          <cell r="C1442" t="str">
            <v>HAGER</v>
          </cell>
          <cell r="D1442" t="str">
            <v>HAGER</v>
          </cell>
        </row>
        <row r="1443">
          <cell r="A1443" t="str">
            <v>JN8L6303MH6 (630A 3P MCCB INCOMER KIT)</v>
          </cell>
          <cell r="B1443" t="str">
            <v>JN8L6303MH6(630A 3P MCCB INCOMER KIT)</v>
          </cell>
          <cell r="C1443" t="str">
            <v>HAGER</v>
          </cell>
          <cell r="D1443" t="str">
            <v>HAGER</v>
          </cell>
        </row>
        <row r="1444">
          <cell r="A1444" t="str">
            <v>VYE630M (630A FP MCOS Hinged Door Box)</v>
          </cell>
          <cell r="B1444" t="str">
            <v>VYE630M(630A FP MCOS Hinged Door Box)</v>
          </cell>
          <cell r="C1444" t="str">
            <v>HAGER</v>
          </cell>
          <cell r="D1444" t="str">
            <v>HAGER</v>
          </cell>
        </row>
        <row r="1445">
          <cell r="A1445" t="str">
            <v>VZ134i (63A 3P Metal Plug)</v>
          </cell>
          <cell r="B1445" t="str">
            <v>VZ134i(63A 3P Metal Plug)</v>
          </cell>
          <cell r="C1445" t="str">
            <v>HAGER</v>
          </cell>
          <cell r="D1445" t="str">
            <v>HAGER</v>
          </cell>
        </row>
        <row r="1446">
          <cell r="A1446" t="str">
            <v>VZ144i (63A 3P Metal Socket)</v>
          </cell>
          <cell r="B1446" t="str">
            <v>VZ144i(63A 3P Metal Socket)</v>
          </cell>
          <cell r="C1446" t="str">
            <v>HAGER</v>
          </cell>
          <cell r="D1446" t="str">
            <v>HAGER</v>
          </cell>
        </row>
        <row r="1447">
          <cell r="A1447" t="str">
            <v>NC463N (63A 4 Pole C Cure MCB)</v>
          </cell>
          <cell r="B1447" t="str">
            <v>NC463N(63A 4 Pole C Cure MCB)</v>
          </cell>
          <cell r="C1447" t="str">
            <v>HAGER</v>
          </cell>
          <cell r="D1447" t="str">
            <v>HAGER</v>
          </cell>
        </row>
        <row r="1448">
          <cell r="A1448" t="str">
            <v>VYB863CZ (63A 5Pin 8M Plastic P&amp;S IP30 box)</v>
          </cell>
          <cell r="B1448" t="str">
            <v>VYB863CZ(63A 5Pin 8M Plastic P&amp;S IP30 box)</v>
          </cell>
          <cell r="C1448" t="str">
            <v>HAGER</v>
          </cell>
          <cell r="D1448" t="str">
            <v>HAGER</v>
          </cell>
        </row>
        <row r="1449">
          <cell r="A1449" t="str">
            <v>VYA863C_x000D_
 (63A 5 Pin + SC*, 8 modules plug &amp; socket outlets - metal_x000D_
)</v>
          </cell>
          <cell r="B1449" t="str">
            <v>VYA863C_x000D_
(63A 5 Pin + SC*, 8 modules plug &amp; socket outlets - metal_x000D_
)</v>
          </cell>
          <cell r="C1449" t="str">
            <v>HAGER</v>
          </cell>
          <cell r="D1449" t="str">
            <v>HAGER</v>
          </cell>
        </row>
        <row r="1450">
          <cell r="A1450" t="str">
            <v>VYA863CZ (63A 8M 5Pin Metal P&amp;S IP30 box)</v>
          </cell>
          <cell r="B1450" t="str">
            <v>VYA863CZ(63A 8M 5Pin Metal P&amp;S IP30 box)</v>
          </cell>
          <cell r="C1450" t="str">
            <v>HAGER</v>
          </cell>
          <cell r="D1450" t="str">
            <v>HAGER</v>
          </cell>
        </row>
        <row r="1451">
          <cell r="A1451" t="str">
            <v>AE263Y (63A DP RCBO 100mA)</v>
          </cell>
          <cell r="B1451" t="str">
            <v>AE263Y(63A DP RCBO 100mA)</v>
          </cell>
          <cell r="C1451" t="str">
            <v>HAGER</v>
          </cell>
          <cell r="D1451" t="str">
            <v>HAGER</v>
          </cell>
        </row>
        <row r="1452">
          <cell r="A1452" t="str">
            <v>AEC263Y (63A DP RCBO 100mA_x000D_
)</v>
          </cell>
          <cell r="B1452" t="str">
            <v>AEC263Y(63A DP RCBO 100mA_x000D_
)</v>
          </cell>
          <cell r="C1452" t="str">
            <v>HAGER</v>
          </cell>
          <cell r="D1452" t="str">
            <v>HAGER</v>
          </cell>
        </row>
        <row r="1453">
          <cell r="A1453" t="str">
            <v>AF263Y (63A DP RCBO 300mA)</v>
          </cell>
          <cell r="B1453" t="str">
            <v>AF263Y(63A DP RCBO 300mA)</v>
          </cell>
          <cell r="C1453" t="str">
            <v>HAGER</v>
          </cell>
          <cell r="D1453" t="str">
            <v>HAGER</v>
          </cell>
        </row>
        <row r="1454">
          <cell r="A1454" t="str">
            <v>AD263Y (63A DP RCBO 30mA)</v>
          </cell>
          <cell r="B1454" t="str">
            <v>AD263Y(63A DP RCBO 30mA)</v>
          </cell>
          <cell r="C1454" t="str">
            <v>HAGER</v>
          </cell>
          <cell r="D1454" t="str">
            <v>HAGER</v>
          </cell>
        </row>
        <row r="1455">
          <cell r="A1455" t="str">
            <v>VYE63M (63A FP MCOS Hinged Door Box)</v>
          </cell>
          <cell r="B1455" t="str">
            <v>VYE63M(63A FP MCOS Hinged Door Box)</v>
          </cell>
          <cell r="C1455" t="str">
            <v>HAGER</v>
          </cell>
          <cell r="D1455" t="str">
            <v>HAGER</v>
          </cell>
        </row>
        <row r="1456">
          <cell r="A1456" t="str">
            <v>AE463Y (63A FP RCBO 100mA)</v>
          </cell>
          <cell r="B1456" t="str">
            <v>AE463Y(63A FP RCBO 100mA)</v>
          </cell>
          <cell r="C1456" t="str">
            <v>HAGER</v>
          </cell>
          <cell r="D1456" t="str">
            <v>HAGER</v>
          </cell>
        </row>
        <row r="1457">
          <cell r="A1457" t="str">
            <v>AF463Y (63A FP RCBO 300mA)</v>
          </cell>
          <cell r="B1457" t="str">
            <v>AF463Y(63A FP RCBO 300mA)</v>
          </cell>
          <cell r="C1457" t="str">
            <v>HAGER</v>
          </cell>
          <cell r="D1457" t="str">
            <v>HAGER</v>
          </cell>
        </row>
        <row r="1458">
          <cell r="A1458" t="str">
            <v>AD463Y (63A FP RCBO 30mA)</v>
          </cell>
          <cell r="B1458" t="str">
            <v>AD463Y(63A FP RCBO 30mA)</v>
          </cell>
          <cell r="C1458" t="str">
            <v>HAGER</v>
          </cell>
          <cell r="D1458" t="str">
            <v>HAGER</v>
          </cell>
        </row>
        <row r="1459">
          <cell r="A1459" t="str">
            <v>WSNSW11A (6A 1-Way  ANTH)</v>
          </cell>
          <cell r="B1459" t="str">
            <v>WSNSW11A(6A 1-Way ANTH)</v>
          </cell>
          <cell r="C1459" t="str">
            <v>HAGER</v>
          </cell>
          <cell r="D1459" t="str">
            <v>HAGER</v>
          </cell>
        </row>
        <row r="1460">
          <cell r="A1460" t="str">
            <v>WSNSL11 (6A 1-Way with indication)</v>
          </cell>
          <cell r="B1460" t="str">
            <v>WSNSL11(6A 1-Way with indication)</v>
          </cell>
          <cell r="C1460" t="str">
            <v>HAGER</v>
          </cell>
          <cell r="D1460" t="str">
            <v>HAGER</v>
          </cell>
        </row>
        <row r="1461">
          <cell r="A1461" t="str">
            <v>WSNSL11A (6A 1-Way with indication  ANTH)</v>
          </cell>
          <cell r="B1461" t="str">
            <v>WSNSL11A(6A 1-Way with indication ANTH)</v>
          </cell>
          <cell r="C1461" t="str">
            <v>HAGER</v>
          </cell>
          <cell r="D1461" t="str">
            <v>HAGER</v>
          </cell>
        </row>
        <row r="1462">
          <cell r="A1462" t="str">
            <v>WSNSW21A (6A 2-Way  ANTH)</v>
          </cell>
          <cell r="B1462" t="str">
            <v>WSNSW21A(6A 2-Way ANTH)</v>
          </cell>
          <cell r="C1462" t="str">
            <v>HAGER</v>
          </cell>
          <cell r="D1462" t="str">
            <v>HAGER</v>
          </cell>
        </row>
        <row r="1463">
          <cell r="A1463" t="str">
            <v>WSNSW21 (6A 2-Way Switch)</v>
          </cell>
          <cell r="B1463" t="str">
            <v>WSNSW21(6A 2-Way Switch)</v>
          </cell>
          <cell r="C1463" t="str">
            <v>HAGER</v>
          </cell>
          <cell r="D1463" t="str">
            <v>HAGER</v>
          </cell>
        </row>
        <row r="1464">
          <cell r="A1464" t="str">
            <v>WSNSK72 (6A 3pin Indian Socket White)</v>
          </cell>
          <cell r="B1464" t="str">
            <v>WSNSK72(6A 3pin Indian Socket White)</v>
          </cell>
          <cell r="C1464" t="str">
            <v>HAGER</v>
          </cell>
          <cell r="D1464" t="str">
            <v>HAGER</v>
          </cell>
        </row>
        <row r="1465">
          <cell r="A1465" t="str">
            <v>WSNSK62R (6A 5-pin socket)</v>
          </cell>
          <cell r="B1465" t="str">
            <v>WSNSK62R(6A 5-pin socket)</v>
          </cell>
          <cell r="C1465" t="str">
            <v>HAGER</v>
          </cell>
          <cell r="D1465" t="str">
            <v>HAGER</v>
          </cell>
        </row>
        <row r="1466">
          <cell r="A1466" t="str">
            <v>WSNSK62 (6A 5 pin universal socket)</v>
          </cell>
          <cell r="B1466" t="str">
            <v>WSNSK62(6A 5 pin universal socket)</v>
          </cell>
          <cell r="C1466" t="str">
            <v>HAGER</v>
          </cell>
          <cell r="D1466" t="str">
            <v>HAGER</v>
          </cell>
        </row>
        <row r="1467">
          <cell r="A1467" t="str">
            <v>WSNSK62A (6A 5 pin universal socket  ANTH)</v>
          </cell>
          <cell r="B1467" t="str">
            <v>WSNSK62A(6A 5 pin universal socket ANTH)</v>
          </cell>
          <cell r="C1467" t="str">
            <v>HAGER</v>
          </cell>
          <cell r="D1467" t="str">
            <v>HAGER</v>
          </cell>
        </row>
        <row r="1468">
          <cell r="A1468" t="str">
            <v>WSNBP11 (6 A Bell Push button)</v>
          </cell>
          <cell r="B1468" t="str">
            <v>WSNBP11(6 A Bell Push button)</v>
          </cell>
          <cell r="C1468" t="str">
            <v>HAGER</v>
          </cell>
          <cell r="D1468" t="str">
            <v>HAGER</v>
          </cell>
        </row>
        <row r="1469">
          <cell r="A1469" t="str">
            <v>WSNBP11A (6 A Bell Push button   ANTH)</v>
          </cell>
          <cell r="B1469" t="str">
            <v>WSNBP11A(6 A Bell Push button ANTH)</v>
          </cell>
          <cell r="C1469" t="str">
            <v>HAGER</v>
          </cell>
          <cell r="D1469" t="str">
            <v>HAGER</v>
          </cell>
        </row>
        <row r="1470">
          <cell r="A1470" t="str">
            <v>WSNBP21 (6 A Bell Push button with Indicator)</v>
          </cell>
          <cell r="B1470" t="str">
            <v>WSNBP21(6 A Bell Push button with Indicator)</v>
          </cell>
          <cell r="C1470" t="str">
            <v>HAGER</v>
          </cell>
          <cell r="D1470" t="str">
            <v>HAGER</v>
          </cell>
        </row>
        <row r="1471">
          <cell r="A1471" t="str">
            <v>WSNBP22 (6 A Bell Push button with Indicator_x000D_
)</v>
          </cell>
          <cell r="B1471" t="str">
            <v>WSNBP22(6 A Bell Push button with Indicator_x000D_
)</v>
          </cell>
          <cell r="C1471" t="str">
            <v>HAGER</v>
          </cell>
          <cell r="D1471" t="str">
            <v>HAGER</v>
          </cell>
        </row>
        <row r="1472">
          <cell r="A1472" t="str">
            <v>WSNBP21A (6 A Bell Push button with Indicator  ANTH)</v>
          </cell>
          <cell r="B1472" t="str">
            <v>WSNBP21A(6 A Bell Push button with Indicator ANTH)</v>
          </cell>
          <cell r="C1472" t="str">
            <v>HAGER</v>
          </cell>
          <cell r="D1472" t="str">
            <v>HAGER</v>
          </cell>
        </row>
        <row r="1473">
          <cell r="A1473" t="str">
            <v>AE206Y (6A DP RCBO 100mA)</v>
          </cell>
          <cell r="B1473" t="str">
            <v>AE206Y(6A DP RCBO 100mA)</v>
          </cell>
          <cell r="C1473" t="str">
            <v>HAGER</v>
          </cell>
          <cell r="D1473" t="str">
            <v>HAGER</v>
          </cell>
        </row>
        <row r="1474">
          <cell r="A1474" t="str">
            <v>AD206Y (6A DP RCBO 30mA)</v>
          </cell>
          <cell r="B1474" t="str">
            <v>AD206Y(6A DP RCBO 30mA)</v>
          </cell>
          <cell r="C1474" t="str">
            <v>HAGER</v>
          </cell>
          <cell r="D1474" t="str">
            <v>HAGER</v>
          </cell>
        </row>
        <row r="1475">
          <cell r="A1475" t="str">
            <v>WSNSW11R (6A Switch 1Way)</v>
          </cell>
          <cell r="B1475" t="str">
            <v>WSNSW11R(6A Switch 1Way)</v>
          </cell>
          <cell r="C1475" t="str">
            <v>HAGER</v>
          </cell>
          <cell r="D1475" t="str">
            <v>HAGER</v>
          </cell>
        </row>
        <row r="1476">
          <cell r="A1476" t="str">
            <v>WSNCG6S (6 Mod Cover &amp; Grid Plate Alu)</v>
          </cell>
          <cell r="B1476" t="str">
            <v>WSNCG6S(6 Mod Cover &amp; Grid Plate Alu)</v>
          </cell>
          <cell r="C1476" t="str">
            <v>HAGER</v>
          </cell>
          <cell r="D1476" t="str">
            <v>HAGER</v>
          </cell>
        </row>
        <row r="1477">
          <cell r="A1477" t="str">
            <v>WSNCG6A (6 Mod Cover &amp; Grid Plate anthracite)</v>
          </cell>
          <cell r="B1477" t="str">
            <v>WSNCG6A(6 Mod Cover &amp; Grid Plate anthracite)</v>
          </cell>
          <cell r="C1477" t="str">
            <v>HAGER</v>
          </cell>
          <cell r="D1477" t="str">
            <v>HAGER</v>
          </cell>
        </row>
        <row r="1478">
          <cell r="A1478" t="str">
            <v>WSNCG6 (6 Mod Cover &amp; Grid Plate White)</v>
          </cell>
          <cell r="B1478" t="str">
            <v>WSNCG6(6 Mod Cover &amp; Grid Plate White)</v>
          </cell>
          <cell r="C1478" t="str">
            <v>HAGER</v>
          </cell>
          <cell r="D1478" t="str">
            <v>HAGER</v>
          </cell>
        </row>
        <row r="1479">
          <cell r="A1479" t="str">
            <v>VYG06DL_x000D_
 (6 way, 12+12+18 modules IP43 Double Door DBs TPN phase segregated distribution boards_x000D_
)</v>
          </cell>
          <cell r="B1479" t="str">
            <v>VYG06DL_x000D_
(6 way, 12+12+18 modules IP43 Double Door DBs TPN phase segregated distribution boards_x000D_
)</v>
          </cell>
          <cell r="C1479" t="str">
            <v>HAGER</v>
          </cell>
          <cell r="D1479" t="str">
            <v>HAGER</v>
          </cell>
        </row>
        <row r="1480">
          <cell r="A1480" t="str">
            <v>VZ121i (6 Way 8 Segment Cover Plate - 4 Mod)</v>
          </cell>
          <cell r="B1480" t="str">
            <v>VZ121i(6 Way 8 Segment Cover Plate - 4 Mod)</v>
          </cell>
          <cell r="C1480" t="str">
            <v>HAGER</v>
          </cell>
          <cell r="D1480" t="str">
            <v>HAGER</v>
          </cell>
        </row>
        <row r="1481">
          <cell r="A1481" t="str">
            <v>VYV06DM_x000D_
 (6 way, MCCB+18 modules IP43 Double Door DBs vertical TPN distribution boards (x160 h3 MCCB incomer)_x000D_
)</v>
          </cell>
          <cell r="B1481" t="str">
            <v>VYV06DM_x000D_
(6 way, MCCB+18 modules IP43 Double Door DBs vertical TPN distribution boards(x160 h3 MCCB incomer)_x000D_
)</v>
          </cell>
          <cell r="C1481" t="str">
            <v>HAGER</v>
          </cell>
          <cell r="D1481" t="str">
            <v>HAGER</v>
          </cell>
        </row>
        <row r="1482">
          <cell r="A1482" t="str">
            <v>VYM06CZ (6Way Single Door IP30 box)</v>
          </cell>
          <cell r="B1482" t="str">
            <v>VYM06CZ(6Way Single Door IP30 box)</v>
          </cell>
          <cell r="C1482" t="str">
            <v>HAGER</v>
          </cell>
          <cell r="D1482" t="str">
            <v>HAGER</v>
          </cell>
        </row>
        <row r="1483">
          <cell r="A1483" t="str">
            <v>VYV06DL-P (6way VTPN DB)</v>
          </cell>
          <cell r="B1483" t="str">
            <v>VYV06DL-P(6way VTPN DB)</v>
          </cell>
          <cell r="C1483" t="str">
            <v>HAGER</v>
          </cell>
          <cell r="D1483" t="str">
            <v>HAGER</v>
          </cell>
        </row>
        <row r="1484">
          <cell r="A1484" t="str">
            <v>VYE800M (800A FP MCOS Hinged Door Box)</v>
          </cell>
          <cell r="B1484" t="str">
            <v>VYE800M(800A FP MCOS Hinged Door Box)</v>
          </cell>
          <cell r="C1484" t="str">
            <v>HAGER</v>
          </cell>
          <cell r="D1484" t="str">
            <v>HAGER</v>
          </cell>
        </row>
        <row r="1485">
          <cell r="A1485" t="str">
            <v>JN8B00010S16 (800A P'LBOARD10 WAY 125A OUTGOERS)</v>
          </cell>
          <cell r="B1485" t="str">
            <v>JN8B00010S16(800A P'LBOARD10 WAY 125A OUTGOERS)</v>
          </cell>
          <cell r="C1485" t="str">
            <v>HAGER</v>
          </cell>
          <cell r="D1485" t="str">
            <v>HAGER</v>
          </cell>
        </row>
        <row r="1486">
          <cell r="A1486" t="str">
            <v>JN8B00012S16 (800A P'LBOARD12 WAY 125A OUTGOERS)</v>
          </cell>
          <cell r="B1486" t="str">
            <v>JN8B00012S16(800A P'LBOARD12 WAY 125A OUTGOERS)</v>
          </cell>
          <cell r="C1486" t="str">
            <v>HAGER</v>
          </cell>
          <cell r="D1486" t="str">
            <v>HAGER</v>
          </cell>
        </row>
        <row r="1487">
          <cell r="A1487" t="str">
            <v>JN8B00016S16 (800A P'LBOARD16 WAY 125A OUTGOERS)</v>
          </cell>
          <cell r="B1487" t="str">
            <v>JN8B00016S16(800A P'LBOARD16 WAY 125A OUTGOERS)</v>
          </cell>
          <cell r="C1487" t="str">
            <v>HAGER</v>
          </cell>
          <cell r="D1487" t="str">
            <v>HAGER</v>
          </cell>
        </row>
        <row r="1488">
          <cell r="A1488" t="str">
            <v>JN8B00210S16 (800A P'LBOARD2way250A+10W125A OUTGOERS)</v>
          </cell>
          <cell r="B1488" t="str">
            <v>JN8B00210S16(800A P'LBOARD2way250A+10W125A OUTGOERS)</v>
          </cell>
          <cell r="C1488" t="str">
            <v>HAGER</v>
          </cell>
          <cell r="D1488" t="str">
            <v>HAGER</v>
          </cell>
        </row>
        <row r="1489">
          <cell r="A1489" t="str">
            <v>JN8B00214S16 (800A P'LBOARD2way250A+14W125A OUTGOERS)</v>
          </cell>
          <cell r="B1489" t="str">
            <v>JN8B00214S16(800A P'LBOARD2way250A+14W125A OUTGOERS)</v>
          </cell>
          <cell r="C1489" t="str">
            <v>HAGER</v>
          </cell>
          <cell r="D1489" t="str">
            <v>HAGER</v>
          </cell>
        </row>
        <row r="1490">
          <cell r="A1490" t="str">
            <v>JN8B00202S16 (800A P'LBOARD2way250A+2way125A OUTGOERS)</v>
          </cell>
          <cell r="B1490" t="str">
            <v>JN8B00202S16(800A P'LBOARD2way250A+2way125A OUTGOERS)</v>
          </cell>
          <cell r="C1490" t="str">
            <v>HAGER</v>
          </cell>
          <cell r="D1490" t="str">
            <v>HAGER</v>
          </cell>
        </row>
        <row r="1491">
          <cell r="A1491" t="str">
            <v>JN8B00204S16 (800A P'LBOARD2way250A+4way125A OUTGOERS)</v>
          </cell>
          <cell r="B1491" t="str">
            <v>JN8B00204S16(800A P'LBOARD2way250A+4way125A OUTGOERS)</v>
          </cell>
          <cell r="C1491" t="str">
            <v>HAGER</v>
          </cell>
          <cell r="D1491" t="str">
            <v>HAGER</v>
          </cell>
        </row>
        <row r="1492">
          <cell r="A1492" t="str">
            <v>JN8B00206S16 (800A P'LBOARD2way250A+6way125A OUTGOERS)</v>
          </cell>
          <cell r="B1492" t="str">
            <v>JN8B00206S16(800A P'LBOARD2way250A+6way125A OUTGOERS)</v>
          </cell>
          <cell r="C1492" t="str">
            <v>HAGER</v>
          </cell>
          <cell r="D1492" t="str">
            <v>HAGER</v>
          </cell>
        </row>
        <row r="1493">
          <cell r="A1493" t="str">
            <v>JN8B00208S16 (800A P'LBOARD2way250A+8way125A OUTGOERS)</v>
          </cell>
          <cell r="B1493" t="str">
            <v>JN8B00208S16(800A P'LBOARD2way250A+8way125A OUTGOERS)</v>
          </cell>
          <cell r="C1493" t="str">
            <v>HAGER</v>
          </cell>
          <cell r="D1493" t="str">
            <v>HAGER</v>
          </cell>
        </row>
        <row r="1494">
          <cell r="A1494" t="str">
            <v>JN8B00004S16 (800A P'LBOARD 4 WAY 125A OUTGOERS)</v>
          </cell>
          <cell r="B1494" t="str">
            <v>JN8B00004S16(800A P'LBOARD 4 WAY 125A OUTGOERS)</v>
          </cell>
          <cell r="C1494" t="str">
            <v>HAGER</v>
          </cell>
          <cell r="D1494" t="str">
            <v>HAGER</v>
          </cell>
        </row>
        <row r="1495">
          <cell r="A1495" t="str">
            <v>JN8B00006S16 (800A P'LBOARD 6 WAY 125A OUTGOERS)</v>
          </cell>
          <cell r="B1495" t="str">
            <v>JN8B00006S16(800A P'LBOARD 6 WAY 125A OUTGOERS)</v>
          </cell>
          <cell r="C1495" t="str">
            <v>HAGER</v>
          </cell>
          <cell r="D1495" t="str">
            <v>HAGER</v>
          </cell>
        </row>
        <row r="1496">
          <cell r="A1496" t="str">
            <v>JN8B00008S16 (800A P'LBOARD 8 WAY 125A OUTGOERS)</v>
          </cell>
          <cell r="B1496" t="str">
            <v>JN8B00008S16(800A P'LBOARD 8 WAY 125A OUTGOERS)</v>
          </cell>
          <cell r="C1496" t="str">
            <v>HAGER</v>
          </cell>
          <cell r="D1496" t="str">
            <v>HAGER</v>
          </cell>
        </row>
        <row r="1497">
          <cell r="A1497" t="str">
            <v>WSNCG8S (8 Mod Cover &amp; Grid Plate, Linear Alu)</v>
          </cell>
          <cell r="B1497" t="str">
            <v>WSNCG8S(8 Mod Cover &amp; Grid Plate, Linear Alu)</v>
          </cell>
          <cell r="C1497" t="str">
            <v>HAGER</v>
          </cell>
          <cell r="D1497" t="str">
            <v>HAGER</v>
          </cell>
        </row>
        <row r="1498">
          <cell r="A1498" t="str">
            <v>WSNCG8A (8 Mod Cover &amp; Grid Plate, Linear anthracite)</v>
          </cell>
          <cell r="B1498" t="str">
            <v>WSNCG8A(8 Mod Cover &amp; Grid Plate, Linear anthracite)</v>
          </cell>
          <cell r="C1498" t="str">
            <v>HAGER</v>
          </cell>
          <cell r="D1498" t="str">
            <v>HAGER</v>
          </cell>
        </row>
        <row r="1499">
          <cell r="A1499" t="str">
            <v>WSNCG8 (8 Mod Cover &amp; Grid Plate, Linear White)</v>
          </cell>
          <cell r="B1499" t="str">
            <v>WSNCG8(8 Mod Cover &amp; Grid Plate, Linear White)</v>
          </cell>
          <cell r="C1499" t="str">
            <v>HAGER</v>
          </cell>
          <cell r="D1499" t="str">
            <v>HAGER</v>
          </cell>
        </row>
        <row r="1500">
          <cell r="A1500" t="str">
            <v>WSNCGS8S (8 Mod Cover &amp; Grid Plate, square Alu)</v>
          </cell>
          <cell r="B1500" t="str">
            <v>WSNCGS8S(8 Mod Cover &amp; Grid Plate, square Alu)</v>
          </cell>
          <cell r="C1500" t="str">
            <v>HAGER</v>
          </cell>
          <cell r="D1500" t="str">
            <v>HAGER</v>
          </cell>
        </row>
        <row r="1501">
          <cell r="A1501" t="str">
            <v>WSNCGS8A (8 Mod Cover &amp; Grid Plate, square anthracite)</v>
          </cell>
          <cell r="B1501" t="str">
            <v>WSNCGS8A(8 Mod Cover &amp; Grid Plate, square anthracite)</v>
          </cell>
          <cell r="C1501" t="str">
            <v>HAGER</v>
          </cell>
          <cell r="D1501" t="str">
            <v>HAGER</v>
          </cell>
        </row>
        <row r="1502">
          <cell r="A1502" t="str">
            <v>WSNCGS8 (8 Mod Cover &amp; Grid Plate, square White)</v>
          </cell>
          <cell r="B1502" t="str">
            <v>WSNCGS8(8 Mod Cover &amp; Grid Plate, square White)</v>
          </cell>
          <cell r="C1502" t="str">
            <v>HAGER</v>
          </cell>
          <cell r="D1502" t="str">
            <v>HAGER</v>
          </cell>
        </row>
        <row r="1503">
          <cell r="A1503" t="str">
            <v>VYG08DL_x000D_
 (8 way, 12+12+24 modules IP43 Double Door DBs TPN phase segregated distribution boards_x000D_
)</v>
          </cell>
          <cell r="B1503" t="str">
            <v>VYG08DL_x000D_
(8 way, 12+12+24 modules IP43 Double Door DBs TPN phase segregated distribution boards_x000D_
)</v>
          </cell>
          <cell r="C1503" t="str">
            <v>HAGER</v>
          </cell>
          <cell r="D1503" t="str">
            <v>HAGER</v>
          </cell>
        </row>
        <row r="1504">
          <cell r="A1504" t="str">
            <v>VYT08DH (8 way, 8+24 modules IP43 Double Door DBs TPN distribution boards_x000D_
)</v>
          </cell>
          <cell r="B1504" t="str">
            <v>VYT08DH(8 way, 8+24 modules IP43 Double Door DBs TPN distribution boards_x000D_
)</v>
          </cell>
          <cell r="C1504" t="str">
            <v>HAGER</v>
          </cell>
          <cell r="D1504" t="str">
            <v>HAGER</v>
          </cell>
        </row>
        <row r="1505">
          <cell r="A1505" t="str">
            <v>VYM08C_x000D_
 (8 way, 8 modules one way enclosures_x000D_
)</v>
          </cell>
          <cell r="B1505" t="str">
            <v>VYM08C_x000D_
(8 way, 8 modules one way enclosures_x000D_
)</v>
          </cell>
          <cell r="C1505" t="str">
            <v>HAGER</v>
          </cell>
          <cell r="D1505" t="str">
            <v>HAGER</v>
          </cell>
        </row>
        <row r="1506">
          <cell r="A1506" t="str">
            <v>VZ122i (8 Way 8 Segment Cover Plate - 4 Mod)</v>
          </cell>
          <cell r="B1506" t="str">
            <v>VZ122i(8 Way 8 Segment Cover Plate - 4 Mod)</v>
          </cell>
          <cell r="C1506" t="str">
            <v>HAGER</v>
          </cell>
          <cell r="D1506" t="str">
            <v>HAGER</v>
          </cell>
        </row>
        <row r="1507">
          <cell r="A1507" t="str">
            <v>VYV08DM_x000D_
 (8 way, MCCB+24 modules IP43 Double Door DBs vertical TPN distribution boards (x160 h3 MCCB incomer)_x000D_
)</v>
          </cell>
          <cell r="B1507" t="str">
            <v>VYV08DM_x000D_
(8 way, MCCB+24 modules IP43 Double Door DBs vertical TPN distribution boards (x160 h3 MCCB incomer)_x000D_
)</v>
          </cell>
          <cell r="C1507" t="str">
            <v>HAGER</v>
          </cell>
          <cell r="D1507" t="str">
            <v>HAGER</v>
          </cell>
        </row>
        <row r="1508">
          <cell r="A1508" t="str">
            <v>VYM08CZ (8Way Single Door IP30 box)</v>
          </cell>
          <cell r="B1508" t="str">
            <v>VYM08CZ(8Way Single Door IP30 box)</v>
          </cell>
          <cell r="C1508" t="str">
            <v>HAGER</v>
          </cell>
          <cell r="D1508" t="str">
            <v>HAGER</v>
          </cell>
        </row>
        <row r="1509">
          <cell r="A1509" t="str">
            <v>EKS312B (ACCL, Mains 30A, Genset 12A)</v>
          </cell>
          <cell r="B1509" t="str">
            <v>EKS312B(ACCL, Mains 30A, Genset 12A)</v>
          </cell>
          <cell r="C1509" t="str">
            <v>HAGER</v>
          </cell>
          <cell r="D1509" t="str">
            <v>HAGER</v>
          </cell>
        </row>
        <row r="1510">
          <cell r="A1510" t="str">
            <v>EKS315B (ACCL, Mains 30A, Genset 1.5A)</v>
          </cell>
          <cell r="B1510" t="str">
            <v>EKS315B(ACCL, Mains 30A, Genset 1.5A)</v>
          </cell>
          <cell r="C1510" t="str">
            <v>HAGER</v>
          </cell>
          <cell r="D1510" t="str">
            <v>HAGER</v>
          </cell>
        </row>
        <row r="1511">
          <cell r="A1511" t="str">
            <v>EKS320B (ACCL, Mains 30A, Genset 20A)</v>
          </cell>
          <cell r="B1511" t="str">
            <v>EKS320B(ACCL, Mains 30A, Genset 20A)</v>
          </cell>
          <cell r="C1511" t="str">
            <v>HAGER</v>
          </cell>
          <cell r="D1511" t="str">
            <v>HAGER</v>
          </cell>
        </row>
        <row r="1512">
          <cell r="A1512" t="str">
            <v>EKS302B (ACCL, Mains 30A, Genset 2.5A)</v>
          </cell>
          <cell r="B1512" t="str">
            <v>EKS302B(ACCL, Mains 30A, Genset 2.5A)</v>
          </cell>
          <cell r="C1512" t="str">
            <v>HAGER</v>
          </cell>
          <cell r="D1512" t="str">
            <v>HAGER</v>
          </cell>
        </row>
        <row r="1513">
          <cell r="A1513" t="str">
            <v>EKS330B (ACCL, Mains 30A, Genset 3.0A)</v>
          </cell>
          <cell r="B1513" t="str">
            <v>EKS330B(ACCL, Mains 30A, Genset 3.0A)</v>
          </cell>
          <cell r="C1513" t="str">
            <v>HAGER</v>
          </cell>
          <cell r="D1513" t="str">
            <v>HAGER</v>
          </cell>
        </row>
        <row r="1514">
          <cell r="A1514" t="str">
            <v>EKS304B (ACCL, Mains 30A, Genset 4.0A)</v>
          </cell>
          <cell r="B1514" t="str">
            <v>EKS304B(ACCL, Mains 30A, Genset 4.0A)</v>
          </cell>
          <cell r="C1514" t="str">
            <v>HAGER</v>
          </cell>
          <cell r="D1514" t="str">
            <v>HAGER</v>
          </cell>
        </row>
        <row r="1515">
          <cell r="A1515" t="str">
            <v>EKS305B (ACCL, Mains 30A, Genset 5.0A)</v>
          </cell>
          <cell r="B1515" t="str">
            <v>EKS305B(ACCL, Mains 30A, Genset 5.0A)</v>
          </cell>
          <cell r="C1515" t="str">
            <v>HAGER</v>
          </cell>
          <cell r="D1515" t="str">
            <v>HAGER</v>
          </cell>
        </row>
        <row r="1516">
          <cell r="A1516" t="str">
            <v>EKS306B (ACCL, Mains 30A, Genset 6.0A)</v>
          </cell>
          <cell r="B1516" t="str">
            <v>EKS306B(ACCL, Mains 30A, Genset 6.0A)</v>
          </cell>
          <cell r="C1516" t="str">
            <v>HAGER</v>
          </cell>
          <cell r="D1516" t="str">
            <v>HAGER</v>
          </cell>
        </row>
        <row r="1517">
          <cell r="A1517" t="str">
            <v>EKS309B (ACCL, Mains 30A, Genset 9.0A)</v>
          </cell>
          <cell r="B1517" t="str">
            <v>EKS309B(ACCL, Mains 30A, Genset 9.0A)</v>
          </cell>
          <cell r="C1517" t="str">
            <v>HAGER</v>
          </cell>
          <cell r="D1517" t="str">
            <v>HAGER</v>
          </cell>
        </row>
        <row r="1518">
          <cell r="A1518" t="str">
            <v>EKT410SG (ACCL Mains TPN 40A Gen SPN 10A GSS)</v>
          </cell>
          <cell r="B1518" t="str">
            <v>EKT410SG(ACCL Mains TPN 40A Gen SPN 10A GSS)</v>
          </cell>
          <cell r="C1518" t="str">
            <v>HAGER</v>
          </cell>
          <cell r="D1518" t="str">
            <v>HAGER</v>
          </cell>
        </row>
        <row r="1519">
          <cell r="A1519" t="str">
            <v>EKT416SG (ACCL Mains TPN 40A Gen SPN 16A GSS)</v>
          </cell>
          <cell r="B1519" t="str">
            <v>EKT416SG(ACCL Mains TPN 40A Gen SPN 16A GSS)</v>
          </cell>
          <cell r="C1519" t="str">
            <v>HAGER</v>
          </cell>
          <cell r="D1519" t="str">
            <v>HAGER</v>
          </cell>
        </row>
        <row r="1520">
          <cell r="A1520" t="str">
            <v>EKT420SG (ACCL Mains TPN 40A Gen SPN 20A GSS)</v>
          </cell>
          <cell r="B1520" t="str">
            <v>EKT420SG(ACCL Mains TPN 40A Gen SPN 20A GSS)</v>
          </cell>
          <cell r="C1520" t="str">
            <v>HAGER</v>
          </cell>
          <cell r="D1520" t="str">
            <v>HAGER</v>
          </cell>
        </row>
        <row r="1521">
          <cell r="A1521" t="str">
            <v>EKT425SG (ACCL Mains TPN 40A Gen SPN 25A GSS)</v>
          </cell>
          <cell r="B1521" t="str">
            <v>EKT425SG(ACCL Mains TPN 40A Gen SPN 25A GSS)</v>
          </cell>
          <cell r="C1521" t="str">
            <v>HAGER</v>
          </cell>
          <cell r="D1521" t="str">
            <v>HAGER</v>
          </cell>
        </row>
        <row r="1522">
          <cell r="A1522" t="str">
            <v>EKT430SG (ACCL Mains TPN 40A Gen SPN 30A GSS)</v>
          </cell>
          <cell r="B1522" t="str">
            <v>EKT430SG(ACCL Mains TPN 40A Gen SPN 30A GSS)</v>
          </cell>
          <cell r="C1522" t="str">
            <v>HAGER</v>
          </cell>
          <cell r="D1522" t="str">
            <v>HAGER</v>
          </cell>
        </row>
        <row r="1523">
          <cell r="A1523" t="str">
            <v>EKT406SG (ACCL Mains TPN 40A Gen SPN 6A GSS)</v>
          </cell>
          <cell r="B1523" t="str">
            <v>EKT406SG(ACCL Mains TPN 40A Gen SPN 6A GSS)</v>
          </cell>
          <cell r="C1523" t="str">
            <v>HAGER</v>
          </cell>
          <cell r="D1523" t="str">
            <v>HAGER</v>
          </cell>
        </row>
        <row r="1524">
          <cell r="A1524" t="str">
            <v>EKT410TG (ACCL Mains TPN 40A Gen TPN 10A GSS)</v>
          </cell>
          <cell r="B1524" t="str">
            <v>EKT410TG(ACCL Mains TPN 40A Gen TPN 10A GSS)</v>
          </cell>
          <cell r="C1524" t="str">
            <v>HAGER</v>
          </cell>
          <cell r="D1524" t="str">
            <v>HAGER</v>
          </cell>
        </row>
        <row r="1525">
          <cell r="A1525" t="str">
            <v>EKT416TG (ACCL Mains TPN 40A Gen TPN 16A GSS)</v>
          </cell>
          <cell r="B1525" t="str">
            <v>EKT416TG(ACCL Mains TPN 40A Gen TPN 16A GSS)</v>
          </cell>
          <cell r="C1525" t="str">
            <v>HAGER</v>
          </cell>
          <cell r="D1525" t="str">
            <v>HAGER</v>
          </cell>
        </row>
        <row r="1526">
          <cell r="A1526" t="str">
            <v>EKT420TG (ACCL Mains TPN 40A Gen TPN 20A GSS)</v>
          </cell>
          <cell r="B1526" t="str">
            <v>EKT420TG(ACCL Mains TPN 40A Gen TPN 20A GSS)</v>
          </cell>
          <cell r="C1526" t="str">
            <v>HAGER</v>
          </cell>
          <cell r="D1526" t="str">
            <v>HAGER</v>
          </cell>
        </row>
        <row r="1527">
          <cell r="A1527" t="str">
            <v>EKT425TG (ACCL Mains TPN 40A Gen TPN 25A GSS)</v>
          </cell>
          <cell r="B1527" t="str">
            <v>EKT425TG(ACCL Mains TPN 40A Gen TPN 25A GSS)</v>
          </cell>
          <cell r="C1527" t="str">
            <v>HAGER</v>
          </cell>
          <cell r="D1527" t="str">
            <v>HAGER</v>
          </cell>
        </row>
        <row r="1528">
          <cell r="A1528" t="str">
            <v>EKT430TG (ACCL Mains TPN 40A Gen TPN 30A GSS)</v>
          </cell>
          <cell r="B1528" t="str">
            <v>EKT430TG(ACCL Mains TPN 40A Gen TPN 30A GSS)</v>
          </cell>
          <cell r="C1528" t="str">
            <v>HAGER</v>
          </cell>
          <cell r="D1528" t="str">
            <v>HAGER</v>
          </cell>
        </row>
        <row r="1529">
          <cell r="A1529" t="str">
            <v>EKT406TG (ACCL Mains TPN 40A Gen TPN 6A GSS)</v>
          </cell>
          <cell r="B1529" t="str">
            <v>EKT406TG(ACCL Mains TPN 40A Gen TPN 6A GSS)</v>
          </cell>
          <cell r="C1529" t="str">
            <v>HAGER</v>
          </cell>
          <cell r="D1529" t="str">
            <v>HAGER</v>
          </cell>
        </row>
        <row r="1530">
          <cell r="A1530" t="str">
            <v>EKT610SG (ACCL Mains TPN 63A Gen SPN 10A GSS)</v>
          </cell>
          <cell r="B1530" t="str">
            <v>EKT610SG(ACCL Mains TPN 63A Gen SPN 10A GSS)</v>
          </cell>
          <cell r="C1530" t="str">
            <v>HAGER</v>
          </cell>
          <cell r="D1530" t="str">
            <v>HAGER</v>
          </cell>
        </row>
        <row r="1531">
          <cell r="A1531" t="str">
            <v>EKT616SG (ACCL Mains TPN 63A Gen SPN 16A GSS)</v>
          </cell>
          <cell r="B1531" t="str">
            <v>EKT616SG(ACCL Mains TPN 63A Gen SPN 16A GSS)</v>
          </cell>
          <cell r="C1531" t="str">
            <v>HAGER</v>
          </cell>
          <cell r="D1531" t="str">
            <v>HAGER</v>
          </cell>
        </row>
        <row r="1532">
          <cell r="A1532" t="str">
            <v>EKT620SG (ACCL Mains TPN 63A Gen SPN 20A GSS)</v>
          </cell>
          <cell r="B1532" t="str">
            <v>EKT620SG(ACCL Mains TPN 63A Gen SPN 20A GSS)</v>
          </cell>
          <cell r="C1532" t="str">
            <v>HAGER</v>
          </cell>
          <cell r="D1532" t="str">
            <v>HAGER</v>
          </cell>
        </row>
        <row r="1533">
          <cell r="A1533" t="str">
            <v>EKT625SG (ACCL Mains TPN 63A Gen SPN 25A GSS)</v>
          </cell>
          <cell r="B1533" t="str">
            <v>EKT625SG(ACCL Mains TPN 63A Gen SPN 25A GSS)</v>
          </cell>
          <cell r="C1533" t="str">
            <v>HAGER</v>
          </cell>
          <cell r="D1533" t="str">
            <v>HAGER</v>
          </cell>
        </row>
        <row r="1534">
          <cell r="A1534" t="str">
            <v>EKT630SG (ACCL Mains TPN 63A Gen SPN 30A GSS)</v>
          </cell>
          <cell r="B1534" t="str">
            <v>EKT630SG(ACCL Mains TPN 63A Gen SPN 30A GSS)</v>
          </cell>
          <cell r="C1534" t="str">
            <v>HAGER</v>
          </cell>
          <cell r="D1534" t="str">
            <v>HAGER</v>
          </cell>
        </row>
        <row r="1535">
          <cell r="A1535" t="str">
            <v>EKT640SG (ACCL Mains TPN 63A Gen SPN 40A GSS)</v>
          </cell>
          <cell r="B1535" t="str">
            <v>EKT640SG(ACCL Mains TPN 63A Gen SPN 40A GSS)</v>
          </cell>
          <cell r="C1535" t="str">
            <v>HAGER</v>
          </cell>
          <cell r="D1535" t="str">
            <v>HAGER</v>
          </cell>
        </row>
        <row r="1536">
          <cell r="A1536" t="str">
            <v>EKT606SG (ACCL Mains TPN 63A Gen SPN 6A GSS)</v>
          </cell>
          <cell r="B1536" t="str">
            <v>EKT606SG(ACCL Mains TPN 63A Gen SPN 6A GSS)</v>
          </cell>
          <cell r="C1536" t="str">
            <v>HAGER</v>
          </cell>
          <cell r="D1536" t="str">
            <v>HAGER</v>
          </cell>
        </row>
        <row r="1537">
          <cell r="A1537" t="str">
            <v>EKT610TG (ACCL Mains TPN 63A Gen TPN 10A GSS)</v>
          </cell>
          <cell r="B1537" t="str">
            <v>EKT610TG(ACCL Mains TPN 63A Gen TPN 10A GSS)</v>
          </cell>
          <cell r="C1537" t="str">
            <v>HAGER</v>
          </cell>
          <cell r="D1537" t="str">
            <v>HAGER</v>
          </cell>
        </row>
        <row r="1538">
          <cell r="A1538" t="str">
            <v>EKT616TG (ACCL Mains TPN 63A Gen TPN 16A GSS)</v>
          </cell>
          <cell r="B1538" t="str">
            <v>EKT616TG(ACCL Mains TPN 63A Gen TPN 16A GSS)</v>
          </cell>
          <cell r="C1538" t="str">
            <v>HAGER</v>
          </cell>
          <cell r="D1538" t="str">
            <v>HAGER</v>
          </cell>
        </row>
        <row r="1539">
          <cell r="A1539" t="str">
            <v>EKT620TG (ACCL Mains TPN 63A Gen TPN 20A GSS)</v>
          </cell>
          <cell r="B1539" t="str">
            <v>EKT620TG(ACCL Mains TPN 63A Gen TPN 20A GSS)</v>
          </cell>
          <cell r="C1539" t="str">
            <v>HAGER</v>
          </cell>
          <cell r="D1539" t="str">
            <v>HAGER</v>
          </cell>
        </row>
        <row r="1540">
          <cell r="A1540" t="str">
            <v>EKT625TG (ACCL Mains TPN 63A Gen TPN 25A GSS)</v>
          </cell>
          <cell r="B1540" t="str">
            <v>EKT625TG(ACCL Mains TPN 63A Gen TPN 25A GSS)</v>
          </cell>
          <cell r="C1540" t="str">
            <v>HAGER</v>
          </cell>
          <cell r="D1540" t="str">
            <v>HAGER</v>
          </cell>
        </row>
        <row r="1541">
          <cell r="A1541" t="str">
            <v>EKT630TG (ACCL Mains TPN 63A Gen TPN 30A GSS)</v>
          </cell>
          <cell r="B1541" t="str">
            <v>EKT630TG(ACCL Mains TPN 63A Gen TPN 30A GSS)</v>
          </cell>
          <cell r="C1541" t="str">
            <v>HAGER</v>
          </cell>
          <cell r="D1541" t="str">
            <v>HAGER</v>
          </cell>
        </row>
        <row r="1542">
          <cell r="A1542" t="str">
            <v>EKT640TG (ACCL Mains TPN 63A Gen TPN 40A GSS)</v>
          </cell>
          <cell r="B1542" t="str">
            <v>EKT640TG(ACCL Mains TPN 63A Gen TPN 40A GSS)</v>
          </cell>
          <cell r="C1542" t="str">
            <v>HAGER</v>
          </cell>
          <cell r="D1542" t="str">
            <v>HAGER</v>
          </cell>
        </row>
        <row r="1543">
          <cell r="A1543" t="str">
            <v>EKT606TG (ACCL Mains TPN 63A Gen TPN 6A GSS)</v>
          </cell>
          <cell r="B1543" t="str">
            <v>EKT606TG(ACCL Mains TPN 63A Gen TPN 6A GSS)</v>
          </cell>
          <cell r="C1543" t="str">
            <v>HAGER</v>
          </cell>
          <cell r="D1543" t="str">
            <v>HAGER</v>
          </cell>
        </row>
        <row r="1544">
          <cell r="A1544" t="str">
            <v>AFC432Y (AFC432Y (32A FP RCBO 300mA))</v>
          </cell>
          <cell r="B1544" t="str">
            <v>AFC432Y(AFC432Y(32A FP RCBO 300mA))</v>
          </cell>
          <cell r="C1544" t="str">
            <v>HAGER</v>
          </cell>
          <cell r="D1544" t="str">
            <v>HAGER</v>
          </cell>
        </row>
        <row r="1545">
          <cell r="A1545" t="str">
            <v>HXC024H (Alarm contact H250-H.. 1NO+1NC 230V)</v>
          </cell>
          <cell r="B1545" t="str">
            <v>HXC024H(Alarm contact H250-H.. 1NO+1NC 230V)</v>
          </cell>
          <cell r="C1545" t="str">
            <v>HAGER</v>
          </cell>
          <cell r="D1545" t="str">
            <v>HAGER</v>
          </cell>
        </row>
        <row r="1546">
          <cell r="A1546" t="str">
            <v>HXA024H (Alarm contact x160-x250 1NO+1NC 250V AC)</v>
          </cell>
          <cell r="B1546" t="str">
            <v>HXA024H(Alarm contact x160-x250 1NO+1NC 250V AC)</v>
          </cell>
          <cell r="C1546" t="str">
            <v>HAGER</v>
          </cell>
          <cell r="D1546" t="str">
            <v>HAGER</v>
          </cell>
        </row>
        <row r="1547">
          <cell r="A1547" t="str">
            <v>BRAP651301ELN (Aluminum base, 65x130, anodised)</v>
          </cell>
          <cell r="B1547" t="str">
            <v>BRAP651301ELN(Aluminum base, 65x130, anodised)</v>
          </cell>
          <cell r="C1547" t="str">
            <v>HAGER</v>
          </cell>
          <cell r="D1547" t="str">
            <v>HAGER</v>
          </cell>
        </row>
        <row r="1548">
          <cell r="A1548" t="str">
            <v>BRAP651701ELN (Aluminum base, 65x170, anodised)</v>
          </cell>
          <cell r="B1548" t="str">
            <v>BRAP651701ELN(Aluminum base, 65x170, anodised)</v>
          </cell>
          <cell r="C1548" t="str">
            <v>HAGER</v>
          </cell>
          <cell r="D1548" t="str">
            <v>HAGER</v>
          </cell>
        </row>
        <row r="1549">
          <cell r="A1549" t="str">
            <v>BRAP802001ELN (Aluminum base, 80x200, anodised)</v>
          </cell>
          <cell r="B1549" t="str">
            <v>BRAP802001ELN(Aluminum base, 80x200, anodised)</v>
          </cell>
          <cell r="C1549" t="str">
            <v>HAGER</v>
          </cell>
          <cell r="D1549" t="str">
            <v>HAGER</v>
          </cell>
        </row>
        <row r="1550">
          <cell r="A1550" t="str">
            <v>BRAP0802ELN (Aluminum cover 80, anodised)</v>
          </cell>
          <cell r="B1550" t="str">
            <v>BRAP0802ELN(Aluminum cover 80, anodised)</v>
          </cell>
          <cell r="C1550" t="str">
            <v>HAGER</v>
          </cell>
          <cell r="D1550" t="str">
            <v>HAGER</v>
          </cell>
        </row>
        <row r="1551">
          <cell r="A1551" t="str">
            <v>SK603 (Ammeter selector switch 4 position, 3 mod)</v>
          </cell>
          <cell r="B1551" t="str">
            <v>SK603(Ammeter selector switch 4 position, 3 mod)</v>
          </cell>
          <cell r="C1551" t="str">
            <v>HAGER</v>
          </cell>
          <cell r="D1551" t="str">
            <v>HAGER</v>
          </cell>
        </row>
        <row r="1552">
          <cell r="A1552" t="str">
            <v>SM100 (Analogue meters 0- 100 A CT)</v>
          </cell>
          <cell r="B1552" t="str">
            <v>SM100(Analogue meters 0- 100 A CT)</v>
          </cell>
          <cell r="C1552" t="str">
            <v>HAGER</v>
          </cell>
          <cell r="D1552" t="str">
            <v>HAGER</v>
          </cell>
        </row>
        <row r="1553">
          <cell r="A1553" t="str">
            <v>SM150 (Analogue meters 0- 150 A CT)</v>
          </cell>
          <cell r="B1553" t="str">
            <v>SM150(Analogue meters 0- 150 A CT)</v>
          </cell>
          <cell r="C1553" t="str">
            <v>HAGER</v>
          </cell>
          <cell r="D1553" t="str">
            <v>HAGER</v>
          </cell>
        </row>
        <row r="1554">
          <cell r="A1554" t="str">
            <v>SM250 (Analogue meters 0- 250 A CT)</v>
          </cell>
          <cell r="B1554" t="str">
            <v>SM250(Analogue meters 0- 250 A CT)</v>
          </cell>
          <cell r="C1554" t="str">
            <v>HAGER</v>
          </cell>
          <cell r="D1554" t="str">
            <v>HAGER</v>
          </cell>
        </row>
        <row r="1555">
          <cell r="A1555" t="str">
            <v>SM030 (Analogue meters 0- 30 A direct)</v>
          </cell>
          <cell r="B1555" t="str">
            <v>SM030(Analogue meters 0- 30 A direct)</v>
          </cell>
          <cell r="C1555" t="str">
            <v>HAGER</v>
          </cell>
          <cell r="D1555" t="str">
            <v>HAGER</v>
          </cell>
        </row>
        <row r="1556">
          <cell r="A1556" t="str">
            <v>SM050 (Analogue meters 0- 50 A CT)</v>
          </cell>
          <cell r="B1556" t="str">
            <v>SM050(Analogue meters 0- 50 A CT)</v>
          </cell>
          <cell r="C1556" t="str">
            <v>HAGER</v>
          </cell>
          <cell r="D1556" t="str">
            <v>HAGER</v>
          </cell>
        </row>
        <row r="1557">
          <cell r="A1557" t="str">
            <v>SM500 (Analog Voltmeter 500V AC)</v>
          </cell>
          <cell r="B1557" t="str">
            <v>SM500(Analog Voltmeter 500V AC)</v>
          </cell>
          <cell r="C1557" t="str">
            <v>HAGER</v>
          </cell>
          <cell r="D1557" t="str">
            <v>HAGER</v>
          </cell>
        </row>
        <row r="1558">
          <cell r="A1558" t="str">
            <v>WS110N (Anthracite USB Charger/ Systo or Essensya)</v>
          </cell>
          <cell r="B1558" t="str">
            <v>WS110N(Anthracite USB Charger/ Systo or Essensya)</v>
          </cell>
          <cell r="C1558" t="str">
            <v>HAGER</v>
          </cell>
          <cell r="D1558" t="str">
            <v>HAGER</v>
          </cell>
        </row>
        <row r="1559">
          <cell r="A1559" t="str">
            <v>EE180 (Astro Time Switch 1 Channel 56 step)</v>
          </cell>
          <cell r="B1559" t="str">
            <v>EE180(Astro Time Switch 1 Channel 56 step)</v>
          </cell>
          <cell r="C1559" t="str">
            <v>HAGER</v>
          </cell>
          <cell r="D1559" t="str">
            <v>HAGER</v>
          </cell>
        </row>
        <row r="1560">
          <cell r="A1560" t="str">
            <v>EE181 (Astro Time Switch 2 Channel 56 step)</v>
          </cell>
          <cell r="B1560" t="str">
            <v>EE181(Astro Time Switch 2 Channel 56 step)</v>
          </cell>
          <cell r="C1560" t="str">
            <v>HAGER</v>
          </cell>
          <cell r="D1560" t="str">
            <v>HAGER</v>
          </cell>
        </row>
        <row r="1561">
          <cell r="A1561" t="str">
            <v>EKT440TG (Auto COS Mains TPN 40A Gen TPN 40A GSS)</v>
          </cell>
          <cell r="B1561" t="str">
            <v>EKT440TG(Auto COS Mains TPN 40A Gen TPN 40A GSS)</v>
          </cell>
          <cell r="C1561" t="str">
            <v>HAGER</v>
          </cell>
          <cell r="D1561" t="str">
            <v>HAGER</v>
          </cell>
        </row>
        <row r="1562">
          <cell r="A1562" t="str">
            <v>EKT663TG (Auto COS Mains TPN 63A Gen TPN 63A GSS)</v>
          </cell>
          <cell r="B1562" t="str">
            <v>EKT663TG(Auto COS Mains TPN 63A Gen TPN 63A GSS)</v>
          </cell>
          <cell r="C1562" t="str">
            <v>HAGER</v>
          </cell>
          <cell r="D1562" t="str">
            <v>HAGER</v>
          </cell>
        </row>
        <row r="1563">
          <cell r="A1563" t="str">
            <v>MZ201 (AUX. CONTACT 1NO + 1NC)</v>
          </cell>
          <cell r="B1563" t="str">
            <v>MZ201(AUX. CONTACT 1NO + 1NC)</v>
          </cell>
          <cell r="C1563" t="str">
            <v>HAGER</v>
          </cell>
          <cell r="D1563" t="str">
            <v>HAGER</v>
          </cell>
        </row>
        <row r="1564">
          <cell r="A1564" t="str">
            <v>MZ202 (AUX. CONTACT + ALARM  1NO + 1NC)</v>
          </cell>
          <cell r="B1564" t="str">
            <v>MZ202(AUX. CONTACT + ALARM 1NO + 1NC)</v>
          </cell>
          <cell r="C1564" t="str">
            <v>HAGER</v>
          </cell>
          <cell r="D1564" t="str">
            <v>HAGER</v>
          </cell>
        </row>
        <row r="1565">
          <cell r="A1565" t="str">
            <v>EPN051 (Aux contact for Latching relay)</v>
          </cell>
          <cell r="B1565" t="str">
            <v>EPN051(Aux contact for Latching relay)</v>
          </cell>
          <cell r="C1565" t="str">
            <v>HAGER</v>
          </cell>
          <cell r="D1565" t="str">
            <v>HAGER</v>
          </cell>
        </row>
        <row r="1566">
          <cell r="A1566" t="str">
            <v>EPN053 (Aux contact for maintained command)</v>
          </cell>
          <cell r="B1566" t="str">
            <v>EPN053(Aux contact for maintained command)</v>
          </cell>
          <cell r="C1566" t="str">
            <v>HAGER</v>
          </cell>
          <cell r="D1566" t="str">
            <v>HAGER</v>
          </cell>
        </row>
        <row r="1567">
          <cell r="A1567" t="str">
            <v>HXC021H (Aux contact H250-H.. 1NO+1NC 230VAC)</v>
          </cell>
          <cell r="B1567" t="str">
            <v>HXC021H(Aux contact H250-H.. 1NO+1NC 230VAC)</v>
          </cell>
          <cell r="C1567" t="str">
            <v>HAGER</v>
          </cell>
          <cell r="D1567" t="str">
            <v>HAGER</v>
          </cell>
        </row>
        <row r="1568">
          <cell r="A1568" t="str">
            <v>HXA021H (Aux contact x160-x250 1NO+1NC 250V AC)</v>
          </cell>
          <cell r="B1568" t="str">
            <v>HXA021H(Aux contact x160-x250 1NO+1NC 250V AC)</v>
          </cell>
          <cell r="C1568" t="str">
            <v>HAGER</v>
          </cell>
          <cell r="D1568" t="str">
            <v>HAGER</v>
          </cell>
        </row>
        <row r="1569">
          <cell r="A1569" t="str">
            <v>EPN050 (Aux for Centralised control)</v>
          </cell>
          <cell r="B1569" t="str">
            <v>EPN050(Aux for Centralised control)</v>
          </cell>
          <cell r="C1569" t="str">
            <v>HAGER</v>
          </cell>
          <cell r="D1569" t="str">
            <v>HAGER</v>
          </cell>
        </row>
        <row r="1570">
          <cell r="A1570" t="str">
            <v>EPN052 (Aux for multilevel centralised control)</v>
          </cell>
          <cell r="B1570" t="str">
            <v>EPN052(Aux for multilevel centralised control)</v>
          </cell>
          <cell r="C1570" t="str">
            <v>HAGER</v>
          </cell>
          <cell r="D1570" t="str">
            <v>HAGER</v>
          </cell>
        </row>
        <row r="1571">
          <cell r="A1571" t="str">
            <v>HZ160I (Auxiliary contact 1NO+1NC)</v>
          </cell>
          <cell r="B1571" t="str">
            <v>HZ160I(Auxiliary contact 1NO+1NC)</v>
          </cell>
          <cell r="C1571" t="str">
            <v>HAGER</v>
          </cell>
          <cell r="D1571" t="str">
            <v>HAGER</v>
          </cell>
        </row>
        <row r="1572">
          <cell r="A1572" t="str">
            <v>SU213 (Bell 1 module)</v>
          </cell>
          <cell r="B1572" t="str">
            <v>SU213(Bell 1 module)</v>
          </cell>
          <cell r="C1572" t="str">
            <v>HAGER</v>
          </cell>
          <cell r="D1572" t="str">
            <v>HAGER</v>
          </cell>
        </row>
        <row r="1573">
          <cell r="A1573" t="str">
            <v>HZI002I (BLACK HANDLE FCS- LBS 125-630A)</v>
          </cell>
          <cell r="B1573" t="str">
            <v>HZI002I(BLACK HANDLE FCS- LBS 125-630A)</v>
          </cell>
          <cell r="C1573" t="str">
            <v>HAGER</v>
          </cell>
          <cell r="D1573" t="str">
            <v>HAGER</v>
          </cell>
        </row>
        <row r="1574">
          <cell r="A1574" t="str">
            <v>HZI003I (BLACK HANDLE FCS- LBS 800-1600A)</v>
          </cell>
          <cell r="B1574" t="str">
            <v>HZI003I(BLACK HANDLE FCS- LBS 800-1600A)</v>
          </cell>
          <cell r="C1574" t="str">
            <v>HAGER</v>
          </cell>
          <cell r="D1574" t="str">
            <v>HAGER</v>
          </cell>
        </row>
        <row r="1575">
          <cell r="A1575" t="str">
            <v>WSNBK11 (Blanking Plate 1 Module)</v>
          </cell>
          <cell r="B1575" t="str">
            <v>WSNBK11(Blanking Plate 1 Module)</v>
          </cell>
          <cell r="C1575" t="str">
            <v>HAGER</v>
          </cell>
          <cell r="D1575" t="str">
            <v>HAGER</v>
          </cell>
        </row>
        <row r="1576">
          <cell r="A1576" t="str">
            <v>WSNBK11A (Blanking Plate  ANTH)</v>
          </cell>
          <cell r="B1576" t="str">
            <v>WSNBK11A(Blanking Plate ANTH)</v>
          </cell>
          <cell r="C1576" t="str">
            <v>HAGER</v>
          </cell>
          <cell r="D1576" t="str">
            <v>HAGER</v>
          </cell>
        </row>
        <row r="1577">
          <cell r="A1577" t="str">
            <v>KDN163A (Bus bar Fork 1 pole 12 mod, France)</v>
          </cell>
          <cell r="B1577" t="str">
            <v>KDN163A(Bus bar Fork 1 pole 12 mod, France)</v>
          </cell>
          <cell r="C1577" t="str">
            <v>HAGER</v>
          </cell>
          <cell r="D1577" t="str">
            <v>HAGER</v>
          </cell>
        </row>
        <row r="1578">
          <cell r="A1578" t="str">
            <v>KD163B (Bus bar Fork 1 pole 56 mod, China)</v>
          </cell>
          <cell r="B1578" t="str">
            <v>KD163B(Bus bar Fork 1 pole 56 mod, China)</v>
          </cell>
          <cell r="C1578" t="str">
            <v>HAGER</v>
          </cell>
          <cell r="D1578" t="str">
            <v>HAGER</v>
          </cell>
        </row>
        <row r="1579">
          <cell r="A1579" t="str">
            <v>KDN263A (Bus bar Fork 2 pole 12 mod, France)</v>
          </cell>
          <cell r="B1579" t="str">
            <v>KDN263A(Bus bar Fork 2 pole 12 mod, France)</v>
          </cell>
          <cell r="C1579" t="str">
            <v>HAGER</v>
          </cell>
          <cell r="D1579" t="str">
            <v>HAGER</v>
          </cell>
        </row>
        <row r="1580">
          <cell r="A1580" t="str">
            <v>KD263B (Bus bar Fork 2 pole 56 mod, China)</v>
          </cell>
          <cell r="B1580" t="str">
            <v>KD263B(Bus bar Fork 2 pole 56 mod, China)</v>
          </cell>
          <cell r="C1580" t="str">
            <v>HAGER</v>
          </cell>
          <cell r="D1580" t="str">
            <v>HAGER</v>
          </cell>
        </row>
        <row r="1581">
          <cell r="A1581" t="str">
            <v>KDN363A (Bus bar Fork 3 pole 12 mod, France)</v>
          </cell>
          <cell r="B1581" t="str">
            <v>KDN363A(Bus bar Fork 3 pole 12 mod, France)</v>
          </cell>
          <cell r="C1581" t="str">
            <v>HAGER</v>
          </cell>
          <cell r="D1581" t="str">
            <v>HAGER</v>
          </cell>
        </row>
        <row r="1582">
          <cell r="A1582" t="str">
            <v>KD363B (Bus bar Fork 3 pole 56 mod, China)</v>
          </cell>
          <cell r="B1582" t="str">
            <v>KD363B(Bus bar Fork 3 pole 56 mod, China)</v>
          </cell>
          <cell r="C1582" t="str">
            <v>HAGER</v>
          </cell>
          <cell r="D1582" t="str">
            <v>HAGER</v>
          </cell>
        </row>
        <row r="1583">
          <cell r="A1583" t="str">
            <v>KDN463B (Bus bar Fork 4 pole 08 mod, France_x000D_
)</v>
          </cell>
          <cell r="B1583" t="str">
            <v>KDN463B(Bus bar Fork 4 pole 08 mod, France_x000D_
)</v>
          </cell>
          <cell r="C1583" t="str">
            <v>HAGER</v>
          </cell>
          <cell r="D1583" t="str">
            <v>HAGER</v>
          </cell>
        </row>
        <row r="1584">
          <cell r="A1584" t="str">
            <v>KDN463A (Bus bar Fork 4 pole 12 mod, France)</v>
          </cell>
          <cell r="B1584" t="str">
            <v>KDN463A(Bus bar Fork 4 pole 12 mod, France)</v>
          </cell>
          <cell r="C1584" t="str">
            <v>HAGER</v>
          </cell>
          <cell r="D1584" t="str">
            <v>HAGER</v>
          </cell>
        </row>
        <row r="1585">
          <cell r="A1585" t="str">
            <v>KD463B (Bus bar Fork 4 pole 56 mod, China)</v>
          </cell>
          <cell r="B1585" t="str">
            <v>KD463B(Bus bar Fork 4 pole 56 mod, China)</v>
          </cell>
          <cell r="C1585" t="str">
            <v>HAGER</v>
          </cell>
          <cell r="D1585" t="str">
            <v>HAGER</v>
          </cell>
        </row>
        <row r="1586">
          <cell r="A1586" t="str">
            <v>SU215 (Buzzer 1 module)</v>
          </cell>
          <cell r="B1586" t="str">
            <v>SU215(Buzzer 1 module)</v>
          </cell>
          <cell r="C1586" t="str">
            <v>HAGER</v>
          </cell>
          <cell r="D1586" t="str">
            <v>HAGER</v>
          </cell>
        </row>
        <row r="1587">
          <cell r="A1587" t="str">
            <v>WSNHS62 (Buzzer - 230VA)</v>
          </cell>
          <cell r="B1587" t="str">
            <v>WSNHS62(Buzzer - 230VA)</v>
          </cell>
          <cell r="C1587" t="str">
            <v>HAGER</v>
          </cell>
          <cell r="D1587" t="str">
            <v>HAGER</v>
          </cell>
        </row>
        <row r="1588">
          <cell r="A1588" t="str">
            <v>WSNHS62A (Buzzer - 230VA  ANTH)</v>
          </cell>
          <cell r="B1588" t="str">
            <v>WSNHS62A(Buzzer - 230VA ANTH)</v>
          </cell>
          <cell r="C1588" t="str">
            <v>HAGER</v>
          </cell>
          <cell r="D1588" t="str">
            <v>HAGER</v>
          </cell>
        </row>
        <row r="1589">
          <cell r="A1589" t="str">
            <v>VZ016M (Cable Glands, IP65, M16)</v>
          </cell>
          <cell r="B1589" t="str">
            <v>VZ016M(Cable Glands, IP65, M16)</v>
          </cell>
          <cell r="C1589" t="str">
            <v>HAGER</v>
          </cell>
          <cell r="D1589" t="str">
            <v>HAGER</v>
          </cell>
        </row>
        <row r="1590">
          <cell r="A1590" t="str">
            <v>VZ020M (Cable Glands, IP65, M20)</v>
          </cell>
          <cell r="B1590" t="str">
            <v>VZ020M(Cable Glands, IP65, M20)</v>
          </cell>
          <cell r="C1590" t="str">
            <v>HAGER</v>
          </cell>
          <cell r="D1590" t="str">
            <v>HAGER</v>
          </cell>
        </row>
        <row r="1591">
          <cell r="A1591" t="str">
            <v>VZ025M (Cable Glands, IP65, M25)</v>
          </cell>
          <cell r="B1591" t="str">
            <v>VZ025M(Cable Glands, IP65, M25)</v>
          </cell>
          <cell r="C1591" t="str">
            <v>HAGER</v>
          </cell>
          <cell r="D1591" t="str">
            <v>HAGER</v>
          </cell>
        </row>
        <row r="1592">
          <cell r="A1592" t="str">
            <v>VZ032M (Cable Glands, IP65, M32)</v>
          </cell>
          <cell r="B1592" t="str">
            <v>VZ032M(Cable Glands, IP65, M32)</v>
          </cell>
          <cell r="C1592" t="str">
            <v>HAGER</v>
          </cell>
          <cell r="D1592" t="str">
            <v>HAGER</v>
          </cell>
        </row>
        <row r="1593">
          <cell r="A1593" t="str">
            <v>VZ040M (Cable Glands, IP65, M40)</v>
          </cell>
          <cell r="B1593" t="str">
            <v>VZ040M(Cable Glands, IP65, M40)</v>
          </cell>
          <cell r="C1593" t="str">
            <v>HAGER</v>
          </cell>
          <cell r="D1593" t="str">
            <v>HAGER</v>
          </cell>
        </row>
        <row r="1594">
          <cell r="A1594" t="str">
            <v>SPV025E (Cartridge for earth SPV325)</v>
          </cell>
          <cell r="B1594" t="str">
            <v>SPV025E(Cartridge for earth SPV325)</v>
          </cell>
          <cell r="C1594" t="str">
            <v>HAGER</v>
          </cell>
          <cell r="D1594" t="str">
            <v>HAGER</v>
          </cell>
        </row>
        <row r="1595">
          <cell r="A1595" t="str">
            <v>LF590G (Cartridge Fuses)</v>
          </cell>
          <cell r="B1595" t="str">
            <v>LF590G(Cartridge Fuses)</v>
          </cell>
          <cell r="C1595" t="str">
            <v>HAGER</v>
          </cell>
          <cell r="D1595" t="str">
            <v>HAGER</v>
          </cell>
        </row>
        <row r="1596">
          <cell r="A1596" t="str">
            <v>LF310G (Cartridge fuses 10A, 10 x 38 mm)</v>
          </cell>
          <cell r="B1596" t="str">
            <v>LF310G(Cartridge fuses 10A, 10 x 38 mm)</v>
          </cell>
          <cell r="C1596" t="str">
            <v>HAGER</v>
          </cell>
          <cell r="D1596" t="str">
            <v>HAGER</v>
          </cell>
        </row>
        <row r="1597">
          <cell r="A1597" t="str">
            <v>LF410G (Cartridge fuses 10A, 14 x 51 mm)</v>
          </cell>
          <cell r="B1597" t="str">
            <v>LF410G(Cartridge fuses 10A, 14 x 51 mm)</v>
          </cell>
          <cell r="C1597" t="str">
            <v>HAGER</v>
          </cell>
          <cell r="D1597" t="str">
            <v>HAGER</v>
          </cell>
        </row>
        <row r="1598">
          <cell r="A1598" t="str">
            <v>LF312G (Cartridge fuses 12A, 10 x 38 mm)</v>
          </cell>
          <cell r="B1598" t="str">
            <v>LF312G(Cartridge fuses 12A, 10 x 38 mm)</v>
          </cell>
          <cell r="C1598" t="str">
            <v>HAGER</v>
          </cell>
          <cell r="D1598" t="str">
            <v>HAGER</v>
          </cell>
        </row>
        <row r="1599">
          <cell r="A1599" t="str">
            <v>LF412G (Cartridge fuses 12A, 14 x 51 mm)</v>
          </cell>
          <cell r="B1599" t="str">
            <v>LF412G(Cartridge fuses 12A, 14 x 51 mm)</v>
          </cell>
          <cell r="C1599" t="str">
            <v>HAGER</v>
          </cell>
          <cell r="D1599" t="str">
            <v>HAGER</v>
          </cell>
        </row>
        <row r="1600">
          <cell r="A1600" t="str">
            <v>16AC14G16 (Cartridge Fuses 14x51)</v>
          </cell>
          <cell r="B1600" t="str">
            <v>16AC14G16(Cartridge Fuses 14x51)</v>
          </cell>
          <cell r="C1600" t="str">
            <v>HAGER</v>
          </cell>
          <cell r="D1600" t="str">
            <v>HAGER</v>
          </cell>
        </row>
        <row r="1601">
          <cell r="A1601" t="str">
            <v>LF316G (Cartridge fuses 16A, 10 x 38 mm)</v>
          </cell>
          <cell r="B1601" t="str">
            <v>LF316G(Cartridge fuses 16A, 10 x 38 mm)</v>
          </cell>
          <cell r="C1601" t="str">
            <v>HAGER</v>
          </cell>
          <cell r="D1601" t="str">
            <v>HAGER</v>
          </cell>
        </row>
        <row r="1602">
          <cell r="A1602" t="str">
            <v>LF416G (Cartridge fuses 16A, 14 x 51 mm)</v>
          </cell>
          <cell r="B1602" t="str">
            <v>LF416G(Cartridge fuses 16A, 14 x 51 mm)</v>
          </cell>
          <cell r="C1602" t="str">
            <v>HAGER</v>
          </cell>
          <cell r="D1602" t="str">
            <v>HAGER</v>
          </cell>
        </row>
        <row r="1603">
          <cell r="A1603" t="str">
            <v>LF301G (Cartridge fuses 1A, 10 x 38 mm)</v>
          </cell>
          <cell r="B1603" t="str">
            <v>LF301G(Cartridge fuses 1A, 10 x 38 mm)</v>
          </cell>
          <cell r="C1603" t="str">
            <v>HAGER</v>
          </cell>
          <cell r="D1603" t="str">
            <v>HAGER</v>
          </cell>
        </row>
        <row r="1604">
          <cell r="A1604" t="str">
            <v>LF320G (Cartridge fuses 20A, 10 x 38 mm)</v>
          </cell>
          <cell r="B1604" t="str">
            <v>LF320G(Cartridge fuses 20A, 10 x 38 mm)</v>
          </cell>
          <cell r="C1604" t="str">
            <v>HAGER</v>
          </cell>
          <cell r="D1604" t="str">
            <v>HAGER</v>
          </cell>
        </row>
        <row r="1605">
          <cell r="A1605" t="str">
            <v>LF420G (Cartridge fuses 20A, 14 x 51 mm)</v>
          </cell>
          <cell r="B1605" t="str">
            <v>LF420G(Cartridge fuses 20A, 14 x 51 mm)</v>
          </cell>
          <cell r="C1605" t="str">
            <v>HAGER</v>
          </cell>
          <cell r="D1605" t="str">
            <v>HAGER</v>
          </cell>
        </row>
        <row r="1606">
          <cell r="A1606" t="str">
            <v>LF325G (Cartridge fuses 25A, 10 x 38 mm)</v>
          </cell>
          <cell r="B1606" t="str">
            <v>LF325G(Cartridge fuses 25A, 10 x 38 mm)</v>
          </cell>
          <cell r="C1606" t="str">
            <v>HAGER</v>
          </cell>
          <cell r="D1606" t="str">
            <v>HAGER</v>
          </cell>
        </row>
        <row r="1607">
          <cell r="A1607" t="str">
            <v>LF425G (Cartridge fuses 25A, 14 x 51 mm)</v>
          </cell>
          <cell r="B1607" t="str">
            <v>LF425G(Cartridge fuses 25A, 14 x 51 mm)</v>
          </cell>
          <cell r="C1607" t="str">
            <v>HAGER</v>
          </cell>
          <cell r="D1607" t="str">
            <v>HAGER</v>
          </cell>
        </row>
        <row r="1608">
          <cell r="A1608" t="str">
            <v>LF302G (Cartridge fuses 2A, 10 x 38 mm)</v>
          </cell>
          <cell r="B1608" t="str">
            <v>LF302G(Cartridge fuses 2A, 10 x 38 mm)</v>
          </cell>
          <cell r="C1608" t="str">
            <v>HAGER</v>
          </cell>
          <cell r="D1608" t="str">
            <v>HAGER</v>
          </cell>
        </row>
        <row r="1609">
          <cell r="A1609" t="str">
            <v>LF402G (Cartridge fuses 2A, 14 x 51 mm)</v>
          </cell>
          <cell r="B1609" t="str">
            <v>LF402G(Cartridge fuses 2A, 14 x 51 mm)</v>
          </cell>
          <cell r="C1609" t="str">
            <v>HAGER</v>
          </cell>
          <cell r="D1609" t="str">
            <v>HAGER</v>
          </cell>
        </row>
        <row r="1610">
          <cell r="A1610" t="str">
            <v>LF332G (Cartridge fuses 32A,10 x 38 mm)</v>
          </cell>
          <cell r="B1610" t="str">
            <v>LF332G(Cartridge fuses 32A,10 x 38 mm)</v>
          </cell>
          <cell r="C1610" t="str">
            <v>HAGER</v>
          </cell>
          <cell r="D1610" t="str">
            <v>HAGER</v>
          </cell>
        </row>
        <row r="1611">
          <cell r="A1611" t="str">
            <v>LF432G (Cartridge fuses 32A, 14 x 51 mm)</v>
          </cell>
          <cell r="B1611" t="str">
            <v>LF432G(Cartridge fuses 32A, 14 x 51 mm)</v>
          </cell>
          <cell r="C1611" t="str">
            <v>HAGER</v>
          </cell>
          <cell r="D1611" t="str">
            <v>HAGER</v>
          </cell>
        </row>
        <row r="1612">
          <cell r="A1612" t="str">
            <v>LF440G (Cartridge fuses 40A, 14 x 51 mm)</v>
          </cell>
          <cell r="B1612" t="str">
            <v>LF440G(Cartridge fuses 40A, 14 x 51 mm)</v>
          </cell>
          <cell r="C1612" t="str">
            <v>HAGER</v>
          </cell>
          <cell r="D1612" t="str">
            <v>HAGER</v>
          </cell>
        </row>
        <row r="1613">
          <cell r="A1613" t="str">
            <v>LF445G (Cartridge fuses 45A, 14 x 51 mm)</v>
          </cell>
          <cell r="B1613" t="str">
            <v>LF445G(Cartridge fuses 45A, 14 x 51 mm)</v>
          </cell>
          <cell r="C1613" t="str">
            <v>HAGER</v>
          </cell>
          <cell r="D1613" t="str">
            <v>HAGER</v>
          </cell>
        </row>
        <row r="1614">
          <cell r="A1614" t="str">
            <v>LF304G (Cartridge fuses 4A, 10 x 38 mm)</v>
          </cell>
          <cell r="B1614" t="str">
            <v>LF304G(Cartridge fuses 4A, 10 x 38 mm)</v>
          </cell>
          <cell r="C1614" t="str">
            <v>HAGER</v>
          </cell>
          <cell r="D1614" t="str">
            <v>HAGER</v>
          </cell>
        </row>
        <row r="1615">
          <cell r="A1615" t="str">
            <v>LF404G (Cartridge fuses 4A, 14 x 51 mm)</v>
          </cell>
          <cell r="B1615" t="str">
            <v>LF404G(Cartridge fuses 4A, 14 x 51 mm)</v>
          </cell>
          <cell r="C1615" t="str">
            <v>HAGER</v>
          </cell>
          <cell r="D1615" t="str">
            <v>HAGER</v>
          </cell>
        </row>
        <row r="1616">
          <cell r="A1616" t="str">
            <v>LF450G (Cartridge fuses 50A, 14 x 51 mm)</v>
          </cell>
          <cell r="B1616" t="str">
            <v>LF450G(Cartridge fuses 50A, 14 x 51 mm)</v>
          </cell>
          <cell r="C1616" t="str">
            <v>HAGER</v>
          </cell>
          <cell r="D1616" t="str">
            <v>HAGER</v>
          </cell>
        </row>
        <row r="1617">
          <cell r="A1617" t="str">
            <v>LF306G (Cartridge fuses 6A, 10 x 38 mm)</v>
          </cell>
          <cell r="B1617" t="str">
            <v>LF306G(Cartridge fuses 6A, 10 x 38 mm)</v>
          </cell>
          <cell r="C1617" t="str">
            <v>HAGER</v>
          </cell>
          <cell r="D1617" t="str">
            <v>HAGER</v>
          </cell>
        </row>
        <row r="1618">
          <cell r="A1618" t="str">
            <v>LF406G (Cartridge fuses 6A, 14 x 51 mm)</v>
          </cell>
          <cell r="B1618" t="str">
            <v>LF406G(Cartridge fuses 6A, 14 x 51 mm)</v>
          </cell>
          <cell r="C1618" t="str">
            <v>HAGER</v>
          </cell>
          <cell r="D1618" t="str">
            <v>HAGER</v>
          </cell>
        </row>
        <row r="1619">
          <cell r="A1619" t="str">
            <v>LF308G (Cartridge fuses 8A, 10 x 38 mm)</v>
          </cell>
          <cell r="B1619" t="str">
            <v>LF308G(Cartridge fuses 8A, 10 x 38 mm)</v>
          </cell>
          <cell r="C1619" t="str">
            <v>HAGER</v>
          </cell>
          <cell r="D1619" t="str">
            <v>HAGER</v>
          </cell>
        </row>
        <row r="1620">
          <cell r="A1620" t="str">
            <v>LF408G (Cartridge fuses 8A, 14 x 51 mm)</v>
          </cell>
          <cell r="B1620" t="str">
            <v>LF408G(Cartridge fuses 8A, 14 x 51 mm)</v>
          </cell>
          <cell r="C1620" t="str">
            <v>HAGER</v>
          </cell>
          <cell r="D1620" t="str">
            <v>HAGER</v>
          </cell>
        </row>
        <row r="1621">
          <cell r="A1621" t="str">
            <v>VYP10EZ (CEB for 10 Way Tier PPI TPN DD DB)</v>
          </cell>
          <cell r="B1621" t="str">
            <v>VYP10EZ(CEB for 10 Way Tier PPI TPN DD DB)</v>
          </cell>
          <cell r="C1621" t="str">
            <v>HAGER</v>
          </cell>
          <cell r="D1621" t="str">
            <v>HAGER</v>
          </cell>
        </row>
        <row r="1622">
          <cell r="A1622" t="str">
            <v>VYH12EZ (CEB for 12 Way HPPI TPN DD DB)</v>
          </cell>
          <cell r="B1622" t="str">
            <v>VYH12EZ(CEB for 12 Way HPPI TPN DD DB)</v>
          </cell>
          <cell r="C1622" t="str">
            <v>HAGER</v>
          </cell>
          <cell r="D1622" t="str">
            <v>HAGER</v>
          </cell>
        </row>
        <row r="1623">
          <cell r="A1623" t="str">
            <v>VYS12EZ (CEB for 12 Way SPN DD DB)</v>
          </cell>
          <cell r="B1623" t="str">
            <v>VYS12EZ(CEB for 12 Way SPN DD DB)</v>
          </cell>
          <cell r="C1623" t="str">
            <v>HAGER</v>
          </cell>
          <cell r="D1623" t="str">
            <v>HAGER</v>
          </cell>
        </row>
        <row r="1624">
          <cell r="A1624" t="str">
            <v>VYP12EMZ (CEB for 12 Way Tier PPI MCCB DB)</v>
          </cell>
          <cell r="B1624" t="str">
            <v>VYP12EMZ(CEB for 12 Way Tier PPI MCCB DB)</v>
          </cell>
          <cell r="C1624" t="str">
            <v>HAGER</v>
          </cell>
          <cell r="D1624" t="str">
            <v>HAGER</v>
          </cell>
        </row>
        <row r="1625">
          <cell r="A1625" t="str">
            <v>VYP12EZ (CEB for 12 Way Tier PPI TPN DD DB)</v>
          </cell>
          <cell r="B1625" t="str">
            <v>VYP12EZ(CEB for 12 Way Tier PPI TPN DD DB)</v>
          </cell>
          <cell r="C1625" t="str">
            <v>HAGER</v>
          </cell>
          <cell r="D1625" t="str">
            <v>HAGER</v>
          </cell>
        </row>
        <row r="1626">
          <cell r="A1626" t="str">
            <v>VYT12EZ (CEB for 12 Way TPN DD DB)</v>
          </cell>
          <cell r="B1626" t="str">
            <v>VYT12EZ(CEB for 12 Way TPN DD DB)</v>
          </cell>
          <cell r="C1626" t="str">
            <v>HAGER</v>
          </cell>
          <cell r="D1626" t="str">
            <v>HAGER</v>
          </cell>
        </row>
        <row r="1627">
          <cell r="A1627" t="str">
            <v>VYF14EZ (CEB for 14Mod flexy DB)</v>
          </cell>
          <cell r="B1627" t="str">
            <v>VYF14EZ(CEB for 14Mod flexy DB)</v>
          </cell>
          <cell r="C1627" t="str">
            <v>HAGER</v>
          </cell>
          <cell r="D1627" t="str">
            <v>HAGER</v>
          </cell>
        </row>
        <row r="1628">
          <cell r="A1628" t="str">
            <v>VYF16EZ (CEB for 16Mod flexy DB)</v>
          </cell>
          <cell r="B1628" t="str">
            <v>VYF16EZ(CEB for 16Mod flexy DB)</v>
          </cell>
          <cell r="C1628" t="str">
            <v>HAGER</v>
          </cell>
          <cell r="D1628" t="str">
            <v>HAGER</v>
          </cell>
        </row>
        <row r="1629">
          <cell r="A1629" t="str">
            <v>VYS16EZ (CEB for 16 Way SPN DD DB)</v>
          </cell>
          <cell r="B1629" t="str">
            <v>VYS16EZ(CEB for 16 Way SPN DD DB)</v>
          </cell>
          <cell r="C1629" t="str">
            <v>HAGER</v>
          </cell>
          <cell r="D1629" t="str">
            <v>HAGER</v>
          </cell>
        </row>
        <row r="1630">
          <cell r="A1630" t="str">
            <v>VYT16EZ (CEB for 16 Way TPN DD DB)</v>
          </cell>
          <cell r="B1630" t="str">
            <v>VYT16EZ(CEB for 16 Way TPN DD DB)</v>
          </cell>
          <cell r="C1630" t="str">
            <v>HAGER</v>
          </cell>
          <cell r="D1630" t="str">
            <v>HAGER</v>
          </cell>
        </row>
        <row r="1631">
          <cell r="A1631" t="str">
            <v>VYS18EZ (CEB for 18 Way SPN DD DB)</v>
          </cell>
          <cell r="B1631" t="str">
            <v>VYS18EZ(CEB for 18 Way SPN DD DB)</v>
          </cell>
          <cell r="C1631" t="str">
            <v>HAGER</v>
          </cell>
          <cell r="D1631" t="str">
            <v>HAGER</v>
          </cell>
        </row>
        <row r="1632">
          <cell r="A1632" t="str">
            <v>VYH04EZ (CEB for 4 Way HPPI TPN DD DB)</v>
          </cell>
          <cell r="B1632" t="str">
            <v>VYH04EZ(CEB for 4 Way HPPI TPN DD DB)</v>
          </cell>
          <cell r="C1632" t="str">
            <v>HAGER</v>
          </cell>
          <cell r="D1632" t="str">
            <v>HAGER</v>
          </cell>
        </row>
        <row r="1633">
          <cell r="A1633" t="str">
            <v>VYS04EZ (CEB for 4 Way SPN DD DB)</v>
          </cell>
          <cell r="B1633" t="str">
            <v>VYS04EZ(CEB for 4 Way SPN DD DB)</v>
          </cell>
          <cell r="C1633" t="str">
            <v>HAGER</v>
          </cell>
          <cell r="D1633" t="str">
            <v>HAGER</v>
          </cell>
        </row>
        <row r="1634">
          <cell r="A1634" t="str">
            <v>VYT04EZ (CEB for 4 Way TPN DD DB)</v>
          </cell>
          <cell r="B1634" t="str">
            <v>VYT04EZ(CEB for 4 Way TPN DD DB)</v>
          </cell>
          <cell r="C1634" t="str">
            <v>HAGER</v>
          </cell>
          <cell r="D1634" t="str">
            <v>HAGER</v>
          </cell>
        </row>
        <row r="1635">
          <cell r="A1635" t="str">
            <v>VYH06EZ (CEB for 6 Way HPPI TPN DD DB)</v>
          </cell>
          <cell r="B1635" t="str">
            <v>VYH06EZ(CEB for 6 Way HPPI TPN DD DB)</v>
          </cell>
          <cell r="C1635" t="str">
            <v>HAGER</v>
          </cell>
          <cell r="D1635" t="str">
            <v>HAGER</v>
          </cell>
        </row>
        <row r="1636">
          <cell r="A1636" t="str">
            <v>VYS06EZ (CEB for 6 Way SPN DD DB)</v>
          </cell>
          <cell r="B1636" t="str">
            <v>VYS06EZ(CEB for 6 Way SPN DD DB)</v>
          </cell>
          <cell r="C1636" t="str">
            <v>HAGER</v>
          </cell>
          <cell r="D1636" t="str">
            <v>HAGER</v>
          </cell>
        </row>
        <row r="1637">
          <cell r="A1637" t="str">
            <v>VYP06EZ (CEB for 6 Way Tier PPI TPN DD DB)</v>
          </cell>
          <cell r="B1637" t="str">
            <v>VYP06EZ(CEB for 6 Way Tier PPI TPN DD DB)</v>
          </cell>
          <cell r="C1637" t="str">
            <v>HAGER</v>
          </cell>
          <cell r="D1637" t="str">
            <v>HAGER</v>
          </cell>
        </row>
        <row r="1638">
          <cell r="A1638" t="str">
            <v>VYT06EZ (CEB for 6 Way TPN DD DB)</v>
          </cell>
          <cell r="B1638" t="str">
            <v>VYT06EZ(CEB for 6 Way TPN DD DB)</v>
          </cell>
          <cell r="C1638" t="str">
            <v>HAGER</v>
          </cell>
          <cell r="D1638" t="str">
            <v>HAGER</v>
          </cell>
        </row>
        <row r="1639">
          <cell r="A1639" t="str">
            <v>VYH08EZ (CEB for 8 Way HPPI TPN DD DB)</v>
          </cell>
          <cell r="B1639" t="str">
            <v>VYH08EZ(CEB for 8 Way HPPI TPN DD DB)</v>
          </cell>
          <cell r="C1639" t="str">
            <v>HAGER</v>
          </cell>
          <cell r="D1639" t="str">
            <v>HAGER</v>
          </cell>
        </row>
        <row r="1640">
          <cell r="A1640" t="str">
            <v>VYS08EZ (CEB for 8 Way SPN DD DB)</v>
          </cell>
          <cell r="B1640" t="str">
            <v>VYS08EZ(CEB for 8 Way SPN DD DB)</v>
          </cell>
          <cell r="C1640" t="str">
            <v>HAGER</v>
          </cell>
          <cell r="D1640" t="str">
            <v>HAGER</v>
          </cell>
        </row>
        <row r="1641">
          <cell r="A1641" t="str">
            <v>VYP08EZ (CEB for 8 Way Tier PPI TPN DD DB)</v>
          </cell>
          <cell r="B1641" t="str">
            <v>VYP08EZ(CEB for 8 Way Tier PPI TPN DD DB)</v>
          </cell>
          <cell r="C1641" t="str">
            <v>HAGER</v>
          </cell>
          <cell r="D1641" t="str">
            <v>HAGER</v>
          </cell>
        </row>
        <row r="1642">
          <cell r="A1642" t="str">
            <v>VYT08EZ (CEB for 8 Way TPN DD DB)</v>
          </cell>
          <cell r="B1642" t="str">
            <v>VYT08EZ(CEB for 8 Way TPN DD DB)</v>
          </cell>
          <cell r="C1642" t="str">
            <v>HAGER</v>
          </cell>
          <cell r="D1642" t="str">
            <v>HAGER</v>
          </cell>
        </row>
        <row r="1643">
          <cell r="A1643" t="str">
            <v>VYV00EZ (CEB for VTPN DD DB)</v>
          </cell>
          <cell r="B1643" t="str">
            <v>VYV00EZ(CEB for VTPN DD DB)</v>
          </cell>
          <cell r="C1643" t="str">
            <v>HAGER</v>
          </cell>
          <cell r="D1643" t="str">
            <v>HAGER</v>
          </cell>
        </row>
        <row r="1644">
          <cell r="A1644" t="str">
            <v>EE827 (Ceiling mounting bracket for Comfort detectors)</v>
          </cell>
          <cell r="B1644" t="str">
            <v>EE827(Ceiling mounting bracket for Comfort detectors)</v>
          </cell>
          <cell r="C1644" t="str">
            <v>HAGER</v>
          </cell>
          <cell r="D1644" t="str">
            <v>HAGER</v>
          </cell>
        </row>
        <row r="1645">
          <cell r="A1645" t="str">
            <v>EE813 (Celing mounting box for EE810,811)</v>
          </cell>
          <cell r="B1645" t="str">
            <v>EE813(Celing mounting box for EE810,811)</v>
          </cell>
          <cell r="C1645" t="str">
            <v>HAGER</v>
          </cell>
          <cell r="D1645" t="str">
            <v>HAGER</v>
          </cell>
        </row>
        <row r="1646">
          <cell r="A1646" t="str">
            <v>SFT240N (CHANGE OVER SWITCH 40A 2P)</v>
          </cell>
          <cell r="B1646" t="str">
            <v>SFT240N(CHANGE OVER SWITCH 40A 2P)</v>
          </cell>
          <cell r="C1646" t="str">
            <v>HAGER</v>
          </cell>
          <cell r="D1646" t="str">
            <v>HAGER</v>
          </cell>
        </row>
        <row r="1647">
          <cell r="A1647" t="str">
            <v>SFT440N (CHANGE OVER SWITCH 40A 4P)</v>
          </cell>
          <cell r="B1647" t="str">
            <v>SFT440N(CHANGE OVER SWITCH 40A 4P)</v>
          </cell>
          <cell r="C1647" t="str">
            <v>HAGER</v>
          </cell>
          <cell r="D1647" t="str">
            <v>HAGER</v>
          </cell>
        </row>
        <row r="1648">
          <cell r="A1648" t="str">
            <v>HI405I (Change-over switch 4P 100A India)</v>
          </cell>
          <cell r="B1648" t="str">
            <v>HI405I(Change-over switch 4P 100A India)</v>
          </cell>
          <cell r="C1648" t="str">
            <v>HAGER</v>
          </cell>
          <cell r="D1648" t="str">
            <v>HAGER</v>
          </cell>
        </row>
        <row r="1649">
          <cell r="A1649" t="str">
            <v>HI462I (Change-over switch 4P 1250A India)</v>
          </cell>
          <cell r="B1649" t="str">
            <v>HI462I(Change-over switch 4P 1250A India)</v>
          </cell>
          <cell r="C1649" t="str">
            <v>HAGER</v>
          </cell>
          <cell r="D1649" t="str">
            <v>HAGER</v>
          </cell>
        </row>
        <row r="1650">
          <cell r="A1650" t="str">
            <v>HI451I (Change-over switch 4P 125A India)</v>
          </cell>
          <cell r="B1650" t="str">
            <v>HI451I(Change-over switch 4P 125A India)</v>
          </cell>
          <cell r="C1650" t="str">
            <v>HAGER</v>
          </cell>
          <cell r="D1650" t="str">
            <v>HAGER</v>
          </cell>
        </row>
        <row r="1651">
          <cell r="A1651" t="str">
            <v>HI464I (Change-over switch 4P 1600A India)</v>
          </cell>
          <cell r="B1651" t="str">
            <v>HI464I(Change-over switch 4P 1600A India)</v>
          </cell>
          <cell r="C1651" t="str">
            <v>HAGER</v>
          </cell>
          <cell r="D1651" t="str">
            <v>HAGER</v>
          </cell>
        </row>
        <row r="1652">
          <cell r="A1652" t="str">
            <v>HI452I (Change-over switch 4P 160A India)</v>
          </cell>
          <cell r="B1652" t="str">
            <v>HI452I(Change-over switch 4P 160A India)</v>
          </cell>
          <cell r="C1652" t="str">
            <v>HAGER</v>
          </cell>
          <cell r="D1652" t="str">
            <v>HAGER</v>
          </cell>
        </row>
        <row r="1653">
          <cell r="A1653" t="str">
            <v>HI454I (Change-over switch 4P 250A India)</v>
          </cell>
          <cell r="B1653" t="str">
            <v>HI454I(Change-over switch 4P 250A India)</v>
          </cell>
          <cell r="C1653" t="str">
            <v>HAGER</v>
          </cell>
          <cell r="D1653" t="str">
            <v>HAGER</v>
          </cell>
        </row>
        <row r="1654">
          <cell r="A1654" t="str">
            <v>HI456I (Change-over switch 4P 400A India)</v>
          </cell>
          <cell r="B1654" t="str">
            <v>HI456I(Change-over switch 4P 400A India)</v>
          </cell>
          <cell r="C1654" t="str">
            <v>HAGER</v>
          </cell>
          <cell r="D1654" t="str">
            <v>HAGER</v>
          </cell>
        </row>
        <row r="1655">
          <cell r="A1655" t="str">
            <v>HI458I (Change-over switch 4P 630A India)</v>
          </cell>
          <cell r="B1655" t="str">
            <v>HI458I(Change-over switch 4P 630A India)</v>
          </cell>
          <cell r="C1655" t="str">
            <v>HAGER</v>
          </cell>
          <cell r="D1655" t="str">
            <v>HAGER</v>
          </cell>
        </row>
        <row r="1656">
          <cell r="A1656" t="str">
            <v>HI403I (Change-over switch 4P 63A India)</v>
          </cell>
          <cell r="B1656" t="str">
            <v>HI403I(Change-over switch 4P 63A India)</v>
          </cell>
          <cell r="C1656" t="str">
            <v>HAGER</v>
          </cell>
          <cell r="D1656" t="str">
            <v>HAGER</v>
          </cell>
        </row>
        <row r="1657">
          <cell r="A1657" t="str">
            <v>HI460I (Change-over switch 4P 800A India)</v>
          </cell>
          <cell r="B1657" t="str">
            <v>HI460I(Change-over switch 4P 800A India)</v>
          </cell>
          <cell r="C1657" t="str">
            <v>HAGER</v>
          </cell>
          <cell r="D1657" t="str">
            <v>HAGER</v>
          </cell>
        </row>
        <row r="1658">
          <cell r="A1658" t="str">
            <v>SF219F (CHANGEOVER  SWT.  2P  3Way 25A)</v>
          </cell>
          <cell r="B1658" t="str">
            <v>SF219F(CHANGEOVER SWT. 2P 3Way 25A)</v>
          </cell>
          <cell r="C1658" t="str">
            <v>HAGER</v>
          </cell>
          <cell r="D1658" t="str">
            <v>HAGER</v>
          </cell>
        </row>
        <row r="1659">
          <cell r="A1659" t="str">
            <v>SF219G (CHANGEOVER  SWT.  2P 3Way 40A)</v>
          </cell>
          <cell r="B1659" t="str">
            <v>SF219G(CHANGEOVER SWT. 2P 3Way 40A)</v>
          </cell>
          <cell r="C1659" t="str">
            <v>HAGER</v>
          </cell>
          <cell r="D1659" t="str">
            <v>HAGER</v>
          </cell>
        </row>
        <row r="1660">
          <cell r="A1660" t="str">
            <v>SF419G (CHANGEOVER  SWT.  4P  3Way 40A)</v>
          </cell>
          <cell r="B1660" t="str">
            <v>SF419G(CHANGEOVER SWT. 4P 3Way 40A)</v>
          </cell>
          <cell r="C1660" t="str">
            <v>HAGER</v>
          </cell>
          <cell r="D1660" t="str">
            <v>HAGER</v>
          </cell>
        </row>
        <row r="1661">
          <cell r="A1661" t="str">
            <v>HR743 (CIRCULAR TORROID 105 mm DIA)</v>
          </cell>
          <cell r="B1661" t="str">
            <v>HR743(CIRCULAR TORROID 105 mm DIA)</v>
          </cell>
          <cell r="C1661" t="str">
            <v>HAGER</v>
          </cell>
          <cell r="D1661" t="str">
            <v>HAGER</v>
          </cell>
        </row>
        <row r="1662">
          <cell r="A1662" t="str">
            <v>HR744 (CIRCULAR TORROID 140 mm DIA)</v>
          </cell>
          <cell r="B1662" t="str">
            <v>HR744(CIRCULAR TORROID 140 mm DIA)</v>
          </cell>
          <cell r="C1662" t="str">
            <v>HAGER</v>
          </cell>
          <cell r="D1662" t="str">
            <v>HAGER</v>
          </cell>
        </row>
        <row r="1663">
          <cell r="A1663" t="str">
            <v>HR745 (CIRCULAR TORROID 210 mm DIA)</v>
          </cell>
          <cell r="B1663" t="str">
            <v>HR745(CIRCULAR TORROID 210 mm DIA)</v>
          </cell>
          <cell r="C1663" t="str">
            <v>HAGER</v>
          </cell>
          <cell r="D1663" t="str">
            <v>HAGER</v>
          </cell>
        </row>
        <row r="1664">
          <cell r="A1664" t="str">
            <v>HR741 (CIRCULAR TORROID 35 mm DIA)</v>
          </cell>
          <cell r="B1664" t="str">
            <v>HR741(CIRCULAR TORROID 35 mm DIA)</v>
          </cell>
          <cell r="C1664" t="str">
            <v>HAGER</v>
          </cell>
          <cell r="D1664" t="str">
            <v>HAGER</v>
          </cell>
        </row>
        <row r="1665">
          <cell r="A1665" t="str">
            <v>HR742 (CIRCULAR TORROID 70 mm DIA)</v>
          </cell>
          <cell r="B1665" t="str">
            <v>HR742(CIRCULAR TORROID 70 mm DIA)</v>
          </cell>
          <cell r="C1665" t="str">
            <v>HAGER</v>
          </cell>
          <cell r="D1665" t="str">
            <v>HAGER</v>
          </cell>
        </row>
        <row r="1666">
          <cell r="A1666" t="str">
            <v>WSNDT11 (Co-Axial TV socket)</v>
          </cell>
          <cell r="B1666" t="str">
            <v>WSNDT11(Co-Axial TV socket)</v>
          </cell>
          <cell r="C1666" t="str">
            <v>HAGER</v>
          </cell>
          <cell r="D1666" t="str">
            <v>HAGER</v>
          </cell>
        </row>
        <row r="1667">
          <cell r="A1667" t="str">
            <v>WSNDT11A (Co-Axial TV socket  ANTH)</v>
          </cell>
          <cell r="B1667" t="str">
            <v>WSNDT11A(Co-Axial TV socket ANTH)</v>
          </cell>
          <cell r="C1667" t="str">
            <v>HAGER</v>
          </cell>
          <cell r="D1667" t="str">
            <v>HAGER</v>
          </cell>
        </row>
        <row r="1668">
          <cell r="A1668" t="str">
            <v>ESC227 (Contactor  25A, 1NO+1NC, 230V)</v>
          </cell>
          <cell r="B1668" t="str">
            <v>ESC227(Contactor 25A, 1NO+1NC, 230V)</v>
          </cell>
          <cell r="C1668" t="str">
            <v>HAGER</v>
          </cell>
          <cell r="D1668" t="str">
            <v>HAGER</v>
          </cell>
        </row>
        <row r="1669">
          <cell r="A1669" t="str">
            <v>ESC225 (Contactor  25A, 2NO, 230V)</v>
          </cell>
          <cell r="B1669" t="str">
            <v>ESC225(Contactor 25A, 2NO, 230V)</v>
          </cell>
          <cell r="C1669" t="str">
            <v>HAGER</v>
          </cell>
          <cell r="D1669" t="str">
            <v>HAGER</v>
          </cell>
        </row>
        <row r="1670">
          <cell r="A1670" t="str">
            <v>ESC425 (Contactor  25A, 4NO, 230V)</v>
          </cell>
          <cell r="B1670" t="str">
            <v>ESC425(Contactor 25A, 4NO, 230V)</v>
          </cell>
          <cell r="C1670" t="str">
            <v>HAGER</v>
          </cell>
          <cell r="D1670" t="str">
            <v>HAGER</v>
          </cell>
        </row>
        <row r="1671">
          <cell r="A1671" t="str">
            <v>ESC240 (Contactor  40A, 2NO, 230V)</v>
          </cell>
          <cell r="B1671" t="str">
            <v>ESC240(Contactor 40A, 2NO, 230V)</v>
          </cell>
          <cell r="C1671" t="str">
            <v>HAGER</v>
          </cell>
          <cell r="D1671" t="str">
            <v>HAGER</v>
          </cell>
        </row>
        <row r="1672">
          <cell r="A1672" t="str">
            <v>ESC442 (Contactor  40A, 2NO+2NC, 230V)</v>
          </cell>
          <cell r="B1672" t="str">
            <v>ESC442(Contactor 40A, 2NO+2NC, 230V)</v>
          </cell>
          <cell r="C1672" t="str">
            <v>HAGER</v>
          </cell>
          <cell r="D1672" t="str">
            <v>HAGER</v>
          </cell>
        </row>
        <row r="1673">
          <cell r="A1673" t="str">
            <v>ESC443 (Contactor  40A, 3NO+1NC, 230V)</v>
          </cell>
          <cell r="B1673" t="str">
            <v>ESC443(Contactor 40A, 3NO+1NC, 230V)</v>
          </cell>
          <cell r="C1673" t="str">
            <v>HAGER</v>
          </cell>
          <cell r="D1673" t="str">
            <v>HAGER</v>
          </cell>
        </row>
        <row r="1674">
          <cell r="A1674" t="str">
            <v>ESC340 (Contactor  40A, 3NO, 230V)</v>
          </cell>
          <cell r="B1674" t="str">
            <v>ESC340(Contactor 40A, 3NO, 230V)</v>
          </cell>
          <cell r="C1674" t="str">
            <v>HAGER</v>
          </cell>
          <cell r="D1674" t="str">
            <v>HAGER</v>
          </cell>
        </row>
        <row r="1675">
          <cell r="A1675" t="str">
            <v>ESC440 (Contactor  40A, 4NO, 230V)</v>
          </cell>
          <cell r="B1675" t="str">
            <v>ESC440(Contactor 40A, 4NO, 230V)</v>
          </cell>
          <cell r="C1675" t="str">
            <v>HAGER</v>
          </cell>
          <cell r="D1675" t="str">
            <v>HAGER</v>
          </cell>
        </row>
        <row r="1676">
          <cell r="A1676" t="str">
            <v>ESC263 (Contactor  63A, 2NO, 230V)</v>
          </cell>
          <cell r="B1676" t="str">
            <v>ESC263(Contactor 63A, 2NO, 230V)</v>
          </cell>
          <cell r="C1676" t="str">
            <v>HAGER</v>
          </cell>
          <cell r="D1676" t="str">
            <v>HAGER</v>
          </cell>
        </row>
        <row r="1677">
          <cell r="A1677" t="str">
            <v>ESC465 (Contactor  63A, 2NO+2NC, 230V)</v>
          </cell>
          <cell r="B1677" t="str">
            <v>ESC465(Contactor 63A, 2NO+2NC, 230V)</v>
          </cell>
          <cell r="C1677" t="str">
            <v>HAGER</v>
          </cell>
          <cell r="D1677" t="str">
            <v>HAGER</v>
          </cell>
        </row>
        <row r="1678">
          <cell r="A1678" t="str">
            <v>ESC466 (Contactor  63A, 3NO+1NC, 230V)</v>
          </cell>
          <cell r="B1678" t="str">
            <v>ESC466(Contactor 63A, 3NO+1NC, 230V)</v>
          </cell>
          <cell r="C1678" t="str">
            <v>HAGER</v>
          </cell>
          <cell r="D1678" t="str">
            <v>HAGER</v>
          </cell>
        </row>
        <row r="1679">
          <cell r="A1679" t="str">
            <v>ESC363 (Contactor  63A, 3NO, 230V)</v>
          </cell>
          <cell r="B1679" t="str">
            <v>ESC363(Contactor 63A, 3NO, 230V)</v>
          </cell>
          <cell r="C1679" t="str">
            <v>HAGER</v>
          </cell>
          <cell r="D1679" t="str">
            <v>HAGER</v>
          </cell>
        </row>
        <row r="1680">
          <cell r="A1680" t="str">
            <v>ESC463 (Contactor  63A, 4NO, 230V)</v>
          </cell>
          <cell r="B1680" t="str">
            <v>ESC463(Contactor 63A, 4NO, 230V)</v>
          </cell>
          <cell r="C1680" t="str">
            <v>HAGER</v>
          </cell>
          <cell r="D1680" t="str">
            <v>HAGER</v>
          </cell>
        </row>
        <row r="1681">
          <cell r="A1681" t="str">
            <v>HZI811I (CONTROLLER)</v>
          </cell>
          <cell r="B1681" t="str">
            <v>HZI811I(CONTROLLER)</v>
          </cell>
          <cell r="C1681" t="str">
            <v>HAGER</v>
          </cell>
          <cell r="D1681" t="str">
            <v>HAGER</v>
          </cell>
        </row>
        <row r="1682">
          <cell r="A1682" t="str">
            <v>KF83D (Copper Terminal - 35 sq mm)</v>
          </cell>
          <cell r="B1682" t="str">
            <v>KF83D(Copper Terminal - 35 sq mm)</v>
          </cell>
          <cell r="C1682" t="str">
            <v>HAGER</v>
          </cell>
          <cell r="D1682" t="str">
            <v>HAGER</v>
          </cell>
        </row>
        <row r="1683">
          <cell r="A1683" t="str">
            <v>WSNDS71 (Cord Outlet)</v>
          </cell>
          <cell r="B1683" t="str">
            <v>WSNDS71(Cord Outlet)</v>
          </cell>
          <cell r="C1683" t="str">
            <v>HAGER</v>
          </cell>
          <cell r="D1683" t="str">
            <v>HAGER</v>
          </cell>
        </row>
        <row r="1684">
          <cell r="A1684" t="str">
            <v>WSNDS71A (Cord Outlet  ANTH)</v>
          </cell>
          <cell r="B1684" t="str">
            <v>WSNDS71A(Cord Outlet ANTH)</v>
          </cell>
          <cell r="C1684" t="str">
            <v>HAGER</v>
          </cell>
          <cell r="D1684" t="str">
            <v>HAGER</v>
          </cell>
        </row>
        <row r="1685">
          <cell r="A1685" t="str">
            <v>EE825 (Corner mounting bracket for Comfort detectors)</v>
          </cell>
          <cell r="B1685" t="str">
            <v>EE825(Corner mounting bracket for Comfort detectors)</v>
          </cell>
          <cell r="C1685" t="str">
            <v>HAGER</v>
          </cell>
          <cell r="D1685" t="str">
            <v>HAGER</v>
          </cell>
        </row>
        <row r="1686">
          <cell r="A1686" t="str">
            <v>EE855 (Corner mounting bracket for Enhanced detectors)</v>
          </cell>
          <cell r="B1686" t="str">
            <v>EE855(Corner mounting bracket for Enhanced detectors)</v>
          </cell>
          <cell r="C1686" t="str">
            <v>HAGER</v>
          </cell>
          <cell r="D1686" t="str">
            <v>HAGER</v>
          </cell>
        </row>
        <row r="1687">
          <cell r="A1687" t="str">
            <v>L44669010 (Coupling Piece  for  GBD5008509010)</v>
          </cell>
          <cell r="B1687" t="str">
            <v>L44669010(Coupling Piece for GBD5008509010)</v>
          </cell>
          <cell r="C1687" t="str">
            <v>HAGER</v>
          </cell>
          <cell r="D1687" t="str">
            <v>HAGER</v>
          </cell>
        </row>
        <row r="1688">
          <cell r="A1688" t="str">
            <v>L44609010 (Coupling Piece  for  GBD5010009010)</v>
          </cell>
          <cell r="B1688" t="str">
            <v>L44609010(Coupling Piece for GBD5010009010)</v>
          </cell>
          <cell r="C1688" t="str">
            <v>HAGER</v>
          </cell>
          <cell r="D1688" t="str">
            <v>HAGER</v>
          </cell>
        </row>
        <row r="1689">
          <cell r="A1689" t="str">
            <v>L44639010 (Coupling Piece  for  GBD5013109010)</v>
          </cell>
          <cell r="B1689" t="str">
            <v>L44639010(Coupling Piece for GBD5013109010)</v>
          </cell>
          <cell r="C1689" t="str">
            <v>HAGER</v>
          </cell>
          <cell r="D1689" t="str">
            <v>HAGER</v>
          </cell>
        </row>
        <row r="1690">
          <cell r="A1690" t="str">
            <v>L44629010 (Coupling Piece  for  GBD5016009010)</v>
          </cell>
          <cell r="B1690" t="str">
            <v>L44629010(Coupling Piece for GBD5016009010)</v>
          </cell>
          <cell r="C1690" t="str">
            <v>HAGER</v>
          </cell>
          <cell r="D1690" t="str">
            <v>HAGER</v>
          </cell>
        </row>
        <row r="1691">
          <cell r="A1691" t="str">
            <v>L44659010 (Coupling Piece  for  GBD5016109010)</v>
          </cell>
          <cell r="B1691" t="str">
            <v>L44659010(Coupling Piece for GBD5016109010)</v>
          </cell>
          <cell r="C1691" t="str">
            <v>HAGER</v>
          </cell>
          <cell r="D1691" t="str">
            <v>HAGER</v>
          </cell>
        </row>
        <row r="1692">
          <cell r="A1692" t="str">
            <v>L44649010 (Coupling Piece  for  GBD5019009010)</v>
          </cell>
          <cell r="B1692" t="str">
            <v>L44649010(Coupling Piece for GBD5019009010)</v>
          </cell>
          <cell r="C1692" t="str">
            <v>HAGER</v>
          </cell>
          <cell r="D1692" t="str">
            <v>HAGER</v>
          </cell>
        </row>
        <row r="1693">
          <cell r="A1693" t="str">
            <v>L4389 (Cover Joint)</v>
          </cell>
          <cell r="B1693" t="str">
            <v>L4389(Cover Joint)</v>
          </cell>
          <cell r="C1693" t="str">
            <v>HAGER</v>
          </cell>
          <cell r="D1693" t="str">
            <v>HAGER</v>
          </cell>
        </row>
        <row r="1694">
          <cell r="A1694" t="str">
            <v>WSNCG12GB (Cover Plate in Real Material 12 module - black glass)</v>
          </cell>
          <cell r="B1694" t="str">
            <v>WSNCG12GB(Cover Plate in Real Material 12 module - black glass)</v>
          </cell>
          <cell r="C1694" t="str">
            <v>HAGER</v>
          </cell>
          <cell r="D1694" t="str">
            <v>HAGER</v>
          </cell>
        </row>
        <row r="1695">
          <cell r="A1695" t="str">
            <v>WSNCG12WEO (Cover Plate in Real Material 12 module - Bog English Oak)</v>
          </cell>
          <cell r="B1695" t="str">
            <v>WSNCG12WEO(Cover Plate in Real Material 12 module - Bog English Oak)</v>
          </cell>
          <cell r="C1695" t="str">
            <v>HAGER</v>
          </cell>
          <cell r="D1695" t="str">
            <v>HAGER</v>
          </cell>
        </row>
        <row r="1696">
          <cell r="A1696" t="str">
            <v>WSNCG12BS (Cover Plate in Real Material 12 module - Brushed Stainless Steel)</v>
          </cell>
          <cell r="B1696" t="str">
            <v>WSNCG12BS(Cover Plate in Real Material 12 module - Brushed Stainless Steel)</v>
          </cell>
          <cell r="C1696" t="str">
            <v>HAGER</v>
          </cell>
          <cell r="D1696" t="str">
            <v>HAGER</v>
          </cell>
        </row>
        <row r="1697">
          <cell r="A1697" t="str">
            <v>WSNCG12GW (Cover Plate in Real Material 12 module - white glass)</v>
          </cell>
          <cell r="B1697" t="str">
            <v>WSNCG12GW(Cover Plate in Real Material 12 module - white glass)</v>
          </cell>
          <cell r="C1697" t="str">
            <v>HAGER</v>
          </cell>
          <cell r="D1697" t="str">
            <v>HAGER</v>
          </cell>
        </row>
        <row r="1698">
          <cell r="A1698" t="str">
            <v>WSNCG1AS (Cover Plate in Real Material 1 module - Ardesia (Slate))</v>
          </cell>
          <cell r="B1698" t="str">
            <v>WSNCG1AS(Cover Plate in Real Material 1 module - Ardesia(Slate))</v>
          </cell>
          <cell r="C1698" t="str">
            <v>HAGER</v>
          </cell>
          <cell r="D1698" t="str">
            <v>HAGER</v>
          </cell>
        </row>
        <row r="1699">
          <cell r="A1699" t="str">
            <v>WSNCG1GB (Cover Plate in Real Material 1 module - black glass)</v>
          </cell>
          <cell r="B1699" t="str">
            <v>WSNCG1GB(Cover Plate in Real Material 1 module - black glass)</v>
          </cell>
          <cell r="C1699" t="str">
            <v>HAGER</v>
          </cell>
          <cell r="D1699" t="str">
            <v>HAGER</v>
          </cell>
        </row>
        <row r="1700">
          <cell r="A1700" t="str">
            <v>WSNCG1WEO (Cover Plate in Real Material 1 module - Bog English Oak)</v>
          </cell>
          <cell r="B1700" t="str">
            <v>WSNCG1WEO(Cover Plate in Real Material 1 module - Bog English Oak)</v>
          </cell>
          <cell r="C1700" t="str">
            <v>HAGER</v>
          </cell>
          <cell r="D1700" t="str">
            <v>HAGER</v>
          </cell>
        </row>
        <row r="1701">
          <cell r="A1701" t="str">
            <v>WSNCG1BS (Cover Plate in Real Material 1 module - Brushed Stainless Steel)</v>
          </cell>
          <cell r="B1701" t="str">
            <v>WSNCG1BS(Cover Plate in Real Material 1 module - Brushed Stainless Steel)</v>
          </cell>
          <cell r="C1701" t="str">
            <v>HAGER</v>
          </cell>
          <cell r="D1701" t="str">
            <v>HAGER</v>
          </cell>
        </row>
        <row r="1702">
          <cell r="A1702" t="str">
            <v>WSNCG1GW (Cover Plate in Real Material 1 module - white glass)</v>
          </cell>
          <cell r="B1702" t="str">
            <v>WSNCG1GW(Cover Plate in Real Material 1 module - white glass)</v>
          </cell>
          <cell r="C1702" t="str">
            <v>HAGER</v>
          </cell>
          <cell r="D1702" t="str">
            <v>HAGER</v>
          </cell>
        </row>
        <row r="1703">
          <cell r="A1703" t="str">
            <v>WSNCG2AS (Cover Plate in Real Material 2 module - Ardesia (Slate))</v>
          </cell>
          <cell r="B1703" t="str">
            <v>WSNCG2AS(Cover Plate in Real Material 2 module - Ardesia(Slate))</v>
          </cell>
          <cell r="C1703" t="str">
            <v>HAGER</v>
          </cell>
          <cell r="D1703" t="str">
            <v>HAGER</v>
          </cell>
        </row>
        <row r="1704">
          <cell r="A1704" t="str">
            <v>WSNCG2GB (Cover Plate in Real Material 2 module - black glass)</v>
          </cell>
          <cell r="B1704" t="str">
            <v>WSNCG2GB(Cover Plate in Real Material 2 module - black glass)</v>
          </cell>
          <cell r="C1704" t="str">
            <v>HAGER</v>
          </cell>
          <cell r="D1704" t="str">
            <v>HAGER</v>
          </cell>
        </row>
        <row r="1705">
          <cell r="A1705" t="str">
            <v>WSNCG2WEO (Cover Plate in Real Material 2 module - Bog English Oak)</v>
          </cell>
          <cell r="B1705" t="str">
            <v>WSNCG2WEO(Cover Plate in Real Material 2 module - Bog English Oak)</v>
          </cell>
          <cell r="C1705" t="str">
            <v>HAGER</v>
          </cell>
          <cell r="D1705" t="str">
            <v>HAGER</v>
          </cell>
        </row>
        <row r="1706">
          <cell r="A1706" t="str">
            <v>WSNCG2BS (Cover Plate in Real Material 2 module - Brushed Stainless Steel)</v>
          </cell>
          <cell r="B1706" t="str">
            <v>WSNCG2BS(Cover Plate in Real Material 2 module - Brushed Stainless Steel)</v>
          </cell>
          <cell r="C1706" t="str">
            <v>HAGER</v>
          </cell>
          <cell r="D1706" t="str">
            <v>HAGER</v>
          </cell>
        </row>
        <row r="1707">
          <cell r="A1707" t="str">
            <v>WSNCG2GW (Cover Plate in Real Material 2 module - white glass)</v>
          </cell>
          <cell r="B1707" t="str">
            <v>WSNCG2GW(Cover Plate in Real Material 2 module - white glass)</v>
          </cell>
          <cell r="C1707" t="str">
            <v>HAGER</v>
          </cell>
          <cell r="D1707" t="str">
            <v>HAGER</v>
          </cell>
        </row>
        <row r="1708">
          <cell r="A1708" t="str">
            <v>WSNCG3AS (Cover Plate in Real Material 3 module - Ardesia (Slate))</v>
          </cell>
          <cell r="B1708" t="str">
            <v>WSNCG3AS(Cover Plate in Real Material 3 module - Ardesia(Slate))</v>
          </cell>
          <cell r="C1708" t="str">
            <v>HAGER</v>
          </cell>
          <cell r="D1708" t="str">
            <v>HAGER</v>
          </cell>
        </row>
        <row r="1709">
          <cell r="A1709" t="str">
            <v>WSNCG3GB (Cover Plate in Real Material 3 module - black glass)</v>
          </cell>
          <cell r="B1709" t="str">
            <v>WSNCG3GB(Cover Plate in Real Material 3 module - black glass)</v>
          </cell>
          <cell r="C1709" t="str">
            <v>HAGER</v>
          </cell>
          <cell r="D1709" t="str">
            <v>HAGER</v>
          </cell>
        </row>
        <row r="1710">
          <cell r="A1710" t="str">
            <v>WSNCG3WEO (Cover Plate in Real Material 3 module - Bog English Oak)</v>
          </cell>
          <cell r="B1710" t="str">
            <v>WSNCG3WEO(Cover Plate in Real Material 3 module - Bog English Oak)</v>
          </cell>
          <cell r="C1710" t="str">
            <v>HAGER</v>
          </cell>
          <cell r="D1710" t="str">
            <v>HAGER</v>
          </cell>
        </row>
        <row r="1711">
          <cell r="A1711" t="str">
            <v>WSNCG3BS (Cover Plate in Real Material 3 module - Brushed Stainless Steel)</v>
          </cell>
          <cell r="B1711" t="str">
            <v>WSNCG3BS(Cover Plate in Real Material 3 module - Brushed Stainless Steel)</v>
          </cell>
          <cell r="C1711" t="str">
            <v>HAGER</v>
          </cell>
          <cell r="D1711" t="str">
            <v>HAGER</v>
          </cell>
        </row>
        <row r="1712">
          <cell r="A1712" t="str">
            <v>WSNCG3GW (Cover Plate in Real Material 3 module - white glass)</v>
          </cell>
          <cell r="B1712" t="str">
            <v>WSNCG3GW(Cover Plate in Real Material 3 module - white glass)</v>
          </cell>
          <cell r="C1712" t="str">
            <v>HAGER</v>
          </cell>
          <cell r="D1712" t="str">
            <v>HAGER</v>
          </cell>
        </row>
        <row r="1713">
          <cell r="A1713" t="str">
            <v>WSNCG4AS (Cover Plate in Real Material 4 module - Ardesia (Slate))</v>
          </cell>
          <cell r="B1713" t="str">
            <v>WSNCG4AS(Cover Plate in Real Material 4 module - Ardesia(Slate))</v>
          </cell>
          <cell r="C1713" t="str">
            <v>HAGER</v>
          </cell>
          <cell r="D1713" t="str">
            <v>HAGER</v>
          </cell>
        </row>
        <row r="1714">
          <cell r="A1714" t="str">
            <v>WSNCG4GB (Cover Plate in Real Material 4 module - black glass)</v>
          </cell>
          <cell r="B1714" t="str">
            <v>WSNCG4GB(Cover Plate in Real Material 4 module - black glass)</v>
          </cell>
          <cell r="C1714" t="str">
            <v>HAGER</v>
          </cell>
          <cell r="D1714" t="str">
            <v>HAGER</v>
          </cell>
        </row>
        <row r="1715">
          <cell r="A1715" t="str">
            <v>WSNCG4WEO (Cover Plate in Real Material 4 module - Bog English Oak)</v>
          </cell>
          <cell r="B1715" t="str">
            <v>WSNCG4WEO(Cover Plate in Real Material 4 module - Bog English Oak)</v>
          </cell>
          <cell r="C1715" t="str">
            <v>HAGER</v>
          </cell>
          <cell r="D1715" t="str">
            <v>HAGER</v>
          </cell>
        </row>
        <row r="1716">
          <cell r="A1716" t="str">
            <v>WSNCG4BS (Cover Plate in Real Material 4 module - Brushed Stainless Steel)</v>
          </cell>
          <cell r="B1716" t="str">
            <v>WSNCG4BS(Cover Plate in Real Material 4 module - Brushed Stainless Steel)</v>
          </cell>
          <cell r="C1716" t="str">
            <v>HAGER</v>
          </cell>
          <cell r="D1716" t="str">
            <v>HAGER</v>
          </cell>
        </row>
        <row r="1717">
          <cell r="A1717" t="str">
            <v>WSNCG4GW (Cover Plate in Real Material 4 module - white glass)</v>
          </cell>
          <cell r="B1717" t="str">
            <v>WSNCG4GW(Cover Plate in Real Material 4 module - white glass)</v>
          </cell>
          <cell r="C1717" t="str">
            <v>HAGER</v>
          </cell>
          <cell r="D1717" t="str">
            <v>HAGER</v>
          </cell>
        </row>
        <row r="1718">
          <cell r="A1718" t="str">
            <v>WSNCG6GB (Cover Plate in Real Material 6 module - black glass)</v>
          </cell>
          <cell r="B1718" t="str">
            <v>WSNCG6GB(Cover Plate in Real Material 6 module - black glass)</v>
          </cell>
          <cell r="C1718" t="str">
            <v>HAGER</v>
          </cell>
          <cell r="D1718" t="str">
            <v>HAGER</v>
          </cell>
        </row>
        <row r="1719">
          <cell r="A1719" t="str">
            <v>WSNCG6WEO (Cover Plate in Real Material 6 module - Bog English Oak)</v>
          </cell>
          <cell r="B1719" t="str">
            <v>WSNCG6WEO(Cover Plate in Real Material 6 module - Bog English Oak)</v>
          </cell>
          <cell r="C1719" t="str">
            <v>HAGER</v>
          </cell>
          <cell r="D1719" t="str">
            <v>HAGER</v>
          </cell>
        </row>
        <row r="1720">
          <cell r="A1720" t="str">
            <v>WSNCG6BS (Cover Plate in Real Material 6 module - Brushed Stainless Steel)</v>
          </cell>
          <cell r="B1720" t="str">
            <v>WSNCG6BS(Cover Plate in Real Material 6 module - Brushed Stainless Steel)</v>
          </cell>
          <cell r="C1720" t="str">
            <v>HAGER</v>
          </cell>
          <cell r="D1720" t="str">
            <v>HAGER</v>
          </cell>
        </row>
        <row r="1721">
          <cell r="A1721" t="str">
            <v>WSNCG6GW (Cover Plate in Real Material 6 module - white glass)</v>
          </cell>
          <cell r="B1721" t="str">
            <v>WSNCG6GW(Cover Plate in Real Material 6 module - white glass)</v>
          </cell>
          <cell r="C1721" t="str">
            <v>HAGER</v>
          </cell>
          <cell r="D1721" t="str">
            <v>HAGER</v>
          </cell>
        </row>
        <row r="1722">
          <cell r="A1722" t="str">
            <v>WSNCG8GB (Cover Plate in Real Material 8 module - black glass)</v>
          </cell>
          <cell r="B1722" t="str">
            <v>WSNCG8GB(Cover Plate in Real Material 8 module - black glass)</v>
          </cell>
          <cell r="C1722" t="str">
            <v>HAGER</v>
          </cell>
          <cell r="D1722" t="str">
            <v>HAGER</v>
          </cell>
        </row>
        <row r="1723">
          <cell r="A1723" t="str">
            <v>WSNCG8WEO (Cover Plate in Real Material 8 module - Bog English Oak)</v>
          </cell>
          <cell r="B1723" t="str">
            <v>WSNCG8WEO(Cover Plate in Real Material 8 module - Bog English Oak)</v>
          </cell>
          <cell r="C1723" t="str">
            <v>HAGER</v>
          </cell>
          <cell r="D1723" t="str">
            <v>HAGER</v>
          </cell>
        </row>
        <row r="1724">
          <cell r="A1724" t="str">
            <v>WSNCG8BS (Cover Plate in Real Material 8 module - Brushed Stainless Steel)</v>
          </cell>
          <cell r="B1724" t="str">
            <v>WSNCG8BS(Cover Plate in Real Material 8 module - Brushed Stainless Steel)</v>
          </cell>
          <cell r="C1724" t="str">
            <v>HAGER</v>
          </cell>
          <cell r="D1724" t="str">
            <v>HAGER</v>
          </cell>
        </row>
        <row r="1725">
          <cell r="A1725" t="str">
            <v>WSNCGS8GB (Cover Plate in Real Material 8 module square - black glass)</v>
          </cell>
          <cell r="B1725" t="str">
            <v>WSNCGS8GB(Cover Plate in Real Material 8 module square - black glass)</v>
          </cell>
          <cell r="C1725" t="str">
            <v>HAGER</v>
          </cell>
          <cell r="D1725" t="str">
            <v>HAGER</v>
          </cell>
        </row>
        <row r="1726">
          <cell r="A1726" t="str">
            <v>WSNCGS8WEO (Cover Plate in Real Material 8 module square - Bog English Oak)</v>
          </cell>
          <cell r="B1726" t="str">
            <v>WSNCGS8WEO(Cover Plate in Real Material 8 module square - Bog English Oak)</v>
          </cell>
          <cell r="C1726" t="str">
            <v>HAGER</v>
          </cell>
          <cell r="D1726" t="str">
            <v>HAGER</v>
          </cell>
        </row>
        <row r="1727">
          <cell r="A1727" t="str">
            <v>WSNCGS8BS (Cover Plate in Real Material 8 module square - Brushed Stainless Steel)</v>
          </cell>
          <cell r="B1727" t="str">
            <v>WSNCGS8BS(Cover Plate in Real Material 8 module square - Brushed Stainless Steel)</v>
          </cell>
          <cell r="C1727" t="str">
            <v>HAGER</v>
          </cell>
          <cell r="D1727" t="str">
            <v>HAGER</v>
          </cell>
        </row>
        <row r="1728">
          <cell r="A1728" t="str">
            <v>WSNCGS8GW (Cover Plate in Real Material 8 module square - white glass)</v>
          </cell>
          <cell r="B1728" t="str">
            <v>WSNCGS8GW(Cover Plate in Real Material 8 module square - white glass)</v>
          </cell>
          <cell r="C1728" t="str">
            <v>HAGER</v>
          </cell>
          <cell r="D1728" t="str">
            <v>HAGER</v>
          </cell>
        </row>
        <row r="1729">
          <cell r="A1729" t="str">
            <v>WSNCG8GW (Cover Plate in Real Material 8 module - white glass)</v>
          </cell>
          <cell r="B1729" t="str">
            <v>WSNCG8GW(Cover Plate in Real Material 8 module - white glass)</v>
          </cell>
          <cell r="C1729" t="str">
            <v>HAGER</v>
          </cell>
          <cell r="D1729" t="str">
            <v>HAGER</v>
          </cell>
        </row>
        <row r="1730">
          <cell r="A1730" t="str">
            <v>SR101 (CT 100/5)</v>
          </cell>
          <cell r="B1730" t="str">
            <v>SR101(CT 100/5)</v>
          </cell>
          <cell r="C1730" t="str">
            <v>HAGER</v>
          </cell>
          <cell r="D1730" t="str">
            <v>HAGER</v>
          </cell>
        </row>
        <row r="1731">
          <cell r="A1731" t="str">
            <v>SR151 (CT 150/5)</v>
          </cell>
          <cell r="B1731" t="str">
            <v>SR151(CT 150/5)</v>
          </cell>
          <cell r="C1731" t="str">
            <v>HAGER</v>
          </cell>
          <cell r="D1731" t="str">
            <v>HAGER</v>
          </cell>
        </row>
        <row r="1732">
          <cell r="A1732" t="str">
            <v>SR250 (CT 250/5)</v>
          </cell>
          <cell r="B1732" t="str">
            <v>SR250(CT 250/5)</v>
          </cell>
          <cell r="C1732" t="str">
            <v>HAGER</v>
          </cell>
          <cell r="D1732" t="str">
            <v>HAGER</v>
          </cell>
        </row>
        <row r="1733">
          <cell r="A1733" t="str">
            <v>SR051 (CT 50/5)</v>
          </cell>
          <cell r="B1733" t="str">
            <v>SR051(CT 50/5)</v>
          </cell>
          <cell r="C1733" t="str">
            <v>HAGER</v>
          </cell>
          <cell r="D1733" t="str">
            <v>HAGER</v>
          </cell>
        </row>
        <row r="1734">
          <cell r="A1734" t="str">
            <v>LF310PV (Cylindrical PV fuse-links 1000 V DC, 10A)</v>
          </cell>
          <cell r="B1734" t="str">
            <v>LF310PV(Cylindrical PV fuse-links 1000 V DC, 10A)</v>
          </cell>
          <cell r="C1734" t="str">
            <v>HAGER</v>
          </cell>
          <cell r="D1734" t="str">
            <v>HAGER</v>
          </cell>
        </row>
        <row r="1735">
          <cell r="A1735" t="str">
            <v>LF312PV (Cylindrical PV fuse-links 1000 V DC, 12A)</v>
          </cell>
          <cell r="B1735" t="str">
            <v>LF312PV(Cylindrical PV fuse-links 1000 V DC, 12A)</v>
          </cell>
          <cell r="C1735" t="str">
            <v>HAGER</v>
          </cell>
          <cell r="D1735" t="str">
            <v>HAGER</v>
          </cell>
        </row>
        <row r="1736">
          <cell r="A1736" t="str">
            <v>LF315PV (Cylindrical PV fuse-links 1000 V DC, 15A)</v>
          </cell>
          <cell r="B1736" t="str">
            <v>LF315PV(Cylindrical PV fuse-links 1000 V DC, 15A)</v>
          </cell>
          <cell r="C1736" t="str">
            <v>HAGER</v>
          </cell>
          <cell r="D1736" t="str">
            <v>HAGER</v>
          </cell>
        </row>
        <row r="1737">
          <cell r="A1737" t="str">
            <v>LF316PV (Cylindrical PV fuse-links 1000 V DC, 16A)</v>
          </cell>
          <cell r="B1737" t="str">
            <v>LF316PV(Cylindrical PV fuse-links 1000 V DC, 16A)</v>
          </cell>
          <cell r="C1737" t="str">
            <v>HAGER</v>
          </cell>
          <cell r="D1737" t="str">
            <v>HAGER</v>
          </cell>
        </row>
        <row r="1738">
          <cell r="A1738" t="str">
            <v>LF301PV (Cylindrical PV fuse-links 1000 V DC, 1A)</v>
          </cell>
          <cell r="B1738" t="str">
            <v>LF301PV(Cylindrical PV fuse-links 1000 V DC, 1A)</v>
          </cell>
          <cell r="C1738" t="str">
            <v>HAGER</v>
          </cell>
          <cell r="D1738" t="str">
            <v>HAGER</v>
          </cell>
        </row>
        <row r="1739">
          <cell r="A1739" t="str">
            <v>LF320PV (Cylindrical PV Fuse-Links 1000 V DC, 20A)</v>
          </cell>
          <cell r="B1739" t="str">
            <v>LF320PV(Cylindrical PV Fuse-Links 1000 V DC, 20A)</v>
          </cell>
          <cell r="C1739" t="str">
            <v>HAGER</v>
          </cell>
          <cell r="D1739" t="str">
            <v>HAGER</v>
          </cell>
        </row>
        <row r="1740">
          <cell r="A1740" t="str">
            <v>LF302PV (Cylindrical PV fuse-links 1000 V DC, 2A)</v>
          </cell>
          <cell r="B1740" t="str">
            <v>LF302PV(Cylindrical PV fuse-links 1000 V DC, 2A)</v>
          </cell>
          <cell r="C1740" t="str">
            <v>HAGER</v>
          </cell>
          <cell r="D1740" t="str">
            <v>HAGER</v>
          </cell>
        </row>
        <row r="1741">
          <cell r="A1741" t="str">
            <v>LF303PV (Cylindrical PV fuse-links 1000 V DC, 3A)</v>
          </cell>
          <cell r="B1741" t="str">
            <v>LF303PV(Cylindrical PV fuse-links 1000 V DC, 3A)</v>
          </cell>
          <cell r="C1741" t="str">
            <v>HAGER</v>
          </cell>
          <cell r="D1741" t="str">
            <v>HAGER</v>
          </cell>
        </row>
        <row r="1742">
          <cell r="A1742" t="str">
            <v>LF304PV (Cylindrical PV Fuse-Links 1000 V DC, 4A)</v>
          </cell>
          <cell r="B1742" t="str">
            <v>LF304PV(Cylindrical PV Fuse-Links 1000 V DC, 4A)</v>
          </cell>
          <cell r="C1742" t="str">
            <v>HAGER</v>
          </cell>
          <cell r="D1742" t="str">
            <v>HAGER</v>
          </cell>
        </row>
        <row r="1743">
          <cell r="A1743" t="str">
            <v>LF305PV (Cylindrical PV fuse-links 1000 V DC, 5A)</v>
          </cell>
          <cell r="B1743" t="str">
            <v>LF305PV(Cylindrical PV fuse-links 1000 V DC, 5A)</v>
          </cell>
          <cell r="C1743" t="str">
            <v>HAGER</v>
          </cell>
          <cell r="D1743" t="str">
            <v>HAGER</v>
          </cell>
        </row>
        <row r="1744">
          <cell r="A1744" t="str">
            <v>LF306PV (Cylindrical PV Fuse-Links 1000 V DC, 6A)</v>
          </cell>
          <cell r="B1744" t="str">
            <v>LF306PV(Cylindrical PV Fuse-Links 1000 V DC, 6A)</v>
          </cell>
          <cell r="C1744" t="str">
            <v>HAGER</v>
          </cell>
          <cell r="D1744" t="str">
            <v>HAGER</v>
          </cell>
        </row>
        <row r="1745">
          <cell r="A1745" t="str">
            <v>LF308PV (Cylindrical PV fuse-links 1000 V DC, 8A)</v>
          </cell>
          <cell r="B1745" t="str">
            <v>LF308PV(Cylindrical PV fuse-links 1000 V DC, 8A)</v>
          </cell>
          <cell r="C1745" t="str">
            <v>HAGER</v>
          </cell>
          <cell r="D1745" t="str">
            <v>HAGER</v>
          </cell>
        </row>
        <row r="1746">
          <cell r="A1746" t="str">
            <v>LF325PV (Cylindrical PV fuse-links 600 V DC, 25A)</v>
          </cell>
          <cell r="B1746" t="str">
            <v>LF325PV(Cylindrical PV fuse-links 600 V DC, 25A)</v>
          </cell>
          <cell r="C1746" t="str">
            <v>HAGER</v>
          </cell>
          <cell r="D1746" t="str">
            <v>HAGER</v>
          </cell>
        </row>
        <row r="1747">
          <cell r="A1747" t="str">
            <v>LF332PV (Cylindrical PV fuse-links 600 V DC, 32A)</v>
          </cell>
          <cell r="B1747" t="str">
            <v>LF332PV(Cylindrical PV fuse-links 600 V DC, 32A)</v>
          </cell>
          <cell r="C1747" t="str">
            <v>HAGER</v>
          </cell>
          <cell r="D1747" t="str">
            <v>HAGER</v>
          </cell>
        </row>
        <row r="1748">
          <cell r="A1748" t="str">
            <v>VYF410D (DB NOVELLO+ FLEXY, 4R, 40M, IP43, DD)</v>
          </cell>
          <cell r="B1748" t="str">
            <v>VYF410D(DB NOVELLO+ FLEXY, 4R, 40M, IP43, DD)</v>
          </cell>
          <cell r="C1748" t="str">
            <v>HAGER</v>
          </cell>
          <cell r="D1748" t="str">
            <v>HAGER</v>
          </cell>
        </row>
        <row r="1749">
          <cell r="A1749" t="str">
            <v>VYF414D (DB NOVELLO+ FLEXY, 4R, 56M, IP43, DD)</v>
          </cell>
          <cell r="B1749" t="str">
            <v>VYF414D(DB NOVELLO+ FLEXY, 4R, 56M, IP43, DD)</v>
          </cell>
          <cell r="C1749" t="str">
            <v>HAGER</v>
          </cell>
          <cell r="D1749" t="str">
            <v>HAGER</v>
          </cell>
        </row>
        <row r="1750">
          <cell r="A1750" t="str">
            <v>SB432PV (DC Disconnector Switch 32A - 1000V)</v>
          </cell>
          <cell r="B1750" t="str">
            <v>SB432PV(DC Disconnector Switch 32A - 1000V)</v>
          </cell>
          <cell r="C1750" t="str">
            <v>HAGER</v>
          </cell>
          <cell r="D1750" t="str">
            <v>HAGER</v>
          </cell>
        </row>
        <row r="1751">
          <cell r="A1751" t="str">
            <v>EE610 (Deco Lamp - Cool Light)</v>
          </cell>
          <cell r="B1751" t="str">
            <v>EE610(Deco Lamp - Cool Light)</v>
          </cell>
          <cell r="C1751" t="str">
            <v>HAGER</v>
          </cell>
          <cell r="D1751" t="str">
            <v>HAGER</v>
          </cell>
        </row>
        <row r="1752">
          <cell r="A1752" t="str">
            <v>EE600 (Deco Lamp High Powered)</v>
          </cell>
          <cell r="B1752" t="str">
            <v>EE600(Deco Lamp High Powered)</v>
          </cell>
          <cell r="C1752" t="str">
            <v>HAGER</v>
          </cell>
          <cell r="D1752" t="str">
            <v>HAGER</v>
          </cell>
        </row>
        <row r="1753">
          <cell r="A1753" t="str">
            <v>EG103E (Digital 1 channel daily 56 prog with pulse &amp; holiday mode, 3 mod)</v>
          </cell>
          <cell r="B1753" t="str">
            <v>EG103E(Digital 1 channel daily 56 prog with pulse &amp; holiday mode, 3 mod)</v>
          </cell>
          <cell r="C1753" t="str">
            <v>HAGER</v>
          </cell>
          <cell r="D1753" t="str">
            <v>HAGER</v>
          </cell>
        </row>
        <row r="1754">
          <cell r="A1754" t="str">
            <v>EV102 (Dimmer 1000 watts, universal)</v>
          </cell>
          <cell r="B1754" t="str">
            <v>EV102(Dimmer 1000 watts, universal)</v>
          </cell>
          <cell r="C1754" t="str">
            <v>HAGER</v>
          </cell>
          <cell r="D1754" t="str">
            <v>HAGER</v>
          </cell>
        </row>
        <row r="1755">
          <cell r="A1755" t="str">
            <v>EVN012 (Dimmer 300 watts, Universal,CFL,LED)</v>
          </cell>
          <cell r="B1755" t="str">
            <v>EVN012(Dimmer 300 watts, Universal,CFL,LED)</v>
          </cell>
          <cell r="C1755" t="str">
            <v>HAGER</v>
          </cell>
          <cell r="D1755" t="str">
            <v>HAGER</v>
          </cell>
        </row>
        <row r="1756">
          <cell r="A1756" t="str">
            <v>EVN004 (Dimmer 500 watts, Universal,CFL,LED)</v>
          </cell>
          <cell r="B1756" t="str">
            <v>EVN004(Dimmer 500 watts, Universal,CFL,LED)</v>
          </cell>
          <cell r="C1756" t="str">
            <v>HAGER</v>
          </cell>
          <cell r="D1756" t="str">
            <v>HAGER</v>
          </cell>
        </row>
        <row r="1757">
          <cell r="A1757" t="str">
            <v>HXF030H (Direct rotary handle H1250-H1600)</v>
          </cell>
          <cell r="B1757" t="str">
            <v>HXF030H(Direct rotary handle H1250-H1600)</v>
          </cell>
          <cell r="C1757" t="str">
            <v>HAGER</v>
          </cell>
          <cell r="D1757" t="str">
            <v>HAGER</v>
          </cell>
        </row>
        <row r="1758">
          <cell r="A1758" t="str">
            <v>HXC030H (Direct rotary handle H250)</v>
          </cell>
          <cell r="B1758" t="str">
            <v>HXC030H(Direct rotary handle H250)</v>
          </cell>
          <cell r="C1758" t="str">
            <v>HAGER</v>
          </cell>
          <cell r="D1758" t="str">
            <v>HAGER</v>
          </cell>
        </row>
        <row r="1759">
          <cell r="A1759" t="str">
            <v>HXD030H (Direct rotary handle H400-H630)</v>
          </cell>
          <cell r="B1759" t="str">
            <v>HXD030H(Direct rotary handle H400-H630)</v>
          </cell>
          <cell r="C1759" t="str">
            <v>HAGER</v>
          </cell>
          <cell r="D1759" t="str">
            <v>HAGER</v>
          </cell>
        </row>
        <row r="1760">
          <cell r="A1760" t="str">
            <v>HXE030H (Direct rotary handle H800-H1000)</v>
          </cell>
          <cell r="B1760" t="str">
            <v>HXE030H(Direct rotary handle H800-H1000)</v>
          </cell>
          <cell r="C1760" t="str">
            <v>HAGER</v>
          </cell>
          <cell r="D1760" t="str">
            <v>HAGER</v>
          </cell>
        </row>
        <row r="1761">
          <cell r="A1761" t="str">
            <v>HXA030H (Direct rotary handle x160)</v>
          </cell>
          <cell r="B1761" t="str">
            <v>HXA030H(Direct rotary handle x160)</v>
          </cell>
          <cell r="C1761" t="str">
            <v>HAGER</v>
          </cell>
          <cell r="D1761" t="str">
            <v>HAGER</v>
          </cell>
        </row>
        <row r="1762">
          <cell r="A1762" t="str">
            <v>HXB030H (Direct rotary handle x250)</v>
          </cell>
          <cell r="B1762" t="str">
            <v>HXB030H(Direct rotary handle x250)</v>
          </cell>
          <cell r="C1762" t="str">
            <v>HAGER</v>
          </cell>
          <cell r="D1762" t="str">
            <v>HAGER</v>
          </cell>
        </row>
        <row r="1763">
          <cell r="A1763" t="str">
            <v>VZ101i (Door handle)</v>
          </cell>
          <cell r="B1763" t="str">
            <v>VZ101i(Door handle)</v>
          </cell>
          <cell r="C1763" t="str">
            <v>HAGER</v>
          </cell>
          <cell r="D1763" t="str">
            <v>HAGER</v>
          </cell>
        </row>
        <row r="1764">
          <cell r="A1764" t="str">
            <v>HZI812I (DOUBLE POWER SUPPLY)</v>
          </cell>
          <cell r="B1764" t="str">
            <v>HZI812I(DOUBLE POWER SUPPLY)</v>
          </cell>
          <cell r="C1764" t="str">
            <v>HAGER</v>
          </cell>
          <cell r="D1764" t="str">
            <v>HAGER</v>
          </cell>
        </row>
        <row r="1765">
          <cell r="A1765" t="str">
            <v>HR510 (ELR ADJUSTABLE TIME DELAY &amp; ADJUSTABLE SENSITIVITY)</v>
          </cell>
          <cell r="B1765" t="str">
            <v>HR510(ELR ADJUSTABLE TIME DELAY &amp; ADJUSTABLE SENSITIVITY)</v>
          </cell>
          <cell r="C1765" t="str">
            <v>HAGER</v>
          </cell>
          <cell r="D1765" t="str">
            <v>HAGER</v>
          </cell>
        </row>
        <row r="1766">
          <cell r="A1766" t="str">
            <v>HR502 (ELR INSTANT TRIP FIXED SENSITIVITY 300mA)</v>
          </cell>
          <cell r="B1766" t="str">
            <v>HR502(ELR INSTANT TRIP FIXED SENSITIVITY 300mA)</v>
          </cell>
          <cell r="C1766" t="str">
            <v>HAGER</v>
          </cell>
          <cell r="D1766" t="str">
            <v>HAGER</v>
          </cell>
        </row>
        <row r="1767">
          <cell r="A1767" t="str">
            <v>HR500 (ELR INSTANT TRIP FIXED SENSITIVITY 30mA)</v>
          </cell>
          <cell r="B1767" t="str">
            <v>HR500(ELR INSTANT TRIP FIXED SENSITIVITY 30mA)</v>
          </cell>
          <cell r="C1767" t="str">
            <v>HAGER</v>
          </cell>
          <cell r="D1767" t="str">
            <v>HAGER</v>
          </cell>
        </row>
        <row r="1768">
          <cell r="A1768" t="str">
            <v>KZ021 (End cap -for 1P KB busbar (set of 10 nos))</v>
          </cell>
          <cell r="B1768" t="str">
            <v>KZ021(End cap -for 1P KB busbar(set of 10 nos))</v>
          </cell>
          <cell r="C1768" t="str">
            <v>HAGER</v>
          </cell>
          <cell r="D1768" t="str">
            <v>HAGER</v>
          </cell>
        </row>
        <row r="1769">
          <cell r="A1769" t="str">
            <v>KZN021 (End cap -for 1P KDN busbar (set of 50 nos))</v>
          </cell>
          <cell r="B1769" t="str">
            <v>KZN021(End cap -for 1P KDN busbar(set of 50 nos))</v>
          </cell>
          <cell r="C1769" t="str">
            <v>HAGER</v>
          </cell>
          <cell r="D1769" t="str">
            <v>HAGER</v>
          </cell>
        </row>
        <row r="1770">
          <cell r="A1770" t="str">
            <v>KZN023 (End cap -for 2P &amp; 3P KDN busbar (set of 10 nos))</v>
          </cell>
          <cell r="B1770" t="str">
            <v>KZN023(End cap -for 2P &amp; 3P KDN busbar(set of 10 nos))</v>
          </cell>
          <cell r="C1770" t="str">
            <v>HAGER</v>
          </cell>
          <cell r="D1770" t="str">
            <v>HAGER</v>
          </cell>
        </row>
        <row r="1771">
          <cell r="A1771" t="str">
            <v>KZN024 (End cap -for 4P KDN busbar (set of 10 nos))</v>
          </cell>
          <cell r="B1771" t="str">
            <v>KZN024(End cap -for 4P KDN busbar(set of 10 nos))</v>
          </cell>
          <cell r="C1771" t="str">
            <v>HAGER</v>
          </cell>
          <cell r="D1771" t="str">
            <v>HAGER</v>
          </cell>
        </row>
        <row r="1772">
          <cell r="A1772" t="str">
            <v>L44339010 (Endcap for GBD5005009010)</v>
          </cell>
          <cell r="B1772" t="str">
            <v>L44339010(Endcap for GBD5005009010)</v>
          </cell>
          <cell r="C1772" t="str">
            <v>HAGER</v>
          </cell>
          <cell r="D1772" t="str">
            <v>HAGER</v>
          </cell>
        </row>
        <row r="1773">
          <cell r="A1773" t="str">
            <v>L44739010 (Endcap  for  GBD5008509010)</v>
          </cell>
          <cell r="B1773" t="str">
            <v>L44739010(Endcap for GBD5008509010)</v>
          </cell>
          <cell r="C1773" t="str">
            <v>HAGER</v>
          </cell>
          <cell r="D1773" t="str">
            <v>HAGER</v>
          </cell>
        </row>
        <row r="1774">
          <cell r="A1774" t="str">
            <v>L43639010 (Endcap  for  GBD5010009010)</v>
          </cell>
          <cell r="B1774" t="str">
            <v>L43639010(Endcap for GBD5010009010)</v>
          </cell>
          <cell r="C1774" t="str">
            <v>HAGER</v>
          </cell>
          <cell r="D1774" t="str">
            <v>HAGER</v>
          </cell>
        </row>
        <row r="1775">
          <cell r="A1775" t="str">
            <v>L43939010 (Endcap  for  GBD5013109010)</v>
          </cell>
          <cell r="B1775" t="str">
            <v>L43939010(Endcap for GBD5013109010)</v>
          </cell>
          <cell r="C1775" t="str">
            <v>HAGER</v>
          </cell>
          <cell r="D1775" t="str">
            <v>HAGER</v>
          </cell>
        </row>
        <row r="1776">
          <cell r="A1776" t="str">
            <v>L43839010 (Endcap  for  GBD5016009010)</v>
          </cell>
          <cell r="B1776" t="str">
            <v>L43839010(Endcap for GBD5016009010)</v>
          </cell>
          <cell r="C1776" t="str">
            <v>HAGER</v>
          </cell>
          <cell r="D1776" t="str">
            <v>HAGER</v>
          </cell>
        </row>
        <row r="1777">
          <cell r="A1777" t="str">
            <v>L43439010 (Endcap  for  GBD5016109010)</v>
          </cell>
          <cell r="B1777" t="str">
            <v>L43439010(Endcap for GBD5016109010)</v>
          </cell>
          <cell r="C1777" t="str">
            <v>HAGER</v>
          </cell>
          <cell r="D1777" t="str">
            <v>HAGER</v>
          </cell>
        </row>
        <row r="1778">
          <cell r="A1778" t="str">
            <v>L44139010 (Endcap  for  GBD5019009010)</v>
          </cell>
          <cell r="B1778" t="str">
            <v>L44139010(Endcap for GBD5019009010)</v>
          </cell>
          <cell r="C1778" t="str">
            <v>HAGER</v>
          </cell>
          <cell r="D1778" t="str">
            <v>HAGER</v>
          </cell>
        </row>
        <row r="1779">
          <cell r="A1779" t="str">
            <v>L6532ELN (End Caps for BRAP 65100, anodized)</v>
          </cell>
          <cell r="B1779" t="str">
            <v>L6532ELN(End Caps for BRAP 65100, anodized)</v>
          </cell>
          <cell r="C1779" t="str">
            <v>HAGER</v>
          </cell>
          <cell r="D1779" t="str">
            <v>HAGER</v>
          </cell>
        </row>
        <row r="1780">
          <cell r="A1780" t="str">
            <v>L6533ELN (End Caps for BRAP 65130, anodised)</v>
          </cell>
          <cell r="B1780" t="str">
            <v>L6533ELN(End Caps for BRAP 65130, anodised)</v>
          </cell>
          <cell r="C1780" t="str">
            <v>HAGER</v>
          </cell>
          <cell r="D1780" t="str">
            <v>HAGER</v>
          </cell>
        </row>
        <row r="1781">
          <cell r="A1781" t="str">
            <v>L6534ELN (End Caps for BRAP 65170, anodised)</v>
          </cell>
          <cell r="B1781" t="str">
            <v>L6534ELN(End Caps for BRAP 65170, anodised)</v>
          </cell>
          <cell r="C1781" t="str">
            <v>HAGER</v>
          </cell>
          <cell r="D1781" t="str">
            <v>HAGER</v>
          </cell>
        </row>
        <row r="1782">
          <cell r="A1782" t="str">
            <v>L8034ELN (End Caps for BRAP 80200, anodised)</v>
          </cell>
          <cell r="B1782" t="str">
            <v>L8034ELN(End Caps for BRAP 80200, anodised)</v>
          </cell>
          <cell r="C1782" t="str">
            <v>HAGER</v>
          </cell>
          <cell r="D1782" t="str">
            <v>HAGER</v>
          </cell>
        </row>
        <row r="1783">
          <cell r="A1783" t="str">
            <v>KW10LH (End Plate for Photovoltaic DIN rail terminal 1000V 10sq mm)</v>
          </cell>
          <cell r="B1783" t="str">
            <v>KW10LH(End Plate for Photovoltaic DIN rail terminal 1000V 10sq mm)</v>
          </cell>
          <cell r="C1783" t="str">
            <v>HAGER</v>
          </cell>
          <cell r="D1783" t="str">
            <v>HAGER</v>
          </cell>
        </row>
        <row r="1784">
          <cell r="A1784" t="str">
            <v>VYV00M2Z (Ext Box for 250A VTPN DD DB)</v>
          </cell>
          <cell r="B1784" t="str">
            <v>VYV00M2Z(Ext Box for 250A VTPN DD DB)</v>
          </cell>
          <cell r="C1784" t="str">
            <v>HAGER</v>
          </cell>
          <cell r="D1784" t="str">
            <v>HAGER</v>
          </cell>
        </row>
        <row r="1785">
          <cell r="A1785" t="str">
            <v>VYV00MZ (Ext Box for VTPN DD DB)</v>
          </cell>
          <cell r="B1785" t="str">
            <v>VYV00MZ(Ext Box for VTPN DD DB)</v>
          </cell>
          <cell r="C1785" t="str">
            <v>HAGER</v>
          </cell>
          <cell r="D1785" t="str">
            <v>HAGER</v>
          </cell>
        </row>
        <row r="1786">
          <cell r="A1786" t="str">
            <v>HXF031H (Extended rotary handle H1250-H1600)</v>
          </cell>
          <cell r="B1786" t="str">
            <v>HXF031H(Extended rotary handle H1250-H1600)</v>
          </cell>
          <cell r="C1786" t="str">
            <v>HAGER</v>
          </cell>
          <cell r="D1786" t="str">
            <v>HAGER</v>
          </cell>
        </row>
        <row r="1787">
          <cell r="A1787" t="str">
            <v>HXC031H (Extended rotary handle H250)</v>
          </cell>
          <cell r="B1787" t="str">
            <v>HXC031H(Extended rotary handle H250)</v>
          </cell>
          <cell r="C1787" t="str">
            <v>HAGER</v>
          </cell>
          <cell r="D1787" t="str">
            <v>HAGER</v>
          </cell>
        </row>
        <row r="1788">
          <cell r="A1788" t="str">
            <v>HXD031H (Extended rotary handle H400-H630)</v>
          </cell>
          <cell r="B1788" t="str">
            <v>HXD031H(Extended rotary handle H400-H630)</v>
          </cell>
          <cell r="C1788" t="str">
            <v>HAGER</v>
          </cell>
          <cell r="D1788" t="str">
            <v>HAGER</v>
          </cell>
        </row>
        <row r="1789">
          <cell r="A1789" t="str">
            <v>HXE031H (Extended rotary handle H800-H1000)</v>
          </cell>
          <cell r="B1789" t="str">
            <v>HXE031H(Extended rotary handle H800-H1000)</v>
          </cell>
          <cell r="C1789" t="str">
            <v>HAGER</v>
          </cell>
          <cell r="D1789" t="str">
            <v>HAGER</v>
          </cell>
        </row>
        <row r="1790">
          <cell r="A1790" t="str">
            <v>HXA031H (Extended rotary handle x160)</v>
          </cell>
          <cell r="B1790" t="str">
            <v>HXA031H(Extended rotary handle x160)</v>
          </cell>
          <cell r="C1790" t="str">
            <v>HAGER</v>
          </cell>
          <cell r="D1790" t="str">
            <v>HAGER</v>
          </cell>
        </row>
        <row r="1791">
          <cell r="A1791" t="str">
            <v>HXB031H (Extended rotary handle x250)</v>
          </cell>
          <cell r="B1791" t="str">
            <v>HXB031H(Extended rotary handle x250)</v>
          </cell>
          <cell r="C1791" t="str">
            <v>HAGER</v>
          </cell>
          <cell r="D1791" t="str">
            <v>HAGER</v>
          </cell>
        </row>
        <row r="1792">
          <cell r="A1792" t="str">
            <v>L43649010 (Extention for internal corner 97˚ to 140˚)</v>
          </cell>
          <cell r="B1792" t="str">
            <v>L43649010(Extention for internal corner 97˚ to 140˚)</v>
          </cell>
          <cell r="C1792" t="str">
            <v>HAGER</v>
          </cell>
          <cell r="D1792" t="str">
            <v>HAGER</v>
          </cell>
        </row>
        <row r="1793">
          <cell r="A1793" t="str">
            <v>BRP651003HLAN (External angle, BRP / BRAP65100, lacquered anodized)</v>
          </cell>
          <cell r="B1793" t="str">
            <v>BRP651003HLAN(External angle, BRP / BRAP65100, lacquered anodized)</v>
          </cell>
          <cell r="C1793" t="str">
            <v>HAGER</v>
          </cell>
          <cell r="D1793" t="str">
            <v>HAGER</v>
          </cell>
        </row>
        <row r="1794">
          <cell r="A1794" t="str">
            <v>BRP651303HLAN (External angle, BRP / BRAP65130, lacquered anodized)</v>
          </cell>
          <cell r="B1794" t="str">
            <v>BRP651303HLAN(External angle, BRP / BRAP65130, lacquered anodized)</v>
          </cell>
          <cell r="C1794" t="str">
            <v>HAGER</v>
          </cell>
          <cell r="D1794" t="str">
            <v>HAGER</v>
          </cell>
        </row>
        <row r="1795">
          <cell r="A1795" t="str">
            <v>BRP651703HLAN (External angle, BRP / BRAP65170, lacquered anodized)</v>
          </cell>
          <cell r="B1795" t="str">
            <v>BRP651703HLAN(External angle, BRP / BRAP65170, lacquered anodized)</v>
          </cell>
          <cell r="C1795" t="str">
            <v>HAGER</v>
          </cell>
          <cell r="D1795" t="str">
            <v>HAGER</v>
          </cell>
        </row>
        <row r="1796">
          <cell r="A1796" t="str">
            <v>L8082ELN (External angle for BRAP80200, anodised)</v>
          </cell>
          <cell r="B1796" t="str">
            <v>L8082ELN(External angle for BRAP80200, anodised)</v>
          </cell>
          <cell r="C1796" t="str">
            <v>HAGER</v>
          </cell>
          <cell r="D1796" t="str">
            <v>HAGER</v>
          </cell>
        </row>
        <row r="1797">
          <cell r="A1797" t="str">
            <v>L44729010 (External corner  for  GBD5008509010)</v>
          </cell>
          <cell r="B1797" t="str">
            <v>L44729010(External corner for GBD5008509010)</v>
          </cell>
          <cell r="C1797" t="str">
            <v>HAGER</v>
          </cell>
          <cell r="D1797" t="str">
            <v>HAGER</v>
          </cell>
        </row>
        <row r="1798">
          <cell r="A1798" t="str">
            <v>L43629010 (External corner  for  GBD5010009010)</v>
          </cell>
          <cell r="B1798" t="str">
            <v>L43629010(External corner for GBD5010009010)</v>
          </cell>
          <cell r="C1798" t="str">
            <v>HAGER</v>
          </cell>
          <cell r="D1798" t="str">
            <v>HAGER</v>
          </cell>
        </row>
        <row r="1799">
          <cell r="A1799" t="str">
            <v>L43929010 (External corner  for  GBD5013109010)</v>
          </cell>
          <cell r="B1799" t="str">
            <v>L43929010(External corner for GBD5013109010)</v>
          </cell>
          <cell r="C1799" t="str">
            <v>HAGER</v>
          </cell>
          <cell r="D1799" t="str">
            <v>HAGER</v>
          </cell>
        </row>
        <row r="1800">
          <cell r="A1800" t="str">
            <v>L43829010 (External corner  for  GBD5016009010)</v>
          </cell>
          <cell r="B1800" t="str">
            <v>L43829010(External corner for GBD5016009010)</v>
          </cell>
          <cell r="C1800" t="str">
            <v>HAGER</v>
          </cell>
          <cell r="D1800" t="str">
            <v>HAGER</v>
          </cell>
        </row>
        <row r="1801">
          <cell r="A1801" t="str">
            <v>L43429010 (External corner  for  GBD5016109010)</v>
          </cell>
          <cell r="B1801" t="str">
            <v>L43429010(External corner for GBD5016109010)</v>
          </cell>
          <cell r="C1801" t="str">
            <v>HAGER</v>
          </cell>
          <cell r="D1801" t="str">
            <v>HAGER</v>
          </cell>
        </row>
        <row r="1802">
          <cell r="A1802" t="str">
            <v>L44129010 (External corner  for  GBD5019009010)</v>
          </cell>
          <cell r="B1802" t="str">
            <v>L44129010(External corner for GBD5019009010)</v>
          </cell>
          <cell r="C1802" t="str">
            <v>HAGER</v>
          </cell>
          <cell r="D1802" t="str">
            <v>HAGER</v>
          </cell>
        </row>
        <row r="1803">
          <cell r="A1803" t="str">
            <v>WSNHS12 (External unit for DND/MMR with door bell switch
incl. light indicator DND/MMR)</v>
          </cell>
          <cell r="B1803" t="str">
            <v>WSNHS12(External unit for DND/MMR with door bell switch
incl. light indicator DND/MMR)</v>
          </cell>
          <cell r="C1803" t="str">
            <v>HAGER</v>
          </cell>
          <cell r="D1803" t="str">
            <v>HAGER</v>
          </cell>
        </row>
        <row r="1804">
          <cell r="A1804" t="str">
            <v>WSNHS12A (External unit for DND/MMR with door bell switch
incl. light indicator DND/MMR  ANTH)</v>
          </cell>
          <cell r="B1804" t="str">
            <v>WSNHS12A(External unit for DND/MMR with door bell switch
incl. light indicator DND/MMR ANTH)</v>
          </cell>
          <cell r="C1804" t="str">
            <v>HAGER</v>
          </cell>
          <cell r="D1804" t="str">
            <v>HAGER</v>
          </cell>
        </row>
        <row r="1805">
          <cell r="A1805" t="str">
            <v>WSNFC11 (Fan step regulator 100W)</v>
          </cell>
          <cell r="B1805" t="str">
            <v>WSNFC11(Fan step regulator 100W)</v>
          </cell>
          <cell r="C1805" t="str">
            <v>HAGER</v>
          </cell>
          <cell r="D1805" t="str">
            <v>HAGER</v>
          </cell>
        </row>
        <row r="1806">
          <cell r="A1806" t="str">
            <v>WSNFC11A (Fan step regulator 100W  ANTH)</v>
          </cell>
          <cell r="B1806" t="str">
            <v>WSNFC11A(Fan step regulator 100W ANTH)</v>
          </cell>
          <cell r="C1806" t="str">
            <v>HAGER</v>
          </cell>
          <cell r="D1806" t="str">
            <v>HAGER</v>
          </cell>
        </row>
        <row r="1807">
          <cell r="A1807" t="str">
            <v>WSNDT42 (Female HD 15 AV Connector)</v>
          </cell>
          <cell r="B1807" t="str">
            <v>WSNDT42(Female HD 15 AV Connector)</v>
          </cell>
          <cell r="C1807" t="str">
            <v>HAGER</v>
          </cell>
          <cell r="D1807" t="str">
            <v>HAGER</v>
          </cell>
        </row>
        <row r="1808">
          <cell r="A1808" t="str">
            <v>WSNDT42A (Female HD 15 AV Connector  ANTH)</v>
          </cell>
          <cell r="B1808" t="str">
            <v>WSNDT42A(Female HD 15 AV Connector ANTH)</v>
          </cell>
          <cell r="C1808" t="str">
            <v>HAGER</v>
          </cell>
          <cell r="D1808" t="str">
            <v>HAGER</v>
          </cell>
        </row>
        <row r="1809">
          <cell r="A1809" t="str">
            <v>BRP651005HLAN (Flat angle, BRP / BRAP 65100, lacquered anodized)</v>
          </cell>
          <cell r="B1809" t="str">
            <v>BRP651005HLAN(Flat angle, BRP / BRAP 65100, lacquered anodized)</v>
          </cell>
          <cell r="C1809" t="str">
            <v>HAGER</v>
          </cell>
          <cell r="D1809" t="str">
            <v>HAGER</v>
          </cell>
        </row>
        <row r="1810">
          <cell r="A1810" t="str">
            <v>BRP651305HLAN (Flat angle, BRP / BRAP 65130, lacquered anodized)</v>
          </cell>
          <cell r="B1810" t="str">
            <v>BRP651305HLAN(Flat angle, BRP / BRAP 65130, lacquered anodized)</v>
          </cell>
          <cell r="C1810" t="str">
            <v>HAGER</v>
          </cell>
          <cell r="D1810" t="str">
            <v>HAGER</v>
          </cell>
        </row>
        <row r="1811">
          <cell r="A1811" t="str">
            <v>BRP651705HLAN (Flat angle, BRP / BRAP 65170, lacquered anodized)</v>
          </cell>
          <cell r="B1811" t="str">
            <v>BRP651705HLAN(Flat angle, BRP / BRAP 65170, lacquered anodized)</v>
          </cell>
          <cell r="C1811" t="str">
            <v>HAGER</v>
          </cell>
          <cell r="D1811" t="str">
            <v>HAGER</v>
          </cell>
        </row>
        <row r="1812">
          <cell r="A1812" t="str">
            <v>L8085ELN (Flat angle for BRAP80200, anodised)</v>
          </cell>
          <cell r="B1812" t="str">
            <v>L8085ELN(Flat angle for BRAP80200, anodised)</v>
          </cell>
          <cell r="C1812" t="str">
            <v>HAGER</v>
          </cell>
          <cell r="D1812" t="str">
            <v>HAGER</v>
          </cell>
        </row>
        <row r="1813">
          <cell r="A1813" t="str">
            <v>L44789010 (Flat Corner  for  GBD5008509010)</v>
          </cell>
          <cell r="B1813" t="str">
            <v>L44789010(Flat Corner for GBD5008509010)</v>
          </cell>
          <cell r="C1813" t="str">
            <v>HAGER</v>
          </cell>
          <cell r="D1813" t="str">
            <v>HAGER</v>
          </cell>
        </row>
        <row r="1814">
          <cell r="A1814" t="str">
            <v>L43689010 (Flat Corner  for  GBD5010009010)</v>
          </cell>
          <cell r="B1814" t="str">
            <v>L43689010(Flat Corner for GBD5010009010)</v>
          </cell>
          <cell r="C1814" t="str">
            <v>HAGER</v>
          </cell>
          <cell r="D1814" t="str">
            <v>HAGER</v>
          </cell>
        </row>
        <row r="1815">
          <cell r="A1815" t="str">
            <v>L43989010 (Flat Corner  for  GBD5013109010)</v>
          </cell>
          <cell r="B1815" t="str">
            <v>L43989010(Flat Corner for GBD5013109010)</v>
          </cell>
          <cell r="C1815" t="str">
            <v>HAGER</v>
          </cell>
          <cell r="D1815" t="str">
            <v>HAGER</v>
          </cell>
        </row>
        <row r="1816">
          <cell r="A1816" t="str">
            <v>L43889010 (Flat Corner  for  GBD5016009010)</v>
          </cell>
          <cell r="B1816" t="str">
            <v>L43889010(Flat Corner for GBD5016009010)</v>
          </cell>
          <cell r="C1816" t="str">
            <v>HAGER</v>
          </cell>
          <cell r="D1816" t="str">
            <v>HAGER</v>
          </cell>
        </row>
        <row r="1817">
          <cell r="A1817" t="str">
            <v>L43489010 (Flat Corner  for  GBD5016109010)</v>
          </cell>
          <cell r="B1817" t="str">
            <v>L43489010(Flat Corner for GBD5016109010)</v>
          </cell>
          <cell r="C1817" t="str">
            <v>HAGER</v>
          </cell>
          <cell r="D1817" t="str">
            <v>HAGER</v>
          </cell>
        </row>
        <row r="1818">
          <cell r="A1818" t="str">
            <v>L44189010 (Flat Corner  for  GBD5019009010)</v>
          </cell>
          <cell r="B1818" t="str">
            <v>L44189010(Flat Corner for GBD5019009010)</v>
          </cell>
          <cell r="C1818" t="str">
            <v>HAGER</v>
          </cell>
          <cell r="D1818" t="str">
            <v>HAGER</v>
          </cell>
        </row>
        <row r="1819">
          <cell r="A1819" t="str">
            <v>SPL412R_x000D_
 (FOUR POLE  12.5 KA  4PT1 +T2 TNS/TT_x000D_
)</v>
          </cell>
          <cell r="B1819" t="str">
            <v>SPL412R_x000D_
(FOUR POLE 12.5 KA 4PT1 +T2 TNS/TT_x000D_
)</v>
          </cell>
          <cell r="C1819" t="str">
            <v>HAGER</v>
          </cell>
          <cell r="D1819" t="str">
            <v>HAGER</v>
          </cell>
        </row>
        <row r="1820">
          <cell r="A1820" t="str">
            <v>L501PV (Fuse-Carriers 1000 V DC, 32 A, 1P)</v>
          </cell>
          <cell r="B1820" t="str">
            <v>L501PV(Fuse-Carriers 1000 V DC, 32 A, 1P)</v>
          </cell>
          <cell r="C1820" t="str">
            <v>HAGER</v>
          </cell>
          <cell r="D1820" t="str">
            <v>HAGER</v>
          </cell>
        </row>
        <row r="1821">
          <cell r="A1821" t="str">
            <v>L502PV (Fuse-carriers 1000 V DC, 32 A, 2P)</v>
          </cell>
          <cell r="B1821" t="str">
            <v>L502PV(Fuse-carriers 1000 V DC, 32 A, 2P)</v>
          </cell>
          <cell r="C1821" t="str">
            <v>HAGER</v>
          </cell>
          <cell r="D1821" t="str">
            <v>HAGER</v>
          </cell>
        </row>
        <row r="1822">
          <cell r="A1822" t="str">
            <v>WSNG12 (Grid Plate  - 12 M)</v>
          </cell>
          <cell r="B1822" t="str">
            <v>WSNG12(Grid Plate - 12 M)</v>
          </cell>
          <cell r="C1822" t="str">
            <v>HAGER</v>
          </cell>
          <cell r="D1822" t="str">
            <v>HAGER</v>
          </cell>
        </row>
        <row r="1823">
          <cell r="A1823" t="str">
            <v>WSNG1 (Grid Plate  - 1 M)</v>
          </cell>
          <cell r="B1823" t="str">
            <v>WSNG1(Grid Plate - 1 M)</v>
          </cell>
          <cell r="C1823" t="str">
            <v>HAGER</v>
          </cell>
          <cell r="D1823" t="str">
            <v>HAGER</v>
          </cell>
        </row>
        <row r="1824">
          <cell r="A1824" t="str">
            <v>WSNG2 (Grid Plate  - 2 M)</v>
          </cell>
          <cell r="B1824" t="str">
            <v>WSNG2(Grid Plate - 2 M)</v>
          </cell>
          <cell r="C1824" t="str">
            <v>HAGER</v>
          </cell>
          <cell r="D1824" t="str">
            <v>HAGER</v>
          </cell>
        </row>
        <row r="1825">
          <cell r="A1825" t="str">
            <v>WSNG3 (Grid Plate  - 3 M)</v>
          </cell>
          <cell r="B1825" t="str">
            <v>WSNG3(Grid Plate - 3 M)</v>
          </cell>
          <cell r="C1825" t="str">
            <v>HAGER</v>
          </cell>
          <cell r="D1825" t="str">
            <v>HAGER</v>
          </cell>
        </row>
        <row r="1826">
          <cell r="A1826" t="str">
            <v>WSNG4 (Grid Plate  - 4 M)</v>
          </cell>
          <cell r="B1826" t="str">
            <v>WSNG4(Grid Plate - 4 M)</v>
          </cell>
          <cell r="C1826" t="str">
            <v>HAGER</v>
          </cell>
          <cell r="D1826" t="str">
            <v>HAGER</v>
          </cell>
        </row>
        <row r="1827">
          <cell r="A1827" t="str">
            <v>WSNG6 (Grid Plate  - 6 M)</v>
          </cell>
          <cell r="B1827" t="str">
            <v>WSNG6(Grid Plate - 6 M)</v>
          </cell>
          <cell r="C1827" t="str">
            <v>HAGER</v>
          </cell>
          <cell r="D1827" t="str">
            <v>HAGER</v>
          </cell>
        </row>
        <row r="1828">
          <cell r="A1828" t="str">
            <v>WSNG8 (Grid Plate  - 8 M L)</v>
          </cell>
          <cell r="B1828" t="str">
            <v>WSNG8(Grid Plate - 8 M L)</v>
          </cell>
          <cell r="C1828" t="str">
            <v>HAGER</v>
          </cell>
          <cell r="D1828" t="str">
            <v>HAGER</v>
          </cell>
        </row>
        <row r="1829">
          <cell r="A1829" t="str">
            <v>WSNG8S (Grid Plate  - 8 M Sq)</v>
          </cell>
          <cell r="B1829" t="str">
            <v>WSNG8S(Grid Plate - 8 M Sq)</v>
          </cell>
          <cell r="C1829" t="str">
            <v>HAGER</v>
          </cell>
          <cell r="D1829" t="str">
            <v>HAGER</v>
          </cell>
        </row>
        <row r="1830">
          <cell r="A1830" t="str">
            <v>P031F (Half mod blanking plate)</v>
          </cell>
          <cell r="B1830" t="str">
            <v>P031F(Half mod blanking plate)</v>
          </cell>
          <cell r="C1830" t="str">
            <v>HAGER</v>
          </cell>
          <cell r="D1830" t="str">
            <v>HAGER</v>
          </cell>
        </row>
        <row r="1831">
          <cell r="A1831" t="str">
            <v>WSNDT21 (HDMI Port)</v>
          </cell>
          <cell r="B1831" t="str">
            <v>WSNDT21(HDMI Port)</v>
          </cell>
          <cell r="C1831" t="str">
            <v>HAGER</v>
          </cell>
          <cell r="D1831" t="str">
            <v>HAGER</v>
          </cell>
        </row>
        <row r="1832">
          <cell r="A1832" t="str">
            <v>WSNDT21A (HDMI Port  ANTH)</v>
          </cell>
          <cell r="B1832" t="str">
            <v>WSNDT21A(HDMI Port ANTH)</v>
          </cell>
          <cell r="C1832" t="str">
            <v>HAGER</v>
          </cell>
          <cell r="D1832" t="str">
            <v>HAGER</v>
          </cell>
        </row>
        <row r="1833">
          <cell r="A1833" t="str">
            <v>AFH960 (Hi RCBO  2P  10A  300mA)</v>
          </cell>
          <cell r="B1833" t="str">
            <v>AFH960(Hi RCBO 2P 10A 300mA)</v>
          </cell>
          <cell r="C1833" t="str">
            <v>HAGER</v>
          </cell>
          <cell r="D1833" t="str">
            <v>HAGER</v>
          </cell>
        </row>
        <row r="1834">
          <cell r="A1834" t="str">
            <v>ADH960 (Hi RCBO  2P  10A  30mA)</v>
          </cell>
          <cell r="B1834" t="str">
            <v>ADH960(Hi RCBO 2P 10A 30mA)</v>
          </cell>
          <cell r="C1834" t="str">
            <v>HAGER</v>
          </cell>
          <cell r="D1834" t="str">
            <v>HAGER</v>
          </cell>
        </row>
        <row r="1835">
          <cell r="A1835" t="str">
            <v>AFH966 (Hi RCBO  2P  16A  300mA)</v>
          </cell>
          <cell r="B1835" t="str">
            <v>AFH966(Hi RCBO 2P 16A 300mA)</v>
          </cell>
          <cell r="C1835" t="str">
            <v>HAGER</v>
          </cell>
          <cell r="D1835" t="str">
            <v>HAGER</v>
          </cell>
        </row>
        <row r="1836">
          <cell r="A1836" t="str">
            <v>ADH966 (Hi RCBO  2P  16A  30mA)</v>
          </cell>
          <cell r="B1836" t="str">
            <v>ADH966(Hi RCBO 2P 16A 30mA)</v>
          </cell>
          <cell r="C1836" t="str">
            <v>HAGER</v>
          </cell>
          <cell r="D1836" t="str">
            <v>HAGER</v>
          </cell>
        </row>
        <row r="1837">
          <cell r="A1837" t="str">
            <v>AFH970 (Hi RCBO  2P  20A  300mA)</v>
          </cell>
          <cell r="B1837" t="str">
            <v>AFH970(Hi RCBO 2P 20A 300mA)</v>
          </cell>
          <cell r="C1837" t="str">
            <v>HAGER</v>
          </cell>
          <cell r="D1837" t="str">
            <v>HAGER</v>
          </cell>
        </row>
        <row r="1838">
          <cell r="A1838" t="str">
            <v>ADH970 (Hi RCBO  2P  20A  30mA)</v>
          </cell>
          <cell r="B1838" t="str">
            <v>ADH970(Hi RCBO 2P 20A 30mA)</v>
          </cell>
          <cell r="C1838" t="str">
            <v>HAGER</v>
          </cell>
          <cell r="D1838" t="str">
            <v>HAGER</v>
          </cell>
        </row>
        <row r="1839">
          <cell r="A1839" t="str">
            <v>AFH975 (Hi RCBO  2P  25A  300mA)</v>
          </cell>
          <cell r="B1839" t="str">
            <v>AFH975(Hi RCBO 2P 25A 300mA)</v>
          </cell>
          <cell r="C1839" t="str">
            <v>HAGER</v>
          </cell>
          <cell r="D1839" t="str">
            <v>HAGER</v>
          </cell>
        </row>
        <row r="1840">
          <cell r="A1840" t="str">
            <v>ADH975 (Hi RCBO  2P  25A  30mA)</v>
          </cell>
          <cell r="B1840" t="str">
            <v>ADH975(Hi RCBO 2P 25A 30mA)</v>
          </cell>
          <cell r="C1840" t="str">
            <v>HAGER</v>
          </cell>
          <cell r="D1840" t="str">
            <v>HAGER</v>
          </cell>
        </row>
        <row r="1841">
          <cell r="A1841" t="str">
            <v>ADH982 (Hi RCBO  2P  32A  30mA)</v>
          </cell>
          <cell r="B1841" t="str">
            <v>ADH982(Hi RCBO 2P 32A 30mA)</v>
          </cell>
          <cell r="C1841" t="str">
            <v>HAGER</v>
          </cell>
          <cell r="D1841" t="str">
            <v>HAGER</v>
          </cell>
        </row>
        <row r="1842">
          <cell r="A1842" t="str">
            <v>ADH990 (Hi RCBO  2P  40A  30mA)</v>
          </cell>
          <cell r="B1842" t="str">
            <v>ADH990(Hi RCBO  2P  40A  30mA)</v>
          </cell>
          <cell r="C1842" t="str">
            <v>HAGER</v>
          </cell>
          <cell r="D1842" t="str">
            <v>HAGER</v>
          </cell>
        </row>
        <row r="1843">
          <cell r="A1843" t="str">
            <v>AFH956 (Hi RCBO  2P   6A  300mA)</v>
          </cell>
          <cell r="B1843" t="str">
            <v>AFH956(Hi RCBO 2P 6A 300mA)</v>
          </cell>
          <cell r="C1843" t="str">
            <v>HAGER</v>
          </cell>
          <cell r="D1843" t="str">
            <v>HAGER</v>
          </cell>
        </row>
        <row r="1844">
          <cell r="A1844" t="str">
            <v>ADH956 (Hi RCBO  2P  6A  30mA)</v>
          </cell>
          <cell r="B1844" t="str">
            <v>ADH956(Hi RCBO 2P 6A 30mA)</v>
          </cell>
          <cell r="C1844" t="str">
            <v>HAGER</v>
          </cell>
          <cell r="D1844" t="str">
            <v>HAGER</v>
          </cell>
        </row>
        <row r="1845">
          <cell r="A1845" t="str">
            <v>CQ225J (Hi RCCB 2P 25A 300 mA)</v>
          </cell>
          <cell r="B1845" t="str">
            <v>CQ225J(Hi RCCB 2P 25A 300 mA)</v>
          </cell>
          <cell r="C1845" t="str">
            <v>HAGER</v>
          </cell>
          <cell r="D1845" t="str">
            <v>HAGER</v>
          </cell>
        </row>
        <row r="1846">
          <cell r="A1846" t="str">
            <v>CH225J (Hi RCCB 2P 25A 30 mA)</v>
          </cell>
          <cell r="B1846" t="str">
            <v>CH225J(Hi RCCB 2P 25A 30 mA)</v>
          </cell>
          <cell r="C1846" t="str">
            <v>HAGER</v>
          </cell>
          <cell r="D1846" t="str">
            <v>HAGER</v>
          </cell>
        </row>
        <row r="1847">
          <cell r="A1847" t="str">
            <v>CQ240J (Hi RCCB 2P 40A 300mA)</v>
          </cell>
          <cell r="B1847" t="str">
            <v>CQ240J(Hi RCCB 2P 40A 300mA)</v>
          </cell>
          <cell r="C1847" t="str">
            <v>HAGER</v>
          </cell>
          <cell r="D1847" t="str">
            <v>HAGER</v>
          </cell>
        </row>
        <row r="1848">
          <cell r="A1848" t="str">
            <v>CH240J (Hi RCCB 2P 40A 30 mA)</v>
          </cell>
          <cell r="B1848" t="str">
            <v>CH240J(Hi RCCB 2P 40A 30 mA)</v>
          </cell>
          <cell r="C1848" t="str">
            <v>HAGER</v>
          </cell>
          <cell r="D1848" t="str">
            <v>HAGER</v>
          </cell>
        </row>
        <row r="1849">
          <cell r="A1849" t="str">
            <v>CQ263J (Hi RCCB 2P 63A 300mA)</v>
          </cell>
          <cell r="B1849" t="str">
            <v>CQ263J(Hi RCCB 2P 63A 300mA)</v>
          </cell>
          <cell r="C1849" t="str">
            <v>HAGER</v>
          </cell>
          <cell r="D1849" t="str">
            <v>HAGER</v>
          </cell>
        </row>
        <row r="1850">
          <cell r="A1850" t="str">
            <v>CH263J (Hi RCCB 2P 63A 30 mA)</v>
          </cell>
          <cell r="B1850" t="str">
            <v>CH263J(Hi RCCB 2P 63A 30 mA)</v>
          </cell>
          <cell r="C1850" t="str">
            <v>HAGER</v>
          </cell>
          <cell r="D1850" t="str">
            <v>HAGER</v>
          </cell>
        </row>
        <row r="1851">
          <cell r="A1851" t="str">
            <v>CQ425J (Hi RCCB 4P 25A 300 mA)</v>
          </cell>
          <cell r="B1851" t="str">
            <v>CQ425J(Hi RCCB 4P 25A 300 mA)</v>
          </cell>
          <cell r="C1851" t="str">
            <v>HAGER</v>
          </cell>
          <cell r="D1851" t="str">
            <v>HAGER</v>
          </cell>
        </row>
        <row r="1852">
          <cell r="A1852" t="str">
            <v>CH425J (Hi RCCB 4P 25A 30 mA)</v>
          </cell>
          <cell r="B1852" t="str">
            <v>CH425J(Hi RCCB 4P 25A 30 mA)</v>
          </cell>
          <cell r="C1852" t="str">
            <v>HAGER</v>
          </cell>
          <cell r="D1852" t="str">
            <v>HAGER</v>
          </cell>
        </row>
        <row r="1853">
          <cell r="A1853" t="str">
            <v>CQ440J (Hi RCCB 4P 40A 300 mA)</v>
          </cell>
          <cell r="B1853" t="str">
            <v>CQ440J(Hi RCCB 4P 40A 300 mA)</v>
          </cell>
          <cell r="C1853" t="str">
            <v>HAGER</v>
          </cell>
          <cell r="D1853" t="str">
            <v>HAGER</v>
          </cell>
        </row>
        <row r="1854">
          <cell r="A1854" t="str">
            <v>CH440J (Hi RCCB 4P 40A 30 mA)</v>
          </cell>
          <cell r="B1854" t="str">
            <v>CH440J(Hi RCCB 4P 40A 30 mA)</v>
          </cell>
          <cell r="C1854" t="str">
            <v>HAGER</v>
          </cell>
          <cell r="D1854" t="str">
            <v>HAGER</v>
          </cell>
        </row>
        <row r="1855">
          <cell r="A1855" t="str">
            <v>CQ463J (Hi RCCB 4P 63A 300 mA)</v>
          </cell>
          <cell r="B1855" t="str">
            <v>CQ463J(Hi RCCB 4P 63A 300 mA)</v>
          </cell>
          <cell r="C1855" t="str">
            <v>HAGER</v>
          </cell>
          <cell r="D1855" t="str">
            <v>HAGER</v>
          </cell>
        </row>
        <row r="1856">
          <cell r="A1856" t="str">
            <v>CH463J (Hi RCCB 4P 63A 30 mA)</v>
          </cell>
          <cell r="B1856" t="str">
            <v>CH463J(Hi RCCB 4P 63A 30 mA)</v>
          </cell>
          <cell r="C1856" t="str">
            <v>HAGER</v>
          </cell>
          <cell r="D1856" t="str">
            <v>HAGER</v>
          </cell>
        </row>
        <row r="1857">
          <cell r="A1857" t="str">
            <v>WSNHS32 (Hotel card unit (Complete unit))</v>
          </cell>
          <cell r="B1857" t="str">
            <v>WSNHS32(Hotel card unit(Complete unit))</v>
          </cell>
          <cell r="C1857" t="str">
            <v>HAGER</v>
          </cell>
          <cell r="D1857" t="str">
            <v>HAGER</v>
          </cell>
        </row>
        <row r="1858">
          <cell r="A1858" t="str">
            <v>WSNHS32A (Hotel card unit (Complete unit)  ANTH)</v>
          </cell>
          <cell r="B1858" t="str">
            <v>WSNHS32A(Hotel card unit(Complete unit) ANTH)</v>
          </cell>
          <cell r="C1858" t="str">
            <v>HAGER</v>
          </cell>
          <cell r="D1858" t="str">
            <v>HAGER</v>
          </cell>
        </row>
        <row r="1859">
          <cell r="A1859" t="str">
            <v>WS055 (Hotel Key Card / Kallysto or Systo)</v>
          </cell>
          <cell r="B1859" t="str">
            <v>WS055(Hotel Key Card / Kallysto or Systo)</v>
          </cell>
          <cell r="C1859" t="str">
            <v>HAGER</v>
          </cell>
          <cell r="D1859" t="str">
            <v>HAGER</v>
          </cell>
        </row>
        <row r="1860">
          <cell r="A1860" t="str">
            <v>VYH12GHZ (H-PPI TPN 12way IP43 Acrylic Door DB)</v>
          </cell>
          <cell r="B1860" t="str">
            <v>VYH12GHZ(H-PPI TPN 12way IP43 Acrylic Door DB)</v>
          </cell>
          <cell r="C1860" t="str">
            <v>HAGER</v>
          </cell>
          <cell r="D1860" t="str">
            <v>HAGER</v>
          </cell>
        </row>
        <row r="1861">
          <cell r="A1861" t="str">
            <v>VYH12DHZ (H-PPI TPN 12way IP43 Double Door DB)</v>
          </cell>
          <cell r="B1861" t="str">
            <v>VYH12DHZ(H-PPI TPN 12way IP43 Double Door DB)</v>
          </cell>
          <cell r="C1861" t="str">
            <v>HAGER</v>
          </cell>
          <cell r="D1861" t="str">
            <v>HAGER</v>
          </cell>
        </row>
        <row r="1862">
          <cell r="A1862" t="str">
            <v>VYH12DH (H-PPI TPN 12way IP43 Double Door DB_x000D_
)</v>
          </cell>
          <cell r="B1862" t="str">
            <v>VYH12DH(H-PPI TPN 12way IP43 Double Door DB_x000D_
)</v>
          </cell>
          <cell r="C1862" t="str">
            <v>HAGER</v>
          </cell>
          <cell r="D1862" t="str">
            <v>HAGER</v>
          </cell>
        </row>
        <row r="1863">
          <cell r="A1863" t="str">
            <v>VYH12PHZ (H-PPI TPN 12way IP54 Double Door DB)</v>
          </cell>
          <cell r="B1863" t="str">
            <v>VYH12PHZ(H-PPI TPN 12way IP54 Double Door DB)</v>
          </cell>
          <cell r="C1863" t="str">
            <v>HAGER</v>
          </cell>
          <cell r="D1863" t="str">
            <v>HAGER</v>
          </cell>
        </row>
        <row r="1864">
          <cell r="A1864" t="str">
            <v>VYH04GHZ (H-PPI TPN 4way IP43 Acrylic Door DB)</v>
          </cell>
          <cell r="B1864" t="str">
            <v>VYH04GHZ(H-PPI TPN 4way IP43 Acrylic Door DB)</v>
          </cell>
          <cell r="C1864" t="str">
            <v>HAGER</v>
          </cell>
          <cell r="D1864" t="str">
            <v>HAGER</v>
          </cell>
        </row>
        <row r="1865">
          <cell r="A1865" t="str">
            <v>VYH04DHZ (H-PPI TPN 4way IP43 Double Door DB)</v>
          </cell>
          <cell r="B1865" t="str">
            <v>VYH04DHZ(H-PPI TPN 4way IP43 Double Door DB)</v>
          </cell>
          <cell r="C1865" t="str">
            <v>HAGER</v>
          </cell>
          <cell r="D1865" t="str">
            <v>HAGER</v>
          </cell>
        </row>
        <row r="1866">
          <cell r="A1866" t="str">
            <v>VYH04DHZ-11KO (H-PPI TPN 4way IP43 Double Door DB_x000D_
)</v>
          </cell>
          <cell r="B1866" t="str">
            <v>VYH04DHZ-11KO(H-PPI TPN 4way IP43 Double Door DB_x000D_
)</v>
          </cell>
          <cell r="C1866" t="str">
            <v>HAGER</v>
          </cell>
          <cell r="D1866" t="str">
            <v>HAGER</v>
          </cell>
        </row>
        <row r="1867">
          <cell r="A1867" t="str">
            <v>VYH04PHZ (H-PPI TPN 4way IP54 Double Door DB)</v>
          </cell>
          <cell r="B1867" t="str">
            <v>VYH04PHZ(H-PPI TPN 4way IP54 Double Door DB)</v>
          </cell>
          <cell r="C1867" t="str">
            <v>HAGER</v>
          </cell>
          <cell r="D1867" t="str">
            <v>HAGER</v>
          </cell>
        </row>
        <row r="1868">
          <cell r="A1868" t="str">
            <v>VYH06GHZ (H-PPI TPN 6way IP43 Acrylic Door DB)</v>
          </cell>
          <cell r="B1868" t="str">
            <v>VYH06GHZ(H-PPI TPN 6way IP43 Acrylic Door DB)</v>
          </cell>
          <cell r="C1868" t="str">
            <v>HAGER</v>
          </cell>
          <cell r="D1868" t="str">
            <v>HAGER</v>
          </cell>
        </row>
        <row r="1869">
          <cell r="A1869" t="str">
            <v>VYH06DHZ (H-PPI TPN 6way IP43 Double Door DB)</v>
          </cell>
          <cell r="B1869" t="str">
            <v>VYH06DHZ(H-PPI TPN 6way IP43 Double Door DB)</v>
          </cell>
          <cell r="C1869" t="str">
            <v>HAGER</v>
          </cell>
          <cell r="D1869" t="str">
            <v>HAGER</v>
          </cell>
        </row>
        <row r="1870">
          <cell r="A1870" t="str">
            <v>VYH06DH (H-PPI TPN 6way IP43 Double Door DB_x000D_
)</v>
          </cell>
          <cell r="B1870" t="str">
            <v>VYH06DH(H-PPI TPN 6way IP43 Double Door DB_x000D_
)</v>
          </cell>
          <cell r="C1870" t="str">
            <v>HAGER</v>
          </cell>
          <cell r="D1870" t="str">
            <v>HAGER</v>
          </cell>
        </row>
        <row r="1871">
          <cell r="A1871" t="str">
            <v>VYH06PHZ (H-PPI TPN 6way IP54 Double Door DB)</v>
          </cell>
          <cell r="B1871" t="str">
            <v>VYH06PHZ(H-PPI TPN 6way IP54 Double Door DB)</v>
          </cell>
          <cell r="C1871" t="str">
            <v>HAGER</v>
          </cell>
          <cell r="D1871" t="str">
            <v>HAGER</v>
          </cell>
        </row>
        <row r="1872">
          <cell r="A1872" t="str">
            <v>VYH08GHZ (H-PPI TPN 8way IP43 Acrylic Door DB)</v>
          </cell>
          <cell r="B1872" t="str">
            <v>VYH08GHZ(H-PPI TPN 8way IP43 Acrylic Door DB)</v>
          </cell>
          <cell r="C1872" t="str">
            <v>HAGER</v>
          </cell>
          <cell r="D1872" t="str">
            <v>HAGER</v>
          </cell>
        </row>
        <row r="1873">
          <cell r="A1873" t="str">
            <v>VYH08DHZ (H-PPI TPN 8way IP43 Double Door DB)</v>
          </cell>
          <cell r="B1873" t="str">
            <v>VYH08DHZ(H-PPI TPN 8way IP43 Double Door DB)</v>
          </cell>
          <cell r="C1873" t="str">
            <v>HAGER</v>
          </cell>
          <cell r="D1873" t="str">
            <v>HAGER</v>
          </cell>
        </row>
        <row r="1874">
          <cell r="A1874" t="str">
            <v>VYH08DH (H-PPI TPN 8way IP43 Double Door DB_x000D_
)</v>
          </cell>
          <cell r="B1874" t="str">
            <v>VYH08DH(H-PPI TPN 8way IP43 Double Door DB_x000D_
)</v>
          </cell>
          <cell r="C1874" t="str">
            <v>HAGER</v>
          </cell>
          <cell r="D1874" t="str">
            <v>HAGER</v>
          </cell>
        </row>
        <row r="1875">
          <cell r="A1875" t="str">
            <v>VYH08PHZ (H-PPI TPN 8way IP54 Double Door DB)</v>
          </cell>
          <cell r="B1875" t="str">
            <v>VYH08PHZ(H-PPI TPN 8way IP54 Double Door DB)</v>
          </cell>
          <cell r="C1875" t="str">
            <v>HAGER</v>
          </cell>
          <cell r="D1875" t="str">
            <v>HAGER</v>
          </cell>
        </row>
        <row r="1876">
          <cell r="A1876" t="str">
            <v>EE883 (Hyper Frequency Motion Detector)</v>
          </cell>
          <cell r="B1876" t="str">
            <v>EE883(Hyper Frequency Motion Detector)</v>
          </cell>
          <cell r="C1876" t="str">
            <v>HAGER</v>
          </cell>
          <cell r="D1876" t="str">
            <v>HAGER</v>
          </cell>
        </row>
        <row r="1877">
          <cell r="A1877" t="str">
            <v>SVN124 (Indicating light Blue)</v>
          </cell>
          <cell r="B1877" t="str">
            <v>SVN124(Indicating light Blue)</v>
          </cell>
          <cell r="C1877" t="str">
            <v>HAGER</v>
          </cell>
          <cell r="D1877" t="str">
            <v>HAGER</v>
          </cell>
        </row>
        <row r="1878">
          <cell r="A1878" t="str">
            <v>SVN129 Blue (Indicating Light Blue_x000D_
)</v>
          </cell>
          <cell r="B1878" t="str">
            <v>SVN129 Blue(Indicating Light Blue_x000D_
)</v>
          </cell>
          <cell r="C1878" t="str">
            <v>HAGER</v>
          </cell>
          <cell r="D1878" t="str">
            <v>HAGER</v>
          </cell>
        </row>
        <row r="1879">
          <cell r="A1879" t="str">
            <v>SVN121 (Indicating light Green)</v>
          </cell>
          <cell r="B1879" t="str">
            <v>SVN121(Indicating light Green)</v>
          </cell>
          <cell r="C1879" t="str">
            <v>HAGER</v>
          </cell>
          <cell r="D1879" t="str">
            <v>HAGER</v>
          </cell>
        </row>
        <row r="1880">
          <cell r="A1880" t="str">
            <v>SVN123 (Indicating light Orange)</v>
          </cell>
          <cell r="B1880" t="str">
            <v>SVN123(Indicating light Orange)</v>
          </cell>
          <cell r="C1880" t="str">
            <v>HAGER</v>
          </cell>
          <cell r="D1880" t="str">
            <v>HAGER</v>
          </cell>
        </row>
        <row r="1881">
          <cell r="A1881" t="str">
            <v>SVN122 (Indicating light Red)</v>
          </cell>
          <cell r="B1881" t="str">
            <v>SVN122(Indicating light Red)</v>
          </cell>
          <cell r="C1881" t="str">
            <v>HAGER</v>
          </cell>
          <cell r="D1881" t="str">
            <v>HAGER</v>
          </cell>
        </row>
        <row r="1882">
          <cell r="A1882" t="str">
            <v>SVN129 Red (Indicating Light Red_x000D_
)</v>
          </cell>
          <cell r="B1882" t="str">
            <v>SVN129 Red(Indicating Light Red_x000D_
)</v>
          </cell>
          <cell r="C1882" t="str">
            <v>HAGER</v>
          </cell>
          <cell r="D1882" t="str">
            <v>HAGER</v>
          </cell>
        </row>
        <row r="1883">
          <cell r="A1883" t="str">
            <v>SVN126 (Indicating Light Red+Green)</v>
          </cell>
          <cell r="B1883" t="str">
            <v>SVN126(Indicating Light Red+Green)</v>
          </cell>
          <cell r="C1883" t="str">
            <v>HAGER</v>
          </cell>
          <cell r="D1883" t="str">
            <v>HAGER</v>
          </cell>
        </row>
        <row r="1884">
          <cell r="A1884" t="str">
            <v>SVN129 (Indicating Light Red+Green+Orange)</v>
          </cell>
          <cell r="B1884" t="str">
            <v>SVN129(Indicating Light Red+Green+Orange)</v>
          </cell>
          <cell r="C1884" t="str">
            <v>HAGER</v>
          </cell>
          <cell r="D1884" t="str">
            <v>HAGER</v>
          </cell>
        </row>
        <row r="1885">
          <cell r="A1885" t="str">
            <v>SVN222 (Indicating Light Red+Yellow+Blue (RYB))</v>
          </cell>
          <cell r="B1885" t="str">
            <v>SVN222(Indicating Light Red+Yellow+Blue (RYB))</v>
          </cell>
          <cell r="C1885" t="str">
            <v>HAGER</v>
          </cell>
          <cell r="D1885" t="str">
            <v>HAGER</v>
          </cell>
        </row>
        <row r="1886">
          <cell r="A1886" t="str">
            <v>SVN129 Yellow (Indicating Light Yellow_x000D_
)</v>
          </cell>
          <cell r="B1886" t="str">
            <v>SVN129 Yellow(Indicating Light Yellow_x000D_
)</v>
          </cell>
          <cell r="C1886" t="str">
            <v>HAGER</v>
          </cell>
          <cell r="D1886" t="str">
            <v>HAGER</v>
          </cell>
        </row>
        <row r="1887">
          <cell r="A1887" t="str">
            <v>EE807 (Installer remote control for EE815 &amp; EE816)</v>
          </cell>
          <cell r="B1887" t="str">
            <v>EE807(Installer remote control for EE815 &amp; EE816)</v>
          </cell>
          <cell r="C1887" t="str">
            <v>HAGER</v>
          </cell>
          <cell r="D1887" t="str">
            <v>HAGER</v>
          </cell>
        </row>
        <row r="1888">
          <cell r="A1888" t="str">
            <v>BRP651004HLAN (Interior angle, BRP / BRAP65100, lacquered anodized)</v>
          </cell>
          <cell r="B1888" t="str">
            <v>BRP651004HLAN(Interior angle, BRP / BRAP65100, lacquered anodized)</v>
          </cell>
          <cell r="C1888" t="str">
            <v>HAGER</v>
          </cell>
          <cell r="D1888" t="str">
            <v>HAGER</v>
          </cell>
        </row>
        <row r="1889">
          <cell r="A1889" t="str">
            <v>BRP651304HLAN (Interior angle, BRP / BRAP65130, lacquered anodized)</v>
          </cell>
          <cell r="B1889" t="str">
            <v>BRP651304HLAN(Interior angle, BRP / BRAP65130, lacquered anodized)</v>
          </cell>
          <cell r="C1889" t="str">
            <v>HAGER</v>
          </cell>
          <cell r="D1889" t="str">
            <v>HAGER</v>
          </cell>
        </row>
        <row r="1890">
          <cell r="A1890" t="str">
            <v>BRP651704HLAN (Interior angle, BRP / BRAP65170, lacquered anodized)</v>
          </cell>
          <cell r="B1890" t="str">
            <v>BRP651704HLAN(Interior angle, BRP / BRAP65170, lacquered anodized)</v>
          </cell>
          <cell r="C1890" t="str">
            <v>HAGER</v>
          </cell>
          <cell r="D1890" t="str">
            <v>HAGER</v>
          </cell>
        </row>
        <row r="1891">
          <cell r="A1891" t="str">
            <v>L8081ELN (Interior angle for BRAP80200, anodised)</v>
          </cell>
          <cell r="B1891" t="str">
            <v>L8081ELN(Interior angle for BRAP80200, anodised)</v>
          </cell>
          <cell r="C1891" t="str">
            <v>HAGER</v>
          </cell>
          <cell r="D1891" t="str">
            <v>HAGER</v>
          </cell>
        </row>
        <row r="1892">
          <cell r="A1892" t="str">
            <v>L44719010 (Internal corner  for  GBD5008509010)</v>
          </cell>
          <cell r="B1892" t="str">
            <v>L44719010(Internal corner for GBD5008509010)</v>
          </cell>
          <cell r="C1892" t="str">
            <v>HAGER</v>
          </cell>
          <cell r="D1892" t="str">
            <v>HAGER</v>
          </cell>
        </row>
        <row r="1893">
          <cell r="A1893" t="str">
            <v>L43619010 (Internal corner  for  GBD5010009010)</v>
          </cell>
          <cell r="B1893" t="str">
            <v>L43619010(Internal corner for GBD5010009010)</v>
          </cell>
          <cell r="C1893" t="str">
            <v>HAGER</v>
          </cell>
          <cell r="D1893" t="str">
            <v>HAGER</v>
          </cell>
        </row>
        <row r="1894">
          <cell r="A1894" t="str">
            <v>L43919010 (Internal corner  for  GBD5013109010)</v>
          </cell>
          <cell r="B1894" t="str">
            <v>L43919010(Internal corner for GBD5013109010)</v>
          </cell>
          <cell r="C1894" t="str">
            <v>HAGER</v>
          </cell>
          <cell r="D1894" t="str">
            <v>HAGER</v>
          </cell>
        </row>
        <row r="1895">
          <cell r="A1895" t="str">
            <v>L43819010 (Internal corner  for  GBD5016009010)</v>
          </cell>
          <cell r="B1895" t="str">
            <v>L43819010(Internal corner for GBD5016009010)</v>
          </cell>
          <cell r="C1895" t="str">
            <v>HAGER</v>
          </cell>
          <cell r="D1895" t="str">
            <v>HAGER</v>
          </cell>
        </row>
        <row r="1896">
          <cell r="A1896" t="str">
            <v>L43419010 (Internal corner  for  GBD5016109010)</v>
          </cell>
          <cell r="B1896" t="str">
            <v>L43419010(Internal corner for GBD5016109010)</v>
          </cell>
          <cell r="C1896" t="str">
            <v>HAGER</v>
          </cell>
          <cell r="D1896" t="str">
            <v>HAGER</v>
          </cell>
        </row>
        <row r="1897">
          <cell r="A1897" t="str">
            <v>L44119010 (Internal corner  for  GBD5019009010)</v>
          </cell>
          <cell r="B1897" t="str">
            <v>L44119010(Internal corner for GBD5019009010)</v>
          </cell>
          <cell r="C1897" t="str">
            <v>HAGER</v>
          </cell>
          <cell r="D1897" t="str">
            <v>HAGER</v>
          </cell>
        </row>
        <row r="1898">
          <cell r="A1898" t="str">
            <v>WSNHS22 (Internal unit for DND/MMR control
incl. light indicator for DND/MMR)</v>
          </cell>
          <cell r="B1898" t="str">
            <v>WSNHS22(Internal unit for DND/MMR control
incl. light indicator for DND/MMR)</v>
          </cell>
          <cell r="C1898" t="str">
            <v>HAGER</v>
          </cell>
          <cell r="D1898" t="str">
            <v>HAGER</v>
          </cell>
        </row>
        <row r="1899">
          <cell r="A1899" t="str">
            <v>WSNHS22A (Internal unit for DND/MMR control
incl. light indicator for DND/MMR  ANTH)</v>
          </cell>
          <cell r="B1899" t="str">
            <v>WSNHS22A(Internal unit for DND/MMR control
incl. light indicator for DND/MMR ANTH)</v>
          </cell>
          <cell r="C1899" t="str">
            <v>HAGER</v>
          </cell>
          <cell r="D1899" t="str">
            <v>HAGER</v>
          </cell>
        </row>
        <row r="1900">
          <cell r="A1900" t="str">
            <v>HYB019H (Interphase barrier x250 3/4P)</v>
          </cell>
          <cell r="B1900" t="str">
            <v>HYB019H(Interphase barrier x250 3/4P)</v>
          </cell>
          <cell r="C1900" t="str">
            <v>HAGER</v>
          </cell>
          <cell r="D1900" t="str">
            <v>HAGER</v>
          </cell>
        </row>
        <row r="1901">
          <cell r="A1901" t="str">
            <v>EE702 (IP54 TWILIGHT SWITCH 2 - 1000 LUX)</v>
          </cell>
          <cell r="B1901" t="str">
            <v>EE702(IP54 TWILIGHT SWITCH 2 - 1000 LUX)</v>
          </cell>
          <cell r="C1901" t="str">
            <v>HAGER</v>
          </cell>
          <cell r="D1901" t="str">
            <v>HAGER</v>
          </cell>
        </row>
        <row r="1902">
          <cell r="A1902" t="str">
            <v>EE806 (IR remote for EE850,860 &amp; 870)</v>
          </cell>
          <cell r="B1902" t="str">
            <v>EE806(IR remote for EE850,860 &amp; 870)</v>
          </cell>
          <cell r="C1902" t="str">
            <v>HAGER</v>
          </cell>
          <cell r="D1902" t="str">
            <v>HAGER</v>
          </cell>
        </row>
        <row r="1903">
          <cell r="A1903" t="str">
            <v>SBN263N (ISOLATER 2P 63A)</v>
          </cell>
          <cell r="B1903" t="str">
            <v>SBN263N(ISOLATER 2P 63A)</v>
          </cell>
          <cell r="C1903" t="str">
            <v>HAGER</v>
          </cell>
          <cell r="D1903" t="str">
            <v>HAGER</v>
          </cell>
        </row>
        <row r="1904">
          <cell r="A1904" t="str">
            <v>Y6240 (Isolating Switch 2P 40A)</v>
          </cell>
          <cell r="B1904" t="str">
            <v>Y6240(Isolating Switch 2P 40A)</v>
          </cell>
          <cell r="C1904" t="str">
            <v>HAGER</v>
          </cell>
          <cell r="D1904" t="str">
            <v>HAGER</v>
          </cell>
        </row>
        <row r="1905">
          <cell r="A1905" t="str">
            <v>Y6263 (Isolating Switch 2P 63A)</v>
          </cell>
          <cell r="B1905" t="str">
            <v>Y6263(Isolating Switch 2P 63A)</v>
          </cell>
          <cell r="C1905" t="str">
            <v>HAGER</v>
          </cell>
          <cell r="D1905" t="str">
            <v>HAGER</v>
          </cell>
        </row>
        <row r="1906">
          <cell r="A1906" t="str">
            <v>Y6340 (Isolating Switch 3P 40A)</v>
          </cell>
          <cell r="B1906" t="str">
            <v>Y6340(Isolating Switch 3P 40A)</v>
          </cell>
          <cell r="C1906" t="str">
            <v>HAGER</v>
          </cell>
          <cell r="D1906" t="str">
            <v>HAGER</v>
          </cell>
        </row>
        <row r="1907">
          <cell r="A1907" t="str">
            <v>Y6363 (Isolating Switch 3P 63A)</v>
          </cell>
          <cell r="B1907" t="str">
            <v>Y6363(Isolating Switch 3P 63A)</v>
          </cell>
          <cell r="C1907" t="str">
            <v>HAGER</v>
          </cell>
          <cell r="D1907" t="str">
            <v>HAGER</v>
          </cell>
        </row>
        <row r="1908">
          <cell r="A1908" t="str">
            <v>Y6440 (Isolating Switch 4P 40A)</v>
          </cell>
          <cell r="B1908" t="str">
            <v>Y6440(Isolating Switch 4P 40A)</v>
          </cell>
          <cell r="C1908" t="str">
            <v>HAGER</v>
          </cell>
          <cell r="D1908" t="str">
            <v>HAGER</v>
          </cell>
        </row>
        <row r="1909">
          <cell r="A1909" t="str">
            <v>Y6463 (Isolating Switch 4P 63A)</v>
          </cell>
          <cell r="B1909" t="str">
            <v>Y6463(Isolating Switch 4P 63A)</v>
          </cell>
          <cell r="C1909" t="str">
            <v>HAGER</v>
          </cell>
          <cell r="D1909" t="str">
            <v>HAGER</v>
          </cell>
        </row>
        <row r="1910">
          <cell r="A1910" t="str">
            <v>SBN240N_x000D_
 (Isolating switches Double Pole 40A, 2 modules_x000D_
)</v>
          </cell>
          <cell r="B1910" t="str">
            <v>SBN240N_x000D_
(Isolating switches Double Pole 40A, 2 modules_x000D_
)</v>
          </cell>
          <cell r="C1910" t="str">
            <v>HAGER</v>
          </cell>
          <cell r="D1910" t="str">
            <v>HAGER</v>
          </cell>
        </row>
        <row r="1911">
          <cell r="A1911" t="str">
            <v>SBR332N_x000D_
 (Isolating switches Three Pole 32A, 2 modules_x000D_
)</v>
          </cell>
          <cell r="B1911" t="str">
            <v>SBR332N_x000D_
(Isolating switches Three Pole 32A, 2 modules_x000D_
)</v>
          </cell>
          <cell r="C1911" t="str">
            <v>HAGER</v>
          </cell>
          <cell r="D1911" t="str">
            <v>HAGER</v>
          </cell>
        </row>
        <row r="1912">
          <cell r="A1912" t="str">
            <v>SB116 (ISOLATOR  1P   16A)</v>
          </cell>
          <cell r="B1912" t="str">
            <v>SB116(ISOLATOR 1P 16A)</v>
          </cell>
          <cell r="C1912" t="str">
            <v>HAGER</v>
          </cell>
          <cell r="D1912" t="str">
            <v>HAGER</v>
          </cell>
        </row>
        <row r="1913">
          <cell r="A1913" t="str">
            <v>SB299 (ISOLATOR  2P   100A)</v>
          </cell>
          <cell r="B1913" t="str">
            <v>SB299(ISOLATOR 2P 100A)</v>
          </cell>
          <cell r="C1913" t="str">
            <v>HAGER</v>
          </cell>
          <cell r="D1913" t="str">
            <v>HAGER</v>
          </cell>
        </row>
        <row r="1914">
          <cell r="A1914" t="str">
            <v>SB212 (ISOLATOR  2P   125A)</v>
          </cell>
          <cell r="B1914" t="str">
            <v>SB212(ISOLATOR 2P 125A)</v>
          </cell>
          <cell r="C1914" t="str">
            <v>HAGER</v>
          </cell>
          <cell r="D1914" t="str">
            <v>HAGER</v>
          </cell>
        </row>
        <row r="1915">
          <cell r="A1915" t="str">
            <v>SB225 (ISOLATOR  2P   25A)</v>
          </cell>
          <cell r="B1915" t="str">
            <v>SB225(ISOLATOR 2P 25A)</v>
          </cell>
          <cell r="C1915" t="str">
            <v>HAGER</v>
          </cell>
          <cell r="D1915" t="str">
            <v>HAGER</v>
          </cell>
        </row>
        <row r="1916">
          <cell r="A1916" t="str">
            <v>SBN225N (ISOLATOR  2P   25A_x000D_
)</v>
          </cell>
          <cell r="B1916" t="str">
            <v>SBN225N(ISOLATOR 2P 25A_x000D_
)</v>
          </cell>
          <cell r="C1916" t="str">
            <v>HAGER</v>
          </cell>
          <cell r="D1916" t="str">
            <v>HAGER</v>
          </cell>
        </row>
        <row r="1917">
          <cell r="A1917" t="str">
            <v>SB232 (ISOLATOR  2P   32A)</v>
          </cell>
          <cell r="B1917" t="str">
            <v>SB232(ISOLATOR 2P 32A)</v>
          </cell>
          <cell r="C1917" t="str">
            <v>HAGER</v>
          </cell>
          <cell r="D1917" t="str">
            <v>HAGER</v>
          </cell>
        </row>
        <row r="1918">
          <cell r="A1918" t="str">
            <v>SB240 (ISOLATOR  2P   40A)</v>
          </cell>
          <cell r="B1918" t="str">
            <v>SB240(ISOLATOR 2P 40A)</v>
          </cell>
          <cell r="C1918" t="str">
            <v>HAGER</v>
          </cell>
          <cell r="D1918" t="str">
            <v>HAGER</v>
          </cell>
        </row>
        <row r="1919">
          <cell r="A1919" t="str">
            <v>SB263 (ISOLATOR  2P   63A)</v>
          </cell>
          <cell r="B1919" t="str">
            <v>SB263(ISOLATOR 2P 63A)</v>
          </cell>
          <cell r="C1919" t="str">
            <v>HAGER</v>
          </cell>
          <cell r="D1919" t="str">
            <v>HAGER</v>
          </cell>
        </row>
        <row r="1920">
          <cell r="A1920" t="str">
            <v>SB399 (ISOLATOR  3P   100A)</v>
          </cell>
          <cell r="B1920" t="str">
            <v>SB399(ISOLATOR 3P 100A)</v>
          </cell>
          <cell r="C1920" t="str">
            <v>HAGER</v>
          </cell>
          <cell r="D1920" t="str">
            <v>HAGER</v>
          </cell>
        </row>
        <row r="1921">
          <cell r="A1921" t="str">
            <v>SB312 (ISOLATOR  3P   125A)</v>
          </cell>
          <cell r="B1921" t="str">
            <v>SB312(ISOLATOR 3P 125A)</v>
          </cell>
          <cell r="C1921" t="str">
            <v>HAGER</v>
          </cell>
          <cell r="D1921" t="str">
            <v>HAGER</v>
          </cell>
        </row>
        <row r="1922">
          <cell r="A1922" t="str">
            <v>SB332 (ISOLATOR  3P   32A)</v>
          </cell>
          <cell r="B1922" t="str">
            <v>SB332(ISOLATOR 3P 32A)</v>
          </cell>
          <cell r="C1922" t="str">
            <v>HAGER</v>
          </cell>
          <cell r="D1922" t="str">
            <v>HAGER</v>
          </cell>
        </row>
        <row r="1923">
          <cell r="A1923" t="str">
            <v>SB340 (ISOLATOR  3P   40A)</v>
          </cell>
          <cell r="B1923" t="str">
            <v>SB340(ISOLATOR 3P 40A)</v>
          </cell>
          <cell r="C1923" t="str">
            <v>HAGER</v>
          </cell>
          <cell r="D1923" t="str">
            <v>HAGER</v>
          </cell>
        </row>
        <row r="1924">
          <cell r="A1924" t="str">
            <v>SBN340N (ISOLATOR  3P   40A_x000D_
)</v>
          </cell>
          <cell r="B1924" t="str">
            <v>SBN340N(ISOLATOR 3P 40A_x000D_
)</v>
          </cell>
          <cell r="C1924" t="str">
            <v>HAGER</v>
          </cell>
          <cell r="D1924" t="str">
            <v>HAGER</v>
          </cell>
        </row>
        <row r="1925">
          <cell r="A1925" t="str">
            <v>SB363 (ISOLATOR  3P   63A)</v>
          </cell>
          <cell r="B1925" t="str">
            <v>SB363(ISOLATOR 3P 63A)</v>
          </cell>
          <cell r="C1925" t="str">
            <v>HAGER</v>
          </cell>
          <cell r="D1925" t="str">
            <v>HAGER</v>
          </cell>
        </row>
        <row r="1926">
          <cell r="A1926" t="str">
            <v>SB499F (ISOLATOR  4P   100A)</v>
          </cell>
          <cell r="B1926" t="str">
            <v>SB499F(ISOLATOR 4P 100A)</v>
          </cell>
          <cell r="C1926" t="str">
            <v>HAGER</v>
          </cell>
          <cell r="D1926" t="str">
            <v>HAGER</v>
          </cell>
        </row>
        <row r="1927">
          <cell r="A1927" t="str">
            <v>SB412F (ISOLATOR  4P   125A)</v>
          </cell>
          <cell r="B1927" t="str">
            <v>SB412F(ISOLATOR 4P 125A)</v>
          </cell>
          <cell r="C1927" t="str">
            <v>HAGER</v>
          </cell>
          <cell r="D1927" t="str">
            <v>HAGER</v>
          </cell>
        </row>
        <row r="1928">
          <cell r="A1928" t="str">
            <v>SB432F (ISOLATOR  4P   32A)</v>
          </cell>
          <cell r="B1928" t="str">
            <v>SB432F(ISOLATOR 4P 32A)</v>
          </cell>
          <cell r="C1928" t="str">
            <v>HAGER</v>
          </cell>
          <cell r="D1928" t="str">
            <v>HAGER</v>
          </cell>
        </row>
        <row r="1929">
          <cell r="A1929" t="str">
            <v>SB440F (ISOLATOR  4P   40A)</v>
          </cell>
          <cell r="B1929" t="str">
            <v>SB440F(ISOLATOR 4P 40A)</v>
          </cell>
          <cell r="C1929" t="str">
            <v>HAGER</v>
          </cell>
          <cell r="D1929" t="str">
            <v>HAGER</v>
          </cell>
        </row>
        <row r="1930">
          <cell r="A1930" t="str">
            <v>SBN440N (ISOLATOR  4P   40A_x000D_
)</v>
          </cell>
          <cell r="B1930" t="str">
            <v>SBN440N(ISOLATOR 4P 40A_x000D_
)</v>
          </cell>
          <cell r="C1930" t="str">
            <v>HAGER</v>
          </cell>
          <cell r="D1930" t="str">
            <v>HAGER</v>
          </cell>
        </row>
        <row r="1931">
          <cell r="A1931" t="str">
            <v>SB463F (ISOLATOR  4P   63A)</v>
          </cell>
          <cell r="B1931" t="str">
            <v>SB463F(ISOLATOR 4P 63A)</v>
          </cell>
          <cell r="C1931" t="str">
            <v>HAGER</v>
          </cell>
          <cell r="D1931" t="str">
            <v>HAGER</v>
          </cell>
        </row>
        <row r="1932">
          <cell r="A1932" t="str">
            <v>SBR463N_x000D_
 (ISOLATOR  4Pole  63A_x000D_
)</v>
          </cell>
          <cell r="B1932" t="str">
            <v>SBR463N_x000D_
(ISOLATOR 4Pole 63A_x000D_
)</v>
          </cell>
          <cell r="C1932" t="str">
            <v>HAGER</v>
          </cell>
          <cell r="D1932" t="str">
            <v>HAGER</v>
          </cell>
        </row>
        <row r="1933">
          <cell r="A1933" t="str">
            <v>L5412 (JUNCTION PIN)</v>
          </cell>
          <cell r="B1933" t="str">
            <v>L5412(JUNCTION PIN)</v>
          </cell>
          <cell r="C1933" t="str">
            <v>HAGER</v>
          </cell>
          <cell r="D1933" t="str">
            <v>HAGER</v>
          </cell>
        </row>
        <row r="1934">
          <cell r="A1934" t="str">
            <v>VZ100i (Key lock + 2 keys)</v>
          </cell>
          <cell r="B1934" t="str">
            <v>VZ100i(Key lock + 2 keys)</v>
          </cell>
          <cell r="C1934" t="str">
            <v>HAGER</v>
          </cell>
          <cell r="D1934" t="str">
            <v>HAGER</v>
          </cell>
        </row>
        <row r="1935">
          <cell r="A1935" t="str">
            <v>VZ794N (Key lock for new Golf VZ / VS)</v>
          </cell>
          <cell r="B1935" t="str">
            <v>VZ794N(Key lock for new Golf VZ / VS)</v>
          </cell>
          <cell r="C1935" t="str">
            <v>HAGER</v>
          </cell>
          <cell r="D1935" t="str">
            <v>HAGER</v>
          </cell>
        </row>
        <row r="1936">
          <cell r="A1936" t="str">
            <v>LS501 (L38 fuse carriers 1P 690V - 32A)</v>
          </cell>
          <cell r="B1936" t="str">
            <v>LS501(L38 fuse carriers 1P 690V - 32A)</v>
          </cell>
          <cell r="C1936" t="str">
            <v>HAGER</v>
          </cell>
          <cell r="D1936" t="str">
            <v>HAGER</v>
          </cell>
        </row>
        <row r="1937">
          <cell r="A1937" t="str">
            <v>LS502 (L38 fuse carriers 2P 690V - 32A)</v>
          </cell>
          <cell r="B1937" t="str">
            <v>LS502(L38 fuse carriers 2P 690V - 32A)</v>
          </cell>
          <cell r="C1937" t="str">
            <v>HAGER</v>
          </cell>
          <cell r="D1937" t="str">
            <v>HAGER</v>
          </cell>
        </row>
        <row r="1938">
          <cell r="A1938" t="str">
            <v>LS601 (L51 fuse carriers 1P 690V - 50A)</v>
          </cell>
          <cell r="B1938" t="str">
            <v>LS601(L51 fuse carriers 1P 690V - 50A)</v>
          </cell>
          <cell r="C1938" t="str">
            <v>HAGER</v>
          </cell>
          <cell r="D1938" t="str">
            <v>HAGER</v>
          </cell>
        </row>
        <row r="1939">
          <cell r="A1939" t="str">
            <v>LS602 (L51 fuse carriers 2P 690V - 50A)</v>
          </cell>
          <cell r="B1939" t="str">
            <v>LS602(L51 fuse carriers 2P 690V - 50A)</v>
          </cell>
          <cell r="C1939" t="str">
            <v>HAGER</v>
          </cell>
          <cell r="D1939" t="str">
            <v>HAGER</v>
          </cell>
        </row>
        <row r="1940">
          <cell r="A1940" t="str">
            <v>EPN515 (Latching relay 1 NO +1 NC 6 A 230 V ac)</v>
          </cell>
          <cell r="B1940" t="str">
            <v>EPN515(Latching relay 1 NO +1 NC 6 A 230 V ac)</v>
          </cell>
          <cell r="C1940" t="str">
            <v>HAGER</v>
          </cell>
          <cell r="D1940" t="str">
            <v>HAGER</v>
          </cell>
        </row>
        <row r="1941">
          <cell r="A1941" t="str">
            <v>EPN510 (Latching relay 1 NO 6 A 230 V ac)</v>
          </cell>
          <cell r="B1941" t="str">
            <v>EPN510(Latching relay 1 NO 6 A 230 V ac)</v>
          </cell>
          <cell r="C1941" t="str">
            <v>HAGER</v>
          </cell>
          <cell r="D1941" t="str">
            <v>HAGER</v>
          </cell>
        </row>
        <row r="1942">
          <cell r="A1942" t="str">
            <v>EPN525 (Latching relay 2 NO + 2 NC 6 A 230 V ac)</v>
          </cell>
          <cell r="B1942" t="str">
            <v>EPN525(Latching relay 2 NO + 2 NC 6 A 230 V ac)</v>
          </cell>
          <cell r="C1942" t="str">
            <v>HAGER</v>
          </cell>
          <cell r="D1942" t="str">
            <v>HAGER</v>
          </cell>
        </row>
        <row r="1943">
          <cell r="A1943" t="str">
            <v>EPN520 (Latching relay 2 NO 6 A 230 V ac)</v>
          </cell>
          <cell r="B1943" t="str">
            <v>EPN520(Latching relay 2 NO 6 A 230 V ac)</v>
          </cell>
          <cell r="C1943" t="str">
            <v>HAGER</v>
          </cell>
          <cell r="D1943" t="str">
            <v>HAGER</v>
          </cell>
        </row>
        <row r="1944">
          <cell r="A1944" t="str">
            <v>EPN540 (Latching relay 4 NO 6 A 230 V ac)</v>
          </cell>
          <cell r="B1944" t="str">
            <v>EPN540(Latching relay 4 NO 6 A 230 V ac)</v>
          </cell>
          <cell r="C1944" t="str">
            <v>HAGER</v>
          </cell>
          <cell r="D1944" t="str">
            <v>HAGER</v>
          </cell>
        </row>
        <row r="1945">
          <cell r="A1945" t="str">
            <v>SK606 (Lockable Rotary switch, 3 mod)</v>
          </cell>
          <cell r="B1945" t="str">
            <v>SK606(Lockable Rotary switch, 3 mod)</v>
          </cell>
          <cell r="C1945" t="str">
            <v>HAGER</v>
          </cell>
          <cell r="D1945" t="str">
            <v>HAGER</v>
          </cell>
        </row>
        <row r="1946">
          <cell r="A1946" t="str">
            <v>NCN100N (MCB  1P  0.5A TYPE C 10kA)</v>
          </cell>
          <cell r="B1946" t="str">
            <v>NCN100N(MCB 1P 0.5A TYPE C 10kA)</v>
          </cell>
          <cell r="C1946" t="str">
            <v>HAGER</v>
          </cell>
          <cell r="D1946" t="str">
            <v>HAGER</v>
          </cell>
        </row>
        <row r="1947">
          <cell r="A1947" t="str">
            <v>NDN100N (MCB  1P  0.5A TYPE D 10kA)</v>
          </cell>
          <cell r="B1947" t="str">
            <v>NDN100N(MCB 1P 0.5A TYPE D 10kA)</v>
          </cell>
          <cell r="C1947" t="str">
            <v>HAGER</v>
          </cell>
          <cell r="D1947" t="str">
            <v>HAGER</v>
          </cell>
        </row>
        <row r="1948">
          <cell r="A1948" t="str">
            <v>HLF190S (MCB 1P 100A C Curve 10kA)</v>
          </cell>
          <cell r="B1948" t="str">
            <v>HLF190S(MCB 1P 100A C Curve 10kA)</v>
          </cell>
          <cell r="C1948" t="str">
            <v>HAGER</v>
          </cell>
          <cell r="D1948" t="str">
            <v>HAGER</v>
          </cell>
        </row>
        <row r="1949">
          <cell r="A1949" t="str">
            <v>HMC190 (MCB 1P 100A C Curve 15kA)</v>
          </cell>
          <cell r="B1949" t="str">
            <v>HMC190(MCB 1P 100A C Curve 15kA)</v>
          </cell>
          <cell r="C1949" t="str">
            <v>HAGER</v>
          </cell>
          <cell r="D1949" t="str">
            <v>HAGER</v>
          </cell>
        </row>
        <row r="1950">
          <cell r="A1950" t="str">
            <v>Y1110 (MCB  1P 10A C Curve 6kA)</v>
          </cell>
          <cell r="B1950" t="str">
            <v>Y1110(MCB 1P 10A C Curve 6kA)</v>
          </cell>
          <cell r="C1950" t="str">
            <v>HAGER</v>
          </cell>
          <cell r="D1950" t="str">
            <v>HAGER</v>
          </cell>
        </row>
        <row r="1951">
          <cell r="A1951" t="str">
            <v>NBN110N (MCB 1P 10A TYPE "B" 10KA)</v>
          </cell>
          <cell r="B1951" t="str">
            <v>NBN110N(MCB 1P 10A TYPE "B" 10KA)</v>
          </cell>
          <cell r="C1951" t="str">
            <v>HAGER</v>
          </cell>
          <cell r="D1951" t="str">
            <v>HAGER</v>
          </cell>
        </row>
        <row r="1952">
          <cell r="A1952" t="str">
            <v>NCN110N (MCB  1P 10A TYPE C  10kA)</v>
          </cell>
          <cell r="B1952" t="str">
            <v>NCN110N(MCB  1P 10A TYPE C  10kA)</v>
          </cell>
          <cell r="C1952" t="str">
            <v>HAGER</v>
          </cell>
          <cell r="D1952" t="str">
            <v>HAGER</v>
          </cell>
        </row>
        <row r="1953">
          <cell r="A1953" t="str">
            <v>NDN110N (MCB  1P 10A TYPE D  10kA)</v>
          </cell>
          <cell r="B1953" t="str">
            <v>NDN110N(MCB 1P 10A TYPE D 10kA)</v>
          </cell>
          <cell r="C1953" t="str">
            <v>HAGER</v>
          </cell>
          <cell r="D1953" t="str">
            <v>HAGER</v>
          </cell>
        </row>
        <row r="1954">
          <cell r="A1954" t="str">
            <v>HLF199S (MCB 1P 125A C Curve 10kA)</v>
          </cell>
          <cell r="B1954" t="str">
            <v>HLF199S(MCB 1P 125A C Curve 10kA)</v>
          </cell>
          <cell r="C1954" t="str">
            <v>HAGER</v>
          </cell>
          <cell r="D1954" t="str">
            <v>HAGER</v>
          </cell>
        </row>
        <row r="1955">
          <cell r="A1955" t="str">
            <v>HMC199 (MCB 1P 125A C Curve 15kA)</v>
          </cell>
          <cell r="B1955" t="str">
            <v>HMC199(MCB 1P 125A C Curve 15kA)</v>
          </cell>
          <cell r="C1955" t="str">
            <v>HAGER</v>
          </cell>
          <cell r="D1955" t="str">
            <v>HAGER</v>
          </cell>
        </row>
        <row r="1956">
          <cell r="A1956" t="str">
            <v>Y1116 (MCB  1P  16A C Curve 6kA)</v>
          </cell>
          <cell r="B1956" t="str">
            <v>Y1116(MCB 1P 16A C Curve 6kA)</v>
          </cell>
          <cell r="C1956" t="str">
            <v>HAGER</v>
          </cell>
          <cell r="D1956" t="str">
            <v>HAGER</v>
          </cell>
        </row>
        <row r="1957">
          <cell r="A1957" t="str">
            <v>NBN116N (MCB 1P 16A TYPE "B" 10KA)</v>
          </cell>
          <cell r="B1957" t="str">
            <v>NBN116N(MCB 1P 16A TYPE "B" 10KA)</v>
          </cell>
          <cell r="C1957" t="str">
            <v>HAGER</v>
          </cell>
          <cell r="D1957" t="str">
            <v>HAGER</v>
          </cell>
        </row>
        <row r="1958">
          <cell r="A1958" t="str">
            <v>NCN116N (MCB  1P  16A TYPE C  10kA)</v>
          </cell>
          <cell r="B1958" t="str">
            <v>NCN116N(MCB  1P  16A TYPE C  10kA)</v>
          </cell>
          <cell r="C1958" t="str">
            <v>HAGER</v>
          </cell>
          <cell r="D1958" t="str">
            <v>HAGER</v>
          </cell>
        </row>
        <row r="1959">
          <cell r="A1959" t="str">
            <v>NDN116N (MCB  1P  16A TYPE D  10kA)</v>
          </cell>
          <cell r="B1959" t="str">
            <v>NDN116N(MCB  1P  16A TYPE D  10kA)</v>
          </cell>
          <cell r="C1959" t="str">
            <v>HAGER</v>
          </cell>
          <cell r="D1959" t="str">
            <v>HAGER</v>
          </cell>
        </row>
        <row r="1960">
          <cell r="A1960" t="str">
            <v>NCN101N (MCB  1P  1A TYPE C  10kA)</v>
          </cell>
          <cell r="B1960" t="str">
            <v>NCN101N(MCB 1P 1A TYPE C 10kA)</v>
          </cell>
          <cell r="C1960" t="str">
            <v>HAGER</v>
          </cell>
          <cell r="D1960" t="str">
            <v>HAGER</v>
          </cell>
        </row>
        <row r="1961">
          <cell r="A1961" t="str">
            <v>NDN101N (MCB  1P  1A TYPE D  10kA)</v>
          </cell>
          <cell r="B1961" t="str">
            <v>NDN101N(MCB 1P 1A TYPE D 10kA)</v>
          </cell>
          <cell r="C1961" t="str">
            <v>HAGER</v>
          </cell>
          <cell r="D1961" t="str">
            <v>HAGER</v>
          </cell>
        </row>
        <row r="1962">
          <cell r="A1962" t="str">
            <v>Y1120 (MCB  1P  20A C Curve 6kA)</v>
          </cell>
          <cell r="B1962" t="str">
            <v>Y1120(MCB 1P 20A C Curve 6kA)</v>
          </cell>
          <cell r="C1962" t="str">
            <v>HAGER</v>
          </cell>
          <cell r="D1962" t="str">
            <v>HAGER</v>
          </cell>
        </row>
        <row r="1963">
          <cell r="A1963" t="str">
            <v>NBN120N (MCB 1P 20A TYPE "B" 10KA)</v>
          </cell>
          <cell r="B1963" t="str">
            <v>NBN120N(MCB 1P 20A TYPE "B" 10KA)</v>
          </cell>
          <cell r="C1963" t="str">
            <v>HAGER</v>
          </cell>
          <cell r="D1963" t="str">
            <v>HAGER</v>
          </cell>
        </row>
        <row r="1964">
          <cell r="A1964" t="str">
            <v>NCN120N (MCB  1P  20A TYPE C  10kA)</v>
          </cell>
          <cell r="B1964" t="str">
            <v>NCN120N(MCB  1P  20A TYPE C  10kA)</v>
          </cell>
          <cell r="C1964" t="str">
            <v>HAGER</v>
          </cell>
          <cell r="D1964" t="str">
            <v>HAGER</v>
          </cell>
        </row>
        <row r="1965">
          <cell r="A1965" t="str">
            <v>NDN120N (MCB  1P  20A TYPE D  10kA)</v>
          </cell>
          <cell r="B1965" t="str">
            <v>NDN120N(MCB 1P 20A TYPE D 10kA)</v>
          </cell>
          <cell r="C1965" t="str">
            <v>HAGER</v>
          </cell>
          <cell r="D1965" t="str">
            <v>HAGER</v>
          </cell>
        </row>
        <row r="1966">
          <cell r="A1966" t="str">
            <v>Y1125 (MCB  1P  25A C Curve 6kA)</v>
          </cell>
          <cell r="B1966" t="str">
            <v>Y1125(MCB 1P 25A C Curve 6kA)</v>
          </cell>
          <cell r="C1966" t="str">
            <v>HAGER</v>
          </cell>
          <cell r="D1966" t="str">
            <v>HAGER</v>
          </cell>
        </row>
        <row r="1967">
          <cell r="A1967" t="str">
            <v>NBN125N (MCB 1P 25A TYPE "B" 10KA)</v>
          </cell>
          <cell r="B1967" t="str">
            <v>NBN125N(MCB 1P 25A TYPE "B" 10KA)</v>
          </cell>
          <cell r="C1967" t="str">
            <v>HAGER</v>
          </cell>
          <cell r="D1967" t="str">
            <v>HAGER</v>
          </cell>
        </row>
        <row r="1968">
          <cell r="A1968" t="str">
            <v>NCN125N (MCB  1P  25A TYPE C  10kA)</v>
          </cell>
          <cell r="B1968" t="str">
            <v>NCN125N(MCB  1P  25A TYPE C  10kA)</v>
          </cell>
          <cell r="C1968" t="str">
            <v>HAGER</v>
          </cell>
          <cell r="D1968" t="str">
            <v>HAGER</v>
          </cell>
        </row>
        <row r="1969">
          <cell r="A1969" t="str">
            <v>NDN125N (MCB  1P  25A TYPE D  10kA)</v>
          </cell>
          <cell r="B1969" t="str">
            <v>NDN125N(MCB 1P 25A TYPE D 10kA)</v>
          </cell>
          <cell r="C1969" t="str">
            <v>HAGER</v>
          </cell>
          <cell r="D1969" t="str">
            <v>HAGER</v>
          </cell>
        </row>
        <row r="1970">
          <cell r="A1970" t="str">
            <v>NCN102N (MCB  1P 2A TYPE C  10kA)</v>
          </cell>
          <cell r="B1970" t="str">
            <v>NCN102N(MCB 1P 2A TYPE C 10kA)</v>
          </cell>
          <cell r="C1970" t="str">
            <v>HAGER</v>
          </cell>
          <cell r="D1970" t="str">
            <v>HAGER</v>
          </cell>
        </row>
        <row r="1971">
          <cell r="A1971" t="str">
            <v>NDN102N (MCB  1P 2A TYPE D  10kA)</v>
          </cell>
          <cell r="B1971" t="str">
            <v>NDN102N(MCB 1P 2A TYPE D 10kA)</v>
          </cell>
          <cell r="C1971" t="str">
            <v>HAGER</v>
          </cell>
          <cell r="D1971" t="str">
            <v>HAGER</v>
          </cell>
        </row>
        <row r="1972">
          <cell r="A1972" t="str">
            <v>Y1132 (MCB  1P  32A C Curve 6kA)</v>
          </cell>
          <cell r="B1972" t="str">
            <v>Y1132(MCB 1P 32A C Curve 6kA)</v>
          </cell>
          <cell r="C1972" t="str">
            <v>HAGER</v>
          </cell>
          <cell r="D1972" t="str">
            <v>HAGER</v>
          </cell>
        </row>
        <row r="1973">
          <cell r="A1973" t="str">
            <v>NBN132N (MCB 1P 32A TYPE "B" 10KA)</v>
          </cell>
          <cell r="B1973" t="str">
            <v>NBN132N(MCB 1P 32A TYPE "B" 10KA)</v>
          </cell>
          <cell r="C1973" t="str">
            <v>HAGER</v>
          </cell>
          <cell r="D1973" t="str">
            <v>HAGER</v>
          </cell>
        </row>
        <row r="1974">
          <cell r="A1974" t="str">
            <v>NCN132N (MCB  1P  32A TYPE C  10kA)</v>
          </cell>
          <cell r="B1974" t="str">
            <v>NCN132N(MCB  1P  32A TYPE C  10kA)</v>
          </cell>
          <cell r="C1974" t="str">
            <v>HAGER</v>
          </cell>
          <cell r="D1974" t="str">
            <v>HAGER</v>
          </cell>
        </row>
        <row r="1975">
          <cell r="A1975" t="str">
            <v>NDN132N (MCB  1P  32A TYPE D  10kA)</v>
          </cell>
          <cell r="B1975" t="str">
            <v>NDN132N(MCB 1P 32A TYPE D 10kA)</v>
          </cell>
          <cell r="C1975" t="str">
            <v>HAGER</v>
          </cell>
          <cell r="D1975" t="str">
            <v>HAGER</v>
          </cell>
        </row>
        <row r="1976">
          <cell r="A1976" t="str">
            <v>NCN103N (MCB  1P  3A TYPE C  10kA)</v>
          </cell>
          <cell r="B1976" t="str">
            <v>NCN103N(MCB 1P 3A TYPE C 10kA)</v>
          </cell>
          <cell r="C1976" t="str">
            <v>HAGER</v>
          </cell>
          <cell r="D1976" t="str">
            <v>HAGER</v>
          </cell>
        </row>
        <row r="1977">
          <cell r="A1977" t="str">
            <v>NDN103N (MCB  1P 3A TYPE D  10kA)</v>
          </cell>
          <cell r="B1977" t="str">
            <v>NDN103N(MCB 1P 3A TYPE D 10kA)</v>
          </cell>
          <cell r="C1977" t="str">
            <v>HAGER</v>
          </cell>
          <cell r="D1977" t="str">
            <v>HAGER</v>
          </cell>
        </row>
        <row r="1978">
          <cell r="A1978" t="str">
            <v>Y1140 (MCB  1P  40A C Curve 6kA)</v>
          </cell>
          <cell r="B1978" t="str">
            <v>Y1140(MCB 1P 40A C Curve 6kA)</v>
          </cell>
          <cell r="C1978" t="str">
            <v>HAGER</v>
          </cell>
          <cell r="D1978" t="str">
            <v>HAGER</v>
          </cell>
        </row>
        <row r="1979">
          <cell r="A1979" t="str">
            <v>NBN140N (MCB 1P 40A TYPE "B" 10KA)</v>
          </cell>
          <cell r="B1979" t="str">
            <v>NBN140N(MCB 1P 40A TYPE "B" 10KA)</v>
          </cell>
          <cell r="C1979" t="str">
            <v>HAGER</v>
          </cell>
          <cell r="D1979" t="str">
            <v>HAGER</v>
          </cell>
        </row>
        <row r="1980">
          <cell r="A1980" t="str">
            <v>NCN140N (MCB  1P 40A TYPE C  10kA)</v>
          </cell>
          <cell r="B1980" t="str">
            <v>NCN140N(MCB 1P 40A TYPE C 10kA)</v>
          </cell>
          <cell r="C1980" t="str">
            <v>HAGER</v>
          </cell>
          <cell r="D1980" t="str">
            <v>HAGER</v>
          </cell>
        </row>
        <row r="1981">
          <cell r="A1981" t="str">
            <v>NDN140N (MCB  1P 40A TYPE D  10kA)</v>
          </cell>
          <cell r="B1981" t="str">
            <v>NDN140N(MCB 1P 40A TYPE D 10kA)</v>
          </cell>
          <cell r="C1981" t="str">
            <v>HAGER</v>
          </cell>
          <cell r="D1981" t="str">
            <v>HAGER</v>
          </cell>
        </row>
        <row r="1982">
          <cell r="A1982" t="str">
            <v>NCN104N (MCB  1P  4A TYPE C 10kA)</v>
          </cell>
          <cell r="B1982" t="str">
            <v>NCN104N(MCB 1P 4A TYPE C 10kA)</v>
          </cell>
          <cell r="C1982" t="str">
            <v>HAGER</v>
          </cell>
          <cell r="D1982" t="str">
            <v>HAGER</v>
          </cell>
        </row>
        <row r="1983">
          <cell r="A1983" t="str">
            <v>NDN104N (MCB  1P  4A TYPE D 10kA)</v>
          </cell>
          <cell r="B1983" t="str">
            <v>NDN104N(MCB 1P 4A TYPE D 10kA)</v>
          </cell>
          <cell r="C1983" t="str">
            <v>HAGER</v>
          </cell>
          <cell r="D1983" t="str">
            <v>HAGER</v>
          </cell>
        </row>
        <row r="1984">
          <cell r="A1984" t="str">
            <v>Y1150 (MCB  1P  50A C Curve 6kA)</v>
          </cell>
          <cell r="B1984" t="str">
            <v>Y1150(MCB 1P 50A C Curve 6kA)</v>
          </cell>
          <cell r="C1984" t="str">
            <v>HAGER</v>
          </cell>
          <cell r="D1984" t="str">
            <v>HAGER</v>
          </cell>
        </row>
        <row r="1985">
          <cell r="A1985" t="str">
            <v>NBN150N (MCB 1P 50A TYPE "B" 10KA)</v>
          </cell>
          <cell r="B1985" t="str">
            <v>NBN150N(MCB 1P 50A TYPE "B" 10KA)</v>
          </cell>
          <cell r="C1985" t="str">
            <v>HAGER</v>
          </cell>
          <cell r="D1985" t="str">
            <v>HAGER</v>
          </cell>
        </row>
        <row r="1986">
          <cell r="A1986" t="str">
            <v>NCN150N (MCB  1P  50A TYPE C  10kA)</v>
          </cell>
          <cell r="B1986" t="str">
            <v>NCN150N(MCB 1P 50A TYPE C 10kA)</v>
          </cell>
          <cell r="C1986" t="str">
            <v>HAGER</v>
          </cell>
          <cell r="D1986" t="str">
            <v>HAGER</v>
          </cell>
        </row>
        <row r="1987">
          <cell r="A1987" t="str">
            <v>NDN150N (MCB  1P 50A TYPE D  10kA)</v>
          </cell>
          <cell r="B1987" t="str">
            <v>NDN150N(MCB 1P 50A TYPE D 10kA)</v>
          </cell>
          <cell r="C1987" t="str">
            <v>HAGER</v>
          </cell>
          <cell r="D1987" t="str">
            <v>HAGER</v>
          </cell>
        </row>
        <row r="1988">
          <cell r="A1988" t="str">
            <v>Y1163 (MCB  1P  63A C Curve 6kA)</v>
          </cell>
          <cell r="B1988" t="str">
            <v>Y1163(MCB 1P 63A C Curve 6kA)</v>
          </cell>
          <cell r="C1988" t="str">
            <v>HAGER</v>
          </cell>
          <cell r="D1988" t="str">
            <v>HAGER</v>
          </cell>
        </row>
        <row r="1989">
          <cell r="A1989" t="str">
            <v>NBN163N (MCB 1P 63A TYPE "B" 10KA)</v>
          </cell>
          <cell r="B1989" t="str">
            <v>NBN163N(MCB 1P 63A TYPE "B" 10KA)</v>
          </cell>
          <cell r="C1989" t="str">
            <v>HAGER</v>
          </cell>
          <cell r="D1989" t="str">
            <v>HAGER</v>
          </cell>
        </row>
        <row r="1990">
          <cell r="A1990" t="str">
            <v>NCN163N (MCB  1P  63A TYPE C  10kA)</v>
          </cell>
          <cell r="B1990" t="str">
            <v>NCN163N(MCB 1P 63A TYPE C 10kA)</v>
          </cell>
          <cell r="C1990" t="str">
            <v>HAGER</v>
          </cell>
          <cell r="D1990" t="str">
            <v>HAGER</v>
          </cell>
        </row>
        <row r="1991">
          <cell r="A1991" t="str">
            <v>NDN163N (MCB  1P 63A TYPE D  10kA)</v>
          </cell>
          <cell r="B1991" t="str">
            <v>NDN163N(MCB 1P 63A TYPE D 10kA)</v>
          </cell>
          <cell r="C1991" t="str">
            <v>HAGER</v>
          </cell>
          <cell r="D1991" t="str">
            <v>HAGER</v>
          </cell>
        </row>
        <row r="1992">
          <cell r="A1992" t="str">
            <v>Y1106 (MCB  1P  6A C Curve 6kA)</v>
          </cell>
          <cell r="B1992" t="str">
            <v>Y1106(MCB  1P  6A C Curve 6kA)</v>
          </cell>
          <cell r="C1992" t="str">
            <v>HAGER</v>
          </cell>
          <cell r="D1992" t="str">
            <v>HAGER</v>
          </cell>
        </row>
        <row r="1993">
          <cell r="A1993" t="str">
            <v>Y1106 (Old) (MCB  1P  6A C Curve 6kA (Old))</v>
          </cell>
          <cell r="B1993" t="str">
            <v>Y1106(Old) (MCB 1P 6A C Curve 6kA (Old))</v>
          </cell>
          <cell r="C1993" t="str">
            <v>HAGER</v>
          </cell>
          <cell r="D1993" t="str">
            <v>HAGER</v>
          </cell>
        </row>
        <row r="1994">
          <cell r="A1994" t="str">
            <v>NBN106N (MCB 1P 6A TYPE "B" 10KA)</v>
          </cell>
          <cell r="B1994" t="str">
            <v>NBN106N(MCB 1P 6A TYPE "B" 10KA)</v>
          </cell>
          <cell r="C1994" t="str">
            <v>HAGER</v>
          </cell>
          <cell r="D1994" t="str">
            <v>HAGER</v>
          </cell>
        </row>
        <row r="1995">
          <cell r="A1995" t="str">
            <v>NCN106N (MCB  1P  6A TYPE C 10kA)</v>
          </cell>
          <cell r="B1995" t="str">
            <v>NCN106N(MCB 1P 6A TYPE C 10kA)</v>
          </cell>
          <cell r="C1995" t="str">
            <v>HAGER</v>
          </cell>
          <cell r="D1995" t="str">
            <v>HAGER</v>
          </cell>
        </row>
        <row r="1996">
          <cell r="A1996" t="str">
            <v>NDN106N (MCB  1P  6A TYPE D 10kA)</v>
          </cell>
          <cell r="B1996" t="str">
            <v>NDN106N(MCB 1P 6A TYPE D 10kA)</v>
          </cell>
          <cell r="C1996" t="str">
            <v>HAGER</v>
          </cell>
          <cell r="D1996" t="str">
            <v>HAGER</v>
          </cell>
        </row>
        <row r="1997">
          <cell r="A1997" t="str">
            <v>HLF180S (MCB 1P 80A C Curve 10kA)</v>
          </cell>
          <cell r="B1997" t="str">
            <v>HLF180S(MCB 1P 80A C Curve 10kA)</v>
          </cell>
          <cell r="C1997" t="str">
            <v>HAGER</v>
          </cell>
          <cell r="D1997" t="str">
            <v>HAGER</v>
          </cell>
        </row>
        <row r="1998">
          <cell r="A1998" t="str">
            <v>HMC180 (MCB 1P 80A C Curve 15kA)</v>
          </cell>
          <cell r="B1998" t="str">
            <v>HMC180(MCB 1P 80A C Curve 15kA)</v>
          </cell>
          <cell r="C1998" t="str">
            <v>HAGER</v>
          </cell>
          <cell r="D1998" t="str">
            <v>HAGER</v>
          </cell>
        </row>
        <row r="1999">
          <cell r="A1999" t="str">
            <v>NCN200N (MCB  2P  0.5A TYPE C  10kA)</v>
          </cell>
          <cell r="B1999" t="str">
            <v>NCN200N(MCB 2P 0.5A TYPE C 10kA)</v>
          </cell>
          <cell r="C1999" t="str">
            <v>HAGER</v>
          </cell>
          <cell r="D1999" t="str">
            <v>HAGER</v>
          </cell>
        </row>
        <row r="2000">
          <cell r="A2000" t="str">
            <v>HLF290S (MCB 2P 100A C Curve 10kA)</v>
          </cell>
          <cell r="B2000" t="str">
            <v>HLF290S(MCB 2P 100A C Curve 10kA)</v>
          </cell>
          <cell r="C2000" t="str">
            <v>HAGER</v>
          </cell>
          <cell r="D2000" t="str">
            <v>HAGER</v>
          </cell>
        </row>
        <row r="2001">
          <cell r="A2001" t="str">
            <v>HMC290 (MCB 2P 100A C Curve 15kA)</v>
          </cell>
          <cell r="B2001" t="str">
            <v>HMC290(MCB 2P 100A C Curve 15kA)</v>
          </cell>
          <cell r="C2001" t="str">
            <v>HAGER</v>
          </cell>
          <cell r="D2001" t="str">
            <v>HAGER</v>
          </cell>
        </row>
        <row r="2002">
          <cell r="A2002" t="str">
            <v>Y1210 (MCB  2P 10A C Curve  6kA)</v>
          </cell>
          <cell r="B2002" t="str">
            <v>Y1210(MCB 2P 10A C Curve 6kA)</v>
          </cell>
          <cell r="C2002" t="str">
            <v>HAGER</v>
          </cell>
          <cell r="D2002" t="str">
            <v>HAGER</v>
          </cell>
        </row>
        <row r="2003">
          <cell r="A2003" t="str">
            <v>NBN210N (MCB 2P 10A TYPE "B" 10KA)</v>
          </cell>
          <cell r="B2003" t="str">
            <v>NBN210N(MCB 2P 10A TYPE "B" 10KA)</v>
          </cell>
          <cell r="C2003" t="str">
            <v>HAGER</v>
          </cell>
          <cell r="D2003" t="str">
            <v>HAGER</v>
          </cell>
        </row>
        <row r="2004">
          <cell r="A2004" t="str">
            <v>NCN210N (MCB  2P 10A TYPE C  10kA)</v>
          </cell>
          <cell r="B2004" t="str">
            <v>NCN210N(MCB  2P 10A TYPE C  10kA)</v>
          </cell>
          <cell r="C2004" t="str">
            <v>HAGER</v>
          </cell>
          <cell r="D2004" t="str">
            <v>HAGER</v>
          </cell>
        </row>
        <row r="2005">
          <cell r="A2005" t="str">
            <v>NDN210N (MCB  2P 10A TYPE D  10kA)</v>
          </cell>
          <cell r="B2005" t="str">
            <v>NDN210N(MCB 2P 10A TYPE D 10kA)</v>
          </cell>
          <cell r="C2005" t="str">
            <v>HAGER</v>
          </cell>
          <cell r="D2005" t="str">
            <v>HAGER</v>
          </cell>
        </row>
        <row r="2006">
          <cell r="A2006" t="str">
            <v>HLF299S (MCB 2P 125A C Curve 10kA)</v>
          </cell>
          <cell r="B2006" t="str">
            <v>HLF299S(MCB 2P 125A C Curve 10kA)</v>
          </cell>
          <cell r="C2006" t="str">
            <v>HAGER</v>
          </cell>
          <cell r="D2006" t="str">
            <v>HAGER</v>
          </cell>
        </row>
        <row r="2007">
          <cell r="A2007" t="str">
            <v>HMC299 (MCB 2P 125A C Curve 15kA)</v>
          </cell>
          <cell r="B2007" t="str">
            <v>HMC299(MCB 2P 125A C Curve 15kA)</v>
          </cell>
          <cell r="C2007" t="str">
            <v>HAGER</v>
          </cell>
          <cell r="D2007" t="str">
            <v>HAGER</v>
          </cell>
        </row>
        <row r="2008">
          <cell r="A2008" t="str">
            <v>Y1216 (MCB  2P 16A C Curve  6kA)</v>
          </cell>
          <cell r="B2008" t="str">
            <v>Y1216(MCB 2P 16A C Curve 6kA)</v>
          </cell>
          <cell r="C2008" t="str">
            <v>HAGER</v>
          </cell>
          <cell r="D2008" t="str">
            <v>HAGER</v>
          </cell>
        </row>
        <row r="2009">
          <cell r="A2009" t="str">
            <v>NBN216N (MCB 2P 16A TYPE "B" 10KA)</v>
          </cell>
          <cell r="B2009" t="str">
            <v>NBN216N(MCB 2P 16A TYPE "B" 10KA)</v>
          </cell>
          <cell r="C2009" t="str">
            <v>HAGER</v>
          </cell>
          <cell r="D2009" t="str">
            <v>HAGER</v>
          </cell>
        </row>
        <row r="2010">
          <cell r="A2010" t="str">
            <v>NCN216N (MCB  2P 16A TYPE C  10kA)</v>
          </cell>
          <cell r="B2010" t="str">
            <v>NCN216N(MCB  2P 16A TYPE C  10kA)</v>
          </cell>
          <cell r="C2010" t="str">
            <v>HAGER</v>
          </cell>
          <cell r="D2010" t="str">
            <v>HAGER</v>
          </cell>
        </row>
        <row r="2011">
          <cell r="A2011" t="str">
            <v>NDN216N (MCB  2P  16A TYPE D  10kA)</v>
          </cell>
          <cell r="B2011" t="str">
            <v>NDN216N(MCB 2P 16A TYPE D 10kA)</v>
          </cell>
          <cell r="C2011" t="str">
            <v>HAGER</v>
          </cell>
          <cell r="D2011" t="str">
            <v>HAGER</v>
          </cell>
        </row>
        <row r="2012">
          <cell r="A2012" t="str">
            <v>NCN201N (MCB  2P 1A TYPE C  10kA)</v>
          </cell>
          <cell r="B2012" t="str">
            <v>NCN201N(MCB 2P 1A TYPE C 10kA)</v>
          </cell>
          <cell r="C2012" t="str">
            <v>HAGER</v>
          </cell>
          <cell r="D2012" t="str">
            <v>HAGER</v>
          </cell>
        </row>
        <row r="2013">
          <cell r="A2013" t="str">
            <v>NDN201N (MCB  2P 1A TYPE D  10kA)</v>
          </cell>
          <cell r="B2013" t="str">
            <v>NDN201N(MCB 2P 1A TYPE D 10kA)</v>
          </cell>
          <cell r="C2013" t="str">
            <v>HAGER</v>
          </cell>
          <cell r="D2013" t="str">
            <v>HAGER</v>
          </cell>
        </row>
        <row r="2014">
          <cell r="A2014" t="str">
            <v>Y1220 (MCB  2P 20A C Curve  6kA)</v>
          </cell>
          <cell r="B2014" t="str">
            <v>Y1220(MCB 2P 20A C Curve 6kA)</v>
          </cell>
          <cell r="C2014" t="str">
            <v>HAGER</v>
          </cell>
          <cell r="D2014" t="str">
            <v>HAGER</v>
          </cell>
        </row>
        <row r="2015">
          <cell r="A2015" t="str">
            <v>NBN220N (MCB 2P 20A TYPE "B" 10KA)</v>
          </cell>
          <cell r="B2015" t="str">
            <v>NBN220N(MCB 2P 20A TYPE "B" 10KA)</v>
          </cell>
          <cell r="C2015" t="str">
            <v>HAGER</v>
          </cell>
          <cell r="D2015" t="str">
            <v>HAGER</v>
          </cell>
        </row>
        <row r="2016">
          <cell r="A2016" t="str">
            <v>NCN220N (MCB  2P 20A TYPE C  10kA)</v>
          </cell>
          <cell r="B2016" t="str">
            <v>NCN220N(MCB  2P 20A TYPE C  10kA)</v>
          </cell>
          <cell r="C2016" t="str">
            <v>HAGER</v>
          </cell>
          <cell r="D2016" t="str">
            <v>HAGER</v>
          </cell>
        </row>
        <row r="2017">
          <cell r="A2017" t="str">
            <v>NDN220N (MCB  2P  20A TYPE D  10kA)</v>
          </cell>
          <cell r="B2017" t="str">
            <v>NDN220N(MCB 2P 20A TYPE D 10kA)</v>
          </cell>
          <cell r="C2017" t="str">
            <v>HAGER</v>
          </cell>
          <cell r="D2017" t="str">
            <v>HAGER</v>
          </cell>
        </row>
        <row r="2018">
          <cell r="A2018" t="str">
            <v>Y1225 (MCB  2P 25A C Curve  6kA)</v>
          </cell>
          <cell r="B2018" t="str">
            <v>Y1225(MCB 2P 25A C Curve 6kA)</v>
          </cell>
          <cell r="C2018" t="str">
            <v>HAGER</v>
          </cell>
          <cell r="D2018" t="str">
            <v>HAGER</v>
          </cell>
        </row>
        <row r="2019">
          <cell r="A2019" t="str">
            <v>NBN225N (MCB 2P 25A TYPE "B" 10KA)</v>
          </cell>
          <cell r="B2019" t="str">
            <v>NBN225N(MCB 2P 25A TYPE "B" 10KA)</v>
          </cell>
          <cell r="C2019" t="str">
            <v>HAGER</v>
          </cell>
          <cell r="D2019" t="str">
            <v>HAGER</v>
          </cell>
        </row>
        <row r="2020">
          <cell r="A2020" t="str">
            <v>NCN225N (MCB  2P 25A TYPE C  10kA)</v>
          </cell>
          <cell r="B2020" t="str">
            <v>NCN225N(MCB  2P 25A TYPE C  10kA)</v>
          </cell>
          <cell r="C2020" t="str">
            <v>HAGER</v>
          </cell>
          <cell r="D2020" t="str">
            <v>HAGER</v>
          </cell>
        </row>
        <row r="2021">
          <cell r="A2021" t="str">
            <v>NDN225N (MCB  2P  25A TYPE D  10kA)</v>
          </cell>
          <cell r="B2021" t="str">
            <v>NDN225N(MCB 2P 25A TYPE D 10kA)</v>
          </cell>
          <cell r="C2021" t="str">
            <v>HAGER</v>
          </cell>
          <cell r="D2021" t="str">
            <v>HAGER</v>
          </cell>
        </row>
        <row r="2022">
          <cell r="A2022" t="str">
            <v>NCN202N (MCB  2P 2A TYPE C  10kA)</v>
          </cell>
          <cell r="B2022" t="str">
            <v>NCN202N(MCB 2P 2A TYPE C 10kA)</v>
          </cell>
          <cell r="C2022" t="str">
            <v>HAGER</v>
          </cell>
          <cell r="D2022" t="str">
            <v>HAGER</v>
          </cell>
        </row>
        <row r="2023">
          <cell r="A2023" t="str">
            <v>NDN202N (MCB  2P 2A TYPE D  10kA)</v>
          </cell>
          <cell r="B2023" t="str">
            <v>NDN202N(MCB 2P 2A TYPE D 10kA)</v>
          </cell>
          <cell r="C2023" t="str">
            <v>HAGER</v>
          </cell>
          <cell r="D2023" t="str">
            <v>HAGER</v>
          </cell>
        </row>
        <row r="2024">
          <cell r="A2024" t="str">
            <v>Y1232 (MCB  2P 32A C Curve  6kA)</v>
          </cell>
          <cell r="B2024" t="str">
            <v>Y1232(MCB 2P 32A C Curve 6kA)</v>
          </cell>
          <cell r="C2024" t="str">
            <v>HAGER</v>
          </cell>
          <cell r="D2024" t="str">
            <v>HAGER</v>
          </cell>
        </row>
        <row r="2025">
          <cell r="A2025" t="str">
            <v>NBN232N (MCB 2P 32A TYPE "B" 10KA)</v>
          </cell>
          <cell r="B2025" t="str">
            <v>NBN232N(MCB 2P 32A TYPE "B" 10KA)</v>
          </cell>
          <cell r="C2025" t="str">
            <v>HAGER</v>
          </cell>
          <cell r="D2025" t="str">
            <v>HAGER</v>
          </cell>
        </row>
        <row r="2026">
          <cell r="A2026" t="str">
            <v>NCN232N (MCB  2P 32A TYPE C  10kA)</v>
          </cell>
          <cell r="B2026" t="str">
            <v>NCN232N(MCB  2P 32A TYPE C  10kA)</v>
          </cell>
          <cell r="C2026" t="str">
            <v>HAGER</v>
          </cell>
          <cell r="D2026" t="str">
            <v>HAGER</v>
          </cell>
        </row>
        <row r="2027">
          <cell r="A2027" t="str">
            <v>NDN232N (MCB  2P  32A TYPE D  10kA)</v>
          </cell>
          <cell r="B2027" t="str">
            <v>NDN232N(MCB 2P 32A TYPE D 10kA)</v>
          </cell>
          <cell r="C2027" t="str">
            <v>HAGER</v>
          </cell>
          <cell r="D2027" t="str">
            <v>HAGER</v>
          </cell>
        </row>
        <row r="2028">
          <cell r="A2028" t="str">
            <v>NCN203N (MCB  2P 3A TYPE C  10kA)</v>
          </cell>
          <cell r="B2028" t="str">
            <v>NCN203N(MCB 2P 3A TYPE C 10kA)</v>
          </cell>
          <cell r="C2028" t="str">
            <v>HAGER</v>
          </cell>
          <cell r="D2028" t="str">
            <v>HAGER</v>
          </cell>
        </row>
        <row r="2029">
          <cell r="A2029" t="str">
            <v>NDN203N (MCB  2P  3A TYPE D  10kA)</v>
          </cell>
          <cell r="B2029" t="str">
            <v>NDN203N(MCB 2P 3A TYPE D 10kA)</v>
          </cell>
          <cell r="C2029" t="str">
            <v>HAGER</v>
          </cell>
          <cell r="D2029" t="str">
            <v>HAGER</v>
          </cell>
        </row>
        <row r="2030">
          <cell r="A2030" t="str">
            <v>Y1240 (MCB  2P 40A C Curve 6kA)</v>
          </cell>
          <cell r="B2030" t="str">
            <v>Y1240(MCB 2P 40A C Curve 6kA)</v>
          </cell>
          <cell r="C2030" t="str">
            <v>HAGER</v>
          </cell>
          <cell r="D2030" t="str">
            <v>HAGER</v>
          </cell>
        </row>
        <row r="2031">
          <cell r="A2031" t="str">
            <v>NBN240N (MCB 2P 40A TYPE "B" 10KA)</v>
          </cell>
          <cell r="B2031" t="str">
            <v>NBN240N(MCB 2P 40A TYPE "B" 10KA)</v>
          </cell>
          <cell r="C2031" t="str">
            <v>HAGER</v>
          </cell>
          <cell r="D2031" t="str">
            <v>HAGER</v>
          </cell>
        </row>
        <row r="2032">
          <cell r="A2032" t="str">
            <v>NCN240N (MCB  2P 40A TYPE C 10kA)</v>
          </cell>
          <cell r="B2032" t="str">
            <v>NCN240N(MCB 2P 40A TYPE C 10kA)</v>
          </cell>
          <cell r="C2032" t="str">
            <v>HAGER</v>
          </cell>
          <cell r="D2032" t="str">
            <v>HAGER</v>
          </cell>
        </row>
        <row r="2033">
          <cell r="A2033" t="str">
            <v>NDN240N (MCB  2P 40A TYPE D  10kA)</v>
          </cell>
          <cell r="B2033" t="str">
            <v>NDN240N(MCB 2P 40A TYPE D 10kA)</v>
          </cell>
          <cell r="C2033" t="str">
            <v>HAGER</v>
          </cell>
          <cell r="D2033" t="str">
            <v>HAGER</v>
          </cell>
        </row>
        <row r="2034">
          <cell r="A2034" t="str">
            <v>NCN204N (MCB  2P 4A TYPE C 10kA)</v>
          </cell>
          <cell r="B2034" t="str">
            <v>NCN204N(MCB 2P 4A TYPE C 10kA)</v>
          </cell>
          <cell r="C2034" t="str">
            <v>HAGER</v>
          </cell>
          <cell r="D2034" t="str">
            <v>HAGER</v>
          </cell>
        </row>
        <row r="2035">
          <cell r="A2035" t="str">
            <v>NDN204N (MCB  2P  4A TYPE D 10kA)</v>
          </cell>
          <cell r="B2035" t="str">
            <v>NDN204N(MCB 2P 4A TYPE D 10kA)</v>
          </cell>
          <cell r="C2035" t="str">
            <v>HAGER</v>
          </cell>
          <cell r="D2035" t="str">
            <v>HAGER</v>
          </cell>
        </row>
        <row r="2036">
          <cell r="A2036" t="str">
            <v>Y1250 (MCB  2P 50A C Curve  6kA)</v>
          </cell>
          <cell r="B2036" t="str">
            <v>Y1250(MCB 2P 50A C Curve 6kA)</v>
          </cell>
          <cell r="C2036" t="str">
            <v>HAGER</v>
          </cell>
          <cell r="D2036" t="str">
            <v>HAGER</v>
          </cell>
        </row>
        <row r="2037">
          <cell r="A2037" t="str">
            <v>NBN250N (MCB 2P 50A TYPE "B" 10KA)</v>
          </cell>
          <cell r="B2037" t="str">
            <v>NBN250N(MCB 2P 50A TYPE "B" 10KA)</v>
          </cell>
          <cell r="C2037" t="str">
            <v>HAGER</v>
          </cell>
          <cell r="D2037" t="str">
            <v>HAGER</v>
          </cell>
        </row>
        <row r="2038">
          <cell r="A2038" t="str">
            <v>NCN250N (MCB  2P 50A TYPE C  10kA)</v>
          </cell>
          <cell r="B2038" t="str">
            <v>NCN250N(MCB 2P 50A TYPE C 10kA)</v>
          </cell>
          <cell r="C2038" t="str">
            <v>HAGER</v>
          </cell>
          <cell r="D2038" t="str">
            <v>HAGER</v>
          </cell>
        </row>
        <row r="2039">
          <cell r="A2039" t="str">
            <v>NDN250N (MCB  2P  50A TYPE D  10kA)</v>
          </cell>
          <cell r="B2039" t="str">
            <v>NDN250N(MCB 2P 50A TYPE D 10kA)</v>
          </cell>
          <cell r="C2039" t="str">
            <v>HAGER</v>
          </cell>
          <cell r="D2039" t="str">
            <v>HAGER</v>
          </cell>
        </row>
        <row r="2040">
          <cell r="A2040" t="str">
            <v>NDN200N (MCB  2P .5A TYPE D  10kA)</v>
          </cell>
          <cell r="B2040" t="str">
            <v>NDN200N(MCB 2P .5A TYPE D 10kA)</v>
          </cell>
          <cell r="C2040" t="str">
            <v>HAGER</v>
          </cell>
          <cell r="D2040" t="str">
            <v>HAGER</v>
          </cell>
        </row>
        <row r="2041">
          <cell r="A2041" t="str">
            <v>Y1263 (MCB  2P 63A C Curve  6kA)</v>
          </cell>
          <cell r="B2041" t="str">
            <v>Y1263(MCB 2P 63A C Curve 6kA)</v>
          </cell>
          <cell r="C2041" t="str">
            <v>HAGER</v>
          </cell>
          <cell r="D2041" t="str">
            <v>HAGER</v>
          </cell>
        </row>
        <row r="2042">
          <cell r="A2042" t="str">
            <v>NBN263N (MCB 2P 63A TYPE "B" 10KA)</v>
          </cell>
          <cell r="B2042" t="str">
            <v>NBN263N(MCB 2P 63A TYPE "B" 10KA)</v>
          </cell>
          <cell r="C2042" t="str">
            <v>HAGER</v>
          </cell>
          <cell r="D2042" t="str">
            <v>HAGER</v>
          </cell>
        </row>
        <row r="2043">
          <cell r="A2043" t="str">
            <v>NCN263N (MCB  2P 63A TYPE C  10kA)</v>
          </cell>
          <cell r="B2043" t="str">
            <v>NCN263N(MCB  2P 63A TYPE C  10kA)</v>
          </cell>
          <cell r="C2043" t="str">
            <v>HAGER</v>
          </cell>
          <cell r="D2043" t="str">
            <v>HAGER</v>
          </cell>
        </row>
        <row r="2044">
          <cell r="A2044" t="str">
            <v>NDN263N (MCB  2P  63A TYPE D  10kA)</v>
          </cell>
          <cell r="B2044" t="str">
            <v>NDN263N(MCB  2P  63A TYPE D  10kA)</v>
          </cell>
          <cell r="C2044" t="str">
            <v>HAGER</v>
          </cell>
          <cell r="D2044" t="str">
            <v>HAGER</v>
          </cell>
        </row>
        <row r="2045">
          <cell r="A2045" t="str">
            <v>Y1206 (MCB  2P 6A C Curve  6kA)</v>
          </cell>
          <cell r="B2045" t="str">
            <v>Y1206(MCB 2P 6A C Curve 6kA)</v>
          </cell>
          <cell r="C2045" t="str">
            <v>HAGER</v>
          </cell>
          <cell r="D2045" t="str">
            <v>HAGER</v>
          </cell>
        </row>
        <row r="2046">
          <cell r="A2046" t="str">
            <v>NBN206N (MCB 2P 6A TYPE "B" 10KA)</v>
          </cell>
          <cell r="B2046" t="str">
            <v>NBN206N(MCB 2P 6A TYPE "B" 10KA)</v>
          </cell>
          <cell r="C2046" t="str">
            <v>HAGER</v>
          </cell>
          <cell r="D2046" t="str">
            <v>HAGER</v>
          </cell>
        </row>
        <row r="2047">
          <cell r="A2047" t="str">
            <v>NCN206N (MCB  2P 6A TYPE C  10kA)</v>
          </cell>
          <cell r="B2047" t="str">
            <v>NCN206N(MCB 2P 6A TYPE C 10kA)</v>
          </cell>
          <cell r="C2047" t="str">
            <v>HAGER</v>
          </cell>
          <cell r="D2047" t="str">
            <v>HAGER</v>
          </cell>
        </row>
        <row r="2048">
          <cell r="A2048" t="str">
            <v>NDN206N (MCB  2P  6A TYPE D 10kA)</v>
          </cell>
          <cell r="B2048" t="str">
            <v>NDN206N(MCB 2P 6A TYPE D 10kA)</v>
          </cell>
          <cell r="C2048" t="str">
            <v>HAGER</v>
          </cell>
          <cell r="D2048" t="str">
            <v>HAGER</v>
          </cell>
        </row>
        <row r="2049">
          <cell r="A2049" t="str">
            <v>HLF280S (MCB 2P 80A C Curve 10kA)</v>
          </cell>
          <cell r="B2049" t="str">
            <v>HLF280S(MCB 2P 80A C Curve 10kA)</v>
          </cell>
          <cell r="C2049" t="str">
            <v>HAGER</v>
          </cell>
          <cell r="D2049" t="str">
            <v>HAGER</v>
          </cell>
        </row>
        <row r="2050">
          <cell r="A2050" t="str">
            <v>HMC280 (MCB 2P 80A C Curve 15kA)</v>
          </cell>
          <cell r="B2050" t="str">
            <v>HMC280(MCB 2P 80A C Curve 15kA)</v>
          </cell>
          <cell r="C2050" t="str">
            <v>HAGER</v>
          </cell>
          <cell r="D2050" t="str">
            <v>HAGER</v>
          </cell>
        </row>
        <row r="2051">
          <cell r="A2051" t="str">
            <v>NCN300N (MCB  3P 0.5A TYPE C 10kA)</v>
          </cell>
          <cell r="B2051" t="str">
            <v>NCN300N(MCB 3P 0.5A TYPE C 10kA)</v>
          </cell>
          <cell r="C2051" t="str">
            <v>HAGER</v>
          </cell>
          <cell r="D2051" t="str">
            <v>HAGER</v>
          </cell>
        </row>
        <row r="2052">
          <cell r="A2052" t="str">
            <v>HLF390S (MCB 3P 100A C Curve 10kA)</v>
          </cell>
          <cell r="B2052" t="str">
            <v>HLF390S(MCB 3P 100A C Curve 10kA)</v>
          </cell>
          <cell r="C2052" t="str">
            <v>HAGER</v>
          </cell>
          <cell r="D2052" t="str">
            <v>HAGER</v>
          </cell>
        </row>
        <row r="2053">
          <cell r="A2053" t="str">
            <v>HMC390 (MCB 3P 100A C Curve 15kA)</v>
          </cell>
          <cell r="B2053" t="str">
            <v>HMC390(MCB 3P 100A C Curve 15kA)</v>
          </cell>
          <cell r="C2053" t="str">
            <v>HAGER</v>
          </cell>
          <cell r="D2053" t="str">
            <v>HAGER</v>
          </cell>
        </row>
        <row r="2054">
          <cell r="A2054" t="str">
            <v>Y1310 (MCB  3P 10A C Curve  6kA)</v>
          </cell>
          <cell r="B2054" t="str">
            <v>Y1310(MCB 3P 10A C Curve 6kA)</v>
          </cell>
          <cell r="C2054" t="str">
            <v>HAGER</v>
          </cell>
          <cell r="D2054" t="str">
            <v>HAGER</v>
          </cell>
        </row>
        <row r="2055">
          <cell r="A2055" t="str">
            <v>NBN310N (MCB 3P 10A TYPE "B" 10KA)</v>
          </cell>
          <cell r="B2055" t="str">
            <v>NBN310N(MCB 3P 10A TYPE "B" 10KA)</v>
          </cell>
          <cell r="C2055" t="str">
            <v>HAGER</v>
          </cell>
          <cell r="D2055" t="str">
            <v>HAGER</v>
          </cell>
        </row>
        <row r="2056">
          <cell r="A2056" t="str">
            <v>NCN310N (MCB  3P 10A TYPE C  10kA)</v>
          </cell>
          <cell r="B2056" t="str">
            <v>NCN310N(MCB 3P 10A TYPE C 10kA)</v>
          </cell>
          <cell r="C2056" t="str">
            <v>HAGER</v>
          </cell>
          <cell r="D2056" t="str">
            <v>HAGER</v>
          </cell>
        </row>
        <row r="2057">
          <cell r="A2057" t="str">
            <v>NDN310N (MCB  3P 10A TYPE D  10kA)</v>
          </cell>
          <cell r="B2057" t="str">
            <v>NDN310N(MCB 3P 10A TYPE D 10kA)</v>
          </cell>
          <cell r="C2057" t="str">
            <v>HAGER</v>
          </cell>
          <cell r="D2057" t="str">
            <v>HAGER</v>
          </cell>
        </row>
        <row r="2058">
          <cell r="A2058" t="str">
            <v>HLF399S (MCB 3P 125A C Curve 10kA)</v>
          </cell>
          <cell r="B2058" t="str">
            <v>HLF399S(MCB 3P 125A C Curve 10kA)</v>
          </cell>
          <cell r="C2058" t="str">
            <v>HAGER</v>
          </cell>
          <cell r="D2058" t="str">
            <v>HAGER</v>
          </cell>
        </row>
        <row r="2059">
          <cell r="A2059" t="str">
            <v>HMC399 (MCB 3P 125A C Curve 15kA)</v>
          </cell>
          <cell r="B2059" t="str">
            <v>HMC399(MCB 3P 125A C Curve 15kA)</v>
          </cell>
          <cell r="C2059" t="str">
            <v>HAGER</v>
          </cell>
          <cell r="D2059" t="str">
            <v>HAGER</v>
          </cell>
        </row>
        <row r="2060">
          <cell r="A2060" t="str">
            <v>Y1316 (MCB  3P 16A C Curve  6kA)</v>
          </cell>
          <cell r="B2060" t="str">
            <v>Y1316(MCB 3P 16A C Curve 6kA)</v>
          </cell>
          <cell r="C2060" t="str">
            <v>HAGER</v>
          </cell>
          <cell r="D2060" t="str">
            <v>HAGER</v>
          </cell>
        </row>
        <row r="2061">
          <cell r="A2061" t="str">
            <v>NBN316N (MCB 3P 16A TYPE "B" 10KA)</v>
          </cell>
          <cell r="B2061" t="str">
            <v>NBN316N(MCB 3P 16A TYPE "B" 10KA)</v>
          </cell>
          <cell r="C2061" t="str">
            <v>HAGER</v>
          </cell>
          <cell r="D2061" t="str">
            <v>HAGER</v>
          </cell>
        </row>
        <row r="2062">
          <cell r="A2062" t="str">
            <v>NCN316N (MCB  3P 16A TYPE C  10kA)</v>
          </cell>
          <cell r="B2062" t="str">
            <v>NCN316N(MCB  3P 16A TYPE C  10kA)</v>
          </cell>
          <cell r="C2062" t="str">
            <v>HAGER</v>
          </cell>
          <cell r="D2062" t="str">
            <v>HAGER</v>
          </cell>
        </row>
        <row r="2063">
          <cell r="A2063" t="str">
            <v>NDN316N (MCB  3P  16A TYPE D  10kA)</v>
          </cell>
          <cell r="B2063" t="str">
            <v>NDN316N(MCB 3P 16A TYPE D 10kA)</v>
          </cell>
          <cell r="C2063" t="str">
            <v>HAGER</v>
          </cell>
          <cell r="D2063" t="str">
            <v>HAGER</v>
          </cell>
        </row>
        <row r="2064">
          <cell r="A2064" t="str">
            <v>NCN301N (MCB  3P 1A TYPE C  10kA)</v>
          </cell>
          <cell r="B2064" t="str">
            <v>NCN301N(MCB 3P 1A TYPE C 10kA)</v>
          </cell>
          <cell r="C2064" t="str">
            <v>HAGER</v>
          </cell>
          <cell r="D2064" t="str">
            <v>HAGER</v>
          </cell>
        </row>
        <row r="2065">
          <cell r="A2065" t="str">
            <v>NDN301N (MCB  3P 1A TYPE D  10kA)</v>
          </cell>
          <cell r="B2065" t="str">
            <v>NDN301N(MCB 3P 1A TYPE D 10kA)</v>
          </cell>
          <cell r="C2065" t="str">
            <v>HAGER</v>
          </cell>
          <cell r="D2065" t="str">
            <v>HAGER</v>
          </cell>
        </row>
        <row r="2066">
          <cell r="A2066" t="str">
            <v>NRN320 (MCB 3P 20A C Curve 25kA)</v>
          </cell>
          <cell r="B2066" t="str">
            <v>NRN320(MCB 3P 20A C Curve 25kA)</v>
          </cell>
          <cell r="C2066" t="str">
            <v>HAGER</v>
          </cell>
          <cell r="D2066" t="str">
            <v>HAGER</v>
          </cell>
        </row>
        <row r="2067">
          <cell r="A2067" t="str">
            <v>Y1320 (MCB  3P 20A C Curve  6kA)</v>
          </cell>
          <cell r="B2067" t="str">
            <v>Y1320(MCB 3P 20A C Curve 6kA)</v>
          </cell>
          <cell r="C2067" t="str">
            <v>HAGER</v>
          </cell>
          <cell r="D2067" t="str">
            <v>HAGER</v>
          </cell>
        </row>
        <row r="2068">
          <cell r="A2068" t="str">
            <v>NBN320N (MCB 3P 20A TYPE "B" 10KA)</v>
          </cell>
          <cell r="B2068" t="str">
            <v>NBN320N(MCB 3P 20A TYPE "B" 10KA)</v>
          </cell>
          <cell r="C2068" t="str">
            <v>HAGER</v>
          </cell>
          <cell r="D2068" t="str">
            <v>HAGER</v>
          </cell>
        </row>
        <row r="2069">
          <cell r="A2069" t="str">
            <v>NCN320N (MCB  3P 20A TYPE C  10kA)</v>
          </cell>
          <cell r="B2069" t="str">
            <v>NCN320N(MCB 3P 20A TYPE C 10kA)</v>
          </cell>
          <cell r="C2069" t="str">
            <v>HAGER</v>
          </cell>
          <cell r="D2069" t="str">
            <v>HAGER</v>
          </cell>
        </row>
        <row r="2070">
          <cell r="A2070" t="str">
            <v>NDN320N (MCB  3P  20A TYPE D  10kA)</v>
          </cell>
          <cell r="B2070" t="str">
            <v>NDN320N(MCB 3P 20A TYPE D 10kA)</v>
          </cell>
          <cell r="C2070" t="str">
            <v>HAGER</v>
          </cell>
          <cell r="D2070" t="str">
            <v>HAGER</v>
          </cell>
        </row>
        <row r="2071">
          <cell r="A2071" t="str">
            <v>Y1325 (MCB  3P 25A C Curve  6kA)</v>
          </cell>
          <cell r="B2071" t="str">
            <v>Y1325(MCB 3P 25A C Curve 6kA)</v>
          </cell>
          <cell r="C2071" t="str">
            <v>HAGER</v>
          </cell>
          <cell r="D2071" t="str">
            <v>HAGER</v>
          </cell>
        </row>
        <row r="2072">
          <cell r="A2072" t="str">
            <v>NBN325N (MCB 3P 25A TYPE "B" 10KA)</v>
          </cell>
          <cell r="B2072" t="str">
            <v>NBN325N(MCB 3P 25A TYPE "B" 10KA)</v>
          </cell>
          <cell r="C2072" t="str">
            <v>HAGER</v>
          </cell>
          <cell r="D2072" t="str">
            <v>HAGER</v>
          </cell>
        </row>
        <row r="2073">
          <cell r="A2073" t="str">
            <v>NCN325N (MCB  3P 25A TYPE C  10kA)</v>
          </cell>
          <cell r="B2073" t="str">
            <v>NCN325N(MCB 3P 25A TYPE C 10kA)</v>
          </cell>
          <cell r="C2073" t="str">
            <v>HAGER</v>
          </cell>
          <cell r="D2073" t="str">
            <v>HAGER</v>
          </cell>
        </row>
        <row r="2074">
          <cell r="A2074" t="str">
            <v>NC325N (MCB  3P 25A TYPE C  10kA_x000D_
)</v>
          </cell>
          <cell r="B2074" t="str">
            <v>NC325N(MCB 3P 25A TYPE C 10kA_x000D_
)</v>
          </cell>
          <cell r="C2074" t="str">
            <v>HAGER</v>
          </cell>
          <cell r="D2074" t="str">
            <v>HAGER</v>
          </cell>
        </row>
        <row r="2075">
          <cell r="A2075" t="str">
            <v>NDN325N (MCB  3P  25A TYPE D  10kA)</v>
          </cell>
          <cell r="B2075" t="str">
            <v>NDN325N(MCB 3P 25A TYPE D 10kA)</v>
          </cell>
          <cell r="C2075" t="str">
            <v>HAGER</v>
          </cell>
          <cell r="D2075" t="str">
            <v>HAGER</v>
          </cell>
        </row>
        <row r="2076">
          <cell r="A2076" t="str">
            <v>NCN302N (MCB  3P 2A TYPE C  10kA)</v>
          </cell>
          <cell r="B2076" t="str">
            <v>NCN302N(MCB 3P 2A TYPE C 10kA)</v>
          </cell>
          <cell r="C2076" t="str">
            <v>HAGER</v>
          </cell>
          <cell r="D2076" t="str">
            <v>HAGER</v>
          </cell>
        </row>
        <row r="2077">
          <cell r="A2077" t="str">
            <v>NDN302N (MCB  3P 2A TYPE D  10kA)</v>
          </cell>
          <cell r="B2077" t="str">
            <v>NDN302N(MCB 3P 2A TYPE D 10kA)</v>
          </cell>
          <cell r="C2077" t="str">
            <v>HAGER</v>
          </cell>
          <cell r="D2077" t="str">
            <v>HAGER</v>
          </cell>
        </row>
        <row r="2078">
          <cell r="A2078" t="str">
            <v>Y1332 (MCB  3P 32A C Curve  6kA)</v>
          </cell>
          <cell r="B2078" t="str">
            <v>Y1332(MCB 3P 32A C Curve 6kA)</v>
          </cell>
          <cell r="C2078" t="str">
            <v>HAGER</v>
          </cell>
          <cell r="D2078" t="str">
            <v>HAGER</v>
          </cell>
        </row>
        <row r="2079">
          <cell r="A2079" t="str">
            <v>NBN332N (MCB 3P 32A TYPE "B" 10KA)</v>
          </cell>
          <cell r="B2079" t="str">
            <v>NBN332N(MCB 3P 32A TYPE "B" 10KA)</v>
          </cell>
          <cell r="C2079" t="str">
            <v>HAGER</v>
          </cell>
          <cell r="D2079" t="str">
            <v>HAGER</v>
          </cell>
        </row>
        <row r="2080">
          <cell r="A2080" t="str">
            <v>NCN332N (MCB  3P 32A TYPE C  10kA)</v>
          </cell>
          <cell r="B2080" t="str">
            <v>NCN332N(MCB 3P 32A TYPE C 10kA)</v>
          </cell>
          <cell r="C2080" t="str">
            <v>HAGER</v>
          </cell>
          <cell r="D2080" t="str">
            <v>HAGER</v>
          </cell>
        </row>
        <row r="2081">
          <cell r="A2081" t="str">
            <v>NDN332N (MCB  3P  32A TYPE D  10kA)</v>
          </cell>
          <cell r="B2081" t="str">
            <v>NDN332N(MCB 3P 32A TYPE D 10kA)</v>
          </cell>
          <cell r="C2081" t="str">
            <v>HAGER</v>
          </cell>
          <cell r="D2081" t="str">
            <v>HAGER</v>
          </cell>
        </row>
        <row r="2082">
          <cell r="A2082" t="str">
            <v>NCN303N (MCB  3P 3A TYPE C  10kA)</v>
          </cell>
          <cell r="B2082" t="str">
            <v>NCN303N(MCB 3P 3A TYPE C 10kA)</v>
          </cell>
          <cell r="C2082" t="str">
            <v>HAGER</v>
          </cell>
          <cell r="D2082" t="str">
            <v>HAGER</v>
          </cell>
        </row>
        <row r="2083">
          <cell r="A2083" t="str">
            <v>NDN303N (MCB  3P 3A TYPE D  10kA)</v>
          </cell>
          <cell r="B2083" t="str">
            <v>NDN303N(MCB 3P 3A TYPE D 10kA)</v>
          </cell>
          <cell r="C2083" t="str">
            <v>HAGER</v>
          </cell>
          <cell r="D2083" t="str">
            <v>HAGER</v>
          </cell>
        </row>
        <row r="2084">
          <cell r="A2084" t="str">
            <v>Y1340 (MCB  3P 40A C Curve 6kA)</v>
          </cell>
          <cell r="B2084" t="str">
            <v>Y1340(MCB 3P 40A C Curve 6kA)</v>
          </cell>
          <cell r="C2084" t="str">
            <v>HAGER</v>
          </cell>
          <cell r="D2084" t="str">
            <v>HAGER</v>
          </cell>
        </row>
        <row r="2085">
          <cell r="A2085" t="str">
            <v>NBN340N (MCB 3P 40A TYPE "B" 10KA)</v>
          </cell>
          <cell r="B2085" t="str">
            <v>NBN340N(MCB 3P 40A TYPE "B" 10KA)</v>
          </cell>
          <cell r="C2085" t="str">
            <v>HAGER</v>
          </cell>
          <cell r="D2085" t="str">
            <v>HAGER</v>
          </cell>
        </row>
        <row r="2086">
          <cell r="A2086" t="str">
            <v>NCN340N (MCB  3P 40A TYPE C 10kA)</v>
          </cell>
          <cell r="B2086" t="str">
            <v>NCN340N(MCB  3P 40A TYPE C 10kA)</v>
          </cell>
          <cell r="C2086" t="str">
            <v>HAGER</v>
          </cell>
          <cell r="D2086" t="str">
            <v>HAGER</v>
          </cell>
        </row>
        <row r="2087">
          <cell r="A2087" t="str">
            <v>NDN340N (MCB  3P 40A TYPE D  10kA)</v>
          </cell>
          <cell r="B2087" t="str">
            <v>NDN340N(MCB 3P 40A TYPE D 10kA)</v>
          </cell>
          <cell r="C2087" t="str">
            <v>HAGER</v>
          </cell>
          <cell r="D2087" t="str">
            <v>HAGER</v>
          </cell>
        </row>
        <row r="2088">
          <cell r="A2088" t="str">
            <v>NCN304N (MCB  3P 4A TYPE C 10kA)</v>
          </cell>
          <cell r="B2088" t="str">
            <v>NCN304N(MCB 3P 4A TYPE C 10kA)</v>
          </cell>
          <cell r="C2088" t="str">
            <v>HAGER</v>
          </cell>
          <cell r="D2088" t="str">
            <v>HAGER</v>
          </cell>
        </row>
        <row r="2089">
          <cell r="A2089" t="str">
            <v>NDN304N (MCB  3P  4A TYPE D 10kA)</v>
          </cell>
          <cell r="B2089" t="str">
            <v>NDN304N(MCB 3P 4A TYPE D 10kA)</v>
          </cell>
          <cell r="C2089" t="str">
            <v>HAGER</v>
          </cell>
          <cell r="D2089" t="str">
            <v>HAGER</v>
          </cell>
        </row>
        <row r="2090">
          <cell r="A2090" t="str">
            <v>Y1350 (MCB  3P 50A C Curve  6kA)</v>
          </cell>
          <cell r="B2090" t="str">
            <v>Y1350(MCB 3P 50A C Curve 6kA)</v>
          </cell>
          <cell r="C2090" t="str">
            <v>HAGER</v>
          </cell>
          <cell r="D2090" t="str">
            <v>HAGER</v>
          </cell>
        </row>
        <row r="2091">
          <cell r="A2091" t="str">
            <v>NBN350N (MCB 3P 50A TYPE "B" 10KA)</v>
          </cell>
          <cell r="B2091" t="str">
            <v>NBN350N(MCB 3P 50A TYPE "B" 10KA)</v>
          </cell>
          <cell r="C2091" t="str">
            <v>HAGER</v>
          </cell>
          <cell r="D2091" t="str">
            <v>HAGER</v>
          </cell>
        </row>
        <row r="2092">
          <cell r="A2092" t="str">
            <v>NCN350N (MCB  3P 50A TYPE C  10kA)</v>
          </cell>
          <cell r="B2092" t="str">
            <v>NCN350N(MCB 3P 50A TYPE C 10kA)</v>
          </cell>
          <cell r="C2092" t="str">
            <v>HAGER</v>
          </cell>
          <cell r="D2092" t="str">
            <v>HAGER</v>
          </cell>
        </row>
        <row r="2093">
          <cell r="A2093" t="str">
            <v>NDN350N (MCB  3P  50A TYPE D  10kA)</v>
          </cell>
          <cell r="B2093" t="str">
            <v>NDN350N(MCB 3P 50A TYPE D 10kA)</v>
          </cell>
          <cell r="C2093" t="str">
            <v>HAGER</v>
          </cell>
          <cell r="D2093" t="str">
            <v>HAGER</v>
          </cell>
        </row>
        <row r="2094">
          <cell r="A2094" t="str">
            <v>NDN300N (MCB  3P .5A TYPE D  10kA)</v>
          </cell>
          <cell r="B2094" t="str">
            <v>NDN300N(MCB 3P .5A TYPE D 10kA)</v>
          </cell>
          <cell r="C2094" t="str">
            <v>HAGER</v>
          </cell>
          <cell r="D2094" t="str">
            <v>HAGER</v>
          </cell>
        </row>
        <row r="2095">
          <cell r="A2095" t="str">
            <v>Y1363 (MCB  3P 63A C Curve  6kA)</v>
          </cell>
          <cell r="B2095" t="str">
            <v>Y1363(MCB 3P 63A C Curve 6kA)</v>
          </cell>
          <cell r="C2095" t="str">
            <v>HAGER</v>
          </cell>
          <cell r="D2095" t="str">
            <v>HAGER</v>
          </cell>
        </row>
        <row r="2096">
          <cell r="A2096" t="str">
            <v>NBN363N (MCB 3P 63A TYPE "B" 10KA)</v>
          </cell>
          <cell r="B2096" t="str">
            <v>NBN363N(MCB 3P 63A TYPE "B" 10KA)</v>
          </cell>
          <cell r="C2096" t="str">
            <v>HAGER</v>
          </cell>
          <cell r="D2096" t="str">
            <v>HAGER</v>
          </cell>
        </row>
        <row r="2097">
          <cell r="A2097" t="str">
            <v>NCN363N (MCB  3P 63A TYPE C  10kA)</v>
          </cell>
          <cell r="B2097" t="str">
            <v>NCN363N(MCB 3P 63A TYPE C 10kA)</v>
          </cell>
          <cell r="C2097" t="str">
            <v>HAGER</v>
          </cell>
          <cell r="D2097" t="str">
            <v>HAGER</v>
          </cell>
        </row>
        <row r="2098">
          <cell r="A2098" t="str">
            <v>NDN363N (MCB  3P  63A TYPE D  10kA)</v>
          </cell>
          <cell r="B2098" t="str">
            <v>NDN363N(MCB 3P 63A TYPE D 10kA)</v>
          </cell>
          <cell r="C2098" t="str">
            <v>HAGER</v>
          </cell>
          <cell r="D2098" t="str">
            <v>HAGER</v>
          </cell>
        </row>
        <row r="2099">
          <cell r="A2099" t="str">
            <v>Y1306 (MCB  3P 6A C Curve  6kA)</v>
          </cell>
          <cell r="B2099" t="str">
            <v>Y1306(MCB 3P 6A C Curve 6kA)</v>
          </cell>
          <cell r="C2099" t="str">
            <v>HAGER</v>
          </cell>
          <cell r="D2099" t="str">
            <v>HAGER</v>
          </cell>
        </row>
        <row r="2100">
          <cell r="A2100" t="str">
            <v>NBN306N (MCB 3P 6A TYPE "B" 10KA)</v>
          </cell>
          <cell r="B2100" t="str">
            <v>NBN306N(MCB 3P 6A TYPE "B" 10KA)</v>
          </cell>
          <cell r="C2100" t="str">
            <v>HAGER</v>
          </cell>
          <cell r="D2100" t="str">
            <v>HAGER</v>
          </cell>
        </row>
        <row r="2101">
          <cell r="A2101" t="str">
            <v>NCN306N (MCB  3P 6A TYPE C  10kA)</v>
          </cell>
          <cell r="B2101" t="str">
            <v>NCN306N(MCB 3P 6A TYPE C 10kA)</v>
          </cell>
          <cell r="C2101" t="str">
            <v>HAGER</v>
          </cell>
          <cell r="D2101" t="str">
            <v>HAGER</v>
          </cell>
        </row>
        <row r="2102">
          <cell r="A2102" t="str">
            <v>NDN306N (MCB  3P  6A TYPE D 10kA)</v>
          </cell>
          <cell r="B2102" t="str">
            <v>NDN306N(MCB 3P 6A TYPE D 10kA)</v>
          </cell>
          <cell r="C2102" t="str">
            <v>HAGER</v>
          </cell>
          <cell r="D2102" t="str">
            <v>HAGER</v>
          </cell>
        </row>
        <row r="2103">
          <cell r="A2103" t="str">
            <v>HLF380S (MCB 3P 80A C Curve 10kA)</v>
          </cell>
          <cell r="B2103" t="str">
            <v>HLF380S(MCB 3P 80A C Curve 10kA)</v>
          </cell>
          <cell r="C2103" t="str">
            <v>HAGER</v>
          </cell>
          <cell r="D2103" t="str">
            <v>HAGER</v>
          </cell>
        </row>
        <row r="2104">
          <cell r="A2104" t="str">
            <v>HMC380 (MCB 3P 80A C Curve 15kA)</v>
          </cell>
          <cell r="B2104" t="str">
            <v>HMC380(MCB 3P 80A C Curve 15kA)</v>
          </cell>
          <cell r="C2104" t="str">
            <v>HAGER</v>
          </cell>
          <cell r="D2104" t="str">
            <v>HAGER</v>
          </cell>
        </row>
        <row r="2105">
          <cell r="A2105" t="str">
            <v>NCN400N (MCB  4P 0.5A TYPE C 10kA)</v>
          </cell>
          <cell r="B2105" t="str">
            <v>NCN400N(MCB 4P 0.5A TYPE C 10kA)</v>
          </cell>
          <cell r="C2105" t="str">
            <v>HAGER</v>
          </cell>
          <cell r="D2105" t="str">
            <v>HAGER</v>
          </cell>
        </row>
        <row r="2106">
          <cell r="A2106" t="str">
            <v>HLF490S (MCB 4P 100A C Curve 10kA)</v>
          </cell>
          <cell r="B2106" t="str">
            <v>HLF490S(MCB 4P 100A C Curve 10kA)</v>
          </cell>
          <cell r="C2106" t="str">
            <v>HAGER</v>
          </cell>
          <cell r="D2106" t="str">
            <v>HAGER</v>
          </cell>
        </row>
        <row r="2107">
          <cell r="A2107" t="str">
            <v>HMC490 (MCB 4P 100A C Curve 15kA)</v>
          </cell>
          <cell r="B2107" t="str">
            <v>HMC490(MCB 4P 100A C Curve 15kA)</v>
          </cell>
          <cell r="C2107" t="str">
            <v>HAGER</v>
          </cell>
          <cell r="D2107" t="str">
            <v>HAGER</v>
          </cell>
        </row>
        <row r="2108">
          <cell r="A2108" t="str">
            <v>Y1410 (MCB  4P 10A C Curve  6kA)</v>
          </cell>
          <cell r="B2108" t="str">
            <v>Y1410(MCB 4P 10A C Curve 6kA)</v>
          </cell>
          <cell r="C2108" t="str">
            <v>HAGER</v>
          </cell>
          <cell r="D2108" t="str">
            <v>HAGER</v>
          </cell>
        </row>
        <row r="2109">
          <cell r="A2109" t="str">
            <v>NBN410N (MCB 4P 10A TYPE "B" 10KA)</v>
          </cell>
          <cell r="B2109" t="str">
            <v>NBN410N(MCB 4P 10A TYPE "B" 10KA)</v>
          </cell>
          <cell r="C2109" t="str">
            <v>HAGER</v>
          </cell>
          <cell r="D2109" t="str">
            <v>HAGER</v>
          </cell>
        </row>
        <row r="2110">
          <cell r="A2110" t="str">
            <v>NCN410N (MCB  4P 10A TYPE C  10kA)</v>
          </cell>
          <cell r="B2110" t="str">
            <v>NCN410N(MCB 4P 10A TYPE C 10kA)</v>
          </cell>
          <cell r="C2110" t="str">
            <v>HAGER</v>
          </cell>
          <cell r="D2110" t="str">
            <v>HAGER</v>
          </cell>
        </row>
        <row r="2111">
          <cell r="A2111" t="str">
            <v>NDN410N (MCB  4P 10A TYPE D  10kA)</v>
          </cell>
          <cell r="B2111" t="str">
            <v>NDN410N(MCB 4P 10A TYPE D 10kA)</v>
          </cell>
          <cell r="C2111" t="str">
            <v>HAGER</v>
          </cell>
          <cell r="D2111" t="str">
            <v>HAGER</v>
          </cell>
        </row>
        <row r="2112">
          <cell r="A2112" t="str">
            <v>HLF499S (MCB 4P 125A C Curve 10kA)</v>
          </cell>
          <cell r="B2112" t="str">
            <v>HLF499S(MCB 4P 125A C Curve 10kA)</v>
          </cell>
          <cell r="C2112" t="str">
            <v>HAGER</v>
          </cell>
          <cell r="D2112" t="str">
            <v>HAGER</v>
          </cell>
        </row>
        <row r="2113">
          <cell r="A2113" t="str">
            <v>HMC499 (MCB 4P 125A C Curve 15kA)</v>
          </cell>
          <cell r="B2113" t="str">
            <v>HMC499(MCB 4P 125A C Curve 15kA)</v>
          </cell>
          <cell r="C2113" t="str">
            <v>HAGER</v>
          </cell>
          <cell r="D2113" t="str">
            <v>HAGER</v>
          </cell>
        </row>
        <row r="2114">
          <cell r="A2114" t="str">
            <v>Y1416 (MCB  4P 16A C Curve  6kA)</v>
          </cell>
          <cell r="B2114" t="str">
            <v>Y1416(MCB 4P 16A C Curve 6kA)</v>
          </cell>
          <cell r="C2114" t="str">
            <v>HAGER</v>
          </cell>
          <cell r="D2114" t="str">
            <v>HAGER</v>
          </cell>
        </row>
        <row r="2115">
          <cell r="A2115" t="str">
            <v>NBN416N (MCB 4P 16A TYPE "B" 10KA)</v>
          </cell>
          <cell r="B2115" t="str">
            <v>NBN416N(MCB 4P 16A TYPE "B" 10KA)</v>
          </cell>
          <cell r="C2115" t="str">
            <v>HAGER</v>
          </cell>
          <cell r="D2115" t="str">
            <v>HAGER</v>
          </cell>
        </row>
        <row r="2116">
          <cell r="A2116" t="str">
            <v>NCN416N (MCB  4P 16A TYPE C  10kA)</v>
          </cell>
          <cell r="B2116" t="str">
            <v>NCN416N(MCB 4P 16A TYPE C 10kA)</v>
          </cell>
          <cell r="C2116" t="str">
            <v>HAGER</v>
          </cell>
          <cell r="D2116" t="str">
            <v>HAGER</v>
          </cell>
        </row>
        <row r="2117">
          <cell r="A2117" t="str">
            <v>NDN416N (MCB  4P  16A TYPE D  10kA)</v>
          </cell>
          <cell r="B2117" t="str">
            <v>NDN416N(MCB 4P 16A TYPE D 10kA)</v>
          </cell>
          <cell r="C2117" t="str">
            <v>HAGER</v>
          </cell>
          <cell r="D2117" t="str">
            <v>HAGER</v>
          </cell>
        </row>
        <row r="2118">
          <cell r="A2118" t="str">
            <v>NCN401N (MCB  4P 1A TYPE C  10kA)</v>
          </cell>
          <cell r="B2118" t="str">
            <v>NCN401N(MCB 4P 1A TYPE C 10kA)</v>
          </cell>
          <cell r="C2118" t="str">
            <v>HAGER</v>
          </cell>
          <cell r="D2118" t="str">
            <v>HAGER</v>
          </cell>
        </row>
        <row r="2119">
          <cell r="A2119" t="str">
            <v>NDN401N (MCB  4P 1A TYPE D  10kA)</v>
          </cell>
          <cell r="B2119" t="str">
            <v>NDN401N(MCB 4P 1A TYPE D 10kA)</v>
          </cell>
          <cell r="C2119" t="str">
            <v>HAGER</v>
          </cell>
          <cell r="D2119" t="str">
            <v>HAGER</v>
          </cell>
        </row>
        <row r="2120">
          <cell r="A2120" t="str">
            <v>Y1420 (MCB  4P 20A C Curve  6kA)</v>
          </cell>
          <cell r="B2120" t="str">
            <v>Y1420(MCB 4P 20A C Curve 6kA)</v>
          </cell>
          <cell r="C2120" t="str">
            <v>HAGER</v>
          </cell>
          <cell r="D2120" t="str">
            <v>HAGER</v>
          </cell>
        </row>
        <row r="2121">
          <cell r="A2121" t="str">
            <v>NBN420N (MCB 4P 20A TYPE "B" 10KA)</v>
          </cell>
          <cell r="B2121" t="str">
            <v>NBN420N(MCB 4P 20A TYPE "B" 10KA)</v>
          </cell>
          <cell r="C2121" t="str">
            <v>HAGER</v>
          </cell>
          <cell r="D2121" t="str">
            <v>HAGER</v>
          </cell>
        </row>
        <row r="2122">
          <cell r="A2122" t="str">
            <v>NCN420N (MCB  4P 20A TYPE C  10kA)</v>
          </cell>
          <cell r="B2122" t="str">
            <v>NCN420N(MCB 4P 20A TYPE C 10kA)</v>
          </cell>
          <cell r="C2122" t="str">
            <v>HAGER</v>
          </cell>
          <cell r="D2122" t="str">
            <v>HAGER</v>
          </cell>
        </row>
        <row r="2123">
          <cell r="A2123" t="str">
            <v>NDN420N (MCB  4P  20A TYPE D  10kA)</v>
          </cell>
          <cell r="B2123" t="str">
            <v>NDN420N(MCB 4P 20A TYPE D 10kA)</v>
          </cell>
          <cell r="C2123" t="str">
            <v>HAGER</v>
          </cell>
          <cell r="D2123" t="str">
            <v>HAGER</v>
          </cell>
        </row>
        <row r="2124">
          <cell r="A2124" t="str">
            <v>Y1425 (MCB  4P 25A C Curve  6kA)</v>
          </cell>
          <cell r="B2124" t="str">
            <v>Y1425(MCB 4P 25A C Curve 6kA)</v>
          </cell>
          <cell r="C2124" t="str">
            <v>HAGER</v>
          </cell>
          <cell r="D2124" t="str">
            <v>HAGER</v>
          </cell>
        </row>
        <row r="2125">
          <cell r="A2125" t="str">
            <v>NBN425N (MCB 4P 25A TYPE "B" 10KA)</v>
          </cell>
          <cell r="B2125" t="str">
            <v>NBN425N(MCB 4P 25A TYPE "B" 10KA)</v>
          </cell>
          <cell r="C2125" t="str">
            <v>HAGER</v>
          </cell>
          <cell r="D2125" t="str">
            <v>HAGER</v>
          </cell>
        </row>
        <row r="2126">
          <cell r="A2126" t="str">
            <v>NCN425N (MCB  4P 25A TYPE C  10kA)</v>
          </cell>
          <cell r="B2126" t="str">
            <v>NCN425N(MCB  4P 25A TYPE C  10kA)</v>
          </cell>
          <cell r="C2126" t="str">
            <v>HAGER</v>
          </cell>
          <cell r="D2126" t="str">
            <v>HAGER</v>
          </cell>
        </row>
        <row r="2127">
          <cell r="A2127" t="str">
            <v>NDN425N (MCB  4P  25A TYPE D  10kA)</v>
          </cell>
          <cell r="B2127" t="str">
            <v>NDN425N(MCB 4P 25A TYPE D 10kA)</v>
          </cell>
          <cell r="C2127" t="str">
            <v>HAGER</v>
          </cell>
          <cell r="D2127" t="str">
            <v>HAGER</v>
          </cell>
        </row>
        <row r="2128">
          <cell r="A2128" t="str">
            <v>NCN402N (MCB  4P 2A TYPE C  10kA)</v>
          </cell>
          <cell r="B2128" t="str">
            <v>NCN402N(MCB 4P 2A TYPE C 10kA)</v>
          </cell>
          <cell r="C2128" t="str">
            <v>HAGER</v>
          </cell>
          <cell r="D2128" t="str">
            <v>HAGER</v>
          </cell>
        </row>
        <row r="2129">
          <cell r="A2129" t="str">
            <v>NDN402N (MCB  4P 2A TYPE D  10kA)</v>
          </cell>
          <cell r="B2129" t="str">
            <v>NDN402N(MCB 4P 2A TYPE D 10kA)</v>
          </cell>
          <cell r="C2129" t="str">
            <v>HAGER</v>
          </cell>
          <cell r="D2129" t="str">
            <v>HAGER</v>
          </cell>
        </row>
        <row r="2130">
          <cell r="A2130" t="str">
            <v>Y1432 (MCB  4P 32A C Curve 6kA)</v>
          </cell>
          <cell r="B2130" t="str">
            <v>Y1432(MCB 4P 32A C Curve 6kA)</v>
          </cell>
          <cell r="C2130" t="str">
            <v>HAGER</v>
          </cell>
          <cell r="D2130" t="str">
            <v>HAGER</v>
          </cell>
        </row>
        <row r="2131">
          <cell r="A2131" t="str">
            <v>NBN432N (MCB 4P 32A TYPE "B" 10KA)</v>
          </cell>
          <cell r="B2131" t="str">
            <v>NBN432N(MCB 4P 32A TYPE "B" 10KA)</v>
          </cell>
          <cell r="C2131" t="str">
            <v>HAGER</v>
          </cell>
          <cell r="D2131" t="str">
            <v>HAGER</v>
          </cell>
        </row>
        <row r="2132">
          <cell r="A2132" t="str">
            <v>NCN432N (MCB  4P 32A TYPE C 10kA)</v>
          </cell>
          <cell r="B2132" t="str">
            <v>NCN432N(MCB  4P 32A TYPE C 10kA)</v>
          </cell>
          <cell r="C2132" t="str">
            <v>HAGER</v>
          </cell>
          <cell r="D2132" t="str">
            <v>HAGER</v>
          </cell>
        </row>
        <row r="2133">
          <cell r="A2133" t="str">
            <v>NDN432N (MCB  4P  32A TYPE D  10kA)</v>
          </cell>
          <cell r="B2133" t="str">
            <v>NDN432N(MCB 4P 32A TYPE D 10kA)</v>
          </cell>
          <cell r="C2133" t="str">
            <v>HAGER</v>
          </cell>
          <cell r="D2133" t="str">
            <v>HAGER</v>
          </cell>
        </row>
        <row r="2134">
          <cell r="A2134" t="str">
            <v>NCN403N (MCB  4P 3A TYPE C 10kA)</v>
          </cell>
          <cell r="B2134" t="str">
            <v>NCN403N(MCB 4P 3A TYPE C 10kA)</v>
          </cell>
          <cell r="C2134" t="str">
            <v>HAGER</v>
          </cell>
          <cell r="D2134" t="str">
            <v>HAGER</v>
          </cell>
        </row>
        <row r="2135">
          <cell r="A2135" t="str">
            <v>NDN403N (MCB  4P 3A TYPE D  10kA)</v>
          </cell>
          <cell r="B2135" t="str">
            <v>NDN403N(MCB 4P 3A TYPE D 10kA)</v>
          </cell>
          <cell r="C2135" t="str">
            <v>HAGER</v>
          </cell>
          <cell r="D2135" t="str">
            <v>HAGER</v>
          </cell>
        </row>
        <row r="2136">
          <cell r="A2136" t="str">
            <v>Y1440 (MCB  4P 40A C Curve  6kA)</v>
          </cell>
          <cell r="B2136" t="str">
            <v>Y1440(MCB 4P 40A C Curve 6kA)</v>
          </cell>
          <cell r="C2136" t="str">
            <v>HAGER</v>
          </cell>
          <cell r="D2136" t="str">
            <v>HAGER</v>
          </cell>
        </row>
        <row r="2137">
          <cell r="A2137" t="str">
            <v>NBN440N (MCB 4P 40A TYPE "B" 10KA)</v>
          </cell>
          <cell r="B2137" t="str">
            <v>NBN440N(MCB 4P 40A TYPE "B" 10KA)</v>
          </cell>
          <cell r="C2137" t="str">
            <v>HAGER</v>
          </cell>
          <cell r="D2137" t="str">
            <v>HAGER</v>
          </cell>
        </row>
        <row r="2138">
          <cell r="A2138" t="str">
            <v>NCN440N (MCB  4P 40A TYPE C  10kA)</v>
          </cell>
          <cell r="B2138" t="str">
            <v>NCN440N(MCB  4P 40A TYPE C  10kA)</v>
          </cell>
          <cell r="C2138" t="str">
            <v>HAGER</v>
          </cell>
          <cell r="D2138" t="str">
            <v>HAGER</v>
          </cell>
        </row>
        <row r="2139">
          <cell r="A2139" t="str">
            <v>MCB 4P 40A Type C 10Ka NCN440N</v>
          </cell>
          <cell r="B2139" t="str">
            <v>MCB 4P 40A Type C 10Ka NCN440N</v>
          </cell>
          <cell r="C2139" t="str">
            <v>HAGER</v>
          </cell>
          <cell r="D2139" t="str">
            <v>HAGER</v>
          </cell>
        </row>
        <row r="2140">
          <cell r="A2140" t="str">
            <v>NDN440N (MCB  4P 40A TYPE D  10kA)</v>
          </cell>
          <cell r="B2140" t="str">
            <v>NDN440N(MCB 4P 40A TYPE D 10kA)</v>
          </cell>
          <cell r="C2140" t="str">
            <v>HAGER</v>
          </cell>
          <cell r="D2140" t="str">
            <v>HAGER</v>
          </cell>
        </row>
        <row r="2141">
          <cell r="A2141" t="str">
            <v>NCN404N (MCB  4P 4A TYPE C  10kA)</v>
          </cell>
          <cell r="B2141" t="str">
            <v>NCN404N(MCB 4P 4A TYPE C 10kA)</v>
          </cell>
          <cell r="C2141" t="str">
            <v>HAGER</v>
          </cell>
          <cell r="D2141" t="str">
            <v>HAGER</v>
          </cell>
        </row>
        <row r="2142">
          <cell r="A2142" t="str">
            <v>NDN404N (MCB  4P  4A TYPE D 10kA)</v>
          </cell>
          <cell r="B2142" t="str">
            <v>NDN404N(MCB 4P 4A TYPE D 10kA)</v>
          </cell>
          <cell r="C2142" t="str">
            <v>HAGER</v>
          </cell>
          <cell r="D2142" t="str">
            <v>HAGER</v>
          </cell>
        </row>
        <row r="2143">
          <cell r="A2143" t="str">
            <v>Y1450 (MCB  4P 50A C Curve  6kA)</v>
          </cell>
          <cell r="B2143" t="str">
            <v>Y1450(MCB 4P 50A C Curve 6kA)</v>
          </cell>
          <cell r="C2143" t="str">
            <v>HAGER</v>
          </cell>
          <cell r="D2143" t="str">
            <v>HAGER</v>
          </cell>
        </row>
        <row r="2144">
          <cell r="A2144" t="str">
            <v>NBN450N (MCB 4P 50A TYPE "B" 10KA)</v>
          </cell>
          <cell r="B2144" t="str">
            <v>NBN450N(MCB 4P 50A TYPE "B" 10KA)</v>
          </cell>
          <cell r="C2144" t="str">
            <v>HAGER</v>
          </cell>
          <cell r="D2144" t="str">
            <v>HAGER</v>
          </cell>
        </row>
        <row r="2145">
          <cell r="A2145" t="str">
            <v>NCN450N (MCB  4P 50A TYPE C  10kA)</v>
          </cell>
          <cell r="B2145" t="str">
            <v>NCN450N(MCB 4P 50A TYPE C 10kA)</v>
          </cell>
          <cell r="C2145" t="str">
            <v>HAGER</v>
          </cell>
          <cell r="D2145" t="str">
            <v>HAGER</v>
          </cell>
        </row>
        <row r="2146">
          <cell r="A2146" t="str">
            <v>NDN450N (MCB  4P 50A TYPE D  10kA)</v>
          </cell>
          <cell r="B2146" t="str">
            <v>NDN450N(MCB 4P 50A TYPE D 10kA)</v>
          </cell>
          <cell r="C2146" t="str">
            <v>HAGER</v>
          </cell>
          <cell r="D2146" t="str">
            <v>HAGER</v>
          </cell>
        </row>
        <row r="2147">
          <cell r="A2147" t="str">
            <v>NDN400N (MCB  4P .5A TYPE D  10kA)</v>
          </cell>
          <cell r="B2147" t="str">
            <v>NDN400N(MCB 4P .5A TYPE D 10kA)</v>
          </cell>
          <cell r="C2147" t="str">
            <v>HAGER</v>
          </cell>
          <cell r="D2147" t="str">
            <v>HAGER</v>
          </cell>
        </row>
        <row r="2148">
          <cell r="A2148" t="str">
            <v>Y1463 (MCB  4P 63A C Curve  6kA)</v>
          </cell>
          <cell r="B2148" t="str">
            <v>Y1463(MCB 4P 63A C Curve 6kA)</v>
          </cell>
          <cell r="C2148" t="str">
            <v>HAGER</v>
          </cell>
          <cell r="D2148" t="str">
            <v>HAGER</v>
          </cell>
        </row>
        <row r="2149">
          <cell r="A2149" t="str">
            <v>NBN463N (MCB 4P 63A TYPE "B" 10KA)</v>
          </cell>
          <cell r="B2149" t="str">
            <v>NBN463N(MCB 4P 63A TYPE "B" 10KA)</v>
          </cell>
          <cell r="C2149" t="str">
            <v>HAGER</v>
          </cell>
          <cell r="D2149" t="str">
            <v>HAGER</v>
          </cell>
        </row>
        <row r="2150">
          <cell r="A2150" t="str">
            <v>NCN463N (MCB  4P 63A TYPE C  10kA)</v>
          </cell>
          <cell r="B2150" t="str">
            <v>NCN463N(MCB  4P 63A TYPE C  10kA)</v>
          </cell>
          <cell r="C2150" t="str">
            <v>HAGER</v>
          </cell>
          <cell r="D2150" t="str">
            <v>HAGER</v>
          </cell>
        </row>
        <row r="2151">
          <cell r="A2151" t="str">
            <v>NDN463N (MCB  4P  63A TYPE D  10kA)</v>
          </cell>
          <cell r="B2151" t="str">
            <v>NDN463N(MCB  4P  63A TYPE D  10kA)</v>
          </cell>
          <cell r="C2151" t="str">
            <v>HAGER</v>
          </cell>
          <cell r="D2151" t="str">
            <v>HAGER</v>
          </cell>
        </row>
        <row r="2152">
          <cell r="A2152" t="str">
            <v>Y1406 (MCB  4P 6A C Curve  6kA)</v>
          </cell>
          <cell r="B2152" t="str">
            <v>Y1406(MCB 4P 6A C Curve 6kA)</v>
          </cell>
          <cell r="C2152" t="str">
            <v>HAGER</v>
          </cell>
          <cell r="D2152" t="str">
            <v>HAGER</v>
          </cell>
        </row>
        <row r="2153">
          <cell r="A2153" t="str">
            <v>NBN406N (MCB 4P 6A TYPE "B" 10KA)</v>
          </cell>
          <cell r="B2153" t="str">
            <v>NBN406N(MCB 4P 6A TYPE "B" 10KA)</v>
          </cell>
          <cell r="C2153" t="str">
            <v>HAGER</v>
          </cell>
          <cell r="D2153" t="str">
            <v>HAGER</v>
          </cell>
        </row>
        <row r="2154">
          <cell r="A2154" t="str">
            <v>NCN406N (MCB  4P 6A TYPE C  10kA)</v>
          </cell>
          <cell r="B2154" t="str">
            <v>NCN406N(MCB 4P 6A TYPE C 10kA)</v>
          </cell>
          <cell r="C2154" t="str">
            <v>HAGER</v>
          </cell>
          <cell r="D2154" t="str">
            <v>HAGER</v>
          </cell>
        </row>
        <row r="2155">
          <cell r="A2155" t="str">
            <v>NDN406N (MCB  4P  6A TYPE D 10kA)</v>
          </cell>
          <cell r="B2155" t="str">
            <v>NDN406N(MCB 4P 6A TYPE D 10kA)</v>
          </cell>
          <cell r="C2155" t="str">
            <v>HAGER</v>
          </cell>
          <cell r="D2155" t="str">
            <v>HAGER</v>
          </cell>
        </row>
        <row r="2156">
          <cell r="A2156" t="str">
            <v>HLF480S (MCB 4P 80A C Curve 10kA)</v>
          </cell>
          <cell r="B2156" t="str">
            <v>HLF480S(MCB 4P 80A C Curve 10kA)</v>
          </cell>
          <cell r="C2156" t="str">
            <v>HAGER</v>
          </cell>
          <cell r="D2156" t="str">
            <v>HAGER</v>
          </cell>
        </row>
        <row r="2157">
          <cell r="A2157" t="str">
            <v>HMC480 (MCB 4P 80A C Curve 15kA)</v>
          </cell>
          <cell r="B2157" t="str">
            <v>HMC480(MCB 4P 80A C Curve 15kA)</v>
          </cell>
          <cell r="C2157" t="str">
            <v>HAGER</v>
          </cell>
          <cell r="D2157" t="str">
            <v>HAGER</v>
          </cell>
        </row>
        <row r="2158">
          <cell r="A2158" t="str">
            <v>NCN663N (MCB 63A 10KA, 4P, C-Curve,)</v>
          </cell>
          <cell r="B2158" t="str">
            <v>NCN663N(MCB 63A 10KA, 4P, C-Curve,)</v>
          </cell>
          <cell r="C2158" t="str">
            <v>HAGER</v>
          </cell>
          <cell r="D2158" t="str">
            <v>HAGER</v>
          </cell>
        </row>
        <row r="2159">
          <cell r="A2159" t="str">
            <v>MZN175 (MCB LOCKING KIT)</v>
          </cell>
          <cell r="B2159" t="str">
            <v>MZN175(MCB LOCKING KIT)</v>
          </cell>
          <cell r="C2159" t="str">
            <v>HAGER</v>
          </cell>
          <cell r="D2159" t="str">
            <v>HAGER</v>
          </cell>
        </row>
        <row r="2160">
          <cell r="A2160" t="str">
            <v>ML510J (MCB SPN 10A TYPE C 6KA)</v>
          </cell>
          <cell r="B2160" t="str">
            <v>ML510J(MCB SPN 10A TYPE C 6KA)</v>
          </cell>
          <cell r="C2160" t="str">
            <v>HAGER</v>
          </cell>
          <cell r="D2160" t="str">
            <v>HAGER</v>
          </cell>
        </row>
        <row r="2161">
          <cell r="A2161" t="str">
            <v>ML516J (MCB SPN 16A TYPE C 6KA)</v>
          </cell>
          <cell r="B2161" t="str">
            <v>ML516J(MCB SPN 16A TYPE C 6KA)</v>
          </cell>
          <cell r="C2161" t="str">
            <v>HAGER</v>
          </cell>
          <cell r="D2161" t="str">
            <v>HAGER</v>
          </cell>
        </row>
        <row r="2162">
          <cell r="A2162" t="str">
            <v>ML520J (MCB SPN 20A TYPE C 6KA)</v>
          </cell>
          <cell r="B2162" t="str">
            <v>ML520J(MCB SPN 20A TYPE C 6KA)</v>
          </cell>
          <cell r="C2162" t="str">
            <v>HAGER</v>
          </cell>
          <cell r="D2162" t="str">
            <v>HAGER</v>
          </cell>
        </row>
        <row r="2163">
          <cell r="A2163" t="str">
            <v>ML525J (MCB SPN 25A TYPE C 6KA)</v>
          </cell>
          <cell r="B2163" t="str">
            <v>ML525J(MCB SPN 25A TYPE C 6KA)</v>
          </cell>
          <cell r="C2163" t="str">
            <v>HAGER</v>
          </cell>
          <cell r="D2163" t="str">
            <v>HAGER</v>
          </cell>
        </row>
        <row r="2164">
          <cell r="A2164" t="str">
            <v>ML532J (MCB SPN 32A TYPE C 6KA)</v>
          </cell>
          <cell r="B2164" t="str">
            <v>ML532J(MCB SPN 32A TYPE C 6KA)</v>
          </cell>
          <cell r="C2164" t="str">
            <v>HAGER</v>
          </cell>
          <cell r="D2164" t="str">
            <v>HAGER</v>
          </cell>
        </row>
        <row r="2165">
          <cell r="A2165" t="str">
            <v>ML540J (MCB SPN 40A TYPE C 6KA)</v>
          </cell>
          <cell r="B2165" t="str">
            <v>ML540J(MCB SPN 40A TYPE C 6KA)</v>
          </cell>
          <cell r="C2165" t="str">
            <v>HAGER</v>
          </cell>
          <cell r="D2165" t="str">
            <v>HAGER</v>
          </cell>
        </row>
        <row r="2166">
          <cell r="A2166" t="str">
            <v>ML506J (MCB SPN 6A TYPE C 6KA)</v>
          </cell>
          <cell r="B2166" t="str">
            <v>ML506J(MCB SPN 6A TYPE C 6KA)</v>
          </cell>
          <cell r="C2166" t="str">
            <v>HAGER</v>
          </cell>
          <cell r="D2166" t="str">
            <v>HAGER</v>
          </cell>
        </row>
        <row r="2167">
          <cell r="A2167" t="str">
            <v>HNE970U (MCCB h1000 3P 50kA 1000A LSI)</v>
          </cell>
          <cell r="B2167" t="str">
            <v>HNE970U(MCCB h1000 3P 50kA 1000A LSI)</v>
          </cell>
          <cell r="C2167" t="str">
            <v>HAGER</v>
          </cell>
          <cell r="D2167" t="str">
            <v>HAGER</v>
          </cell>
        </row>
        <row r="2168">
          <cell r="A2168" t="str">
            <v>HNE630U (MCCB h1000 3P 50kA 630A LSI)</v>
          </cell>
          <cell r="B2168" t="str">
            <v>HNE630U(MCCB h1000 3P 50kA 630A LSI)</v>
          </cell>
          <cell r="C2168" t="str">
            <v>HAGER</v>
          </cell>
          <cell r="D2168" t="str">
            <v>HAGER</v>
          </cell>
        </row>
        <row r="2169">
          <cell r="A2169" t="str">
            <v>HNE800U (MCCB h1000 3P 50kA 800A LSI)</v>
          </cell>
          <cell r="B2169" t="str">
            <v>HNE800U(MCCB h1000 3P 50kA 800A LSI)</v>
          </cell>
          <cell r="C2169" t="str">
            <v>HAGER</v>
          </cell>
          <cell r="D2169" t="str">
            <v>HAGER</v>
          </cell>
        </row>
        <row r="2170">
          <cell r="A2170" t="str">
            <v>HEE970U (MCCB h1000 3P 70kA 1000A LSI)</v>
          </cell>
          <cell r="B2170" t="str">
            <v>HEE970U(MCCB h1000 3P 70kA 1000A LSI)</v>
          </cell>
          <cell r="C2170" t="str">
            <v>HAGER</v>
          </cell>
          <cell r="D2170" t="str">
            <v>HAGER</v>
          </cell>
        </row>
        <row r="2171">
          <cell r="A2171" t="str">
            <v>HEE800U (MCCB h1000 3P 70kA 800A LSI)</v>
          </cell>
          <cell r="B2171" t="str">
            <v>HEE800U(MCCB h1000 3P 70kA 800A LSI)</v>
          </cell>
          <cell r="C2171" t="str">
            <v>HAGER</v>
          </cell>
          <cell r="D2171" t="str">
            <v>HAGER</v>
          </cell>
        </row>
        <row r="2172">
          <cell r="A2172" t="str">
            <v>HNE971U (MCCB h1000 4P 50kA 1000A LSI)</v>
          </cell>
          <cell r="B2172" t="str">
            <v>HNE971U(MCCB h1000 4P 50kA 1000A LSI)</v>
          </cell>
          <cell r="C2172" t="str">
            <v>HAGER</v>
          </cell>
          <cell r="D2172" t="str">
            <v>HAGER</v>
          </cell>
        </row>
        <row r="2173">
          <cell r="A2173" t="str">
            <v>HNE801U (MCCB h1000 4P 50kA 800A LSI)</v>
          </cell>
          <cell r="B2173" t="str">
            <v>HNE801U(MCCB h1000 4P 50kA 800A LSI)</v>
          </cell>
          <cell r="C2173" t="str">
            <v>HAGER</v>
          </cell>
          <cell r="D2173" t="str">
            <v>HAGER</v>
          </cell>
        </row>
        <row r="2174">
          <cell r="A2174" t="str">
            <v>HEE971U (MCCB h1000 4P 70kA 1000A LSI)</v>
          </cell>
          <cell r="B2174" t="str">
            <v>HEE971U(MCCB h1000 4P 70kA 1000A LSI)</v>
          </cell>
          <cell r="C2174" t="str">
            <v>HAGER</v>
          </cell>
          <cell r="D2174" t="str">
            <v>HAGER</v>
          </cell>
        </row>
        <row r="2175">
          <cell r="A2175" t="str">
            <v>HEE801U (MCCB h1000 4P 70kA 800A LSI)</v>
          </cell>
          <cell r="B2175" t="str">
            <v>HEE801U(MCCB h1000 4P 70kA 800A LSI)</v>
          </cell>
          <cell r="C2175" t="str">
            <v>HAGER</v>
          </cell>
          <cell r="D2175" t="str">
            <v>HAGER</v>
          </cell>
        </row>
        <row r="2176">
          <cell r="A2176" t="str">
            <v>HNF980U (MCCB h1600 3P 50kA 1250A LSI)</v>
          </cell>
          <cell r="B2176" t="str">
            <v>HNF980U(MCCB h1600 3P 50kA 1250A LSI)</v>
          </cell>
          <cell r="C2176" t="str">
            <v>HAGER</v>
          </cell>
          <cell r="D2176" t="str">
            <v>HAGER</v>
          </cell>
        </row>
        <row r="2177">
          <cell r="A2177" t="str">
            <v>HNF990U (MCCB h1600 3P 50kA 1600A LSI)</v>
          </cell>
          <cell r="B2177" t="str">
            <v>HNF990U(MCCB h1600 3P 50kA 1600A LSI)</v>
          </cell>
          <cell r="C2177" t="str">
            <v>HAGER</v>
          </cell>
          <cell r="D2177" t="str">
            <v>HAGER</v>
          </cell>
        </row>
        <row r="2178">
          <cell r="A2178" t="str">
            <v>HEF980U (MCCB h1600 3P 70kA 1250A LSI)</v>
          </cell>
          <cell r="B2178" t="str">
            <v>HEF980U(MCCB h1600 3P 70kA 1250A LSI)</v>
          </cell>
          <cell r="C2178" t="str">
            <v>HAGER</v>
          </cell>
          <cell r="D2178" t="str">
            <v>HAGER</v>
          </cell>
        </row>
        <row r="2179">
          <cell r="A2179" t="str">
            <v>HEF990U (MCCB h1600 3P 70kA 1600A LSI)</v>
          </cell>
          <cell r="B2179" t="str">
            <v>HEF990U(MCCB h1600 3P 70kA 1600A LSI)</v>
          </cell>
          <cell r="C2179" t="str">
            <v>HAGER</v>
          </cell>
          <cell r="D2179" t="str">
            <v>HAGER</v>
          </cell>
        </row>
        <row r="2180">
          <cell r="A2180" t="str">
            <v>HNF981U (MCCB h1600 4P 50kA 1250A LSI)</v>
          </cell>
          <cell r="B2180" t="str">
            <v>HNF981U(MCCB h1600 4P 50kA 1250A LSI)</v>
          </cell>
          <cell r="C2180" t="str">
            <v>HAGER</v>
          </cell>
          <cell r="D2180" t="str">
            <v>HAGER</v>
          </cell>
        </row>
        <row r="2181">
          <cell r="A2181" t="str">
            <v>HNF991U (MCCB h1600 4P 50kA 1600A LSI)</v>
          </cell>
          <cell r="B2181" t="str">
            <v>HNF991U(MCCB h1600 4P 50kA 1600A LSI)</v>
          </cell>
          <cell r="C2181" t="str">
            <v>HAGER</v>
          </cell>
          <cell r="D2181" t="str">
            <v>HAGER</v>
          </cell>
        </row>
        <row r="2182">
          <cell r="A2182" t="str">
            <v>HEF981U (MCCB h1600 4P 70kA 1250A LSI)</v>
          </cell>
          <cell r="B2182" t="str">
            <v>HEF981U(MCCB h1600 4P 70kA 1250A LSI)</v>
          </cell>
          <cell r="C2182" t="str">
            <v>HAGER</v>
          </cell>
          <cell r="D2182" t="str">
            <v>HAGER</v>
          </cell>
        </row>
        <row r="2183">
          <cell r="A2183" t="str">
            <v>HEF991U (MCCB h1600 4P 70kA 1600A LSI)</v>
          </cell>
          <cell r="B2183" t="str">
            <v>HEF991U(MCCB h1600 4P 70kA 1600A LSI)</v>
          </cell>
          <cell r="C2183" t="str">
            <v>HAGER</v>
          </cell>
          <cell r="D2183" t="str">
            <v>HAGER</v>
          </cell>
        </row>
        <row r="2184">
          <cell r="A2184" t="str">
            <v>HDA100N (MCCB h2 3P 10kA 100A)</v>
          </cell>
          <cell r="B2184" t="str">
            <v>HDA100N(MCCB h2 3P 10kA 100A)</v>
          </cell>
          <cell r="C2184" t="str">
            <v>HAGER</v>
          </cell>
          <cell r="D2184" t="str">
            <v>HAGER</v>
          </cell>
        </row>
        <row r="2185">
          <cell r="A2185" t="str">
            <v>HDA063N (MCCB h2 3P 10kA 63A)</v>
          </cell>
          <cell r="B2185" t="str">
            <v>HDA063N(MCCB h2 3P 10kA 63A)</v>
          </cell>
          <cell r="C2185" t="str">
            <v>HAGER</v>
          </cell>
          <cell r="D2185" t="str">
            <v>HAGER</v>
          </cell>
        </row>
        <row r="2186">
          <cell r="A2186" t="str">
            <v>HHG100U (MCCB h250 3P 25kA 100A TM)</v>
          </cell>
          <cell r="B2186" t="str">
            <v>HHG100U(MCCB h250 3P 25kA 100A TM)</v>
          </cell>
          <cell r="C2186" t="str">
            <v>HAGER</v>
          </cell>
          <cell r="D2186" t="str">
            <v>HAGER</v>
          </cell>
        </row>
        <row r="2187">
          <cell r="A2187" t="str">
            <v>HHG125U (MCCB h250 3P 25kA 125A TM)</v>
          </cell>
          <cell r="B2187" t="str">
            <v>HHG125U(MCCB h250 3P 25kA 125A TM)</v>
          </cell>
          <cell r="C2187" t="str">
            <v>HAGER</v>
          </cell>
          <cell r="D2187" t="str">
            <v>HAGER</v>
          </cell>
        </row>
        <row r="2188">
          <cell r="A2188" t="str">
            <v>HHG160U (MCCB h250 3P 25kA 160A TM)</v>
          </cell>
          <cell r="B2188" t="str">
            <v>HHG160U(MCCB h250 3P 25kA 160A TM)</v>
          </cell>
          <cell r="C2188" t="str">
            <v>HAGER</v>
          </cell>
          <cell r="D2188" t="str">
            <v>HAGER</v>
          </cell>
        </row>
        <row r="2189">
          <cell r="A2189" t="str">
            <v>HHG200U (MCCB h250 3P 25kA 200A TM)</v>
          </cell>
          <cell r="B2189" t="str">
            <v>HHG200U(MCCB h250 3P 25kA 200A TM)</v>
          </cell>
          <cell r="C2189" t="str">
            <v>HAGER</v>
          </cell>
          <cell r="D2189" t="str">
            <v>HAGER</v>
          </cell>
        </row>
        <row r="2190">
          <cell r="A2190" t="str">
            <v>HHG250U (MCCB h250 3P 25kA 250A TM)</v>
          </cell>
          <cell r="B2190" t="str">
            <v>HHG250U(MCCB h250 3P 25kA 250A TM)</v>
          </cell>
          <cell r="C2190" t="str">
            <v>HAGER</v>
          </cell>
          <cell r="D2190" t="str">
            <v>HAGER</v>
          </cell>
        </row>
        <row r="2191">
          <cell r="A2191" t="str">
            <v>HHG063U (MCCB h250 3P 25kA 63A TM)</v>
          </cell>
          <cell r="B2191" t="str">
            <v>HHG063U(MCCB h250 3P 25kA 63A TM)</v>
          </cell>
          <cell r="C2191" t="str">
            <v>HAGER</v>
          </cell>
          <cell r="D2191" t="str">
            <v>HAGER</v>
          </cell>
        </row>
        <row r="2192">
          <cell r="A2192" t="str">
            <v>HNG100U (MCCB h250 3P 50kA 100A TM)</v>
          </cell>
          <cell r="B2192" t="str">
            <v>HNG100U(MCCB h250 3P 50kA 100A TM)</v>
          </cell>
          <cell r="C2192" t="str">
            <v>HAGER</v>
          </cell>
          <cell r="D2192" t="str">
            <v>HAGER</v>
          </cell>
        </row>
        <row r="2193">
          <cell r="A2193" t="str">
            <v>HNC125U (MCCB h250 3P 50kA 125A LSI)</v>
          </cell>
          <cell r="B2193" t="str">
            <v>HNC125U(MCCB h250 3P 50kA 125A LSI)</v>
          </cell>
          <cell r="C2193" t="str">
            <v>HAGER</v>
          </cell>
          <cell r="D2193" t="str">
            <v>HAGER</v>
          </cell>
        </row>
        <row r="2194">
          <cell r="A2194" t="str">
            <v>HNG125U (MCCB h250 3P 50kA 125A TM)</v>
          </cell>
          <cell r="B2194" t="str">
            <v>HNG125U(MCCB h250 3P 50kA 125A TM)</v>
          </cell>
          <cell r="C2194" t="str">
            <v>HAGER</v>
          </cell>
          <cell r="D2194" t="str">
            <v>HAGER</v>
          </cell>
        </row>
        <row r="2195">
          <cell r="A2195" t="str">
            <v>HNG160U (MCCB h250 3P 50kA 160A TM)</v>
          </cell>
          <cell r="B2195" t="str">
            <v>HNG160U(MCCB h250 3P 50kA 160A TM)</v>
          </cell>
          <cell r="C2195" t="str">
            <v>HAGER</v>
          </cell>
          <cell r="D2195" t="str">
            <v>HAGER</v>
          </cell>
        </row>
        <row r="2196">
          <cell r="A2196" t="str">
            <v>HNG200U (MCCB h250 3P 50kA 200A TM)</v>
          </cell>
          <cell r="B2196" t="str">
            <v>HNG200U(MCCB h250 3P 50kA 200A TM)</v>
          </cell>
          <cell r="C2196" t="str">
            <v>HAGER</v>
          </cell>
          <cell r="D2196" t="str">
            <v>HAGER</v>
          </cell>
        </row>
        <row r="2197">
          <cell r="A2197" t="str">
            <v>HNC250U (MCCB h250 3P 50kA 250A LSI)</v>
          </cell>
          <cell r="B2197" t="str">
            <v>HNC250U(MCCB h250 3P 50kA 250A LSI)</v>
          </cell>
          <cell r="C2197" t="str">
            <v>HAGER</v>
          </cell>
          <cell r="D2197" t="str">
            <v>HAGER</v>
          </cell>
        </row>
        <row r="2198">
          <cell r="A2198" t="str">
            <v>HNG250U (MCCB h250 3P 50kA 250A TM)</v>
          </cell>
          <cell r="B2198" t="str">
            <v>HNG250U(MCCB h250 3P 50kA 250A TM)</v>
          </cell>
          <cell r="C2198" t="str">
            <v>HAGER</v>
          </cell>
          <cell r="D2198" t="str">
            <v>HAGER</v>
          </cell>
        </row>
        <row r="2199">
          <cell r="A2199" t="str">
            <v>HNC040U (MCCB h250 3P 50kA 40A LSI)</v>
          </cell>
          <cell r="B2199" t="str">
            <v>HNC040U(MCCB h250 3P 50kA 40A LSI)</v>
          </cell>
          <cell r="C2199" t="str">
            <v>HAGER</v>
          </cell>
          <cell r="D2199" t="str">
            <v>HAGER</v>
          </cell>
        </row>
        <row r="2200">
          <cell r="A2200" t="str">
            <v>HNG063U (MCCB h250 3P 50kA 63A TM)</v>
          </cell>
          <cell r="B2200" t="str">
            <v>HNG063U(MCCB h250 3P 50kA 63A TM)</v>
          </cell>
          <cell r="C2200" t="str">
            <v>HAGER</v>
          </cell>
          <cell r="D2200" t="str">
            <v>HAGER</v>
          </cell>
        </row>
        <row r="2201">
          <cell r="A2201" t="str">
            <v>HEG200U (MCCB h250 3P 65kA 200A TM)</v>
          </cell>
          <cell r="B2201" t="str">
            <v>HEG200U(MCCB h250 3P 65kA 200A TM)</v>
          </cell>
          <cell r="C2201" t="str">
            <v>HAGER</v>
          </cell>
          <cell r="D2201" t="str">
            <v>HAGER</v>
          </cell>
        </row>
        <row r="2202">
          <cell r="A2202" t="str">
            <v>HEG250U (MCCB h250 3P 65kA 250A TM)</v>
          </cell>
          <cell r="B2202" t="str">
            <v>HEG250U(MCCB h250 3P 65kA 250A TM)</v>
          </cell>
          <cell r="C2202" t="str">
            <v>HAGER</v>
          </cell>
          <cell r="D2202" t="str">
            <v>HAGER</v>
          </cell>
        </row>
        <row r="2203">
          <cell r="A2203" t="str">
            <v>HEC125U (MCCB h250 3P 70kA 125A LSI)</v>
          </cell>
          <cell r="B2203" t="str">
            <v>HEC125U(MCCB h250 3P 70kA 125A LSI)</v>
          </cell>
          <cell r="C2203" t="str">
            <v>HAGER</v>
          </cell>
          <cell r="D2203" t="str">
            <v>HAGER</v>
          </cell>
        </row>
        <row r="2204">
          <cell r="A2204" t="str">
            <v>HEC250U (MCCB h250 3P 70kA 250A LSI)</v>
          </cell>
          <cell r="B2204" t="str">
            <v>HEC250U(MCCB h250 3P 70kA 250A LSI)</v>
          </cell>
          <cell r="C2204" t="str">
            <v>HAGER</v>
          </cell>
          <cell r="D2204" t="str">
            <v>HAGER</v>
          </cell>
        </row>
        <row r="2205">
          <cell r="A2205" t="str">
            <v>HEC040U (MCCB h250 3P 70kA 40A LSI)</v>
          </cell>
          <cell r="B2205" t="str">
            <v>HEC040U(MCCB h250 3P 70kA 40A LSI)</v>
          </cell>
          <cell r="C2205" t="str">
            <v>HAGER</v>
          </cell>
          <cell r="D2205" t="str">
            <v>HAGER</v>
          </cell>
        </row>
        <row r="2206">
          <cell r="A2206" t="str">
            <v>HNC126U (MCCB h250 4P 50kA 125A LSI)</v>
          </cell>
          <cell r="B2206" t="str">
            <v>HNC126U(MCCB h250 4P 50kA 125A LSI)</v>
          </cell>
          <cell r="C2206" t="str">
            <v>HAGER</v>
          </cell>
          <cell r="D2206" t="str">
            <v>HAGER</v>
          </cell>
        </row>
        <row r="2207">
          <cell r="A2207" t="str">
            <v>HNC251U (MCCB h250 4P 50kA 250A LSI)</v>
          </cell>
          <cell r="B2207" t="str">
            <v>HNC251U(MCCB h250 4P 50kA 250A LSI)</v>
          </cell>
          <cell r="C2207" t="str">
            <v>HAGER</v>
          </cell>
          <cell r="D2207" t="str">
            <v>HAGER</v>
          </cell>
        </row>
        <row r="2208">
          <cell r="A2208" t="str">
            <v>HNC041U (MCCB h250 4P 50kA 40A LSI)</v>
          </cell>
          <cell r="B2208" t="str">
            <v>HNC041U(MCCB h250 4P 50kA 40A LSI)</v>
          </cell>
          <cell r="C2208" t="str">
            <v>HAGER</v>
          </cell>
          <cell r="D2208" t="str">
            <v>HAGER</v>
          </cell>
        </row>
        <row r="2209">
          <cell r="A2209" t="str">
            <v>HEC126U (MCCB h250 4P 70kA 125A LSI)</v>
          </cell>
          <cell r="B2209" t="str">
            <v>HEC126U(MCCB h250 4P 70kA 125A LSI)</v>
          </cell>
          <cell r="C2209" t="str">
            <v>HAGER</v>
          </cell>
          <cell r="D2209" t="str">
            <v>HAGER</v>
          </cell>
        </row>
        <row r="2210">
          <cell r="A2210" t="str">
            <v>HEC251U (MCCB h250 4P 70kA 250A LSI)</v>
          </cell>
          <cell r="B2210" t="str">
            <v>HEC251U(MCCB h250 4P 70kA 250A LSI)</v>
          </cell>
          <cell r="C2210" t="str">
            <v>HAGER</v>
          </cell>
          <cell r="D2210" t="str">
            <v>HAGER</v>
          </cell>
        </row>
        <row r="2211">
          <cell r="A2211" t="str">
            <v>HEC041U (MCCB h250 4P 70kA 40A LSI)</v>
          </cell>
          <cell r="B2211" t="str">
            <v>HEC041U(MCCB h250 4P 70kA 40A LSI)</v>
          </cell>
          <cell r="C2211" t="str">
            <v>HAGER</v>
          </cell>
          <cell r="D2211" t="str">
            <v>HAGER</v>
          </cell>
        </row>
        <row r="2212">
          <cell r="A2212" t="str">
            <v>HHS100DR (MCCB H3+ P160 TM 3X100A 25kA)</v>
          </cell>
          <cell r="B2212" t="str">
            <v>HHS100DR(MCCB H3+ P160 TM 3X100A 25kA)</v>
          </cell>
          <cell r="C2212" t="str">
            <v>HAGER</v>
          </cell>
          <cell r="D2212" t="str">
            <v>HAGER</v>
          </cell>
        </row>
        <row r="2213">
          <cell r="A2213" t="str">
            <v>HHS125DR (MCCB H3+P160 TM 3X125A 25kA)</v>
          </cell>
          <cell r="B2213" t="str">
            <v>HHS125DR(MCCB H3+P160 TM 3X125A 25kA)</v>
          </cell>
          <cell r="C2213" t="str">
            <v>HAGER</v>
          </cell>
          <cell r="D2213" t="str">
            <v>HAGER</v>
          </cell>
        </row>
        <row r="2214">
          <cell r="A2214" t="str">
            <v>HHS160DR (MCCB H3+P160 TM 3X160A 25kA)</v>
          </cell>
          <cell r="B2214" t="str">
            <v>HHS160DR(MCCB H3+P160 TM 3X160A 25kA)</v>
          </cell>
          <cell r="C2214" t="str">
            <v>HAGER</v>
          </cell>
          <cell r="D2214" t="str">
            <v>HAGER</v>
          </cell>
        </row>
        <row r="2215">
          <cell r="A2215" t="str">
            <v>HHD400U (MCCB h400 3P 25kA 400A TM)</v>
          </cell>
          <cell r="B2215" t="str">
            <v>HHD400U(MCCB h400 3P 25kA 400A TM)</v>
          </cell>
          <cell r="C2215" t="str">
            <v>HAGER</v>
          </cell>
          <cell r="D2215" t="str">
            <v>HAGER</v>
          </cell>
        </row>
        <row r="2216">
          <cell r="A2216" t="str">
            <v>HND400U (MCCB h400 3P 50kA 400A TM)</v>
          </cell>
          <cell r="B2216" t="str">
            <v>HND400U(MCCB h400 3P 50kA 400A TM)</v>
          </cell>
          <cell r="C2216" t="str">
            <v>HAGER</v>
          </cell>
          <cell r="D2216" t="str">
            <v>HAGER</v>
          </cell>
        </row>
        <row r="2217">
          <cell r="A2217" t="str">
            <v>HND630U (MCCB h400 3P 50kA 630A LSI)</v>
          </cell>
          <cell r="B2217" t="str">
            <v>HND630U(MCCB h400 3P 50kA 630A LSI)</v>
          </cell>
          <cell r="C2217" t="str">
            <v>HAGER</v>
          </cell>
          <cell r="D2217" t="str">
            <v>HAGER</v>
          </cell>
        </row>
        <row r="2218">
          <cell r="A2218" t="str">
            <v>HED630U (MCCB h400 3P 70kA 630A LSI)</v>
          </cell>
          <cell r="B2218" t="str">
            <v>HED630U(MCCB h400 3P 70kA 630A LSI)</v>
          </cell>
          <cell r="C2218" t="str">
            <v>HAGER</v>
          </cell>
          <cell r="D2218" t="str">
            <v>HAGER</v>
          </cell>
        </row>
        <row r="2219">
          <cell r="A2219" t="str">
            <v>HND251U (MCCB h400 4P 50kA 250A TM)</v>
          </cell>
          <cell r="B2219" t="str">
            <v>HND251U(MCCB h400 4P 50kA 250A TM)</v>
          </cell>
          <cell r="C2219" t="str">
            <v>HAGER</v>
          </cell>
          <cell r="D2219" t="str">
            <v>HAGER</v>
          </cell>
        </row>
        <row r="2220">
          <cell r="A2220" t="str">
            <v>HND401U (MCCB h400 4P 50kA 400A TM)</v>
          </cell>
          <cell r="B2220" t="str">
            <v>HND401U(MCCB h400 4P 50kA 400A TM)</v>
          </cell>
          <cell r="C2220" t="str">
            <v>HAGER</v>
          </cell>
          <cell r="D2220" t="str">
            <v>HAGER</v>
          </cell>
        </row>
        <row r="2221">
          <cell r="A2221" t="str">
            <v>HND400H (MCCB h630 3P 50kA 400A LSI)</v>
          </cell>
          <cell r="B2221" t="str">
            <v>HND400H(MCCB h630 3P 50kA 400A LSI)</v>
          </cell>
          <cell r="C2221" t="str">
            <v>HAGER</v>
          </cell>
          <cell r="D2221" t="str">
            <v>HAGER</v>
          </cell>
        </row>
        <row r="2222">
          <cell r="A2222" t="str">
            <v>HED400U (MCCB h630 3P 70kA 400A LSI)</v>
          </cell>
          <cell r="B2222" t="str">
            <v>HED400U(MCCB h630 3P 70kA 400A LSI)</v>
          </cell>
          <cell r="C2222" t="str">
            <v>HAGER</v>
          </cell>
          <cell r="D2222" t="str">
            <v>HAGER</v>
          </cell>
        </row>
        <row r="2223">
          <cell r="A2223" t="str">
            <v>HND401H (MCCB h630 4P 50kA 400A LSI)</v>
          </cell>
          <cell r="B2223" t="str">
            <v>HND401H(MCCB h630 4P 50kA 400A LSI)</v>
          </cell>
          <cell r="C2223" t="str">
            <v>HAGER</v>
          </cell>
          <cell r="D2223" t="str">
            <v>HAGER</v>
          </cell>
        </row>
        <row r="2224">
          <cell r="A2224" t="str">
            <v>HND631U (MCCB h630 4P 50kA 630A LSI)</v>
          </cell>
          <cell r="B2224" t="str">
            <v>HND631U(MCCB h630 4P 50kA 630A LSI)</v>
          </cell>
          <cell r="C2224" t="str">
            <v>HAGER</v>
          </cell>
          <cell r="D2224" t="str">
            <v>HAGER</v>
          </cell>
        </row>
        <row r="2225">
          <cell r="A2225" t="str">
            <v>HED401U (MCCB h630 4P 70kA 400A LSI)</v>
          </cell>
          <cell r="B2225" t="str">
            <v>HED401U(MCCB h630 4P 70kA 400A LSI)</v>
          </cell>
          <cell r="C2225" t="str">
            <v>HAGER</v>
          </cell>
          <cell r="D2225" t="str">
            <v>HAGER</v>
          </cell>
        </row>
        <row r="2226">
          <cell r="A2226" t="str">
            <v>HED631U (MCCB h630 4P 70kA 630A LSI)</v>
          </cell>
          <cell r="B2226" t="str">
            <v>HED631U(MCCB h630 4P 70kA 630A LSI)</v>
          </cell>
          <cell r="C2226" t="str">
            <v>HAGER</v>
          </cell>
          <cell r="D2226" t="str">
            <v>HAGER</v>
          </cell>
        </row>
        <row r="2227">
          <cell r="A2227" t="str">
            <v>VYP12GMZ (MCCB PPI TPN 12way IP43 Acrylic Door DB)</v>
          </cell>
          <cell r="B2227" t="str">
            <v>VYP12GMZ(MCCB PPI TPN 12way IP43 Acrylic Door DB)</v>
          </cell>
          <cell r="C2227" t="str">
            <v>HAGER</v>
          </cell>
          <cell r="D2227" t="str">
            <v>HAGER</v>
          </cell>
        </row>
        <row r="2228">
          <cell r="A2228" t="str">
            <v>VYP12DMZ (MCCB PPI TPN 12way IP43 Double Door DB)</v>
          </cell>
          <cell r="B2228" t="str">
            <v>VYP12DMZ(MCCB PPI TPN 12way IP43 Double Door DB)</v>
          </cell>
          <cell r="C2228" t="str">
            <v>HAGER</v>
          </cell>
          <cell r="D2228" t="str">
            <v>HAGER</v>
          </cell>
        </row>
        <row r="2229">
          <cell r="A2229" t="str">
            <v>VYG12DMZ (MCCB PSG TPN 12way IP42 Double Door DB)</v>
          </cell>
          <cell r="B2229" t="str">
            <v>VYG12DMZ(MCCB PSG TPN 12way IP42 Double Door DB)</v>
          </cell>
          <cell r="C2229" t="str">
            <v>HAGER</v>
          </cell>
          <cell r="D2229" t="str">
            <v>HAGER</v>
          </cell>
        </row>
        <row r="2230">
          <cell r="A2230" t="str">
            <v>VYG04DMZ (MCCB PSG TPN 4way IP42 Double Door DB)</v>
          </cell>
          <cell r="B2230" t="str">
            <v>VYG04DMZ(MCCB PSG TPN 4way IP42 Double Door DB)</v>
          </cell>
          <cell r="C2230" t="str">
            <v>HAGER</v>
          </cell>
          <cell r="D2230" t="str">
            <v>HAGER</v>
          </cell>
        </row>
        <row r="2231">
          <cell r="A2231" t="str">
            <v>VYG06DMZ (MCCB PSG TPN 6way IP42 Double Door DB)</v>
          </cell>
          <cell r="B2231" t="str">
            <v>VYG06DMZ(MCCB PSG TPN 6way IP42 Double Door DB)</v>
          </cell>
          <cell r="C2231" t="str">
            <v>HAGER</v>
          </cell>
          <cell r="D2231" t="str">
            <v>HAGER</v>
          </cell>
        </row>
        <row r="2232">
          <cell r="A2232" t="str">
            <v>VYG08DMZ (MCCB PSG TPN 8way IP42 Double Door DB)</v>
          </cell>
          <cell r="B2232" t="str">
            <v>VYG08DMZ(MCCB PSG TPN 8way IP42 Double Door DB)</v>
          </cell>
          <cell r="C2232" t="str">
            <v>HAGER</v>
          </cell>
          <cell r="D2232" t="str">
            <v>HAGER</v>
          </cell>
        </row>
        <row r="2233">
          <cell r="A2233" t="str">
            <v>VYG08DM (MCCB PSG TPN 8way IP42 Double Door DB_x000D_
)</v>
          </cell>
          <cell r="B2233" t="str">
            <v>VYG08DM(MCCB PSG TPN 8way IP42 Double Door DB_x000D_
)</v>
          </cell>
          <cell r="C2233" t="str">
            <v>HAGER</v>
          </cell>
          <cell r="D2233" t="str">
            <v>HAGER</v>
          </cell>
        </row>
        <row r="2234">
          <cell r="A2234" t="str">
            <v>VYV12GMZ (MCCB VTPN 12way IP42 Acrylic Door DB)</v>
          </cell>
          <cell r="B2234" t="str">
            <v>VYV12GMZ(MCCB VTPN 12way IP42 Acrylic Door DB)</v>
          </cell>
          <cell r="C2234" t="str">
            <v>HAGER</v>
          </cell>
          <cell r="D2234" t="str">
            <v>HAGER</v>
          </cell>
        </row>
        <row r="2235">
          <cell r="A2235" t="str">
            <v>VYV12DMZ (MCCB VTPN 12way IP42 Double Door DB)</v>
          </cell>
          <cell r="B2235" t="str">
            <v>VYV12DMZ(MCCB VTPN 12way IP42 Double Door DB)</v>
          </cell>
          <cell r="C2235" t="str">
            <v>HAGER</v>
          </cell>
          <cell r="D2235" t="str">
            <v>HAGER</v>
          </cell>
        </row>
        <row r="2236">
          <cell r="A2236" t="str">
            <v>VYV12DM (MCCB VTPN 12way IP42 Double Door DB_x000D_
)</v>
          </cell>
          <cell r="B2236" t="str">
            <v>VYV12DM(MCCB VTPN 12way IP42 Double Door DB_x000D_
)</v>
          </cell>
          <cell r="C2236" t="str">
            <v>HAGER</v>
          </cell>
          <cell r="D2236" t="str">
            <v>HAGER</v>
          </cell>
        </row>
        <row r="2237">
          <cell r="A2237" t="str">
            <v>VYV12PMZ (MCCB VTPN 12way IP54 Double Door DB)</v>
          </cell>
          <cell r="B2237" t="str">
            <v>VYV12PMZ(MCCB VTPN 12way IP54 Double Door DB)</v>
          </cell>
          <cell r="C2237" t="str">
            <v>HAGER</v>
          </cell>
          <cell r="D2237" t="str">
            <v>HAGER</v>
          </cell>
        </row>
        <row r="2238">
          <cell r="A2238" t="str">
            <v>VYV16GMZ (MCCB VTPN 16way IP42 Acrylic Door DB)</v>
          </cell>
          <cell r="B2238" t="str">
            <v>VYV16GMZ(MCCB VTPN 16way IP42 Acrylic Door DB)</v>
          </cell>
          <cell r="C2238" t="str">
            <v>HAGER</v>
          </cell>
          <cell r="D2238" t="str">
            <v>HAGER</v>
          </cell>
        </row>
        <row r="2239">
          <cell r="A2239" t="str">
            <v>VYV16DMZ (MCCB VTPN 16way IP42 Double Door DB)</v>
          </cell>
          <cell r="B2239" t="str">
            <v>VYV16DMZ(MCCB VTPN 16way IP42 Double Door DB)</v>
          </cell>
          <cell r="C2239" t="str">
            <v>HAGER</v>
          </cell>
          <cell r="D2239" t="str">
            <v>HAGER</v>
          </cell>
        </row>
        <row r="2240">
          <cell r="A2240" t="str">
            <v>VYV04GMZ (MCCB VTPN 4way IP42 Acrylic Door DB)</v>
          </cell>
          <cell r="B2240" t="str">
            <v>VYV04GMZ(MCCB VTPN 4way IP42 Acrylic Door DB)</v>
          </cell>
          <cell r="C2240" t="str">
            <v>HAGER</v>
          </cell>
          <cell r="D2240" t="str">
            <v>HAGER</v>
          </cell>
        </row>
        <row r="2241">
          <cell r="A2241" t="str">
            <v>VYV04DMZ (MCCB VTPN 4way IP42 Double Door DB)</v>
          </cell>
          <cell r="B2241" t="str">
            <v>VYV04DMZ(MCCB VTPN 4way IP42 Double Door DB)</v>
          </cell>
          <cell r="C2241" t="str">
            <v>HAGER</v>
          </cell>
          <cell r="D2241" t="str">
            <v>HAGER</v>
          </cell>
        </row>
        <row r="2242">
          <cell r="A2242" t="str">
            <v>VYV04DM-P_x000D_
 (MCCB VTPN 4way IP42 Double Door DB_x000D_
)</v>
          </cell>
          <cell r="B2242" t="str">
            <v>VYV04DM-P_x000D_
(MCCB VTPN 4way IP42 Double Door DB_x000D_
)</v>
          </cell>
          <cell r="C2242" t="str">
            <v>HAGER</v>
          </cell>
          <cell r="D2242" t="str">
            <v>HAGER</v>
          </cell>
        </row>
        <row r="2243">
          <cell r="A2243" t="str">
            <v>VYV04PMZ (MCCB VTPN 4way IP54 Double Door DB)</v>
          </cell>
          <cell r="B2243" t="str">
            <v>VYV04PMZ(MCCB VTPN 4way IP54 Double Door DB)</v>
          </cell>
          <cell r="C2243" t="str">
            <v>HAGER</v>
          </cell>
          <cell r="D2243" t="str">
            <v>HAGER</v>
          </cell>
        </row>
        <row r="2244">
          <cell r="A2244" t="str">
            <v>VYV06GMZ (MCCB VTPN 6way IP42 Acrylic Door DB)</v>
          </cell>
          <cell r="B2244" t="str">
            <v>VYV06GMZ(MCCB VTPN 6way IP42 Acrylic Door DB)</v>
          </cell>
          <cell r="C2244" t="str">
            <v>HAGER</v>
          </cell>
          <cell r="D2244" t="str">
            <v>HAGER</v>
          </cell>
        </row>
        <row r="2245">
          <cell r="A2245" t="str">
            <v>VYV06DMZ (MCCB VTPN 6way IP42 Double Door DB)</v>
          </cell>
          <cell r="B2245" t="str">
            <v>VYV06DMZ(MCCB VTPN 6way IP42 Double Door DB)</v>
          </cell>
          <cell r="C2245" t="str">
            <v>HAGER</v>
          </cell>
          <cell r="D2245" t="str">
            <v>HAGER</v>
          </cell>
        </row>
        <row r="2246">
          <cell r="A2246" t="str">
            <v>VYV06DM-P (MCCB VTPN 6way IP42 Double Door DB_x000D_
)</v>
          </cell>
          <cell r="B2246" t="str">
            <v>VYV06DM-P(MCCB VTPN 6way IP42 Double Door DB_x000D_
)</v>
          </cell>
          <cell r="C2246" t="str">
            <v>HAGER</v>
          </cell>
          <cell r="D2246" t="str">
            <v>HAGER</v>
          </cell>
        </row>
        <row r="2247">
          <cell r="A2247" t="str">
            <v>VYV06PMZ (MCCB VTPN 6way IP54 Double Door DB)</v>
          </cell>
          <cell r="B2247" t="str">
            <v>VYV06PMZ(MCCB VTPN 6way IP54 Double Door DB)</v>
          </cell>
          <cell r="C2247" t="str">
            <v>HAGER</v>
          </cell>
          <cell r="D2247" t="str">
            <v>HAGER</v>
          </cell>
        </row>
        <row r="2248">
          <cell r="A2248" t="str">
            <v>VYV08GMZ (MCCB VTPN 8way IP42 Acrylic Door DB)</v>
          </cell>
          <cell r="B2248" t="str">
            <v>VYV08GMZ(MCCB VTPN 8way IP42 Acrylic Door DB)</v>
          </cell>
          <cell r="C2248" t="str">
            <v>HAGER</v>
          </cell>
          <cell r="D2248" t="str">
            <v>HAGER</v>
          </cell>
        </row>
        <row r="2249">
          <cell r="A2249" t="str">
            <v>VYV08DMZ (MCCB VTPN 8way IP42 Double Door DB)</v>
          </cell>
          <cell r="B2249" t="str">
            <v>VYV08DMZ(MCCB VTPN 8way IP42 Double Door DB)</v>
          </cell>
          <cell r="C2249" t="str">
            <v>HAGER</v>
          </cell>
          <cell r="D2249" t="str">
            <v>HAGER</v>
          </cell>
        </row>
        <row r="2250">
          <cell r="A2250" t="str">
            <v>VYV08DM-P (MCCB VTPN 8way IP42 Double Door DB_x000D_
)</v>
          </cell>
          <cell r="B2250" t="str">
            <v>VYV08DM-P(MCCB VTPN 8way IP42 Double Door DB_x000D_
)</v>
          </cell>
          <cell r="C2250" t="str">
            <v>HAGER</v>
          </cell>
          <cell r="D2250" t="str">
            <v>HAGER</v>
          </cell>
        </row>
        <row r="2251">
          <cell r="A2251" t="str">
            <v>VYV08PMZ (MCCB VTPN 8way IP54 Double Door DB)</v>
          </cell>
          <cell r="B2251" t="str">
            <v>VYV08PMZ(MCCB VTPN 8way IP54 Double Door DB)</v>
          </cell>
          <cell r="C2251" t="str">
            <v>HAGER</v>
          </cell>
          <cell r="D2251" t="str">
            <v>HAGER</v>
          </cell>
        </row>
        <row r="2252">
          <cell r="A2252" t="str">
            <v>HDA100Z (MCCB X160 3P 18kA 100A)</v>
          </cell>
          <cell r="B2252" t="str">
            <v>HDA100Z(MCCB X160 3P 18kA 100A)</v>
          </cell>
          <cell r="C2252" t="str">
            <v>HAGER</v>
          </cell>
          <cell r="D2252" t="str">
            <v>HAGER</v>
          </cell>
        </row>
        <row r="2253">
          <cell r="A2253" t="str">
            <v>HDA125Z (MCCB X160 3P 18kA 125A)</v>
          </cell>
          <cell r="B2253" t="str">
            <v>HDA125Z(MCCB X160 3P 18kA 125A)</v>
          </cell>
          <cell r="C2253" t="str">
            <v>HAGER</v>
          </cell>
          <cell r="D2253" t="str">
            <v>HAGER</v>
          </cell>
        </row>
        <row r="2254">
          <cell r="A2254" t="str">
            <v>HDA160Z (MCCB X160 3P 18kA 160A)</v>
          </cell>
          <cell r="B2254" t="str">
            <v>HDA160Z(MCCB X160 3P 18kA 160A)</v>
          </cell>
          <cell r="C2254" t="str">
            <v>HAGER</v>
          </cell>
          <cell r="D2254" t="str">
            <v>HAGER</v>
          </cell>
        </row>
        <row r="2255">
          <cell r="A2255" t="str">
            <v>HDA016Z (MCCB X160 3P 18kA 16A)</v>
          </cell>
          <cell r="B2255" t="str">
            <v>HDA016Z(MCCB X160 3P 18kA 16A)</v>
          </cell>
          <cell r="C2255" t="str">
            <v>HAGER</v>
          </cell>
          <cell r="D2255" t="str">
            <v>HAGER</v>
          </cell>
        </row>
        <row r="2256">
          <cell r="A2256" t="str">
            <v>HDA020Z (MCCB X160 3P 18kA 20A)</v>
          </cell>
          <cell r="B2256" t="str">
            <v>HDA020Z(MCCB X160 3P 18kA 20A)</v>
          </cell>
          <cell r="C2256" t="str">
            <v>HAGER</v>
          </cell>
          <cell r="D2256" t="str">
            <v>HAGER</v>
          </cell>
        </row>
        <row r="2257">
          <cell r="A2257" t="str">
            <v>HDA025Z (MCCB X160 3P 18kA 25A)</v>
          </cell>
          <cell r="B2257" t="str">
            <v>HDA025Z(MCCB X160 3P 18kA 25A)</v>
          </cell>
          <cell r="C2257" t="str">
            <v>HAGER</v>
          </cell>
          <cell r="D2257" t="str">
            <v>HAGER</v>
          </cell>
        </row>
        <row r="2258">
          <cell r="A2258" t="str">
            <v>HDA032Z (MCCB X160 3P 18kA 32A)</v>
          </cell>
          <cell r="B2258" t="str">
            <v>HDA032Z(MCCB X160 3P 18kA 32A)</v>
          </cell>
          <cell r="C2258" t="str">
            <v>HAGER</v>
          </cell>
          <cell r="D2258" t="str">
            <v>HAGER</v>
          </cell>
        </row>
        <row r="2259">
          <cell r="A2259" t="str">
            <v>HDA040Z (MCCB X160 3P 18kA 40A)</v>
          </cell>
          <cell r="B2259" t="str">
            <v>HDA040Z(MCCB X160 3P 18kA 40A)</v>
          </cell>
          <cell r="C2259" t="str">
            <v>HAGER</v>
          </cell>
          <cell r="D2259" t="str">
            <v>HAGER</v>
          </cell>
        </row>
        <row r="2260">
          <cell r="A2260" t="str">
            <v>HDA050Z (MCCB X160 3P 18kA 50A)</v>
          </cell>
          <cell r="B2260" t="str">
            <v>HDA050Z(MCCB X160 3P 18kA 50A)</v>
          </cell>
          <cell r="C2260" t="str">
            <v>HAGER</v>
          </cell>
          <cell r="D2260" t="str">
            <v>HAGER</v>
          </cell>
        </row>
        <row r="2261">
          <cell r="A2261" t="str">
            <v>HDA063Z (MCCB X160 3P 18kA 63A)</v>
          </cell>
          <cell r="B2261" t="str">
            <v>HDA063Z(MCCB X160 3P 18kA 63A)</v>
          </cell>
          <cell r="C2261" t="str">
            <v>HAGER</v>
          </cell>
          <cell r="D2261" t="str">
            <v>HAGER</v>
          </cell>
        </row>
        <row r="2262">
          <cell r="A2262" t="str">
            <v>HDA080Z (MCCB X160 3P 18kA 80A)</v>
          </cell>
          <cell r="B2262" t="str">
            <v>HDA080Z(MCCB X160 3P 18kA 80A)</v>
          </cell>
          <cell r="C2262" t="str">
            <v>HAGER</v>
          </cell>
          <cell r="D2262" t="str">
            <v>HAGER</v>
          </cell>
        </row>
        <row r="2263">
          <cell r="A2263" t="str">
            <v>HHA100Z (MCCB X160 3P 25kA 100A)</v>
          </cell>
          <cell r="B2263" t="str">
            <v>HHA100Z(MCCB X160 3P 25kA 100A)</v>
          </cell>
          <cell r="C2263" t="str">
            <v>HAGER</v>
          </cell>
          <cell r="D2263" t="str">
            <v>HAGER</v>
          </cell>
        </row>
        <row r="2264">
          <cell r="A2264" t="str">
            <v>HHA125Z (MCCB X160 3P 25kA 125A)</v>
          </cell>
          <cell r="B2264" t="str">
            <v>HHA125Z(MCCB X160 3P 25kA 125A)</v>
          </cell>
          <cell r="C2264" t="str">
            <v>HAGER</v>
          </cell>
          <cell r="D2264" t="str">
            <v>HAGER</v>
          </cell>
        </row>
        <row r="2265">
          <cell r="A2265" t="str">
            <v>HHA160Z (MCCB X160 3P 25kA 160A)</v>
          </cell>
          <cell r="B2265" t="str">
            <v>HHA160Z(MCCB X160 3P 25kA 160A)</v>
          </cell>
          <cell r="C2265" t="str">
            <v>HAGER</v>
          </cell>
          <cell r="D2265" t="str">
            <v>HAGER</v>
          </cell>
        </row>
        <row r="2266">
          <cell r="A2266" t="str">
            <v>HHA016Z (MCCB X160 3P 25kA 16A)</v>
          </cell>
          <cell r="B2266" t="str">
            <v>HHA016Z(MCCB X160 3P 25kA 16A)</v>
          </cell>
          <cell r="C2266" t="str">
            <v>HAGER</v>
          </cell>
          <cell r="D2266" t="str">
            <v>HAGER</v>
          </cell>
        </row>
        <row r="2267">
          <cell r="A2267" t="str">
            <v>HHA020Z (MCCB X160 3P 25kA 20A)</v>
          </cell>
          <cell r="B2267" t="str">
            <v>HHA020Z(MCCB X160 3P 25kA 20A)</v>
          </cell>
          <cell r="C2267" t="str">
            <v>HAGER</v>
          </cell>
          <cell r="D2267" t="str">
            <v>HAGER</v>
          </cell>
        </row>
        <row r="2268">
          <cell r="A2268" t="str">
            <v>HHA025Z (MCCB X160 3P 25kA 25A)</v>
          </cell>
          <cell r="B2268" t="str">
            <v>HHA025Z(MCCB X160 3P 25kA 25A)</v>
          </cell>
          <cell r="C2268" t="str">
            <v>HAGER</v>
          </cell>
          <cell r="D2268" t="str">
            <v>HAGER</v>
          </cell>
        </row>
        <row r="2269">
          <cell r="A2269" t="str">
            <v>HHA032Z (MCCB X160 3P 25kA 32A)</v>
          </cell>
          <cell r="B2269" t="str">
            <v>HHA032Z(MCCB X160 3P 25kA 32A)</v>
          </cell>
          <cell r="C2269" t="str">
            <v>HAGER</v>
          </cell>
          <cell r="D2269" t="str">
            <v>HAGER</v>
          </cell>
        </row>
        <row r="2270">
          <cell r="A2270" t="str">
            <v>HHA040Z (MCCB X160 3P 25kA 40A)</v>
          </cell>
          <cell r="B2270" t="str">
            <v>HHA040Z(MCCB X160 3P 25kA 40A)</v>
          </cell>
          <cell r="C2270" t="str">
            <v>HAGER</v>
          </cell>
          <cell r="D2270" t="str">
            <v>HAGER</v>
          </cell>
        </row>
        <row r="2271">
          <cell r="A2271" t="str">
            <v>HHA050Z (MCCB X160 3P 25kA 50A)</v>
          </cell>
          <cell r="B2271" t="str">
            <v>HHA050Z(MCCB X160 3P 25kA 50A)</v>
          </cell>
          <cell r="C2271" t="str">
            <v>HAGER</v>
          </cell>
          <cell r="D2271" t="str">
            <v>HAGER</v>
          </cell>
        </row>
        <row r="2272">
          <cell r="A2272" t="str">
            <v>HHA063Z (MCCB X160 3P 25kA 63A)</v>
          </cell>
          <cell r="B2272" t="str">
            <v>HHA063Z(MCCB X160 3P 25kA 63A)</v>
          </cell>
          <cell r="C2272" t="str">
            <v>HAGER</v>
          </cell>
          <cell r="D2272" t="str">
            <v>HAGER</v>
          </cell>
        </row>
        <row r="2273">
          <cell r="A2273" t="str">
            <v>HHA080Z (MCCB X160 3P 25kA 80A)</v>
          </cell>
          <cell r="B2273" t="str">
            <v>HHA080Z(MCCB X160 3P 25kA 80A)</v>
          </cell>
          <cell r="C2273" t="str">
            <v>HAGER</v>
          </cell>
          <cell r="D2273" t="str">
            <v>HAGER</v>
          </cell>
        </row>
        <row r="2274">
          <cell r="A2274" t="str">
            <v>HNA100U (MCCB X160 3P 40kA 100A)</v>
          </cell>
          <cell r="B2274" t="str">
            <v>HNA100U(MCCB X160 3P 40kA 100A)</v>
          </cell>
          <cell r="C2274" t="str">
            <v>HAGER</v>
          </cell>
          <cell r="D2274" t="str">
            <v>HAGER</v>
          </cell>
        </row>
        <row r="2275">
          <cell r="A2275" t="str">
            <v>HNA125U (MCCB X160 3P 40kA 125A)</v>
          </cell>
          <cell r="B2275" t="str">
            <v>HNA125U(MCCB X160 3P 40kA 125A)</v>
          </cell>
          <cell r="C2275" t="str">
            <v>HAGER</v>
          </cell>
          <cell r="D2275" t="str">
            <v>HAGER</v>
          </cell>
        </row>
        <row r="2276">
          <cell r="A2276" t="str">
            <v>HNA160U (MCCB X160 3P 40kA 160A)</v>
          </cell>
          <cell r="B2276" t="str">
            <v>HNA160U(MCCB X160 3P 40kA 160A)</v>
          </cell>
          <cell r="C2276" t="str">
            <v>HAGER</v>
          </cell>
          <cell r="D2276" t="str">
            <v>HAGER</v>
          </cell>
        </row>
        <row r="2277">
          <cell r="A2277" t="str">
            <v>HNA025U (MCCB X160 3P 40kA 25A)</v>
          </cell>
          <cell r="B2277" t="str">
            <v>HNA025U(MCCB X160 3P 40kA 25A)</v>
          </cell>
          <cell r="C2277" t="str">
            <v>HAGER</v>
          </cell>
          <cell r="D2277" t="str">
            <v>HAGER</v>
          </cell>
        </row>
        <row r="2278">
          <cell r="A2278" t="str">
            <v>HNA040U (MCCB X160 3P 40kA 40A)</v>
          </cell>
          <cell r="B2278" t="str">
            <v>HNA040U(MCCB X160 3P 40kA 40A)</v>
          </cell>
          <cell r="C2278" t="str">
            <v>HAGER</v>
          </cell>
          <cell r="D2278" t="str">
            <v>HAGER</v>
          </cell>
        </row>
        <row r="2279">
          <cell r="A2279" t="str">
            <v>HNA063U (MCCB X160 3P 40kA 63A)</v>
          </cell>
          <cell r="B2279" t="str">
            <v>HNA063U(MCCB X160 3P 40kA 63A)</v>
          </cell>
          <cell r="C2279" t="str">
            <v>HAGER</v>
          </cell>
          <cell r="D2279" t="str">
            <v>HAGER</v>
          </cell>
        </row>
        <row r="2280">
          <cell r="A2280" t="str">
            <v>HNA080U (MCCB X160 3P 40kA 80A)</v>
          </cell>
          <cell r="B2280" t="str">
            <v>HNA080U(MCCB X160 3P 40kA 80A)</v>
          </cell>
          <cell r="C2280" t="str">
            <v>HAGER</v>
          </cell>
          <cell r="D2280" t="str">
            <v>HAGER</v>
          </cell>
        </row>
        <row r="2281">
          <cell r="A2281" t="str">
            <v>HDA101Z (MCCB X160 4P 18kA 100A)</v>
          </cell>
          <cell r="B2281" t="str">
            <v>HDA101Z(MCCB X160 4P 18kA 100A)</v>
          </cell>
          <cell r="C2281" t="str">
            <v>HAGER</v>
          </cell>
          <cell r="D2281" t="str">
            <v>HAGER</v>
          </cell>
        </row>
        <row r="2282">
          <cell r="A2282" t="str">
            <v>HDA126Z (MCCB X160 4P 18kA 125A)</v>
          </cell>
          <cell r="B2282" t="str">
            <v>HDA126Z(MCCB X160 4P 18kA 125A)</v>
          </cell>
          <cell r="C2282" t="str">
            <v>HAGER</v>
          </cell>
          <cell r="D2282" t="str">
            <v>HAGER</v>
          </cell>
        </row>
        <row r="2283">
          <cell r="A2283" t="str">
            <v>HDA161Z (MCCB X160 4P 18kA 160A)</v>
          </cell>
          <cell r="B2283" t="str">
            <v>HDA161Z(MCCB X160 4P 18kA 160A)</v>
          </cell>
          <cell r="C2283" t="str">
            <v>HAGER</v>
          </cell>
          <cell r="D2283" t="str">
            <v>HAGER</v>
          </cell>
        </row>
        <row r="2284">
          <cell r="A2284" t="str">
            <v>HDA017Z (MCCB X160 4P 18kA 16A)</v>
          </cell>
          <cell r="B2284" t="str">
            <v>HDA017Z(MCCB X160 4P 18kA 16A)</v>
          </cell>
          <cell r="C2284" t="str">
            <v>HAGER</v>
          </cell>
          <cell r="D2284" t="str">
            <v>HAGER</v>
          </cell>
        </row>
        <row r="2285">
          <cell r="A2285" t="str">
            <v>HDA021Z (MCCB X160 4P 18kA 20A)</v>
          </cell>
          <cell r="B2285" t="str">
            <v>HDA021Z(MCCB X160 4P 18kA 20A)</v>
          </cell>
          <cell r="C2285" t="str">
            <v>HAGER</v>
          </cell>
          <cell r="D2285" t="str">
            <v>HAGER</v>
          </cell>
        </row>
        <row r="2286">
          <cell r="A2286" t="str">
            <v>HDA026Z (MCCB X160 4P 18kA 25A)</v>
          </cell>
          <cell r="B2286" t="str">
            <v>HDA026Z(MCCB X160 4P 18kA 25A)</v>
          </cell>
          <cell r="C2286" t="str">
            <v>HAGER</v>
          </cell>
          <cell r="D2286" t="str">
            <v>HAGER</v>
          </cell>
        </row>
        <row r="2287">
          <cell r="A2287" t="str">
            <v>HDA033Z (MCCB X160 4P 18kA 32A)</v>
          </cell>
          <cell r="B2287" t="str">
            <v>HDA033Z(MCCB X160 4P 18kA 32A)</v>
          </cell>
          <cell r="C2287" t="str">
            <v>HAGER</v>
          </cell>
          <cell r="D2287" t="str">
            <v>HAGER</v>
          </cell>
        </row>
        <row r="2288">
          <cell r="A2288" t="str">
            <v>HDA041Z (MCCB X160 4P 18kA 40A)</v>
          </cell>
          <cell r="B2288" t="str">
            <v>HDA041Z(MCCB X160 4P 18kA 40A)</v>
          </cell>
          <cell r="C2288" t="str">
            <v>HAGER</v>
          </cell>
          <cell r="D2288" t="str">
            <v>HAGER</v>
          </cell>
        </row>
        <row r="2289">
          <cell r="A2289" t="str">
            <v>HDA051Z (MCCB X160 4P 18kA 50A)</v>
          </cell>
          <cell r="B2289" t="str">
            <v>HDA051Z(MCCB X160 4P 18kA 50A)</v>
          </cell>
          <cell r="C2289" t="str">
            <v>HAGER</v>
          </cell>
          <cell r="D2289" t="str">
            <v>HAGER</v>
          </cell>
        </row>
        <row r="2290">
          <cell r="A2290" t="str">
            <v>HDA064Z (MCCB X160 4P 18kA 63A)</v>
          </cell>
          <cell r="B2290" t="str">
            <v>HDA064Z(MCCB X160 4P 18kA 63A)</v>
          </cell>
          <cell r="C2290" t="str">
            <v>HAGER</v>
          </cell>
          <cell r="D2290" t="str">
            <v>HAGER</v>
          </cell>
        </row>
        <row r="2291">
          <cell r="A2291" t="str">
            <v>HDA081Z (MCCB X160 4P 18kA 80A)</v>
          </cell>
          <cell r="B2291" t="str">
            <v>HDA081Z(MCCB X160 4P 18kA 80A)</v>
          </cell>
          <cell r="C2291" t="str">
            <v>HAGER</v>
          </cell>
          <cell r="D2291" t="str">
            <v>HAGER</v>
          </cell>
        </row>
        <row r="2292">
          <cell r="A2292" t="str">
            <v>HHA101Z (MCCB x160 4P 25kA 100A)</v>
          </cell>
          <cell r="B2292" t="str">
            <v>HHA101Z(MCCB x160 4P 25kA 100A)</v>
          </cell>
          <cell r="C2292" t="str">
            <v>HAGER</v>
          </cell>
          <cell r="D2292" t="str">
            <v>HAGER</v>
          </cell>
        </row>
        <row r="2293">
          <cell r="A2293" t="str">
            <v>HHA126Z (MCCB x160 4P 25kA 125A)</v>
          </cell>
          <cell r="B2293" t="str">
            <v>HHA126Z(MCCB x160 4P 25kA 125A)</v>
          </cell>
          <cell r="C2293" t="str">
            <v>HAGER</v>
          </cell>
          <cell r="D2293" t="str">
            <v>HAGER</v>
          </cell>
        </row>
        <row r="2294">
          <cell r="A2294" t="str">
            <v>HHA161Z (MCCB x160 4P 25kA 160A)</v>
          </cell>
          <cell r="B2294" t="str">
            <v>HHA161Z(MCCB x160 4P 25kA 160A)</v>
          </cell>
          <cell r="C2294" t="str">
            <v>HAGER</v>
          </cell>
          <cell r="D2294" t="str">
            <v>HAGER</v>
          </cell>
        </row>
        <row r="2295">
          <cell r="A2295" t="str">
            <v>HHA017Z (MCCB x160 4P 25kA 16A)</v>
          </cell>
          <cell r="B2295" t="str">
            <v>HHA017Z(MCCB x160 4P 25kA 16A)</v>
          </cell>
          <cell r="C2295" t="str">
            <v>HAGER</v>
          </cell>
          <cell r="D2295" t="str">
            <v>HAGER</v>
          </cell>
        </row>
        <row r="2296">
          <cell r="A2296" t="str">
            <v>HHA021Z (MCCB x160 4P 25kA 20A)</v>
          </cell>
          <cell r="B2296" t="str">
            <v>HHA021Z(MCCB x160 4P 25kA 20A)</v>
          </cell>
          <cell r="C2296" t="str">
            <v>HAGER</v>
          </cell>
          <cell r="D2296" t="str">
            <v>HAGER</v>
          </cell>
        </row>
        <row r="2297">
          <cell r="A2297" t="str">
            <v>HHA026Z (MCCB x160 4P 25kA 25A)</v>
          </cell>
          <cell r="B2297" t="str">
            <v>HHA026Z(MCCB x160 4P 25kA 25A)</v>
          </cell>
          <cell r="C2297" t="str">
            <v>HAGER</v>
          </cell>
          <cell r="D2297" t="str">
            <v>HAGER</v>
          </cell>
        </row>
        <row r="2298">
          <cell r="A2298" t="str">
            <v>HHA033Z (MCCB x160 4P 25kA 32A)</v>
          </cell>
          <cell r="B2298" t="str">
            <v>HHA033Z(MCCB x160 4P 25kA 32A)</v>
          </cell>
          <cell r="C2298" t="str">
            <v>HAGER</v>
          </cell>
          <cell r="D2298" t="str">
            <v>HAGER</v>
          </cell>
        </row>
        <row r="2299">
          <cell r="A2299" t="str">
            <v>HHA041Z (MCCB x160 4P 25kA 40A)</v>
          </cell>
          <cell r="B2299" t="str">
            <v>HHA041Z(MCCB x160 4P 25kA 40A)</v>
          </cell>
          <cell r="C2299" t="str">
            <v>HAGER</v>
          </cell>
          <cell r="D2299" t="str">
            <v>HAGER</v>
          </cell>
        </row>
        <row r="2300">
          <cell r="A2300" t="str">
            <v>HHA051Z (MCCB x160 4P 25kA 50A)</v>
          </cell>
          <cell r="B2300" t="str">
            <v>HHA051Z(MCCB x160 4P 25kA 50A)</v>
          </cell>
          <cell r="C2300" t="str">
            <v>HAGER</v>
          </cell>
          <cell r="D2300" t="str">
            <v>HAGER</v>
          </cell>
        </row>
        <row r="2301">
          <cell r="A2301" t="str">
            <v>HHA064Z (MCCB x160 4P 25kA 63A)</v>
          </cell>
          <cell r="B2301" t="str">
            <v>HHA064Z(MCCB x160 4P 25kA 63A)</v>
          </cell>
          <cell r="C2301" t="str">
            <v>HAGER</v>
          </cell>
          <cell r="D2301" t="str">
            <v>HAGER</v>
          </cell>
        </row>
        <row r="2302">
          <cell r="A2302" t="str">
            <v>HHA081Z (MCCB x160 4P 25kA 80A)</v>
          </cell>
          <cell r="B2302" t="str">
            <v>HHA081Z(MCCB x160 4P 25kA 80A)</v>
          </cell>
          <cell r="C2302" t="str">
            <v>HAGER</v>
          </cell>
          <cell r="D2302" t="str">
            <v>HAGER</v>
          </cell>
        </row>
        <row r="2303">
          <cell r="A2303" t="str">
            <v>HNA101U (MCCB x160 4P 40kA 100A)</v>
          </cell>
          <cell r="B2303" t="str">
            <v>HNA101U(MCCB x160 4P 40kA 100A)</v>
          </cell>
          <cell r="C2303" t="str">
            <v>HAGER</v>
          </cell>
          <cell r="D2303" t="str">
            <v>HAGER</v>
          </cell>
        </row>
        <row r="2304">
          <cell r="A2304" t="str">
            <v>HNA126U (MCCB x160 4P 40kA 125A)</v>
          </cell>
          <cell r="B2304" t="str">
            <v>HNA126U(MCCB x160 4P 40kA 125A)</v>
          </cell>
          <cell r="C2304" t="str">
            <v>HAGER</v>
          </cell>
          <cell r="D2304" t="str">
            <v>HAGER</v>
          </cell>
        </row>
        <row r="2305">
          <cell r="A2305" t="str">
            <v>HNA161U (MCCB x160 4P 40kA 160A)</v>
          </cell>
          <cell r="B2305" t="str">
            <v>HNA161U(MCCB x160 4P 40kA 160A)</v>
          </cell>
          <cell r="C2305" t="str">
            <v>HAGER</v>
          </cell>
          <cell r="D2305" t="str">
            <v>HAGER</v>
          </cell>
        </row>
        <row r="2306">
          <cell r="A2306" t="str">
            <v>HNA026U (MCCB x160 4P 40kA 25A)</v>
          </cell>
          <cell r="B2306" t="str">
            <v>HNA026U(MCCB x160 4P 40kA 25A)</v>
          </cell>
          <cell r="C2306" t="str">
            <v>HAGER</v>
          </cell>
          <cell r="D2306" t="str">
            <v>HAGER</v>
          </cell>
        </row>
        <row r="2307">
          <cell r="A2307" t="str">
            <v>HNA041U (MCCB x160 4P 40kA 40A)</v>
          </cell>
          <cell r="B2307" t="str">
            <v>HNA041U(MCCB x160 4P 40kA 40A)</v>
          </cell>
          <cell r="C2307" t="str">
            <v>HAGER</v>
          </cell>
          <cell r="D2307" t="str">
            <v>HAGER</v>
          </cell>
        </row>
        <row r="2308">
          <cell r="A2308" t="str">
            <v>HNA064U (MCCB x160 4P 40kA 63A)</v>
          </cell>
          <cell r="B2308" t="str">
            <v>HNA064U(MCCB x160 4P 40kA 63A)</v>
          </cell>
          <cell r="C2308" t="str">
            <v>HAGER</v>
          </cell>
          <cell r="D2308" t="str">
            <v>HAGER</v>
          </cell>
        </row>
        <row r="2309">
          <cell r="A2309" t="str">
            <v>HNA081U (MCCB x160 4P 40kA 80A)</v>
          </cell>
          <cell r="B2309" t="str">
            <v>HNA081U(MCCB x160 4P 40kA 80A)</v>
          </cell>
          <cell r="C2309" t="str">
            <v>HAGER</v>
          </cell>
          <cell r="D2309" t="str">
            <v>HAGER</v>
          </cell>
        </row>
        <row r="2310">
          <cell r="A2310" t="str">
            <v>HHB200Z (MCCB X250 3P 25kA 200A TM)</v>
          </cell>
          <cell r="B2310" t="str">
            <v>HHB200Z(MCCB X250 3P 25kA 200A TM)</v>
          </cell>
          <cell r="C2310" t="str">
            <v>HAGER</v>
          </cell>
          <cell r="D2310" t="str">
            <v>HAGER</v>
          </cell>
        </row>
        <row r="2311">
          <cell r="A2311" t="str">
            <v>HHB250Z (MCCB X250 3P 25kA 250A TM)</v>
          </cell>
          <cell r="B2311" t="str">
            <v>HHB250Z(MCCB X250 3P 25kA 250A TM)</v>
          </cell>
          <cell r="C2311" t="str">
            <v>HAGER</v>
          </cell>
          <cell r="D2311" t="str">
            <v>HAGER</v>
          </cell>
        </row>
        <row r="2312">
          <cell r="A2312" t="str">
            <v>HNB100U (MCCB X250 3P 40kA 100A TM)</v>
          </cell>
          <cell r="B2312" t="str">
            <v>HNB100U(MCCB X250 3P 40kA 100A TM)</v>
          </cell>
          <cell r="C2312" t="str">
            <v>HAGER</v>
          </cell>
          <cell r="D2312" t="str">
            <v>HAGER</v>
          </cell>
        </row>
        <row r="2313">
          <cell r="A2313" t="str">
            <v>HNB125U (MCCB X250 3P 40kA 125A TM)</v>
          </cell>
          <cell r="B2313" t="str">
            <v>HNB125U(MCCB X250 3P 40kA 125A TM)</v>
          </cell>
          <cell r="C2313" t="str">
            <v>HAGER</v>
          </cell>
          <cell r="D2313" t="str">
            <v>HAGER</v>
          </cell>
        </row>
        <row r="2314">
          <cell r="A2314" t="str">
            <v>HNB160U (MCCB X250 3P 40kA 160A TM)</v>
          </cell>
          <cell r="B2314" t="str">
            <v>HNB160U(MCCB X250 3P 40kA 160A TM)</v>
          </cell>
          <cell r="C2314" t="str">
            <v>HAGER</v>
          </cell>
          <cell r="D2314" t="str">
            <v>HAGER</v>
          </cell>
        </row>
        <row r="2315">
          <cell r="A2315" t="str">
            <v>HNB200U (MCCB X250 3P 40kA 200A TM)</v>
          </cell>
          <cell r="B2315" t="str">
            <v>HNB200U(MCCB X250 3P 40kA 200A TM)</v>
          </cell>
          <cell r="C2315" t="str">
            <v>HAGER</v>
          </cell>
          <cell r="D2315" t="str">
            <v>HAGER</v>
          </cell>
        </row>
        <row r="2316">
          <cell r="A2316" t="str">
            <v>HNB250U (MCCB X250 3P 40kA 250A TM)</v>
          </cell>
          <cell r="B2316" t="str">
            <v>HNB250U(MCCB X250 3P 40kA 250A TM)</v>
          </cell>
          <cell r="C2316" t="str">
            <v>HAGER</v>
          </cell>
          <cell r="D2316" t="str">
            <v>HAGER</v>
          </cell>
        </row>
        <row r="2317">
          <cell r="A2317" t="str">
            <v>HHB201Z (MCCB X250 4P 25kA 200A TM)</v>
          </cell>
          <cell r="B2317" t="str">
            <v>HHB201Z(MCCB X250 4P 25kA 200A TM)</v>
          </cell>
          <cell r="C2317" t="str">
            <v>HAGER</v>
          </cell>
          <cell r="D2317" t="str">
            <v>HAGER</v>
          </cell>
        </row>
        <row r="2318">
          <cell r="A2318" t="str">
            <v>HHB251Z (MCCB X250 4P 25kA 250A TM)</v>
          </cell>
          <cell r="B2318" t="str">
            <v>HHB251Z(MCCB X250 4P 25kA 250A TM)</v>
          </cell>
          <cell r="C2318" t="str">
            <v>HAGER</v>
          </cell>
          <cell r="D2318" t="str">
            <v>HAGER</v>
          </cell>
        </row>
        <row r="2319">
          <cell r="A2319" t="str">
            <v>HNB101U (MCCB X250 4P 40kA 100A TM)</v>
          </cell>
          <cell r="B2319" t="str">
            <v>HNB101U(MCCB X250 4P 40kA 100A TM)</v>
          </cell>
          <cell r="C2319" t="str">
            <v>HAGER</v>
          </cell>
          <cell r="D2319" t="str">
            <v>HAGER</v>
          </cell>
        </row>
        <row r="2320">
          <cell r="A2320" t="str">
            <v>HNB126U (MCCB X250 4P 40kA 125A TM)</v>
          </cell>
          <cell r="B2320" t="str">
            <v>HNB126U(MCCB X250 4P 40kA 125A TM)</v>
          </cell>
          <cell r="C2320" t="str">
            <v>HAGER</v>
          </cell>
          <cell r="D2320" t="str">
            <v>HAGER</v>
          </cell>
        </row>
        <row r="2321">
          <cell r="A2321" t="str">
            <v>HNB161U (MCCB X250 4P 40kA 160A TM)</v>
          </cell>
          <cell r="B2321" t="str">
            <v>HNB161U(MCCB X250 4P 40kA 160A TM)</v>
          </cell>
          <cell r="C2321" t="str">
            <v>HAGER</v>
          </cell>
          <cell r="D2321" t="str">
            <v>HAGER</v>
          </cell>
        </row>
        <row r="2322">
          <cell r="A2322" t="str">
            <v>HNB201U (MCCB X250 4P 40kA 200A TM)</v>
          </cell>
          <cell r="B2322" t="str">
            <v>HNB201U(MCCB X250 4P 40kA 200A TM)</v>
          </cell>
          <cell r="C2322" t="str">
            <v>HAGER</v>
          </cell>
          <cell r="D2322" t="str">
            <v>HAGER</v>
          </cell>
        </row>
        <row r="2323">
          <cell r="A2323" t="str">
            <v>HNB251U (MCCB X250 4P 40kA 250A TM)</v>
          </cell>
          <cell r="B2323" t="str">
            <v>HNB251U(MCCB X250 4P 40kA 250A TM)</v>
          </cell>
          <cell r="C2323" t="str">
            <v>HAGER</v>
          </cell>
          <cell r="D2323" t="str">
            <v>HAGER</v>
          </cell>
        </row>
        <row r="2324">
          <cell r="A2324" t="str">
            <v>HXE065H (Mechanical Interlock for h1000)</v>
          </cell>
          <cell r="B2324" t="str">
            <v>HXE065H(Mechanical Interlock for h1000)</v>
          </cell>
          <cell r="C2324" t="str">
            <v>HAGER</v>
          </cell>
          <cell r="D2324" t="str">
            <v>HAGER</v>
          </cell>
        </row>
        <row r="2325">
          <cell r="A2325" t="str">
            <v>HXC065H (Mechanical Interlock for h250)</v>
          </cell>
          <cell r="B2325" t="str">
            <v>HXC065H(Mechanical Interlock for h250)</v>
          </cell>
          <cell r="C2325" t="str">
            <v>HAGER</v>
          </cell>
          <cell r="D2325" t="str">
            <v>HAGER</v>
          </cell>
        </row>
        <row r="2326">
          <cell r="A2326" t="str">
            <v>HXD065H (Mechanical Interlock for h630)</v>
          </cell>
          <cell r="B2326" t="str">
            <v>HXD065H(Mechanical Interlock for h630)</v>
          </cell>
          <cell r="C2326" t="str">
            <v>HAGER</v>
          </cell>
          <cell r="D2326" t="str">
            <v>HAGER</v>
          </cell>
        </row>
        <row r="2327">
          <cell r="A2327" t="str">
            <v>HXB065H (Mechanical Interlock for x250)</v>
          </cell>
          <cell r="B2327" t="str">
            <v>HXB065H(Mechanical Interlock for x250)</v>
          </cell>
          <cell r="C2327" t="str">
            <v>HAGER</v>
          </cell>
          <cell r="D2327" t="str">
            <v>HAGER</v>
          </cell>
        </row>
        <row r="2328">
          <cell r="A2328" t="str">
            <v>WSNMB12 (Metal Mounting Boxes 12 module)</v>
          </cell>
          <cell r="B2328" t="str">
            <v>WSNMB12(Metal Mounting Boxes 12 module)</v>
          </cell>
          <cell r="C2328" t="str">
            <v>HAGER</v>
          </cell>
          <cell r="D2328" t="str">
            <v>HAGER</v>
          </cell>
        </row>
        <row r="2329">
          <cell r="A2329" t="str">
            <v>WSNMB18 (Metal Mounting Boxes 18 module)</v>
          </cell>
          <cell r="B2329" t="str">
            <v>WSNMB18(Metal Mounting Boxes 18 module)</v>
          </cell>
          <cell r="C2329" t="str">
            <v>HAGER</v>
          </cell>
          <cell r="D2329" t="str">
            <v>HAGER</v>
          </cell>
        </row>
        <row r="2330">
          <cell r="A2330" t="str">
            <v>WSNMB2 (Metal Mounting Boxes 1and 2 module)</v>
          </cell>
          <cell r="B2330" t="str">
            <v>WSNMB2(Metal Mounting Boxes 1and 2 module)</v>
          </cell>
          <cell r="C2330" t="str">
            <v>HAGER</v>
          </cell>
          <cell r="D2330" t="str">
            <v>HAGER</v>
          </cell>
        </row>
        <row r="2331">
          <cell r="A2331" t="str">
            <v>WSNMB3 (Metal Mounting Boxes 3 module)</v>
          </cell>
          <cell r="B2331" t="str">
            <v>WSNMB3(Metal Mounting Boxes 3 module)</v>
          </cell>
          <cell r="C2331" t="str">
            <v>HAGER</v>
          </cell>
          <cell r="D2331" t="str">
            <v>HAGER</v>
          </cell>
        </row>
        <row r="2332">
          <cell r="A2332" t="str">
            <v>WSNMB4 (Metal Mounting Boxes 4 module)</v>
          </cell>
          <cell r="B2332" t="str">
            <v>WSNMB4(Metal Mounting Boxes 4 module)</v>
          </cell>
          <cell r="C2332" t="str">
            <v>HAGER</v>
          </cell>
          <cell r="D2332" t="str">
            <v>HAGER</v>
          </cell>
        </row>
        <row r="2333">
          <cell r="A2333" t="str">
            <v>WSNMB6 (Metal Mounting Boxes 6 module)</v>
          </cell>
          <cell r="B2333" t="str">
            <v>WSNMB6(Metal Mounting Boxes 6 module)</v>
          </cell>
          <cell r="C2333" t="str">
            <v>HAGER</v>
          </cell>
          <cell r="D2333" t="str">
            <v>HAGER</v>
          </cell>
        </row>
        <row r="2334">
          <cell r="A2334" t="str">
            <v>WSNMB8H (Metal Mounting Boxes 8 module (Horizontal))</v>
          </cell>
          <cell r="B2334" t="str">
            <v>WSNMB8H(Metal Mounting Boxes 8 module(Horizontal))</v>
          </cell>
          <cell r="C2334" t="str">
            <v>HAGER</v>
          </cell>
          <cell r="D2334" t="str">
            <v>HAGER</v>
          </cell>
        </row>
        <row r="2335">
          <cell r="A2335" t="str">
            <v>WSNMB8R (Metal Mounting Boxes 8 module (Rectangular))</v>
          </cell>
          <cell r="B2335" t="str">
            <v>WSNMB8R(Metal Mounting Boxes 8 module(Rectangular))</v>
          </cell>
          <cell r="C2335" t="str">
            <v>HAGER</v>
          </cell>
          <cell r="D2335" t="str">
            <v>HAGER</v>
          </cell>
        </row>
        <row r="2336">
          <cell r="A2336" t="str">
            <v>NB110N_x000D_
 (Miniature circuit breakers 10A, 1 module Single Pole B Curve MCB_x000D_
)</v>
          </cell>
          <cell r="B2336" t="str">
            <v>NB110N_x000D_
(Miniature circuit breakers 10A, 1 module Single Pole B Curve MCB_x000D_
)</v>
          </cell>
          <cell r="C2336" t="str">
            <v>HAGER</v>
          </cell>
          <cell r="D2336" t="str">
            <v>HAGER</v>
          </cell>
        </row>
        <row r="2337">
          <cell r="A2337" t="str">
            <v>NC110N_x000D_
 (Miniature circuit breakers 10A, 1 module Single Pole C Curve MCB_x000D_
)</v>
          </cell>
          <cell r="B2337" t="str">
            <v>NC110N_x000D_
(Miniature circuit breakers 10A, 1 module Single Pole C Curve MCB_x000D_
)</v>
          </cell>
          <cell r="C2337" t="str">
            <v>HAGER</v>
          </cell>
          <cell r="D2337" t="str">
            <v>HAGER</v>
          </cell>
        </row>
        <row r="2338">
          <cell r="A2338" t="str">
            <v>ND110N_x000D_
 (Miniature circuit breakers 10A, 1 module Single Pole D Curve MCB_x000D_
)</v>
          </cell>
          <cell r="B2338" t="str">
            <v>ND110N_x000D_
(Miniature circuit breakers 10A, 1 module Single Pole D Curve MCB_x000D_
)</v>
          </cell>
          <cell r="C2338" t="str">
            <v>HAGER</v>
          </cell>
          <cell r="D2338" t="str">
            <v>HAGER</v>
          </cell>
        </row>
        <row r="2339">
          <cell r="A2339" t="str">
            <v>NC210N_x000D_
 (Miniature circuit breakers 10A, 2 module Double Pole C Curve MCB_x000D_
)</v>
          </cell>
          <cell r="B2339" t="str">
            <v>NC210N_x000D_
(Miniature circuit breakers 10A, 2 module Double Pole C Curve MCB_x000D_
)</v>
          </cell>
          <cell r="C2339" t="str">
            <v>HAGER</v>
          </cell>
          <cell r="D2339" t="str">
            <v>HAGER</v>
          </cell>
        </row>
        <row r="2340">
          <cell r="A2340" t="str">
            <v>ND116N_x000D_
 (Miniature circuit breakers 16A, 1 module Single Pole D Curve MCB_x000D_
)</v>
          </cell>
          <cell r="B2340" t="str">
            <v>ND116N_x000D_
(Miniature circuit breakers 16A, 1 module Single Pole D Curve MCB_x000D_
)</v>
          </cell>
          <cell r="C2340" t="str">
            <v>HAGER</v>
          </cell>
          <cell r="D2340" t="str">
            <v>HAGER</v>
          </cell>
        </row>
        <row r="2341">
          <cell r="A2341" t="str">
            <v>NC216N_x000D_
 (Miniature circuit breakers 16A, 2 module Double Pole C Curve MCB_x000D_
)</v>
          </cell>
          <cell r="B2341" t="str">
            <v>NC216N_x000D_
(Miniature circuit breakers 16A, 2 module Double Pole C Curve MCB_x000D_
)</v>
          </cell>
          <cell r="C2341" t="str">
            <v>HAGER</v>
          </cell>
          <cell r="D2341" t="str">
            <v>HAGER</v>
          </cell>
        </row>
        <row r="2342">
          <cell r="A2342" t="str">
            <v>NC316N_x000D_
 (Miniature circuit breakers 16A, 3 modulesTriple Pole C Curve MCB_x000D_
)</v>
          </cell>
          <cell r="B2342" t="str">
            <v>NC316N_x000D_
(Miniature circuit breakers 16A, 3 modulesTriple Pole C Curve MCB_x000D_
)</v>
          </cell>
          <cell r="C2342" t="str">
            <v>HAGER</v>
          </cell>
          <cell r="D2342" t="str">
            <v>HAGER</v>
          </cell>
        </row>
        <row r="2343">
          <cell r="A2343" t="str">
            <v>NC416N_x000D_
 (Miniature circuit breakers 16A, 4 modules Four Pole C Curve MCB_x000D_
)</v>
          </cell>
          <cell r="B2343" t="str">
            <v>NC416N_x000D_
(Miniature circuit breakers 16A, 4 modules Four Pole C Curve MCB_x000D_
)</v>
          </cell>
          <cell r="C2343" t="str">
            <v>HAGER</v>
          </cell>
          <cell r="D2343" t="str">
            <v>HAGER</v>
          </cell>
        </row>
        <row r="2344">
          <cell r="A2344" t="str">
            <v>NC220N_x000D_
 (Miniature circuit breakers 20A, 2 module Double Pole C Curve MCB_x000D_
)</v>
          </cell>
          <cell r="B2344" t="str">
            <v>NC220N_x000D_
(Miniature circuit breakers 20A, 2 module Double Pole C Curve MCB_x000D_
)</v>
          </cell>
          <cell r="C2344" t="str">
            <v>HAGER</v>
          </cell>
          <cell r="D2344" t="str">
            <v>HAGER</v>
          </cell>
        </row>
        <row r="2345">
          <cell r="A2345" t="str">
            <v>NC320N_x000D_
 (Miniature circuit breakers 20A, 3 modulesTriple Pole C Curve MCB_x000D_
)</v>
          </cell>
          <cell r="B2345" t="str">
            <v>NC320N_x000D_
(Miniature circuit breakers 20A, 3 modulesTriple Pole C Curve MCB_x000D_
)</v>
          </cell>
          <cell r="C2345" t="str">
            <v>HAGER</v>
          </cell>
          <cell r="D2345" t="str">
            <v>HAGER</v>
          </cell>
        </row>
        <row r="2346">
          <cell r="A2346" t="str">
            <v>NC125N_x000D_
 (Miniature circuit breakers 25A, 1 module Single Pole C Curve MCB_x000D_
)</v>
          </cell>
          <cell r="B2346" t="str">
            <v>NC125N_x000D_
(Miniature circuit breakers 25A, 1 module Single Pole C Curve MCB_x000D_
)</v>
          </cell>
          <cell r="C2346" t="str">
            <v>HAGER</v>
          </cell>
          <cell r="D2346" t="str">
            <v>HAGER</v>
          </cell>
        </row>
        <row r="2347">
          <cell r="A2347" t="str">
            <v>NC225N_x000D_
 (Miniature circuit breakers 25A, 2 module Double Pole C Curve MCB_x000D_
)</v>
          </cell>
          <cell r="B2347" t="str">
            <v>NC225N_x000D_
(Miniature circuit breakers 25A, 2 module Double Pole C Curve MCB_x000D_
)</v>
          </cell>
          <cell r="C2347" t="str">
            <v>HAGER</v>
          </cell>
          <cell r="D2347" t="str">
            <v>HAGER</v>
          </cell>
        </row>
        <row r="2348">
          <cell r="A2348" t="str">
            <v>NC102N_x000D_
 (Miniature circuit breakers 2A, 1 module Single Pole C Curve MCB_x000D_
)</v>
          </cell>
          <cell r="B2348" t="str">
            <v>NC102N_x000D_
(Miniature circuit breakers 2A, 1 module Single Pole C Curve MCB_x000D_
)</v>
          </cell>
          <cell r="C2348" t="str">
            <v>HAGER</v>
          </cell>
          <cell r="D2348" t="str">
            <v>HAGER</v>
          </cell>
        </row>
        <row r="2349">
          <cell r="A2349" t="str">
            <v>NC202N_x000D_
 (Miniature circuit breakers 2A, 2 module Double Pole C Curve MCB_x000D_
)</v>
          </cell>
          <cell r="B2349" t="str">
            <v>NC202N_x000D_
(Miniature circuit breakers 2A, 2 module Double Pole C Curve MCB_x000D_
)</v>
          </cell>
          <cell r="C2349" t="str">
            <v>HAGER</v>
          </cell>
          <cell r="D2349" t="str">
            <v>HAGER</v>
          </cell>
        </row>
        <row r="2350">
          <cell r="A2350" t="str">
            <v>NC132N_x000D_
 (Miniature circuit breakers 32A, 1 module Single Pole C Curve MCB_x000D_
)</v>
          </cell>
          <cell r="B2350" t="str">
            <v>NC132N_x000D_
(Miniature circuit breakers 32A, 1 module Single Pole C Curve MCB_x000D_
)</v>
          </cell>
          <cell r="C2350" t="str">
            <v>HAGER</v>
          </cell>
          <cell r="D2350" t="str">
            <v>HAGER</v>
          </cell>
        </row>
        <row r="2351">
          <cell r="A2351" t="str">
            <v>NC232N_x000D_
 (Miniature circuit breakers 32A, 2 module Double Pole C Curve MCB_x000D_
)</v>
          </cell>
          <cell r="B2351" t="str">
            <v>NC232N_x000D_
(Miniature circuit breakers 32A, 2 module Double Pole C Curve MCB_x000D_
)</v>
          </cell>
          <cell r="C2351" t="str">
            <v>HAGER</v>
          </cell>
          <cell r="D2351" t="str">
            <v>HAGER</v>
          </cell>
        </row>
        <row r="2352">
          <cell r="A2352" t="str">
            <v>NC332N_x000D_
 (Miniature circuit breakers 32A, 3 modulesTriple Pole C Curve MCB_x000D_
)</v>
          </cell>
          <cell r="B2352" t="str">
            <v>NC332N_x000D_
(Miniature circuit breakers 32A, 3 modulesTriple Pole C Curve MCB_x000D_
)</v>
          </cell>
          <cell r="C2352" t="str">
            <v>HAGER</v>
          </cell>
          <cell r="D2352" t="str">
            <v>HAGER</v>
          </cell>
        </row>
        <row r="2353">
          <cell r="A2353" t="str">
            <v>ND240N_x000D_
 (Miniature circuit breakers 40A, 2 module Double Pole D Curve MCB_x000D_
)</v>
          </cell>
          <cell r="B2353" t="str">
            <v>ND240N_x000D_
(Miniature circuit breakers 40A, 2 module Double Pole D Curve MCB_x000D_
)</v>
          </cell>
          <cell r="C2353" t="str">
            <v>HAGER</v>
          </cell>
          <cell r="D2353" t="str">
            <v>HAGER</v>
          </cell>
        </row>
        <row r="2354">
          <cell r="A2354" t="str">
            <v>NC104N_x000D_
 (Miniature circuit breakers 4A, 1 module Single Pole C Curve MCB_x000D_
)</v>
          </cell>
          <cell r="B2354" t="str">
            <v>NC104N_x000D_
(Miniature circuit breakers 4A, 1 module Single Pole C Curve MCB_x000D_
)</v>
          </cell>
          <cell r="C2354" t="str">
            <v>HAGER</v>
          </cell>
          <cell r="D2354" t="str">
            <v>HAGER</v>
          </cell>
        </row>
        <row r="2355">
          <cell r="A2355" t="str">
            <v>NC350N_x000D_
 (Miniature circuit breakers 50A, 3 modulesTriple Pole C Curve MCB_x000D_
)</v>
          </cell>
          <cell r="B2355" t="str">
            <v>NC350N_x000D_
(Miniature circuit breakers 50A, 3 modulesTriple Pole C Curve MCB_x000D_
)</v>
          </cell>
          <cell r="C2355" t="str">
            <v>HAGER</v>
          </cell>
          <cell r="D2355" t="str">
            <v>HAGER</v>
          </cell>
        </row>
        <row r="2356">
          <cell r="A2356" t="str">
            <v>NC263N_x000D_
 (Miniature circuit breakers 63A, 2 module Double Pole C Curve MCB_x000D_
)</v>
          </cell>
          <cell r="B2356" t="str">
            <v>NC263N_x000D_
(Miniature circuit breakers 63A, 2 module Double Pole C Curve MCB_x000D_
)</v>
          </cell>
          <cell r="C2356" t="str">
            <v>HAGER</v>
          </cell>
          <cell r="D2356" t="str">
            <v>HAGER</v>
          </cell>
        </row>
        <row r="2357">
          <cell r="A2357" t="str">
            <v>NC363N_x000D_
 (Miniature circuit breakers 63A, 3 modulesTriple Pole C Curve MCB_x000D_
)</v>
          </cell>
          <cell r="B2357" t="str">
            <v>NC363N_x000D_
(Miniature circuit breakers 63A, 3 modulesTriple Pole C Curve MCB_x000D_
)</v>
          </cell>
          <cell r="C2357" t="str">
            <v>HAGER</v>
          </cell>
          <cell r="D2357" t="str">
            <v>HAGER</v>
          </cell>
        </row>
        <row r="2358">
          <cell r="A2358" t="str">
            <v>NC106N_x000D_
 (Miniature circuit breakers 6A, 1 module Single Pole C Curve MCB_x000D_
)</v>
          </cell>
          <cell r="B2358" t="str">
            <v>NC106N_x000D_
(Miniature circuit breakers 6A, 1 module Single Pole C Curve MCB_x000D_
)</v>
          </cell>
          <cell r="C2358" t="str">
            <v>HAGER</v>
          </cell>
          <cell r="D2358" t="str">
            <v>HAGER</v>
          </cell>
        </row>
        <row r="2359">
          <cell r="A2359" t="str">
            <v>NC206N_x000D_
 (Miniature circuit breakers 6A, 2 module Double Pole C Curve MCB_x000D_
)</v>
          </cell>
          <cell r="B2359" t="str">
            <v>NC206N_x000D_
(Miniature circuit breakers 6A, 2 module Double Pole C Curve MCB_x000D_
)</v>
          </cell>
          <cell r="C2359" t="str">
            <v>HAGER</v>
          </cell>
          <cell r="D2359" t="str">
            <v>HAGER</v>
          </cell>
        </row>
        <row r="2360">
          <cell r="A2360" t="str">
            <v>NC406N_x000D_
 (Miniature circuit breakers 6A, 4 modules Four Pole C Curve MCB_x000D_
)</v>
          </cell>
          <cell r="B2360" t="str">
            <v>NC406N_x000D_
(Miniature circuit breakers 6A, 4 modules Four Pole C Curve MCB_x000D_
)</v>
          </cell>
          <cell r="C2360" t="str">
            <v>HAGER</v>
          </cell>
          <cell r="D2360" t="str">
            <v>HAGER</v>
          </cell>
        </row>
        <row r="2361">
          <cell r="A2361" t="str">
            <v>KR50U (Modular terminal block 100A SP 1 Mod)</v>
          </cell>
          <cell r="B2361" t="str">
            <v>KR50U(Modular terminal block 100A SP 1 Mod)</v>
          </cell>
          <cell r="C2361" t="str">
            <v>HAGER</v>
          </cell>
          <cell r="D2361" t="str">
            <v>HAGER</v>
          </cell>
        </row>
        <row r="2362">
          <cell r="A2362" t="str">
            <v>EE820 (Motion detector Comfort white, 140 deg)</v>
          </cell>
          <cell r="B2362" t="str">
            <v>EE820(Motion detector Comfort white, 140 deg)</v>
          </cell>
          <cell r="C2362" t="str">
            <v>HAGER</v>
          </cell>
          <cell r="D2362" t="str">
            <v>HAGER</v>
          </cell>
        </row>
        <row r="2363">
          <cell r="A2363" t="str">
            <v>EE830 (Motion detector Conmfort white, 220 deg)</v>
          </cell>
          <cell r="B2363" t="str">
            <v>EE830(Motion detector Conmfort white, 220 deg)</v>
          </cell>
          <cell r="C2363" t="str">
            <v>HAGER</v>
          </cell>
          <cell r="D2363" t="str">
            <v>HAGER</v>
          </cell>
        </row>
        <row r="2364">
          <cell r="A2364" t="str">
            <v>EE840 (Motion detector Conmfort white, 360 deg)</v>
          </cell>
          <cell r="B2364" t="str">
            <v>EE840(Motion detector Conmfort white, 360 deg)</v>
          </cell>
          <cell r="C2364" t="str">
            <v>HAGER</v>
          </cell>
          <cell r="D2364" t="str">
            <v>HAGER</v>
          </cell>
        </row>
        <row r="2365">
          <cell r="A2365" t="str">
            <v>EE850 (Motion detector enhanced white, 140 deg)</v>
          </cell>
          <cell r="B2365" t="str">
            <v>EE850(Motion detector enhanced white, 140 deg)</v>
          </cell>
          <cell r="C2365" t="str">
            <v>HAGER</v>
          </cell>
          <cell r="D2365" t="str">
            <v>HAGER</v>
          </cell>
        </row>
        <row r="2366">
          <cell r="A2366" t="str">
            <v>EE870 (Motion detector enhanced white, 220+360 deg)</v>
          </cell>
          <cell r="B2366" t="str">
            <v>EE870(Motion detector enhanced white, 220+360 deg)</v>
          </cell>
          <cell r="C2366" t="str">
            <v>HAGER</v>
          </cell>
          <cell r="D2366" t="str">
            <v>HAGER</v>
          </cell>
        </row>
        <row r="2367">
          <cell r="A2367" t="str">
            <v>EE860 (Motion detector enhanced white, 220 deg)</v>
          </cell>
          <cell r="B2367" t="str">
            <v>EE860(Motion detector enhanced white, 220 deg)</v>
          </cell>
          <cell r="C2367" t="str">
            <v>HAGER</v>
          </cell>
          <cell r="D2367" t="str">
            <v>HAGER</v>
          </cell>
        </row>
        <row r="2368">
          <cell r="A2368" t="str">
            <v>HIB490I (Motorized transfer switch 4P 1000A India)</v>
          </cell>
          <cell r="B2368" t="str">
            <v>HIB490I(Motorized transfer switch 4P 1000A India)</v>
          </cell>
          <cell r="C2368" t="str">
            <v>HAGER</v>
          </cell>
          <cell r="D2368" t="str">
            <v>HAGER</v>
          </cell>
        </row>
        <row r="2369">
          <cell r="A2369" t="str">
            <v>HIB491I (Motorized transfer switch 4P 1250A India)</v>
          </cell>
          <cell r="B2369" t="str">
            <v>HIB491I(Motorized transfer switch 4P 1250A India)</v>
          </cell>
          <cell r="C2369" t="str">
            <v>HAGER</v>
          </cell>
          <cell r="D2369" t="str">
            <v>HAGER</v>
          </cell>
        </row>
        <row r="2370">
          <cell r="A2370" t="str">
            <v>HIB412I (Motorized transfer switch 4P 125A India)</v>
          </cell>
          <cell r="B2370" t="str">
            <v>HIB412I(Motorized transfer switch 4P 125A India)</v>
          </cell>
          <cell r="C2370" t="str">
            <v>HAGER</v>
          </cell>
          <cell r="D2370" t="str">
            <v>HAGER</v>
          </cell>
        </row>
        <row r="2371">
          <cell r="A2371" t="str">
            <v>HIB492I (Motorized transfer switch 4P 1600A India)</v>
          </cell>
          <cell r="B2371" t="str">
            <v>HIB492I(Motorized transfer switch 4P 1600A India)</v>
          </cell>
          <cell r="C2371" t="str">
            <v>HAGER</v>
          </cell>
          <cell r="D2371" t="str">
            <v>HAGER</v>
          </cell>
        </row>
        <row r="2372">
          <cell r="A2372" t="str">
            <v>HIB416I (Motorized transfer switch 4P 160A India)</v>
          </cell>
          <cell r="B2372" t="str">
            <v>HIB416I(Motorized transfer switch 4P 160A India)</v>
          </cell>
          <cell r="C2372" t="str">
            <v>HAGER</v>
          </cell>
          <cell r="D2372" t="str">
            <v>HAGER</v>
          </cell>
        </row>
        <row r="2373">
          <cell r="A2373" t="str">
            <v>HIB425I (Motorized transfer switch 4P 250A India)</v>
          </cell>
          <cell r="B2373" t="str">
            <v>HIB425I(Motorized transfer switch 4P 250A India)</v>
          </cell>
          <cell r="C2373" t="str">
            <v>HAGER</v>
          </cell>
          <cell r="D2373" t="str">
            <v>HAGER</v>
          </cell>
        </row>
        <row r="2374">
          <cell r="A2374" t="str">
            <v>HIB440I (Motorized transfer switch 4P 400A India)</v>
          </cell>
          <cell r="B2374" t="str">
            <v>HIB440I(Motorized transfer switch 4P 400A India)</v>
          </cell>
          <cell r="C2374" t="str">
            <v>HAGER</v>
          </cell>
          <cell r="D2374" t="str">
            <v>HAGER</v>
          </cell>
        </row>
        <row r="2375">
          <cell r="A2375" t="str">
            <v>HIB463I (Motorized transfer switch 4P 630A India)</v>
          </cell>
          <cell r="B2375" t="str">
            <v>HIB463I(Motorized transfer switch 4P 630A India)</v>
          </cell>
          <cell r="C2375" t="str">
            <v>HAGER</v>
          </cell>
          <cell r="D2375" t="str">
            <v>HAGER</v>
          </cell>
        </row>
        <row r="2376">
          <cell r="A2376" t="str">
            <v>HIB480I (Motorized transfer switch 4P 800A India)</v>
          </cell>
          <cell r="B2376" t="str">
            <v>HIB480I(Motorized transfer switch 4P 800A India)</v>
          </cell>
          <cell r="C2376" t="str">
            <v>HAGER</v>
          </cell>
          <cell r="D2376" t="str">
            <v>HAGER</v>
          </cell>
        </row>
        <row r="2377">
          <cell r="A2377" t="str">
            <v>HXF042H (Motor operator H1250-H1600 200-230VAC)</v>
          </cell>
          <cell r="B2377" t="str">
            <v>HXF042H(Motor operator H1250-H1600 200-230VAC)</v>
          </cell>
          <cell r="C2377" t="str">
            <v>HAGER</v>
          </cell>
          <cell r="D2377" t="str">
            <v>HAGER</v>
          </cell>
        </row>
        <row r="2378">
          <cell r="A2378" t="str">
            <v>HXC042H (Motor operator H250 230-240VAC)</v>
          </cell>
          <cell r="B2378" t="str">
            <v>HXC042H(Motor operator H250 230-240VAC)</v>
          </cell>
          <cell r="C2378" t="str">
            <v>HAGER</v>
          </cell>
          <cell r="D2378" t="str">
            <v>HAGER</v>
          </cell>
        </row>
        <row r="2379">
          <cell r="A2379" t="str">
            <v>HXD042H (Motor operator H400-H630 100-240VAC)</v>
          </cell>
          <cell r="B2379" t="str">
            <v>HXD042H(Motor operator H400-H630 100-240VAC)</v>
          </cell>
          <cell r="C2379" t="str">
            <v>HAGER</v>
          </cell>
          <cell r="D2379" t="str">
            <v>HAGER</v>
          </cell>
        </row>
        <row r="2380">
          <cell r="A2380" t="str">
            <v>HXE042H (Motor operator H800-H1000 100-240VAC)</v>
          </cell>
          <cell r="B2380" t="str">
            <v>HXE042H(Motor operator H800-H1000 100-240VAC)</v>
          </cell>
          <cell r="C2380" t="str">
            <v>HAGER</v>
          </cell>
          <cell r="D2380" t="str">
            <v>HAGER</v>
          </cell>
        </row>
        <row r="2381">
          <cell r="A2381" t="str">
            <v>HXB042H (Motor operator x250 230-240VAC)</v>
          </cell>
          <cell r="B2381" t="str">
            <v>HXB042H(Motor operator x250 230-240VAC)</v>
          </cell>
          <cell r="C2381" t="str">
            <v>HAGER</v>
          </cell>
          <cell r="D2381" t="str">
            <v>HAGER</v>
          </cell>
        </row>
        <row r="2382">
          <cell r="A2382" t="str">
            <v>GNYE4161500 (Multi-Standard SC 2.1 1X120)</v>
          </cell>
          <cell r="B2382" t="str">
            <v>GNYE4161500(Multi-Standard SC 2.1 1X120)</v>
          </cell>
          <cell r="C2382" t="str">
            <v>HAGER</v>
          </cell>
          <cell r="D2382" t="str">
            <v>HAGER</v>
          </cell>
        </row>
        <row r="2383">
          <cell r="A2383" t="str">
            <v>KM14N (Neutral bar 63A)</v>
          </cell>
          <cell r="B2383" t="str">
            <v>KM14N(Neutral bar 63A)</v>
          </cell>
          <cell r="C2383" t="str">
            <v>HAGER</v>
          </cell>
          <cell r="D2383" t="str">
            <v>HAGER</v>
          </cell>
        </row>
        <row r="2384">
          <cell r="A2384" t="str">
            <v>SPN040N (Neutral cartridge 40kA for SPD with remote indication)</v>
          </cell>
          <cell r="B2384" t="str">
            <v>SPN040N(Neutral cartridge 40kA for SPD with remote indication)</v>
          </cell>
          <cell r="C2384" t="str">
            <v>HAGER</v>
          </cell>
          <cell r="D2384" t="str">
            <v>HAGER</v>
          </cell>
        </row>
        <row r="2385">
          <cell r="A2385" t="str">
            <v>SPN065N (Neutral cartridge 65kA for SPD with remote indication)</v>
          </cell>
          <cell r="B2385" t="str">
            <v>SPN065N(Neutral cartridge 65kA for SPD with remote indication)</v>
          </cell>
          <cell r="C2385" t="str">
            <v>HAGER</v>
          </cell>
          <cell r="D2385" t="str">
            <v>HAGER</v>
          </cell>
        </row>
        <row r="2386">
          <cell r="A2386" t="str">
            <v>SPD040N (Neutral cartridge (for all SPD without remote indication))</v>
          </cell>
          <cell r="B2386" t="str">
            <v>SPD040N(Neutral cartridge(for all SPD without remote indication))</v>
          </cell>
          <cell r="C2386" t="str">
            <v>HAGER</v>
          </cell>
          <cell r="D2386" t="str">
            <v>HAGER</v>
          </cell>
        </row>
        <row r="2387">
          <cell r="A2387" t="str">
            <v>VZ112i (Neutral Link - 15 Connection)</v>
          </cell>
          <cell r="B2387" t="str">
            <v>VZ112i(Neutral Link - 15 Connection)</v>
          </cell>
          <cell r="C2387" t="str">
            <v>HAGER</v>
          </cell>
          <cell r="D2387" t="str">
            <v>HAGER</v>
          </cell>
        </row>
        <row r="2388">
          <cell r="A2388" t="str">
            <v>VZ110i (Neutral Link - 5 Connection)</v>
          </cell>
          <cell r="B2388" t="str">
            <v>VZ110i(Neutral Link - 5 Connection)</v>
          </cell>
          <cell r="C2388" t="str">
            <v>HAGER</v>
          </cell>
          <cell r="D2388" t="str">
            <v>HAGER</v>
          </cell>
        </row>
        <row r="2389">
          <cell r="A2389" t="str">
            <v>VZ111i (Neutral Link - 9 Connection)</v>
          </cell>
          <cell r="B2389" t="str">
            <v>VZ111i(Neutral Link - 9 Connection)</v>
          </cell>
          <cell r="C2389" t="str">
            <v>HAGER</v>
          </cell>
          <cell r="D2389" t="str">
            <v>HAGER</v>
          </cell>
        </row>
        <row r="2390">
          <cell r="A2390" t="str">
            <v>VF112PJ (New Golf encl Flush 1 row 12 mod Plain door)</v>
          </cell>
          <cell r="B2390" t="str">
            <v>VF112PJ(New Golf encl Flush 1 row 12 mod Plain door)</v>
          </cell>
          <cell r="C2390" t="str">
            <v>HAGER</v>
          </cell>
          <cell r="D2390" t="str">
            <v>HAGER</v>
          </cell>
        </row>
        <row r="2391">
          <cell r="A2391" t="str">
            <v>VF112TJ (New Golf encl Flush 1 row 12 mod transparent door)</v>
          </cell>
          <cell r="B2391" t="str">
            <v>VF112TJ(New Golf encl Flush 1 row 12 mod transparent door)</v>
          </cell>
          <cell r="C2391" t="str">
            <v>HAGER</v>
          </cell>
          <cell r="D2391" t="str">
            <v>HAGER</v>
          </cell>
        </row>
        <row r="2392">
          <cell r="A2392" t="str">
            <v>VF104PJ (New Golf encl Flush 1 row 4 mod Plain door)</v>
          </cell>
          <cell r="B2392" t="str">
            <v>VF104PJ(New Golf encl Flush 1 row 4 mod Plain door)</v>
          </cell>
          <cell r="C2392" t="str">
            <v>HAGER</v>
          </cell>
          <cell r="D2392" t="str">
            <v>HAGER</v>
          </cell>
        </row>
        <row r="2393">
          <cell r="A2393" t="str">
            <v>VF104TJ (New Golf encl Flush 1 row 4 mod transparent door)</v>
          </cell>
          <cell r="B2393" t="str">
            <v>VF104TJ(New Golf encl Flush 1 row 4 mod transparent door)</v>
          </cell>
          <cell r="C2393" t="str">
            <v>HAGER</v>
          </cell>
          <cell r="D2393" t="str">
            <v>HAGER</v>
          </cell>
        </row>
        <row r="2394">
          <cell r="A2394" t="str">
            <v>VF108PJ (New Golf encl Flush 1 row 8 mod Plain door)</v>
          </cell>
          <cell r="B2394" t="str">
            <v>VF108PJ(New Golf encl Flush 1 row 8 mod Plain door)</v>
          </cell>
          <cell r="C2394" t="str">
            <v>HAGER</v>
          </cell>
          <cell r="D2394" t="str">
            <v>HAGER</v>
          </cell>
        </row>
        <row r="2395">
          <cell r="A2395" t="str">
            <v>VF108TJ (New Golf encl Flush 1 row 8 mod transparent door)</v>
          </cell>
          <cell r="B2395" t="str">
            <v>VF108TJ(New Golf encl Flush 1 row 8 mod transparent door)</v>
          </cell>
          <cell r="C2395" t="str">
            <v>HAGER</v>
          </cell>
          <cell r="D2395" t="str">
            <v>HAGER</v>
          </cell>
        </row>
        <row r="2396">
          <cell r="A2396" t="str">
            <v>VF212PJ (New Golf encl Flush 2 row 24 mod Plain door)</v>
          </cell>
          <cell r="B2396" t="str">
            <v>VF212PJ(New Golf encl Flush 2 row 24 mod Plain door)</v>
          </cell>
          <cell r="C2396" t="str">
            <v>HAGER</v>
          </cell>
          <cell r="D2396" t="str">
            <v>HAGER</v>
          </cell>
        </row>
        <row r="2397">
          <cell r="A2397" t="str">
            <v>VF212TJ (New Golf encl Flush 2 row 24 mod transparent door)</v>
          </cell>
          <cell r="B2397" t="str">
            <v>VF212TJ(New Golf encl Flush 2 row 24 mod transparent door)</v>
          </cell>
          <cell r="C2397" t="str">
            <v>HAGER</v>
          </cell>
          <cell r="D2397" t="str">
            <v>HAGER</v>
          </cell>
        </row>
        <row r="2398">
          <cell r="A2398" t="str">
            <v>VF312PJ (New Golf encl Flush 3 row 36 mod Plain door)</v>
          </cell>
          <cell r="B2398" t="str">
            <v>VF312PJ(New Golf encl Flush 3 row 36 mod Plain door)</v>
          </cell>
          <cell r="C2398" t="str">
            <v>HAGER</v>
          </cell>
          <cell r="D2398" t="str">
            <v>HAGER</v>
          </cell>
        </row>
        <row r="2399">
          <cell r="A2399" t="str">
            <v>VF312TJ (New Golf encl Flush 3 row 36 mod transparent door)</v>
          </cell>
          <cell r="B2399" t="str">
            <v>VF312TJ(New Golf encl Flush 3 row 36 mod transparent door)</v>
          </cell>
          <cell r="C2399" t="str">
            <v>HAGER</v>
          </cell>
          <cell r="D2399" t="str">
            <v>HAGER</v>
          </cell>
        </row>
        <row r="2400">
          <cell r="A2400" t="str">
            <v>VF412PJ (New Golf encl Flush 4 row 48 mod Plain door)</v>
          </cell>
          <cell r="B2400" t="str">
            <v>VF412PJ(New Golf encl Flush 4 row 48 mod Plain door)</v>
          </cell>
          <cell r="C2400" t="str">
            <v>HAGER</v>
          </cell>
          <cell r="D2400" t="str">
            <v>HAGER</v>
          </cell>
        </row>
        <row r="2401">
          <cell r="A2401" t="str">
            <v>VF412TJ (New Golf encl Flush 4 row 48 mod transparent door)</v>
          </cell>
          <cell r="B2401" t="str">
            <v>VF412TJ(New Golf encl Flush 4 row 48 mod transparent door)</v>
          </cell>
          <cell r="C2401" t="str">
            <v>HAGER</v>
          </cell>
          <cell r="D2401" t="str">
            <v>HAGER</v>
          </cell>
        </row>
        <row r="2402">
          <cell r="A2402" t="str">
            <v>VS112PJ (New Golf encl Surface 1 row 12 mod Plain door)</v>
          </cell>
          <cell r="B2402" t="str">
            <v>VS112PJ(New Golf encl Surface 1 row 12 mod Plain door)</v>
          </cell>
          <cell r="C2402" t="str">
            <v>HAGER</v>
          </cell>
          <cell r="D2402" t="str">
            <v>HAGER</v>
          </cell>
        </row>
        <row r="2403">
          <cell r="A2403" t="str">
            <v>VS112TJ (New Golf encl Surface 1 row 12 mod transparent door)</v>
          </cell>
          <cell r="B2403" t="str">
            <v>VS112TJ(New Golf encl Surface 1 row 12 mod transparent door)</v>
          </cell>
          <cell r="C2403" t="str">
            <v>HAGER</v>
          </cell>
          <cell r="D2403" t="str">
            <v>HAGER</v>
          </cell>
        </row>
        <row r="2404">
          <cell r="A2404" t="str">
            <v>VS104PJ (New Golf encl Surface 1 row 4 mod Plain door)</v>
          </cell>
          <cell r="B2404" t="str">
            <v>VS104PJ(New Golf encl Surface 1 row 4 mod Plain door)</v>
          </cell>
          <cell r="C2404" t="str">
            <v>HAGER</v>
          </cell>
          <cell r="D2404" t="str">
            <v>HAGER</v>
          </cell>
        </row>
        <row r="2405">
          <cell r="A2405" t="str">
            <v>VS104TJ (New Golf encl Surface 1 row 4 mod transparent door)</v>
          </cell>
          <cell r="B2405" t="str">
            <v>VS104TJ(New Golf encl Surface 1 row 4 mod transparent door)</v>
          </cell>
          <cell r="C2405" t="str">
            <v>HAGER</v>
          </cell>
          <cell r="D2405" t="str">
            <v>HAGER</v>
          </cell>
        </row>
        <row r="2406">
          <cell r="A2406" t="str">
            <v>VS108PJ (New Golf encl Surface 1 row 8 mod Plain door)</v>
          </cell>
          <cell r="B2406" t="str">
            <v>VS108PJ(New Golf encl Surface 1 row 8 mod Plain door)</v>
          </cell>
          <cell r="C2406" t="str">
            <v>HAGER</v>
          </cell>
          <cell r="D2406" t="str">
            <v>HAGER</v>
          </cell>
        </row>
        <row r="2407">
          <cell r="A2407" t="str">
            <v>VS108TJ (New Golf encl Surface 1 row 8 mod transparent door)</v>
          </cell>
          <cell r="B2407" t="str">
            <v>VS108TJ(New Golf encl Surface 1 row 8 mod transparent door)</v>
          </cell>
          <cell r="C2407" t="str">
            <v>HAGER</v>
          </cell>
          <cell r="D2407" t="str">
            <v>HAGER</v>
          </cell>
        </row>
        <row r="2408">
          <cell r="A2408" t="str">
            <v>VS212PJ (New Golf encl Surface 2 row 24 mod Plain door)</v>
          </cell>
          <cell r="B2408" t="str">
            <v>VS212PJ(New Golf encl Surface 2 row 24 mod Plain door)</v>
          </cell>
          <cell r="C2408" t="str">
            <v>HAGER</v>
          </cell>
          <cell r="D2408" t="str">
            <v>HAGER</v>
          </cell>
        </row>
        <row r="2409">
          <cell r="A2409" t="str">
            <v>VS212TJ (New Golf encl Surface 2 row 24 mod transparent door)</v>
          </cell>
          <cell r="B2409" t="str">
            <v>VS212TJ(New Golf encl Surface 2 row 24 mod transparent door)</v>
          </cell>
          <cell r="C2409" t="str">
            <v>HAGER</v>
          </cell>
          <cell r="D2409" t="str">
            <v>HAGER</v>
          </cell>
        </row>
        <row r="2410">
          <cell r="A2410" t="str">
            <v>VS312PJ (New Golf encl Surface 3 row 36 mod Plain door)</v>
          </cell>
          <cell r="B2410" t="str">
            <v>VS312PJ(New Golf encl Surface 3 row 36 mod Plain door)</v>
          </cell>
          <cell r="C2410" t="str">
            <v>HAGER</v>
          </cell>
          <cell r="D2410" t="str">
            <v>HAGER</v>
          </cell>
        </row>
        <row r="2411">
          <cell r="A2411" t="str">
            <v>VS312TJ (New Golf encl Surface 3 row 36 mod transparent door)</v>
          </cell>
          <cell r="B2411" t="str">
            <v>VS312TJ(New Golf encl Surface 3 row 36 mod transparent door)</v>
          </cell>
          <cell r="C2411" t="str">
            <v>HAGER</v>
          </cell>
          <cell r="D2411" t="str">
            <v>HAGER</v>
          </cell>
        </row>
        <row r="2412">
          <cell r="A2412" t="str">
            <v>VS412PJ (New Golf encl Surface 4 row 48 mod Plain door)</v>
          </cell>
          <cell r="B2412" t="str">
            <v>VS412PJ(New Golf encl Surface 4 row 48 mod Plain door)</v>
          </cell>
          <cell r="C2412" t="str">
            <v>HAGER</v>
          </cell>
          <cell r="D2412" t="str">
            <v>HAGER</v>
          </cell>
        </row>
        <row r="2413">
          <cell r="A2413" t="str">
            <v>VS412TJ (New Golf encl Surface 4 row 48 mod transparent door)</v>
          </cell>
          <cell r="B2413" t="str">
            <v>VS412TJ(New Golf encl Surface 4 row 48 mod transparent door)</v>
          </cell>
          <cell r="C2413" t="str">
            <v>HAGER</v>
          </cell>
          <cell r="D2413" t="str">
            <v>HAGER</v>
          </cell>
        </row>
        <row r="2414">
          <cell r="A2414" t="str">
            <v>ETC440 (Night &amp; Day Contactor  40A, 4NO, 230V)</v>
          </cell>
          <cell r="B2414" t="str">
            <v>ETC440(Night &amp; Day Contactor 40A, 4NO, 230V)</v>
          </cell>
          <cell r="C2414" t="str">
            <v>HAGER</v>
          </cell>
          <cell r="D2414" t="str">
            <v>HAGER</v>
          </cell>
        </row>
        <row r="2415">
          <cell r="A2415" t="str">
            <v>ETC463 (Night &amp; Day Contactor  63A, 4NO, 230V)</v>
          </cell>
          <cell r="B2415" t="str">
            <v>ETC463(Night &amp; Day Contactor 63A, 4NO, 230V)</v>
          </cell>
          <cell r="C2415" t="str">
            <v>HAGER</v>
          </cell>
          <cell r="D2415" t="str">
            <v>HAGER</v>
          </cell>
        </row>
        <row r="2416">
          <cell r="A2416" t="str">
            <v>Oliflex 11013G1</v>
          </cell>
          <cell r="B2416" t="str">
            <v>Oliflex 11013G1</v>
          </cell>
          <cell r="C2416" t="str">
            <v>HAGER</v>
          </cell>
          <cell r="D2416" t="str">
            <v>HAGER</v>
          </cell>
        </row>
        <row r="2417">
          <cell r="A2417" t="str">
            <v>P032F (One mod blanking plate)</v>
          </cell>
          <cell r="B2417" t="str">
            <v>P032F(One mod blanking plate)</v>
          </cell>
          <cell r="C2417" t="str">
            <v>HAGER</v>
          </cell>
          <cell r="D2417" t="str">
            <v>HAGER</v>
          </cell>
        </row>
        <row r="2418">
          <cell r="A2418" t="str">
            <v>MZ209 (OVER VOLTAGE RELEASE)</v>
          </cell>
          <cell r="B2418" t="str">
            <v>MZ209(OVER VOLTAGE RELEASE)</v>
          </cell>
          <cell r="C2418" t="str">
            <v>HAGER</v>
          </cell>
          <cell r="D2418" t="str">
            <v>HAGER</v>
          </cell>
        </row>
        <row r="2419">
          <cell r="A2419" t="str">
            <v>MZ216 (OVER VOLTAGE RELEASE, 3 Phase)</v>
          </cell>
          <cell r="B2419" t="str">
            <v>MZ216(OVER VOLTAGE RELEASE, 3 Phase)</v>
          </cell>
          <cell r="C2419" t="str">
            <v>HAGER</v>
          </cell>
          <cell r="D2419" t="str">
            <v>HAGER</v>
          </cell>
        </row>
        <row r="2420">
          <cell r="A2420" t="str">
            <v>MZ215 (OV / UV RELEASE)</v>
          </cell>
          <cell r="B2420" t="str">
            <v>MZ215(OV / UV RELEASE)</v>
          </cell>
          <cell r="C2420" t="str">
            <v>HAGER</v>
          </cell>
          <cell r="D2420" t="str">
            <v>HAGER</v>
          </cell>
        </row>
        <row r="2421">
          <cell r="A2421" t="str">
            <v>HXF039H (Padlock for h1600)</v>
          </cell>
          <cell r="B2421" t="str">
            <v>HXF039H(Padlock for h1600)</v>
          </cell>
          <cell r="C2421" t="str">
            <v>HAGER</v>
          </cell>
          <cell r="D2421" t="str">
            <v>HAGER</v>
          </cell>
        </row>
        <row r="2422">
          <cell r="A2422" t="str">
            <v>HXC039H (Padlock for h250)</v>
          </cell>
          <cell r="B2422" t="str">
            <v>HXC039H(Padlock for h250)</v>
          </cell>
          <cell r="C2422" t="str">
            <v>HAGER</v>
          </cell>
          <cell r="D2422" t="str">
            <v>HAGER</v>
          </cell>
        </row>
        <row r="2423">
          <cell r="A2423" t="str">
            <v>HXD039H (Padlock for h630)</v>
          </cell>
          <cell r="B2423" t="str">
            <v>HXD039H(Padlock for h630)</v>
          </cell>
          <cell r="C2423" t="str">
            <v>HAGER</v>
          </cell>
          <cell r="D2423" t="str">
            <v>HAGER</v>
          </cell>
        </row>
        <row r="2424">
          <cell r="A2424" t="str">
            <v>HXA039H (Padlock for x160)</v>
          </cell>
          <cell r="B2424" t="str">
            <v>HXA039H(Padlock for x160)</v>
          </cell>
          <cell r="C2424" t="str">
            <v>HAGER</v>
          </cell>
          <cell r="D2424" t="str">
            <v>HAGER</v>
          </cell>
        </row>
        <row r="2425">
          <cell r="A2425" t="str">
            <v>L4369 (Partition)</v>
          </cell>
          <cell r="B2425" t="str">
            <v>L4369(Partition)</v>
          </cell>
          <cell r="C2425" t="str">
            <v>HAGER</v>
          </cell>
          <cell r="D2425" t="str">
            <v>HAGER</v>
          </cell>
        </row>
        <row r="2426">
          <cell r="A2426" t="str">
            <v>SPD015D (Phase cartridge 15kA (for SPD without remote indication))</v>
          </cell>
          <cell r="B2426" t="str">
            <v>SPD015D(Phase cartridge 15kA(for SPD without remote indication))</v>
          </cell>
          <cell r="C2426" t="str">
            <v>HAGER</v>
          </cell>
          <cell r="D2426" t="str">
            <v>HAGER</v>
          </cell>
        </row>
        <row r="2427">
          <cell r="A2427" t="str">
            <v>SPD040D (Phase cartridge 40kA (for SPD without remote indication))</v>
          </cell>
          <cell r="B2427" t="str">
            <v>SPD040D(Phase cartridge 40kA(for SPD without remote indication))</v>
          </cell>
          <cell r="C2427" t="str">
            <v>HAGER</v>
          </cell>
          <cell r="D2427" t="str">
            <v>HAGER</v>
          </cell>
        </row>
        <row r="2428">
          <cell r="A2428" t="str">
            <v>SPN040R (Phase cartridge 40kA for SPD with remote indication)</v>
          </cell>
          <cell r="B2428" t="str">
            <v>SPN040R(Phase cartridge 40kA for SPD with remote indication)</v>
          </cell>
          <cell r="C2428" t="str">
            <v>HAGER</v>
          </cell>
          <cell r="D2428" t="str">
            <v>HAGER</v>
          </cell>
        </row>
        <row r="2429">
          <cell r="A2429" t="str">
            <v>SPN065R (Phase cartridge 65kA for SPDs with remote indication)</v>
          </cell>
          <cell r="B2429" t="str">
            <v>SPN065R(Phase cartridge 65kA for SPDs with remote indication)</v>
          </cell>
          <cell r="C2429" t="str">
            <v>HAGER</v>
          </cell>
          <cell r="D2429" t="str">
            <v>HAGER</v>
          </cell>
        </row>
        <row r="2430">
          <cell r="A2430" t="str">
            <v>KXN10LH (Photovoltaic DIN rail terminal 1000V 10sq mm)</v>
          </cell>
          <cell r="B2430" t="str">
            <v>KXN10LH(Photovoltaic DIN rail terminal 1000V 10sq mm)</v>
          </cell>
          <cell r="C2430" t="str">
            <v>HAGER</v>
          </cell>
          <cell r="D2430" t="str">
            <v>HAGER</v>
          </cell>
        </row>
        <row r="2431">
          <cell r="A2431" t="str">
            <v>EE804 (PIR - Movement detector 1 channel 1 lens flush mounting)</v>
          </cell>
          <cell r="B2431" t="str">
            <v>EE804(PIR - Movement detector 1 channel 1 lens flush mounting)</v>
          </cell>
          <cell r="C2431" t="str">
            <v>HAGER</v>
          </cell>
          <cell r="D2431" t="str">
            <v>HAGER</v>
          </cell>
        </row>
        <row r="2432">
          <cell r="A2432" t="str">
            <v>EE805 (PIR - Movement detector 1 channel 1 lens surface mounting)</v>
          </cell>
          <cell r="B2432" t="str">
            <v>EE805(PIR - Movement detector 1 channel 1 lens surface mounting)</v>
          </cell>
          <cell r="C2432" t="str">
            <v>HAGER</v>
          </cell>
          <cell r="D2432" t="str">
            <v>HAGER</v>
          </cell>
        </row>
        <row r="2433">
          <cell r="A2433" t="str">
            <v>EE810 (PIR - Presence detector 1 channel 2 lens flush mounting)</v>
          </cell>
          <cell r="B2433" t="str">
            <v>EE810(PIR - Presence detector 1 channel 2 lens flush mounting)</v>
          </cell>
          <cell r="C2433" t="str">
            <v>HAGER</v>
          </cell>
          <cell r="D2433" t="str">
            <v>HAGER</v>
          </cell>
        </row>
        <row r="2434">
          <cell r="A2434" t="str">
            <v>EE811 (PIR - Presence detector 2 channel 2 lens flush mounting)</v>
          </cell>
          <cell r="B2434" t="str">
            <v>EE811(PIR - Presence detector 2 channel 2 lens flush mounting)</v>
          </cell>
          <cell r="C2434" t="str">
            <v>HAGER</v>
          </cell>
          <cell r="D2434" t="str">
            <v>HAGER</v>
          </cell>
        </row>
        <row r="2435">
          <cell r="A2435" t="str">
            <v>EE815 (PIR- Presence detector Monoblock 360 deg 16A AC1)</v>
          </cell>
          <cell r="B2435" t="str">
            <v>EE815(PIR- Presence detector Monoblock 360 deg 16A AC1)</v>
          </cell>
          <cell r="C2435" t="str">
            <v>HAGER</v>
          </cell>
          <cell r="D2435" t="str">
            <v>HAGER</v>
          </cell>
        </row>
        <row r="2436">
          <cell r="A2436" t="str">
            <v>EE816 (PIR-Presence detector Monoblock 360 deg 16A AC1 DALI / DIS)</v>
          </cell>
          <cell r="B2436" t="str">
            <v>EE816(PIR-Presence detector Monoblock 360 deg 16A AC1 DALI / DIS)</v>
          </cell>
          <cell r="C2436" t="str">
            <v>HAGER</v>
          </cell>
          <cell r="D2436" t="str">
            <v>HAGER</v>
          </cell>
        </row>
        <row r="2437">
          <cell r="A2437" t="str">
            <v>VYH04DH (PPI TPN NAVELLO HORIZ 4 WAY IP 43 DD DB)</v>
          </cell>
          <cell r="B2437" t="str">
            <v>VYH04DH(PPI TPN NAVELLO HORIZ 4 WAY IP 43 DD DB)</v>
          </cell>
          <cell r="C2437" t="str">
            <v>HAGER</v>
          </cell>
          <cell r="D2437" t="str">
            <v>HAGER</v>
          </cell>
        </row>
        <row r="2438">
          <cell r="A2438" t="str">
            <v>EE812 (Presence detector 1/10V)</v>
          </cell>
          <cell r="B2438" t="str">
            <v>EE812(Presence detector 1/10V)</v>
          </cell>
          <cell r="C2438" t="str">
            <v>HAGER</v>
          </cell>
          <cell r="D2438" t="str">
            <v>HAGER</v>
          </cell>
        </row>
        <row r="2439">
          <cell r="A2439" t="str">
            <v>EE110 (Programmable time switch / twilight switch)</v>
          </cell>
          <cell r="B2439" t="str">
            <v>EE110(Programmable time switch / twilight switch)</v>
          </cell>
          <cell r="C2439" t="str">
            <v>HAGER</v>
          </cell>
          <cell r="D2439" t="str">
            <v>HAGER</v>
          </cell>
        </row>
        <row r="2440">
          <cell r="A2440" t="str">
            <v>EG003U (Programming Kit for Astro)</v>
          </cell>
          <cell r="B2440" t="str">
            <v>EG003U(Programming Kit for Astro)</v>
          </cell>
          <cell r="C2440" t="str">
            <v>HAGER</v>
          </cell>
          <cell r="D2440" t="str">
            <v>HAGER</v>
          </cell>
        </row>
        <row r="2441">
          <cell r="A2441" t="str">
            <v>KB163N (Prong busbar - 1P 12 mod for neutral)</v>
          </cell>
          <cell r="B2441" t="str">
            <v>KB163N(Prong busbar - 1P 12 mod for neutral)</v>
          </cell>
          <cell r="C2441" t="str">
            <v>HAGER</v>
          </cell>
          <cell r="D2441" t="str">
            <v>HAGER</v>
          </cell>
        </row>
        <row r="2442">
          <cell r="A2442" t="str">
            <v>KB163P (Prong busbar - 1P 12 mod for phase)</v>
          </cell>
          <cell r="B2442" t="str">
            <v>KB163P(Prong busbar - 1P 12 mod for phase)</v>
          </cell>
          <cell r="C2442" t="str">
            <v>HAGER</v>
          </cell>
          <cell r="D2442" t="str">
            <v>HAGER</v>
          </cell>
        </row>
        <row r="2443">
          <cell r="A2443" t="str">
            <v>VYG12CLZ (PSG TPN 12way IP30 Single Door DB)</v>
          </cell>
          <cell r="B2443" t="str">
            <v>VYG12CLZ(PSG TPN 12way IP30 Single Door DB)</v>
          </cell>
          <cell r="C2443" t="str">
            <v>HAGER</v>
          </cell>
          <cell r="D2443" t="str">
            <v>HAGER</v>
          </cell>
        </row>
        <row r="2444">
          <cell r="A2444" t="str">
            <v>VYG12DLZ (PSG TPN 12way IP42 Double Door DB)</v>
          </cell>
          <cell r="B2444" t="str">
            <v>VYG12DLZ(PSG TPN 12way IP42 Double Door DB)</v>
          </cell>
          <cell r="C2444" t="str">
            <v>HAGER</v>
          </cell>
          <cell r="D2444" t="str">
            <v>HAGER</v>
          </cell>
        </row>
        <row r="2445">
          <cell r="A2445" t="str">
            <v>VYG12DL (PSG TPN 12way IP42 Double Door DB_x000D_
)</v>
          </cell>
          <cell r="B2445" t="str">
            <v>VYG12DL(PSG TPN 12way IP42 Double Door DB_x000D_
)</v>
          </cell>
          <cell r="C2445" t="str">
            <v>HAGER</v>
          </cell>
          <cell r="D2445" t="str">
            <v>HAGER</v>
          </cell>
        </row>
        <row r="2446">
          <cell r="A2446" t="str">
            <v>VYG04CLZ (PSG TPN 4way IP30 Single Door DB)</v>
          </cell>
          <cell r="B2446" t="str">
            <v>VYG04CLZ(PSG TPN 4way IP30 Single Door DB)</v>
          </cell>
          <cell r="C2446" t="str">
            <v>HAGER</v>
          </cell>
          <cell r="D2446" t="str">
            <v>HAGER</v>
          </cell>
        </row>
        <row r="2447">
          <cell r="A2447" t="str">
            <v>VYG04DLZ (PSG TPN 4way IP42 Double Door DB)</v>
          </cell>
          <cell r="B2447" t="str">
            <v>VYG04DLZ(PSG TPN 4way IP42 Double Door DB)</v>
          </cell>
          <cell r="C2447" t="str">
            <v>HAGER</v>
          </cell>
          <cell r="D2447" t="str">
            <v>HAGER</v>
          </cell>
        </row>
        <row r="2448">
          <cell r="A2448" t="str">
            <v>VYG06CLZ (PSG TPN 6way IP30 Single Door DB)</v>
          </cell>
          <cell r="B2448" t="str">
            <v>VYG06CLZ(PSG TPN 6way IP30 Single Door DB)</v>
          </cell>
          <cell r="C2448" t="str">
            <v>HAGER</v>
          </cell>
          <cell r="D2448" t="str">
            <v>HAGER</v>
          </cell>
        </row>
        <row r="2449">
          <cell r="A2449" t="str">
            <v>VYG06DLZ (PSG TPN 6way IP42 Double Door DB)</v>
          </cell>
          <cell r="B2449" t="str">
            <v>VYG06DLZ(PSG TPN 6way IP42 Double Door DB)</v>
          </cell>
          <cell r="C2449" t="str">
            <v>HAGER</v>
          </cell>
          <cell r="D2449" t="str">
            <v>HAGER</v>
          </cell>
        </row>
        <row r="2450">
          <cell r="A2450" t="str">
            <v>VYG08CLZ (PSG TPN 8way IP30 Single Door DB)</v>
          </cell>
          <cell r="B2450" t="str">
            <v>VYG08CLZ(PSG TPN 8way IP30 Single Door DB)</v>
          </cell>
          <cell r="C2450" t="str">
            <v>HAGER</v>
          </cell>
          <cell r="D2450" t="str">
            <v>HAGER</v>
          </cell>
        </row>
        <row r="2451">
          <cell r="A2451" t="str">
            <v>VYG08DLZ (PSG TPN 8way IP42 Double Door DB)</v>
          </cell>
          <cell r="B2451" t="str">
            <v>VYG08DLZ(PSG TPN 8way IP42 Double Door DB)</v>
          </cell>
          <cell r="C2451" t="str">
            <v>HAGER</v>
          </cell>
          <cell r="D2451" t="str">
            <v>HAGER</v>
          </cell>
        </row>
        <row r="2452">
          <cell r="A2452" t="str">
            <v>SVN312 (Push button 1 NO 16 A)</v>
          </cell>
          <cell r="B2452" t="str">
            <v>SVN312(Push button 1 NO 16 A)</v>
          </cell>
          <cell r="C2452" t="str">
            <v>HAGER</v>
          </cell>
          <cell r="D2452" t="str">
            <v>HAGER</v>
          </cell>
        </row>
        <row r="2453">
          <cell r="A2453" t="str">
            <v>SVN413 (Push button 1 NO 16 A with green indicator)</v>
          </cell>
          <cell r="B2453" t="str">
            <v>SVN413(Push button 1 NO 16 A with green indicator)</v>
          </cell>
          <cell r="C2453" t="str">
            <v>HAGER</v>
          </cell>
          <cell r="D2453" t="str">
            <v>HAGER</v>
          </cell>
        </row>
        <row r="2454">
          <cell r="A2454" t="str">
            <v>SVN352 (Push button 1 NO+ 1 NC 16 A)</v>
          </cell>
          <cell r="B2454" t="str">
            <v>SVN352(Push button 1 NO+ 1 NC 16 A)</v>
          </cell>
          <cell r="C2454" t="str">
            <v>HAGER</v>
          </cell>
          <cell r="D2454" t="str">
            <v>HAGER</v>
          </cell>
        </row>
        <row r="2455">
          <cell r="A2455" t="str">
            <v>SVN332 (Push button 2 NO 16 A)</v>
          </cell>
          <cell r="B2455" t="str">
            <v>SVN332(Push button 2 NO 16 A)</v>
          </cell>
          <cell r="C2455" t="str">
            <v>HAGER</v>
          </cell>
          <cell r="D2455" t="str">
            <v>HAGER</v>
          </cell>
        </row>
        <row r="2456">
          <cell r="A2456" t="str">
            <v>SVN433 (Push button 2 NO 16 A with green indicator)</v>
          </cell>
          <cell r="B2456" t="str">
            <v>SVN433(Push button 2 NO 16 A with green indicator)</v>
          </cell>
          <cell r="C2456" t="str">
            <v>HAGER</v>
          </cell>
          <cell r="D2456" t="str">
            <v>HAGER</v>
          </cell>
        </row>
        <row r="2457">
          <cell r="A2457" t="str">
            <v>EH011 (Quartz 1 Channel 1 daily dial 1 module)</v>
          </cell>
          <cell r="B2457" t="str">
            <v>EH011(Quartz 1 Channel 1 daily dial 1 module)</v>
          </cell>
          <cell r="C2457" t="str">
            <v>HAGER</v>
          </cell>
          <cell r="D2457" t="str">
            <v>HAGER</v>
          </cell>
        </row>
        <row r="2458">
          <cell r="A2458" t="str">
            <v>EH111 (Quartz 1 Channel 1 Daily Dial 3 Module)</v>
          </cell>
          <cell r="B2458" t="str">
            <v>EH111(Quartz 1 Channel 1 Daily Dial 3 Module)</v>
          </cell>
          <cell r="C2458" t="str">
            <v>HAGER</v>
          </cell>
          <cell r="D2458" t="str">
            <v>HAGER</v>
          </cell>
        </row>
        <row r="2459">
          <cell r="A2459" t="str">
            <v>EH711 (Quartz Surface/DIN mounted, 1 channel, daily dial timeswitch)</v>
          </cell>
          <cell r="B2459" t="str">
            <v>EH711(Quartz Surface/DIN mounted, 1 channel, daily dial timeswitch)</v>
          </cell>
          <cell r="C2459" t="str">
            <v>HAGER</v>
          </cell>
          <cell r="D2459" t="str">
            <v>HAGER</v>
          </cell>
        </row>
        <row r="2460">
          <cell r="A2460" t="str">
            <v>EH771 (Quartz Surface/DIN mounted, 1 channel, weekly dial timeswitch)</v>
          </cell>
          <cell r="B2460" t="str">
            <v>EH771(Quartz Surface/DIN mounted, 1 channel, weekly dial timeswitch)</v>
          </cell>
          <cell r="C2460" t="str">
            <v>HAGER</v>
          </cell>
          <cell r="D2460" t="str">
            <v>HAGER</v>
          </cell>
        </row>
        <row r="2461">
          <cell r="A2461" t="str">
            <v>HYA033H (Rail Din adaptor x160 3P/4P)</v>
          </cell>
          <cell r="B2461" t="str">
            <v>HYA033H(Rail Din adaptor x160 3P/4P)</v>
          </cell>
          <cell r="C2461" t="str">
            <v>HAGER</v>
          </cell>
          <cell r="D2461" t="str">
            <v>HAGER</v>
          </cell>
        </row>
        <row r="2462">
          <cell r="A2462" t="str">
            <v>AE960Y (RCBO  2P  10A  100mA)</v>
          </cell>
          <cell r="B2462" t="str">
            <v>AE960Y(RCBO 2P 10A 100mA)</v>
          </cell>
          <cell r="C2462" t="str">
            <v>HAGER</v>
          </cell>
          <cell r="D2462" t="str">
            <v>HAGER</v>
          </cell>
        </row>
        <row r="2463">
          <cell r="A2463" t="str">
            <v>AF960Y (RCBO  2P  10A  300mA)</v>
          </cell>
          <cell r="B2463" t="str">
            <v>AF960Y(RCBO 2P 10A 300mA)</v>
          </cell>
          <cell r="C2463" t="str">
            <v>HAGER</v>
          </cell>
          <cell r="D2463" t="str">
            <v>HAGER</v>
          </cell>
        </row>
        <row r="2464">
          <cell r="A2464" t="str">
            <v>AD960Y (RCBO  2P  10A  30mA)</v>
          </cell>
          <cell r="B2464" t="str">
            <v>AD960Y(RCBO 2P 10A 30mA)</v>
          </cell>
          <cell r="C2464" t="str">
            <v>HAGER</v>
          </cell>
          <cell r="D2464" t="str">
            <v>HAGER</v>
          </cell>
        </row>
        <row r="2465">
          <cell r="A2465" t="str">
            <v>AE966Y (RCBO  2P  16A  100mA)</v>
          </cell>
          <cell r="B2465" t="str">
            <v>AE966Y(RCBO  2P  16A  100mA)</v>
          </cell>
          <cell r="C2465" t="str">
            <v>HAGER</v>
          </cell>
          <cell r="D2465" t="str">
            <v>HAGER</v>
          </cell>
        </row>
        <row r="2466">
          <cell r="A2466" t="str">
            <v>AF966Y (RCBO  2P  16A  300mA)</v>
          </cell>
          <cell r="B2466" t="str">
            <v>AF966Y(RCBO 2P 16A 300mA)</v>
          </cell>
          <cell r="C2466" t="str">
            <v>HAGER</v>
          </cell>
          <cell r="D2466" t="str">
            <v>HAGER</v>
          </cell>
        </row>
        <row r="2467">
          <cell r="A2467" t="str">
            <v>AD966Y (RCBO  2P  16A  30mA)</v>
          </cell>
          <cell r="B2467" t="str">
            <v>AD966Y(RCBO  2P  16A  30mA)</v>
          </cell>
          <cell r="C2467" t="str">
            <v>HAGER</v>
          </cell>
          <cell r="D2467" t="str">
            <v>HAGER</v>
          </cell>
        </row>
        <row r="2468">
          <cell r="A2468" t="str">
            <v>AE970Y (RCBO  2P  20A  100mA)</v>
          </cell>
          <cell r="B2468" t="str">
            <v>AE970Y(RCBO 2P 20A 100mA)</v>
          </cell>
          <cell r="C2468" t="str">
            <v>HAGER</v>
          </cell>
          <cell r="D2468" t="str">
            <v>HAGER</v>
          </cell>
        </row>
        <row r="2469">
          <cell r="A2469" t="str">
            <v>AF970Y (RCBO  2P  20A  300mA)</v>
          </cell>
          <cell r="B2469" t="str">
            <v>AF970Y(RCBO 2P 20A 300mA)</v>
          </cell>
          <cell r="C2469" t="str">
            <v>HAGER</v>
          </cell>
          <cell r="D2469" t="str">
            <v>HAGER</v>
          </cell>
        </row>
        <row r="2470">
          <cell r="A2470" t="str">
            <v>AD970Y (RCBO  2P  20A  30mA)</v>
          </cell>
          <cell r="B2470" t="str">
            <v>AD970Y(RCBO 2P 20A 30mA)</v>
          </cell>
          <cell r="C2470" t="str">
            <v>HAGER</v>
          </cell>
          <cell r="D2470" t="str">
            <v>HAGER</v>
          </cell>
        </row>
        <row r="2471">
          <cell r="A2471" t="str">
            <v>AE975Y (RCBO  2P  25A  100mA)</v>
          </cell>
          <cell r="B2471" t="str">
            <v>AE975Y(RCBO  2P  25A  100mA)</v>
          </cell>
          <cell r="C2471" t="str">
            <v>HAGER</v>
          </cell>
          <cell r="D2471" t="str">
            <v>HAGER</v>
          </cell>
        </row>
        <row r="2472">
          <cell r="A2472" t="str">
            <v>AF975Y (RCBO  2P  25A  300mA)</v>
          </cell>
          <cell r="B2472" t="str">
            <v>AF975Y(RCBO 2P 25A 300mA)</v>
          </cell>
          <cell r="C2472" t="str">
            <v>HAGER</v>
          </cell>
          <cell r="D2472" t="str">
            <v>HAGER</v>
          </cell>
        </row>
        <row r="2473">
          <cell r="A2473" t="str">
            <v>AD975Y (RCBO  2P  25A  30mA)</v>
          </cell>
          <cell r="B2473" t="str">
            <v>AD975Y(RCBO  2P  25A  30mA)</v>
          </cell>
          <cell r="C2473" t="str">
            <v>HAGER</v>
          </cell>
          <cell r="D2473" t="str">
            <v>HAGER</v>
          </cell>
        </row>
        <row r="2474">
          <cell r="A2474" t="str">
            <v>AE982Y (RCBO  2P  32A  100mA)</v>
          </cell>
          <cell r="B2474" t="str">
            <v>AE982Y(RCBO  2P  32A  100mA)</v>
          </cell>
          <cell r="C2474" t="str">
            <v>HAGER</v>
          </cell>
          <cell r="D2474" t="str">
            <v>HAGER</v>
          </cell>
        </row>
        <row r="2475">
          <cell r="A2475" t="str">
            <v>AF982Y (RCBO  2P  32A  300mA)</v>
          </cell>
          <cell r="B2475" t="str">
            <v>AF982Y(RCBO 2P 32A 300mA)</v>
          </cell>
          <cell r="C2475" t="str">
            <v>HAGER</v>
          </cell>
          <cell r="D2475" t="str">
            <v>HAGER</v>
          </cell>
        </row>
        <row r="2476">
          <cell r="A2476" t="str">
            <v>AD982Y (RCBO  2P  32A  30mA)</v>
          </cell>
          <cell r="B2476" t="str">
            <v>AD982Y(RCBO  2P  32A  30mA)</v>
          </cell>
          <cell r="C2476" t="str">
            <v>HAGER</v>
          </cell>
          <cell r="D2476" t="str">
            <v>HAGER</v>
          </cell>
        </row>
        <row r="2477">
          <cell r="A2477" t="str">
            <v>AE990Y (RCBO  2P  40A  100mA)</v>
          </cell>
          <cell r="B2477" t="str">
            <v>AE990Y(RCBO  2P  40A  100mA)</v>
          </cell>
          <cell r="C2477" t="str">
            <v>HAGER</v>
          </cell>
          <cell r="D2477" t="str">
            <v>HAGER</v>
          </cell>
        </row>
        <row r="2478">
          <cell r="A2478" t="str">
            <v>AF990Y (RCBO  2P  40A  300mA)</v>
          </cell>
          <cell r="B2478" t="str">
            <v>AF990Y(RCBO 2P 40A 300mA)</v>
          </cell>
          <cell r="C2478" t="str">
            <v>HAGER</v>
          </cell>
          <cell r="D2478" t="str">
            <v>HAGER</v>
          </cell>
        </row>
        <row r="2479">
          <cell r="A2479" t="str">
            <v>AD990Y (RCBO  2P  40A  30mA)</v>
          </cell>
          <cell r="B2479" t="str">
            <v>AD990Y(RCBO  2P  40A  30mA)</v>
          </cell>
          <cell r="C2479" t="str">
            <v>HAGER</v>
          </cell>
          <cell r="D2479" t="str">
            <v>HAGER</v>
          </cell>
        </row>
        <row r="2480">
          <cell r="A2480" t="str">
            <v>AE956Y (RCBO  2P   6A  100mA)</v>
          </cell>
          <cell r="B2480" t="str">
            <v>AE956Y(RCBO 2P 6A 100mA)</v>
          </cell>
          <cell r="C2480" t="str">
            <v>HAGER</v>
          </cell>
          <cell r="D2480" t="str">
            <v>HAGER</v>
          </cell>
        </row>
        <row r="2481">
          <cell r="A2481" t="str">
            <v>AF956Y (RCBO  2P   6A  300mA)</v>
          </cell>
          <cell r="B2481" t="str">
            <v>AF956Y(RCBO 2P 6A 300mA)</v>
          </cell>
          <cell r="C2481" t="str">
            <v>HAGER</v>
          </cell>
          <cell r="D2481" t="str">
            <v>HAGER</v>
          </cell>
        </row>
        <row r="2482">
          <cell r="A2482" t="str">
            <v>AD956Y (RCBO  2P  6A  30mA)</v>
          </cell>
          <cell r="B2482" t="str">
            <v>AD956Y(RCBO 2P 6A 30mA)</v>
          </cell>
          <cell r="C2482" t="str">
            <v>HAGER</v>
          </cell>
          <cell r="D2482" t="str">
            <v>HAGER</v>
          </cell>
        </row>
        <row r="2483">
          <cell r="A2483" t="str">
            <v>AFC463Y (RCBO 3P+N 10kA C-63A 300mA AC)</v>
          </cell>
          <cell r="B2483" t="str">
            <v>AFC463Y(RCBO 3P+N 10kA C-63A 300mA AC)</v>
          </cell>
          <cell r="C2483" t="str">
            <v>HAGER</v>
          </cell>
          <cell r="D2483" t="str">
            <v>HAGER</v>
          </cell>
        </row>
        <row r="2484">
          <cell r="A2484" t="str">
            <v>ADC463Y (RCBO 3P+N 10kA C63A 30mA AC)</v>
          </cell>
          <cell r="B2484" t="str">
            <v>ADC463Y(RCBO 3P+N 10kA C63A 30mA AC)</v>
          </cell>
          <cell r="C2484" t="str">
            <v>HAGER</v>
          </cell>
          <cell r="D2484" t="str">
            <v>HAGER</v>
          </cell>
        </row>
        <row r="2485">
          <cell r="A2485" t="str">
            <v>AE106L (RCBO Electronic 6A to 32A)</v>
          </cell>
          <cell r="B2485" t="str">
            <v>AE106L(RCBO Electronic 6A to 32A)</v>
          </cell>
          <cell r="C2485" t="str">
            <v>HAGER</v>
          </cell>
          <cell r="D2485" t="str">
            <v>HAGER</v>
          </cell>
        </row>
        <row r="2486">
          <cell r="A2486" t="str">
            <v>CE284Y (RCCB  2P  100A  100mA)</v>
          </cell>
          <cell r="B2486" t="str">
            <v>CE284Y(RCCB 2P 100A 100mA)</v>
          </cell>
          <cell r="C2486" t="str">
            <v>HAGER</v>
          </cell>
          <cell r="D2486" t="str">
            <v>HAGER</v>
          </cell>
        </row>
        <row r="2487">
          <cell r="A2487" t="str">
            <v>CD284Y (RCCB  2P  100A  30mA)</v>
          </cell>
          <cell r="B2487" t="str">
            <v>CD284Y(RCCB 2P 100A 30mA)</v>
          </cell>
          <cell r="C2487" t="str">
            <v>HAGER</v>
          </cell>
          <cell r="D2487" t="str">
            <v>HAGER</v>
          </cell>
        </row>
        <row r="2488">
          <cell r="A2488" t="str">
            <v>CC216Y (RCCB  2P  16A  10mA)</v>
          </cell>
          <cell r="B2488" t="str">
            <v>CC216Y(RCCB 2P 16A 10mA)</v>
          </cell>
          <cell r="C2488" t="str">
            <v>HAGER</v>
          </cell>
          <cell r="D2488" t="str">
            <v>HAGER</v>
          </cell>
        </row>
        <row r="2489">
          <cell r="A2489" t="str">
            <v>CE225Y (RCCB  2P  25A  100mA)</v>
          </cell>
          <cell r="B2489" t="str">
            <v>CE225Y(RCCB  2P  25A  100mA)</v>
          </cell>
          <cell r="C2489" t="str">
            <v>HAGER</v>
          </cell>
          <cell r="D2489" t="str">
            <v>HAGER</v>
          </cell>
        </row>
        <row r="2490">
          <cell r="A2490" t="str">
            <v>CC225Y (RCCB  2P  25A  10mA)</v>
          </cell>
          <cell r="B2490" t="str">
            <v>CC225Y(RCCB 2P 25A 10mA)</v>
          </cell>
          <cell r="C2490" t="str">
            <v>HAGER</v>
          </cell>
          <cell r="D2490" t="str">
            <v>HAGER</v>
          </cell>
        </row>
        <row r="2491">
          <cell r="A2491" t="str">
            <v>CF225Y (RCCB  2P  25A  300mA)</v>
          </cell>
          <cell r="B2491" t="str">
            <v>CF225Y(RCCB 2P 25A 300mA)</v>
          </cell>
          <cell r="C2491" t="str">
            <v>HAGER</v>
          </cell>
          <cell r="D2491" t="str">
            <v>HAGER</v>
          </cell>
        </row>
        <row r="2492">
          <cell r="A2492" t="str">
            <v>CD225Y (RCCB  2P  25A  30mA)</v>
          </cell>
          <cell r="B2492" t="str">
            <v>CD225Y(RCCB  2P  25A  30mA)</v>
          </cell>
          <cell r="C2492" t="str">
            <v>HAGER</v>
          </cell>
          <cell r="D2492" t="str">
            <v>HAGER</v>
          </cell>
        </row>
        <row r="2493">
          <cell r="A2493" t="str">
            <v>CE240Y (RCCB  2P  40A  100mA)</v>
          </cell>
          <cell r="B2493" t="str">
            <v>CE240Y(RCCB 2P 40A 100mA)</v>
          </cell>
          <cell r="C2493" t="str">
            <v>HAGER</v>
          </cell>
          <cell r="D2493" t="str">
            <v>HAGER</v>
          </cell>
        </row>
        <row r="2494">
          <cell r="A2494" t="str">
            <v>CF240Y (RCCB  2P  40A  300mA)</v>
          </cell>
          <cell r="B2494" t="str">
            <v>CF240Y(RCCB 2P 40A 300mA)</v>
          </cell>
          <cell r="C2494" t="str">
            <v>HAGER</v>
          </cell>
          <cell r="D2494" t="str">
            <v>HAGER</v>
          </cell>
        </row>
        <row r="2495">
          <cell r="A2495" t="str">
            <v>CD240Y (RCCB  2P  40A  30mA)</v>
          </cell>
          <cell r="B2495" t="str">
            <v>CD240Y(RCCB  2P  40A  30mA)</v>
          </cell>
          <cell r="C2495" t="str">
            <v>HAGER</v>
          </cell>
          <cell r="D2495" t="str">
            <v>HAGER</v>
          </cell>
        </row>
        <row r="2496">
          <cell r="A2496" t="str">
            <v>CE263Y (RCCB  2P  63A  100mA)</v>
          </cell>
          <cell r="B2496" t="str">
            <v>CE263Y(RCCB  2P  63A  100mA)</v>
          </cell>
          <cell r="C2496" t="str">
            <v>HAGER</v>
          </cell>
          <cell r="D2496" t="str">
            <v>HAGER</v>
          </cell>
        </row>
        <row r="2497">
          <cell r="A2497" t="str">
            <v>CF263Y (RCCB  2P  63A  300mA)</v>
          </cell>
          <cell r="B2497" t="str">
            <v>CF263Y(RCCB 2P 63A 300mA)</v>
          </cell>
          <cell r="C2497" t="str">
            <v>HAGER</v>
          </cell>
          <cell r="D2497" t="str">
            <v>HAGER</v>
          </cell>
        </row>
        <row r="2498">
          <cell r="A2498" t="str">
            <v>CD263Y (RCCB  2P  63A  30mA)</v>
          </cell>
          <cell r="B2498" t="str">
            <v>CD263Y(RCCB 2P 63A 30mA)</v>
          </cell>
          <cell r="C2498" t="str">
            <v>HAGER</v>
          </cell>
          <cell r="D2498" t="str">
            <v>HAGER</v>
          </cell>
        </row>
        <row r="2499">
          <cell r="A2499" t="str">
            <v>CDC484Y (RCCB 3P+N 100A 30mA AC)</v>
          </cell>
          <cell r="B2499" t="str">
            <v>CDC484Y(RCCB 3P+N 100A 30mA AC)</v>
          </cell>
          <cell r="C2499" t="str">
            <v>HAGER</v>
          </cell>
          <cell r="D2499" t="str">
            <v>HAGER</v>
          </cell>
        </row>
        <row r="2500">
          <cell r="A2500" t="str">
            <v>CE484Y (RCCB  4P  100A  100mA)</v>
          </cell>
          <cell r="B2500" t="str">
            <v>CE484Y(RCCB 4P 100A 100mA)</v>
          </cell>
          <cell r="C2500" t="str">
            <v>HAGER</v>
          </cell>
          <cell r="D2500" t="str">
            <v>HAGER</v>
          </cell>
        </row>
        <row r="2501">
          <cell r="A2501" t="str">
            <v>CF484Y (RCCB  4P  100A  300mA)</v>
          </cell>
          <cell r="B2501" t="str">
            <v>CF484Y(RCCB 4P 100A 300mA)</v>
          </cell>
          <cell r="C2501" t="str">
            <v>HAGER</v>
          </cell>
          <cell r="D2501" t="str">
            <v>HAGER</v>
          </cell>
        </row>
        <row r="2502">
          <cell r="A2502" t="str">
            <v>CD484Y (RCCB  4P  100A  30mA)</v>
          </cell>
          <cell r="B2502" t="str">
            <v>CD484Y(RCCB 4P 100A 30mA)</v>
          </cell>
          <cell r="C2502" t="str">
            <v>HAGER</v>
          </cell>
          <cell r="D2502" t="str">
            <v>HAGER</v>
          </cell>
        </row>
        <row r="2503">
          <cell r="A2503" t="str">
            <v>CE425Y (RCCB  4P  25A  100mA)</v>
          </cell>
          <cell r="B2503" t="str">
            <v>CE425Y(RCCB 4P 25A 100mA)</v>
          </cell>
          <cell r="C2503" t="str">
            <v>HAGER</v>
          </cell>
          <cell r="D2503" t="str">
            <v>HAGER</v>
          </cell>
        </row>
        <row r="2504">
          <cell r="A2504" t="str">
            <v>CF425Y (RCCB  4P  25A  300mA)</v>
          </cell>
          <cell r="B2504" t="str">
            <v>CF425Y(RCCB 4P 25A 300mA)</v>
          </cell>
          <cell r="C2504" t="str">
            <v>HAGER</v>
          </cell>
          <cell r="D2504" t="str">
            <v>HAGER</v>
          </cell>
        </row>
        <row r="2505">
          <cell r="A2505" t="str">
            <v>CD425Y (RCCB  4P  25A  30mA)</v>
          </cell>
          <cell r="B2505" t="str">
            <v>CD425Y(RCCB 4P 25A 30mA)</v>
          </cell>
          <cell r="C2505" t="str">
            <v>HAGER</v>
          </cell>
          <cell r="D2505" t="str">
            <v>HAGER</v>
          </cell>
        </row>
        <row r="2506">
          <cell r="A2506" t="str">
            <v>CE440Y (RCCB  4P  40A  100mA)</v>
          </cell>
          <cell r="B2506" t="str">
            <v>CE440Y(RCCB  4P  40A  100mA)</v>
          </cell>
          <cell r="C2506" t="str">
            <v>HAGER</v>
          </cell>
          <cell r="D2506" t="str">
            <v>HAGER</v>
          </cell>
        </row>
        <row r="2507">
          <cell r="A2507" t="str">
            <v>CF440Y (RCCB 4P 40A 300mA)</v>
          </cell>
          <cell r="B2507" t="str">
            <v>CF440Y(RCCB 4P 40A 300mA)</v>
          </cell>
          <cell r="C2507" t="str">
            <v>HAGER</v>
          </cell>
          <cell r="D2507" t="str">
            <v>HAGER</v>
          </cell>
        </row>
        <row r="2508">
          <cell r="A2508" t="str">
            <v>CF440Y Old (RCCB  4P  40A  300mA Old)</v>
          </cell>
          <cell r="B2508" t="str">
            <v>CF440Y Old(RCCB 4P 40A 300mA Old)</v>
          </cell>
          <cell r="C2508" t="str">
            <v>HAGER</v>
          </cell>
          <cell r="D2508" t="str">
            <v>HAGER</v>
          </cell>
        </row>
        <row r="2509">
          <cell r="A2509" t="str">
            <v>CD440Y (RCCB  4P  40A  30mA)</v>
          </cell>
          <cell r="B2509" t="str">
            <v>CD440Y(RCCB 4P 40A 30mA)</v>
          </cell>
          <cell r="C2509" t="str">
            <v>HAGER</v>
          </cell>
          <cell r="D2509" t="str">
            <v>HAGER</v>
          </cell>
        </row>
        <row r="2510">
          <cell r="A2510" t="str">
            <v>CE463Y (RCCB  4P  63A  100mA)</v>
          </cell>
          <cell r="B2510" t="str">
            <v>CE463Y(RCCB  4P  63A  100mA)</v>
          </cell>
          <cell r="C2510" t="str">
            <v>HAGER</v>
          </cell>
          <cell r="D2510" t="str">
            <v>HAGER</v>
          </cell>
        </row>
        <row r="2511">
          <cell r="A2511" t="str">
            <v>CF463Y (RCCB  4P  63A  300mA)</v>
          </cell>
          <cell r="B2511" t="str">
            <v>CF463Y(RCCB  4P  63A  300mA)</v>
          </cell>
          <cell r="C2511" t="str">
            <v>HAGER</v>
          </cell>
          <cell r="D2511" t="str">
            <v>HAGER</v>
          </cell>
        </row>
        <row r="2512">
          <cell r="A2512" t="str">
            <v>CD463Y (RCCB  4P  63A  30mA)</v>
          </cell>
          <cell r="B2512" t="str">
            <v>CD463Y(RCCB  4P  63A  30mA)</v>
          </cell>
          <cell r="C2512" t="str">
            <v>HAGER</v>
          </cell>
          <cell r="D2512" t="str">
            <v>HAGER</v>
          </cell>
        </row>
        <row r="2513">
          <cell r="A2513" t="str">
            <v>HZI910I (REMOTE INTERFACE)</v>
          </cell>
          <cell r="B2513" t="str">
            <v>HZI910I(REMOTE INTERFACE)</v>
          </cell>
          <cell r="C2513" t="str">
            <v>HAGER</v>
          </cell>
          <cell r="D2513" t="str">
            <v>HAGER</v>
          </cell>
        </row>
        <row r="2514">
          <cell r="A2514" t="str">
            <v>WSNDS21 (RJ-11 Double telephone Socket with shutter)</v>
          </cell>
          <cell r="B2514" t="str">
            <v>WSNDS21(RJ-11 Double telephone Socket with shutter)</v>
          </cell>
          <cell r="C2514" t="str">
            <v>HAGER</v>
          </cell>
          <cell r="D2514" t="str">
            <v>HAGER</v>
          </cell>
        </row>
        <row r="2515">
          <cell r="A2515" t="str">
            <v>WSNDS21A (RJ-11 Double telephone Socket with shutter  ANTH)</v>
          </cell>
          <cell r="B2515" t="str">
            <v>WSNDS21A(RJ-11 Double telephone Socket with shutter ANTH)</v>
          </cell>
          <cell r="C2515" t="str">
            <v>HAGER</v>
          </cell>
          <cell r="D2515" t="str">
            <v>HAGER</v>
          </cell>
        </row>
        <row r="2516">
          <cell r="A2516" t="str">
            <v>WSNDS11 (RJ-11 Single Telephone Socket Cat-3)</v>
          </cell>
          <cell r="B2516" t="str">
            <v>WSNDS11(RJ-11 Single Telephone Socket Cat-3)</v>
          </cell>
          <cell r="C2516" t="str">
            <v>HAGER</v>
          </cell>
          <cell r="D2516" t="str">
            <v>HAGER</v>
          </cell>
        </row>
        <row r="2517">
          <cell r="A2517" t="str">
            <v>WSNDS11A (RJ-11 Single Telephone Socket Cat-3  ANTH)</v>
          </cell>
          <cell r="B2517" t="str">
            <v>WSNDS11A(RJ-11 Single Telephone Socket Cat-3 ANTH)</v>
          </cell>
          <cell r="C2517" t="str">
            <v>HAGER</v>
          </cell>
          <cell r="D2517" t="str">
            <v>HAGER</v>
          </cell>
        </row>
        <row r="2518">
          <cell r="A2518" t="str">
            <v>WSNDS31 (RJ-45 Computer Socket Cat 5e)</v>
          </cell>
          <cell r="B2518" t="str">
            <v>WSNDS31(RJ-45 Computer Socket Cat 5e)</v>
          </cell>
          <cell r="C2518" t="str">
            <v>HAGER</v>
          </cell>
          <cell r="D2518" t="str">
            <v>HAGER</v>
          </cell>
        </row>
        <row r="2519">
          <cell r="A2519" t="str">
            <v>WSNDS31A (RJ-45 Computer Socket Cat 5e  ANTH)</v>
          </cell>
          <cell r="B2519" t="str">
            <v>WSNDS31A(RJ-45 Computer Socket Cat 5e ANTH)</v>
          </cell>
          <cell r="C2519" t="str">
            <v>HAGER</v>
          </cell>
          <cell r="D2519" t="str">
            <v>HAGER</v>
          </cell>
        </row>
        <row r="2520">
          <cell r="A2520" t="str">
            <v>WSNDS41 (RJ-45 Computer Socket Cat 6)</v>
          </cell>
          <cell r="B2520" t="str">
            <v>WSNDS41(RJ-45 Computer Socket Cat 6)</v>
          </cell>
          <cell r="C2520" t="str">
            <v>HAGER</v>
          </cell>
          <cell r="D2520" t="str">
            <v>HAGER</v>
          </cell>
        </row>
        <row r="2521">
          <cell r="A2521" t="str">
            <v>WSNDS41A (RJ-45 Computer Socket Cat 6  ANTH)</v>
          </cell>
          <cell r="B2521" t="str">
            <v>WSNDS41A(RJ-45 Computer Socket Cat 6 ANTH)</v>
          </cell>
          <cell r="C2521" t="str">
            <v>HAGER</v>
          </cell>
          <cell r="D2521" t="str">
            <v>HAGER</v>
          </cell>
        </row>
        <row r="2522">
          <cell r="A2522" t="str">
            <v>WSNDM22 (Rotary dimmer 1000W)</v>
          </cell>
          <cell r="B2522" t="str">
            <v>WSNDM22(Rotary dimmer 1000W)</v>
          </cell>
          <cell r="C2522" t="str">
            <v>HAGER</v>
          </cell>
          <cell r="D2522" t="str">
            <v>HAGER</v>
          </cell>
        </row>
        <row r="2523">
          <cell r="A2523" t="str">
            <v>WSNDM22A (Rotary dimmer 1000W  ANTH)</v>
          </cell>
          <cell r="B2523" t="str">
            <v>WSNDM22A(Rotary dimmer 1000W ANTH)</v>
          </cell>
          <cell r="C2523" t="str">
            <v>HAGER</v>
          </cell>
          <cell r="D2523" t="str">
            <v>HAGER</v>
          </cell>
        </row>
        <row r="2524">
          <cell r="A2524" t="str">
            <v>WSNDM11 (Rotary dimmer 400W)</v>
          </cell>
          <cell r="B2524" t="str">
            <v>WSNDM11(Rotary dimmer 400W)</v>
          </cell>
          <cell r="C2524" t="str">
            <v>HAGER</v>
          </cell>
          <cell r="D2524" t="str">
            <v>HAGER</v>
          </cell>
        </row>
        <row r="2525">
          <cell r="A2525" t="str">
            <v>WSNDM11A (Rotary dimmer 400W  ANTH)</v>
          </cell>
          <cell r="B2525" t="str">
            <v>WSNDM11A(Rotary dimmer 400W ANTH)</v>
          </cell>
          <cell r="C2525" t="str">
            <v>HAGER</v>
          </cell>
          <cell r="D2525" t="str">
            <v>HAGER</v>
          </cell>
        </row>
        <row r="2526">
          <cell r="A2526" t="str">
            <v>HXS031H (Rotary Handle on Door P160)</v>
          </cell>
          <cell r="B2526" t="str">
            <v>HXS031H(Rotary Handle on Door P160)</v>
          </cell>
          <cell r="C2526" t="str">
            <v>HAGER</v>
          </cell>
          <cell r="D2526" t="str">
            <v>HAGER</v>
          </cell>
        </row>
        <row r="2527">
          <cell r="A2527" t="str">
            <v>VYC12CHZ (Selector TPN 12way IP30 Single Door DB)</v>
          </cell>
          <cell r="B2527" t="str">
            <v>VYC12CHZ(Selector TPN 12way IP30 Single Door DB)</v>
          </cell>
          <cell r="C2527" t="str">
            <v>HAGER</v>
          </cell>
          <cell r="D2527" t="str">
            <v>HAGER</v>
          </cell>
        </row>
        <row r="2528">
          <cell r="A2528" t="str">
            <v>VYC12DHZ (Selector TPN 12way IP43 Double Door DB)</v>
          </cell>
          <cell r="B2528" t="str">
            <v>VYC12DHZ(Selector TPN 12way IP43 Double Door DB)</v>
          </cell>
          <cell r="C2528" t="str">
            <v>HAGER</v>
          </cell>
          <cell r="D2528" t="str">
            <v>HAGER</v>
          </cell>
        </row>
        <row r="2529">
          <cell r="A2529" t="str">
            <v>VYC04DFZ (Selector TPN 4way FP IP43 Double Door DB)</v>
          </cell>
          <cell r="B2529" t="str">
            <v>VYC04DFZ(Selector TPN 4way FP IP43 Double Door DB)</v>
          </cell>
          <cell r="C2529" t="str">
            <v>HAGER</v>
          </cell>
          <cell r="D2529" t="str">
            <v>HAGER</v>
          </cell>
        </row>
        <row r="2530">
          <cell r="A2530" t="str">
            <v>VYC04CHZ (Selector TPN 4way IP30 Single Door DB)</v>
          </cell>
          <cell r="B2530" t="str">
            <v>VYC04CHZ(Selector TPN 4way IP30 Single Door DB)</v>
          </cell>
          <cell r="C2530" t="str">
            <v>HAGER</v>
          </cell>
          <cell r="D2530" t="str">
            <v>HAGER</v>
          </cell>
        </row>
        <row r="2531">
          <cell r="A2531" t="str">
            <v>VYC04DHZ (Selector TPN 4way IP43 Double Door DB)</v>
          </cell>
          <cell r="B2531" t="str">
            <v>VYC04DHZ(Selector TPN 4way IP43 Double Door DB)</v>
          </cell>
          <cell r="C2531" t="str">
            <v>HAGER</v>
          </cell>
          <cell r="D2531" t="str">
            <v>HAGER</v>
          </cell>
        </row>
        <row r="2532">
          <cell r="A2532" t="str">
            <v>VYC06CHZ (Selector TPN 6way IP30 Single Door DB)</v>
          </cell>
          <cell r="B2532" t="str">
            <v>VYC06CHZ(Selector TPN 6way IP30 Single Door DB)</v>
          </cell>
          <cell r="C2532" t="str">
            <v>HAGER</v>
          </cell>
          <cell r="D2532" t="str">
            <v>HAGER</v>
          </cell>
        </row>
        <row r="2533">
          <cell r="A2533" t="str">
            <v>VYC06DHZ (Selector TPN 6way IP43 Double Door DB)</v>
          </cell>
          <cell r="B2533" t="str">
            <v>VYC06DHZ(Selector TPN 6way IP43 Double Door DB)</v>
          </cell>
          <cell r="C2533" t="str">
            <v>HAGER</v>
          </cell>
          <cell r="D2533" t="str">
            <v>HAGER</v>
          </cell>
        </row>
        <row r="2534">
          <cell r="A2534" t="str">
            <v>VYC08CHZ (Selector TPN 8way IP30 Single Door DB)</v>
          </cell>
          <cell r="B2534" t="str">
            <v>VYC08CHZ(Selector TPN 8way IP30 Single Door DB)</v>
          </cell>
          <cell r="C2534" t="str">
            <v>HAGER</v>
          </cell>
          <cell r="D2534" t="str">
            <v>HAGER</v>
          </cell>
        </row>
        <row r="2535">
          <cell r="A2535" t="str">
            <v>VYC08DHZ (Selector TPN 8way IP43 Double Door DB)</v>
          </cell>
          <cell r="B2535" t="str">
            <v>VYC08DHZ(Selector TPN 8way IP43 Double Door DB)</v>
          </cell>
          <cell r="C2535" t="str">
            <v>HAGER</v>
          </cell>
          <cell r="D2535" t="str">
            <v>HAGER</v>
          </cell>
        </row>
        <row r="2536">
          <cell r="A2536" t="str">
            <v>M1043 (Separator)</v>
          </cell>
          <cell r="B2536" t="str">
            <v>M1043(Separator)</v>
          </cell>
          <cell r="C2536" t="str">
            <v>HAGER</v>
          </cell>
          <cell r="D2536" t="str">
            <v>HAGER</v>
          </cell>
        </row>
        <row r="2537">
          <cell r="A2537" t="str">
            <v>HZC101I (SHAFT EXTENSION 200 MM FCS-LBS 63-630A)</v>
          </cell>
          <cell r="B2537" t="str">
            <v>HZC101I(SHAFT EXTENSION 200 MM FCS-LBS 63-630A)</v>
          </cell>
          <cell r="C2537" t="str">
            <v>HAGER</v>
          </cell>
          <cell r="D2537" t="str">
            <v>HAGER</v>
          </cell>
        </row>
        <row r="2538">
          <cell r="A2538" t="str">
            <v>HZC105I (SHAFT EXTENSION 200 MM FCS-LBS 800-1600A)</v>
          </cell>
          <cell r="B2538" t="str">
            <v>HZC105I(SHAFT EXTENSION 200 MM FCS-LBS 800-1600A)</v>
          </cell>
          <cell r="C2538" t="str">
            <v>HAGER</v>
          </cell>
          <cell r="D2538" t="str">
            <v>HAGER</v>
          </cell>
        </row>
        <row r="2539">
          <cell r="A2539" t="str">
            <v>HZC102I (SHAFT EXTENSION 320 MM FCS-LBS 63-630A)</v>
          </cell>
          <cell r="B2539" t="str">
            <v>HZC102I(SHAFT EXTENSION 320 MM FCS-LBS 63-630A)</v>
          </cell>
          <cell r="C2539" t="str">
            <v>HAGER</v>
          </cell>
          <cell r="D2539" t="str">
            <v>HAGER</v>
          </cell>
        </row>
        <row r="2540">
          <cell r="A2540" t="str">
            <v>HZC106I (SHAFT EXTENSION 320 MM FCS-LBS 800-1600A)</v>
          </cell>
          <cell r="B2540" t="str">
            <v>HZC106I(SHAFT EXTENSION 320 MM FCS-LBS 800-1600A)</v>
          </cell>
          <cell r="C2540" t="str">
            <v>HAGER</v>
          </cell>
          <cell r="D2540" t="str">
            <v>HAGER</v>
          </cell>
        </row>
        <row r="2541">
          <cell r="A2541" t="str">
            <v>WSNHS44 (Shaver socket)</v>
          </cell>
          <cell r="B2541" t="str">
            <v>WSNHS44(Shaver socket)</v>
          </cell>
          <cell r="C2541" t="str">
            <v>HAGER</v>
          </cell>
          <cell r="D2541" t="str">
            <v>HAGER</v>
          </cell>
        </row>
        <row r="2542">
          <cell r="A2542" t="str">
            <v>WSNHS44A (Shaver socket  ANTH)</v>
          </cell>
          <cell r="B2542" t="str">
            <v>WSNHS44A(Shaver socket ANTH)</v>
          </cell>
          <cell r="C2542" t="str">
            <v>HAGER</v>
          </cell>
          <cell r="D2542" t="str">
            <v>HAGER</v>
          </cell>
        </row>
        <row r="2543">
          <cell r="A2543" t="str">
            <v>MZ204 (SHUNT TRIP  24 V DC)</v>
          </cell>
          <cell r="B2543" t="str">
            <v>MZ204(SHUNT TRIP 24 V DC)</v>
          </cell>
          <cell r="C2543" t="str">
            <v>HAGER</v>
          </cell>
          <cell r="D2543" t="str">
            <v>HAGER</v>
          </cell>
        </row>
        <row r="2544">
          <cell r="A2544" t="str">
            <v>MZ203 (SHUNT TRIP AC 240V)</v>
          </cell>
          <cell r="B2544" t="str">
            <v>MZ203(SHUNT TRIP AC 240V)</v>
          </cell>
          <cell r="C2544" t="str">
            <v>HAGER</v>
          </cell>
          <cell r="D2544" t="str">
            <v>HAGER</v>
          </cell>
        </row>
        <row r="2545">
          <cell r="A2545" t="str">
            <v>HXF004H (Shunt trip Release h1600 200-240VAC)</v>
          </cell>
          <cell r="B2545" t="str">
            <v>HXF004H(Shunt trip Release h1600 200-240VAC)</v>
          </cell>
          <cell r="C2545" t="str">
            <v>HAGER</v>
          </cell>
          <cell r="D2545" t="str">
            <v>HAGER</v>
          </cell>
        </row>
        <row r="2546">
          <cell r="A2546" t="str">
            <v>HXF001H (Shunt trip Release h1600 24V DC)</v>
          </cell>
          <cell r="B2546" t="str">
            <v>HXF001H(Shunt trip Release h1600 24V DC)</v>
          </cell>
          <cell r="C2546" t="str">
            <v>HAGER</v>
          </cell>
          <cell r="D2546" t="str">
            <v>HAGER</v>
          </cell>
        </row>
        <row r="2547">
          <cell r="A2547" t="str">
            <v>HXC004H (Shunt trip Release h250-h1000 200-240VAC)</v>
          </cell>
          <cell r="B2547" t="str">
            <v>HXC004H(Shunt trip Release h250-h1000 200-240VAC)</v>
          </cell>
          <cell r="C2547" t="str">
            <v>HAGER</v>
          </cell>
          <cell r="D2547" t="str">
            <v>HAGER</v>
          </cell>
        </row>
        <row r="2548">
          <cell r="A2548" t="str">
            <v>HXC001H (Shunt trip Release h250-h1000 24V DC)</v>
          </cell>
          <cell r="B2548" t="str">
            <v>HXC001H(Shunt trip Release h250-h1000 24V DC)</v>
          </cell>
          <cell r="C2548" t="str">
            <v>HAGER</v>
          </cell>
          <cell r="D2548" t="str">
            <v>HAGER</v>
          </cell>
        </row>
        <row r="2549">
          <cell r="A2549" t="str">
            <v>HXA004H (Shunt trip x160-x250 200-240VAC)</v>
          </cell>
          <cell r="B2549" t="str">
            <v>HXA004H(Shunt trip x160-x250 200-240VAC)</v>
          </cell>
          <cell r="C2549" t="str">
            <v>HAGER</v>
          </cell>
          <cell r="D2549" t="str">
            <v>HAGER</v>
          </cell>
        </row>
        <row r="2550">
          <cell r="A2550" t="str">
            <v>HXA001H (Shunt trip x160-x250 24V DC)</v>
          </cell>
          <cell r="B2550" t="str">
            <v>HXA001H(Shunt trip x160-x250 24V DC)</v>
          </cell>
          <cell r="C2550" t="str">
            <v>HAGER</v>
          </cell>
          <cell r="D2550" t="str">
            <v>HAGER</v>
          </cell>
        </row>
        <row r="2551">
          <cell r="A2551" t="str">
            <v>EC050 (Single phase kwh meter 32A)</v>
          </cell>
          <cell r="B2551" t="str">
            <v>EC050(Single phase kwh meter 32A)</v>
          </cell>
          <cell r="C2551" t="str">
            <v>HAGER</v>
          </cell>
          <cell r="D2551" t="str">
            <v>HAGER</v>
          </cell>
        </row>
        <row r="2552">
          <cell r="A2552" t="str">
            <v>EC150 (Single phase kwh meter 63A)</v>
          </cell>
          <cell r="B2552" t="str">
            <v>EC150(Single phase kwh meter 63A)</v>
          </cell>
          <cell r="C2552" t="str">
            <v>HAGER</v>
          </cell>
          <cell r="D2552" t="str">
            <v>HAGER</v>
          </cell>
        </row>
        <row r="2553">
          <cell r="A2553" t="str">
            <v>EC152 (Single phase kwh meter 63A - 2 tariffs)</v>
          </cell>
          <cell r="B2553" t="str">
            <v>EC152(Single phase kwh meter 63A - 2 tariffs)</v>
          </cell>
          <cell r="C2553" t="str">
            <v>HAGER</v>
          </cell>
          <cell r="D2553" t="str">
            <v>HAGER</v>
          </cell>
        </row>
        <row r="2554">
          <cell r="A2554" t="str">
            <v>WSNHS52 (Skirting light with white LED)</v>
          </cell>
          <cell r="B2554" t="str">
            <v>WSNHS52(Skirting light with white LED)</v>
          </cell>
          <cell r="C2554" t="str">
            <v>HAGER</v>
          </cell>
          <cell r="D2554" t="str">
            <v>HAGER</v>
          </cell>
        </row>
        <row r="2555">
          <cell r="A2555" t="str">
            <v>WSNHS52A (Skirting light with white LED  ANTH)</v>
          </cell>
          <cell r="B2555" t="str">
            <v>WSNHS52A(Skirting light with white LED ANTH)</v>
          </cell>
          <cell r="C2555" t="str">
            <v>HAGER</v>
          </cell>
          <cell r="D2555" t="str">
            <v>HAGER</v>
          </cell>
        </row>
        <row r="2556">
          <cell r="A2556" t="str">
            <v>EE003 (Spare photo electric cell for EE100 &amp; EE110.)</v>
          </cell>
          <cell r="B2556" t="str">
            <v>EE003(Spare photo electric cell for EE100 &amp; EE110.)</v>
          </cell>
          <cell r="C2556" t="str">
            <v>HAGER</v>
          </cell>
          <cell r="D2556" t="str">
            <v>HAGER</v>
          </cell>
        </row>
        <row r="2557">
          <cell r="A2557" t="str">
            <v>EG005 (Spare USB key for EE180, EE181 &amp; EG103E)</v>
          </cell>
          <cell r="B2557" t="str">
            <v>EG005(Spare USB key for EE180, EE181 &amp; EG103E)</v>
          </cell>
          <cell r="C2557" t="str">
            <v>HAGER</v>
          </cell>
          <cell r="D2557" t="str">
            <v>HAGER</v>
          </cell>
        </row>
        <row r="2558">
          <cell r="A2558" t="str">
            <v>EG007 (Spare USB key for yearly time switch)</v>
          </cell>
          <cell r="B2558" t="str">
            <v>EG007(Spare USB key for yearly time switch)</v>
          </cell>
          <cell r="C2558" t="str">
            <v>HAGER</v>
          </cell>
          <cell r="D2558" t="str">
            <v>HAGER</v>
          </cell>
        </row>
        <row r="2559">
          <cell r="A2559" t="str">
            <v>SPL420 (SPD 4P T2 TNS/TT 20ka)</v>
          </cell>
          <cell r="B2559" t="str">
            <v>SPL420(SPD 4P T2 TNS/TT 20ka)</v>
          </cell>
          <cell r="C2559" t="str">
            <v>HAGER</v>
          </cell>
          <cell r="D2559" t="str">
            <v>HAGER</v>
          </cell>
        </row>
        <row r="2560">
          <cell r="A2560" t="str">
            <v>SPV325 (SPD pluggable 25kA type 2 for
photovoltaic applications)</v>
          </cell>
          <cell r="B2560" t="str">
            <v>SPV325(SPD pluggable 25kA type 2 for
photovoltaic applications)</v>
          </cell>
          <cell r="C2560" t="str">
            <v>HAGER</v>
          </cell>
          <cell r="D2560" t="str">
            <v>HAGER</v>
          </cell>
        </row>
        <row r="2561">
          <cell r="A2561" t="str">
            <v>Y81122 (SPN 12way Double Door DB)</v>
          </cell>
          <cell r="B2561" t="str">
            <v>Y81122(SPN 12way Double Door DB)</v>
          </cell>
          <cell r="C2561" t="str">
            <v>HAGER</v>
          </cell>
          <cell r="D2561" t="str">
            <v>HAGER</v>
          </cell>
        </row>
        <row r="2562">
          <cell r="A2562" t="str">
            <v>VYS12CZ (SPN 12way IP30 Single Door DB)</v>
          </cell>
          <cell r="B2562" t="str">
            <v>VYS12CZ(SPN 12way IP30 Single Door DB)</v>
          </cell>
          <cell r="C2562" t="str">
            <v>HAGER</v>
          </cell>
          <cell r="D2562" t="str">
            <v>HAGER</v>
          </cell>
        </row>
        <row r="2563">
          <cell r="A2563" t="str">
            <v>VYS12GZ (SPN 12way IP43 Acrylic Door DB)</v>
          </cell>
          <cell r="B2563" t="str">
            <v>VYS12GZ(SPN 12way IP43 Acrylic Door DB)</v>
          </cell>
          <cell r="C2563" t="str">
            <v>HAGER</v>
          </cell>
          <cell r="D2563" t="str">
            <v>HAGER</v>
          </cell>
        </row>
        <row r="2564">
          <cell r="A2564" t="str">
            <v>VYS12DZ (SPN 12way IP43 Double Door DB)</v>
          </cell>
          <cell r="B2564" t="str">
            <v>VYS12DZ(SPN 12way IP43 Double Door DB)</v>
          </cell>
          <cell r="C2564" t="str">
            <v>HAGER</v>
          </cell>
          <cell r="D2564" t="str">
            <v>HAGER</v>
          </cell>
        </row>
        <row r="2565">
          <cell r="A2565" t="str">
            <v>VYS12D (SPN 12way IP43 Double Door DB_x000D_
)</v>
          </cell>
          <cell r="B2565" t="str">
            <v>VYS12D(SPN 12way IP43 Double Door DB_x000D_
)</v>
          </cell>
          <cell r="C2565" t="str">
            <v>HAGER</v>
          </cell>
          <cell r="D2565" t="str">
            <v>HAGER</v>
          </cell>
        </row>
        <row r="2566">
          <cell r="A2566" t="str">
            <v>VYS12PZ (SPN 12way IP54 Double Door DB)</v>
          </cell>
          <cell r="B2566" t="str">
            <v>VYS12PZ(SPN 12way IP54 Double Door DB)</v>
          </cell>
          <cell r="C2566" t="str">
            <v>HAGER</v>
          </cell>
          <cell r="D2566" t="str">
            <v>HAGER</v>
          </cell>
        </row>
        <row r="2567">
          <cell r="A2567" t="str">
            <v>Y81121 (SPN 12way Single Door DB)</v>
          </cell>
          <cell r="B2567" t="str">
            <v>Y81121(SPN 12way Single Door DB)</v>
          </cell>
          <cell r="C2567" t="str">
            <v>HAGER</v>
          </cell>
          <cell r="D2567" t="str">
            <v>HAGER</v>
          </cell>
        </row>
        <row r="2568">
          <cell r="A2568" t="str">
            <v>Y81162 (SPN 16way Double Door DB)</v>
          </cell>
          <cell r="B2568" t="str">
            <v>Y81162(SPN 16way Double Door DB)</v>
          </cell>
          <cell r="C2568" t="str">
            <v>HAGER</v>
          </cell>
          <cell r="D2568" t="str">
            <v>HAGER</v>
          </cell>
        </row>
        <row r="2569">
          <cell r="A2569" t="str">
            <v>VYS16CZ (SPN 16way IP30 Single Door DB)</v>
          </cell>
          <cell r="B2569" t="str">
            <v>VYS16CZ(SPN 16way IP30 Single Door DB)</v>
          </cell>
          <cell r="C2569" t="str">
            <v>HAGER</v>
          </cell>
          <cell r="D2569" t="str">
            <v>HAGER</v>
          </cell>
        </row>
        <row r="2570">
          <cell r="A2570" t="str">
            <v>VYS16GZ (SPN 16way IP43 Acrylic Door DB)</v>
          </cell>
          <cell r="B2570" t="str">
            <v>VYS16GZ(SPN 16way IP43 Acrylic Door DB)</v>
          </cell>
          <cell r="C2570" t="str">
            <v>HAGER</v>
          </cell>
          <cell r="D2570" t="str">
            <v>HAGER</v>
          </cell>
        </row>
        <row r="2571">
          <cell r="A2571" t="str">
            <v>VYS16DZ (SPN 16way IP43 Double Door DB)</v>
          </cell>
          <cell r="B2571" t="str">
            <v>VYS16DZ(SPN 16way IP43 Double Door DB)</v>
          </cell>
          <cell r="C2571" t="str">
            <v>HAGER</v>
          </cell>
          <cell r="D2571" t="str">
            <v>HAGER</v>
          </cell>
        </row>
        <row r="2572">
          <cell r="A2572" t="str">
            <v>VYS16D (SPN 16way IP43 Double Door DB_x000D_
)</v>
          </cell>
          <cell r="B2572" t="str">
            <v>VYS16D(SPN 16way IP43 Double Door DB_x000D_
)</v>
          </cell>
          <cell r="C2572" t="str">
            <v>HAGER</v>
          </cell>
          <cell r="D2572" t="str">
            <v>HAGER</v>
          </cell>
        </row>
        <row r="2573">
          <cell r="A2573" t="str">
            <v>Y81161 (SPN 16way Single Door DB)</v>
          </cell>
          <cell r="B2573" t="str">
            <v>Y81161(SPN 16way Single Door DB)</v>
          </cell>
          <cell r="C2573" t="str">
            <v>HAGER</v>
          </cell>
          <cell r="D2573" t="str">
            <v>HAGER</v>
          </cell>
        </row>
        <row r="2574">
          <cell r="A2574" t="str">
            <v>VYS18CZ (SPN 18way IP30 Single Door DB)</v>
          </cell>
          <cell r="B2574" t="str">
            <v>VYS18CZ(SPN 18way IP30 Single Door DB)</v>
          </cell>
          <cell r="C2574" t="str">
            <v>HAGER</v>
          </cell>
          <cell r="D2574" t="str">
            <v>HAGER</v>
          </cell>
        </row>
        <row r="2575">
          <cell r="A2575" t="str">
            <v>VYS18GZ (SPN 18way IP43 Acrylic Door DB)</v>
          </cell>
          <cell r="B2575" t="str">
            <v>VYS18GZ(SPN 18way IP43 Acrylic Door DB)</v>
          </cell>
          <cell r="C2575" t="str">
            <v>HAGER</v>
          </cell>
          <cell r="D2575" t="str">
            <v>HAGER</v>
          </cell>
        </row>
        <row r="2576">
          <cell r="A2576" t="str">
            <v>VYS18DZ (SPN 18way IP43 Double Door DB)</v>
          </cell>
          <cell r="B2576" t="str">
            <v>VYS18DZ(SPN 18way IP43 Double Door DB)</v>
          </cell>
          <cell r="C2576" t="str">
            <v>HAGER</v>
          </cell>
          <cell r="D2576" t="str">
            <v>HAGER</v>
          </cell>
        </row>
        <row r="2577">
          <cell r="A2577" t="str">
            <v>Y81042 (SPN 4way Double Door DB)</v>
          </cell>
          <cell r="B2577" t="str">
            <v>Y81042(SPN 4way Double Door DB)</v>
          </cell>
          <cell r="C2577" t="str">
            <v>HAGER</v>
          </cell>
          <cell r="D2577" t="str">
            <v>HAGER</v>
          </cell>
        </row>
        <row r="2578">
          <cell r="A2578" t="str">
            <v>VYS04GZ (SPN 4way IP43 Acrylic Door DB)</v>
          </cell>
          <cell r="B2578" t="str">
            <v>VYS04GZ(SPN 4way IP43 Acrylic Door DB)</v>
          </cell>
          <cell r="C2578" t="str">
            <v>HAGER</v>
          </cell>
          <cell r="D2578" t="str">
            <v>HAGER</v>
          </cell>
        </row>
        <row r="2579">
          <cell r="A2579" t="str">
            <v>VYS04DZ (SPN 4way IP43 Double Door DB)</v>
          </cell>
          <cell r="B2579" t="str">
            <v>VYS04DZ(SPN 4way IP43 Double Door DB)</v>
          </cell>
          <cell r="C2579" t="str">
            <v>HAGER</v>
          </cell>
          <cell r="D2579" t="str">
            <v>HAGER</v>
          </cell>
        </row>
        <row r="2580">
          <cell r="A2580" t="str">
            <v>VYS04D (SPN 4way IP43 Double Door DB_x000D_
)</v>
          </cell>
          <cell r="B2580" t="str">
            <v>VYS04D(SPN 4way IP43 Double Door DB_x000D_
)</v>
          </cell>
          <cell r="C2580" t="str">
            <v>HAGER</v>
          </cell>
          <cell r="D2580" t="str">
            <v>HAGER</v>
          </cell>
        </row>
        <row r="2581">
          <cell r="A2581" t="str">
            <v>VYS04PZ (SPN 4way IP54 Double Door DB)</v>
          </cell>
          <cell r="B2581" t="str">
            <v>VYS04PZ(SPN 4way IP54 Double Door DB)</v>
          </cell>
          <cell r="C2581" t="str">
            <v>HAGER</v>
          </cell>
          <cell r="D2581" t="str">
            <v>HAGER</v>
          </cell>
        </row>
        <row r="2582">
          <cell r="A2582" t="str">
            <v>Y81041 (SPN 4way Single Door DB)</v>
          </cell>
          <cell r="B2582" t="str">
            <v>Y81041(SPN 4way Single Door DB)</v>
          </cell>
          <cell r="C2582" t="str">
            <v>HAGER</v>
          </cell>
          <cell r="D2582" t="str">
            <v>HAGER</v>
          </cell>
        </row>
        <row r="2583">
          <cell r="A2583" t="str">
            <v>Y81062 (SPN 6way Double Door DB)</v>
          </cell>
          <cell r="B2583" t="str">
            <v>Y81062(SPN 6way Double Door DB)</v>
          </cell>
          <cell r="C2583" t="str">
            <v>HAGER</v>
          </cell>
          <cell r="D2583" t="str">
            <v>HAGER</v>
          </cell>
        </row>
        <row r="2584">
          <cell r="A2584" t="str">
            <v>VYS06CZ (SPN 6way IP30 Single Door DB)</v>
          </cell>
          <cell r="B2584" t="str">
            <v>VYS06CZ(SPN 6way IP30 Single Door DB)</v>
          </cell>
          <cell r="C2584" t="str">
            <v>HAGER</v>
          </cell>
          <cell r="D2584" t="str">
            <v>HAGER</v>
          </cell>
        </row>
        <row r="2585">
          <cell r="A2585" t="str">
            <v>VYS06GZ (SPN 6way IP43 Acrylic Door DB)</v>
          </cell>
          <cell r="B2585" t="str">
            <v>VYS06GZ(SPN 6way IP43 Acrylic Door DB)</v>
          </cell>
          <cell r="C2585" t="str">
            <v>HAGER</v>
          </cell>
          <cell r="D2585" t="str">
            <v>HAGER</v>
          </cell>
        </row>
        <row r="2586">
          <cell r="A2586" t="str">
            <v>VYS06DZ (SPN 6way IP43 Double Door DB)</v>
          </cell>
          <cell r="B2586" t="str">
            <v>VYS06DZ(SPN 6way IP43 Double Door DB)</v>
          </cell>
          <cell r="C2586" t="str">
            <v>HAGER</v>
          </cell>
          <cell r="D2586" t="str">
            <v>HAGER</v>
          </cell>
        </row>
        <row r="2587">
          <cell r="A2587" t="str">
            <v>VYS06PZ (SPN 6way IP54 Double Door DB)</v>
          </cell>
          <cell r="B2587" t="str">
            <v>VYS06PZ(SPN 6way IP54 Double Door DB)</v>
          </cell>
          <cell r="C2587" t="str">
            <v>HAGER</v>
          </cell>
          <cell r="D2587" t="str">
            <v>HAGER</v>
          </cell>
        </row>
        <row r="2588">
          <cell r="A2588" t="str">
            <v>Y81061 (SPN 6way Single Door DB)</v>
          </cell>
          <cell r="B2588" t="str">
            <v>Y81061(SPN 6way Single Door DB)</v>
          </cell>
          <cell r="C2588" t="str">
            <v>HAGER</v>
          </cell>
          <cell r="D2588" t="str">
            <v>HAGER</v>
          </cell>
        </row>
        <row r="2589">
          <cell r="A2589" t="str">
            <v>Y81082 (SPN 8way Double Door DB)</v>
          </cell>
          <cell r="B2589" t="str">
            <v>Y81082(SPN 8way Double Door DB)</v>
          </cell>
          <cell r="C2589" t="str">
            <v>HAGER</v>
          </cell>
          <cell r="D2589" t="str">
            <v>HAGER</v>
          </cell>
        </row>
        <row r="2590">
          <cell r="A2590" t="str">
            <v>VYS08CZ (SPN 8way IP30 Single Door DB)</v>
          </cell>
          <cell r="B2590" t="str">
            <v>VYS08CZ(SPN 8way IP30 Single Door DB)</v>
          </cell>
          <cell r="C2590" t="str">
            <v>HAGER</v>
          </cell>
          <cell r="D2590" t="str">
            <v>HAGER</v>
          </cell>
        </row>
        <row r="2591">
          <cell r="A2591" t="str">
            <v>VYS08GZ (SPN 8way IP43 Acrylic Door DB)</v>
          </cell>
          <cell r="B2591" t="str">
            <v>VYS08GZ(SPN 8way IP43 Acrylic Door DB)</v>
          </cell>
          <cell r="C2591" t="str">
            <v>HAGER</v>
          </cell>
          <cell r="D2591" t="str">
            <v>HAGER</v>
          </cell>
        </row>
        <row r="2592">
          <cell r="A2592" t="str">
            <v>VYS08DZ (SPN 8way IP43 Double Door DB)</v>
          </cell>
          <cell r="B2592" t="str">
            <v>VYS08DZ(SPN 8way IP43 Double Door DB)</v>
          </cell>
          <cell r="C2592" t="str">
            <v>HAGER</v>
          </cell>
          <cell r="D2592" t="str">
            <v>HAGER</v>
          </cell>
        </row>
        <row r="2593">
          <cell r="A2593" t="str">
            <v>VYS08D (SPN 8way IP43 Double Door DB_x000D_
)</v>
          </cell>
          <cell r="B2593" t="str">
            <v>VYS08D(SPN 8way IP43 Double Door DB_x000D_
)</v>
          </cell>
          <cell r="C2593" t="str">
            <v>HAGER</v>
          </cell>
          <cell r="D2593" t="str">
            <v>HAGER</v>
          </cell>
        </row>
        <row r="2594">
          <cell r="A2594" t="str">
            <v>VYS08PZ (SPN 8way IP54 Double Door DB)</v>
          </cell>
          <cell r="B2594" t="str">
            <v>VYS08PZ(SPN 8way IP54 Double Door DB)</v>
          </cell>
          <cell r="C2594" t="str">
            <v>HAGER</v>
          </cell>
          <cell r="D2594" t="str">
            <v>HAGER</v>
          </cell>
        </row>
        <row r="2595">
          <cell r="A2595" t="str">
            <v>Y81081 (SPN 8way Single Door DB)</v>
          </cell>
          <cell r="B2595" t="str">
            <v>Y81081(SPN 8way Single Door DB)</v>
          </cell>
          <cell r="C2595" t="str">
            <v>HAGER</v>
          </cell>
          <cell r="D2595" t="str">
            <v>HAGER</v>
          </cell>
        </row>
        <row r="2596">
          <cell r="A2596" t="str">
            <v>VYS08DN (SPN Mid 8 Way IP43 DB)</v>
          </cell>
          <cell r="B2596" t="str">
            <v>VYS08DN(SPN Mid 8 Way IP43 DB)</v>
          </cell>
          <cell r="C2596" t="str">
            <v>HAGER</v>
          </cell>
          <cell r="D2596" t="str">
            <v>HAGER</v>
          </cell>
        </row>
        <row r="2597">
          <cell r="A2597" t="str">
            <v>HYC011H (Spreader H250 3P collar)</v>
          </cell>
          <cell r="B2597" t="str">
            <v>HYC011H(Spreader H250 3P collar)</v>
          </cell>
          <cell r="C2597" t="str">
            <v>HAGER</v>
          </cell>
          <cell r="D2597" t="str">
            <v>HAGER</v>
          </cell>
        </row>
        <row r="2598">
          <cell r="A2598" t="str">
            <v>HYD012H (Spreader H400 4P collar)</v>
          </cell>
          <cell r="B2598" t="str">
            <v>HYD012H(Spreader H400 4P collar)</v>
          </cell>
          <cell r="C2598" t="str">
            <v>HAGER</v>
          </cell>
          <cell r="D2598" t="str">
            <v>HAGER</v>
          </cell>
        </row>
        <row r="2599">
          <cell r="A2599" t="str">
            <v>HYD011H (Spreader H400-H630 3P collar)</v>
          </cell>
          <cell r="B2599" t="str">
            <v>HYD011H(Spreader H400-H630 3P collar)</v>
          </cell>
          <cell r="C2599" t="str">
            <v>HAGER</v>
          </cell>
          <cell r="D2599" t="str">
            <v>HAGER</v>
          </cell>
        </row>
        <row r="2600">
          <cell r="A2600" t="str">
            <v>HYD014H (Spreader H630 3P collar)</v>
          </cell>
          <cell r="B2600" t="str">
            <v>HYD014H(Spreader H630 3P collar)</v>
          </cell>
          <cell r="C2600" t="str">
            <v>HAGER</v>
          </cell>
          <cell r="D2600" t="str">
            <v>HAGER</v>
          </cell>
        </row>
        <row r="2601">
          <cell r="A2601" t="str">
            <v>HYD015H (Spreader H630 4P collar)</v>
          </cell>
          <cell r="B2601" t="str">
            <v>HYD015H(Spreader H630 4P collar)</v>
          </cell>
          <cell r="C2601" t="str">
            <v>HAGER</v>
          </cell>
          <cell r="D2601" t="str">
            <v>HAGER</v>
          </cell>
        </row>
        <row r="2602">
          <cell r="A2602" t="str">
            <v>HYA014H (Spreader x160 3P collar)</v>
          </cell>
          <cell r="B2602" t="str">
            <v>HYA014H(Spreader x160 3P collar)</v>
          </cell>
          <cell r="C2602" t="str">
            <v>HAGER</v>
          </cell>
          <cell r="D2602" t="str">
            <v>HAGER</v>
          </cell>
        </row>
        <row r="2603">
          <cell r="A2603" t="str">
            <v>HYA015H (Spreader x160 4P collar)</v>
          </cell>
          <cell r="B2603" t="str">
            <v>HYA015H(Spreader x160 4P collar)</v>
          </cell>
          <cell r="C2603" t="str">
            <v>HAGER</v>
          </cell>
          <cell r="D2603" t="str">
            <v>HAGER</v>
          </cell>
        </row>
        <row r="2604">
          <cell r="A2604" t="str">
            <v>HYB011H (Spreader x250 3P)</v>
          </cell>
          <cell r="B2604" t="str">
            <v>HYB011H(Spreader x250 3P)</v>
          </cell>
          <cell r="C2604" t="str">
            <v>HAGER</v>
          </cell>
          <cell r="D2604" t="str">
            <v>HAGER</v>
          </cell>
        </row>
        <row r="2605">
          <cell r="A2605" t="str">
            <v>HYB012H (Spreader x250/h250 4P)</v>
          </cell>
          <cell r="B2605" t="str">
            <v>HYB012H(Spreader x250/h250 4P)</v>
          </cell>
          <cell r="C2605" t="str">
            <v>HAGER</v>
          </cell>
          <cell r="D2605" t="str">
            <v>HAGER</v>
          </cell>
        </row>
        <row r="2606">
          <cell r="A2606" t="str">
            <v>HYS011H (Spread Term Extension P160 3P)</v>
          </cell>
          <cell r="B2606" t="str">
            <v>HYS011H(Spread Term Extension P160 3P)</v>
          </cell>
          <cell r="C2606" t="str">
            <v>HAGER</v>
          </cell>
          <cell r="D2606" t="str">
            <v>HAGER</v>
          </cell>
        </row>
        <row r="2607">
          <cell r="A2607" t="str">
            <v>WSNFC22 (Step Fan Regulator 120VA 250Vac)</v>
          </cell>
          <cell r="B2607" t="str">
            <v>WSNFC22(Step Fan Regulator 120VA 250Vac)</v>
          </cell>
          <cell r="C2607" t="str">
            <v>HAGER</v>
          </cell>
          <cell r="D2607" t="str">
            <v>HAGER</v>
          </cell>
        </row>
        <row r="2608">
          <cell r="A2608" t="str">
            <v>WSNFC22A (Step Fan Regulator 120VA 250Vac  ANTH)</v>
          </cell>
          <cell r="B2608" t="str">
            <v>WSNFC22A(Step Fan Regulator 120VA 250Vac ANTH)</v>
          </cell>
          <cell r="C2608" t="str">
            <v>HAGER</v>
          </cell>
          <cell r="D2608" t="str">
            <v>HAGER</v>
          </cell>
        </row>
        <row r="2609">
          <cell r="A2609" t="str">
            <v>SPL220 (Surge Protection Devices Imax 20kA 2P T2 TNS/TT)</v>
          </cell>
          <cell r="B2609" t="str">
            <v>SPL220(Surge Protection Devices Imax 20kA 2P T2 TNS/TT)</v>
          </cell>
          <cell r="C2609" t="str">
            <v>HAGER</v>
          </cell>
          <cell r="D2609" t="str">
            <v>HAGER</v>
          </cell>
        </row>
        <row r="2610">
          <cell r="A2610" t="str">
            <v>HCE970U (Switch h1000 3P 1000A)</v>
          </cell>
          <cell r="B2610" t="str">
            <v>HCE970U(Switch h1000 3P 1000A)</v>
          </cell>
          <cell r="C2610" t="str">
            <v>HAGER</v>
          </cell>
          <cell r="D2610" t="str">
            <v>HAGER</v>
          </cell>
        </row>
        <row r="2611">
          <cell r="A2611" t="str">
            <v>HCE800U (Switch h1000 3P 800A)</v>
          </cell>
          <cell r="B2611" t="str">
            <v>HCE800U(Switch h1000 3P 800A)</v>
          </cell>
          <cell r="C2611" t="str">
            <v>HAGER</v>
          </cell>
          <cell r="D2611" t="str">
            <v>HAGER</v>
          </cell>
        </row>
        <row r="2612">
          <cell r="A2612" t="str">
            <v>HCE971U (Switch h1000 4P 1000A)</v>
          </cell>
          <cell r="B2612" t="str">
            <v>HCE971U(Switch h1000 4P 1000A)</v>
          </cell>
          <cell r="C2612" t="str">
            <v>HAGER</v>
          </cell>
          <cell r="D2612" t="str">
            <v>HAGER</v>
          </cell>
        </row>
        <row r="2613">
          <cell r="A2613" t="str">
            <v>HCE801U (Switch h1000 4P 800A)</v>
          </cell>
          <cell r="B2613" t="str">
            <v>HCE801U(Switch h1000 4P 800A)</v>
          </cell>
          <cell r="C2613" t="str">
            <v>HAGER</v>
          </cell>
          <cell r="D2613" t="str">
            <v>HAGER</v>
          </cell>
        </row>
        <row r="2614">
          <cell r="A2614" t="str">
            <v>HCF980U (Switch h1600 3P 1250A)</v>
          </cell>
          <cell r="B2614" t="str">
            <v>HCF980U(Switch h1600 3P 1250A)</v>
          </cell>
          <cell r="C2614" t="str">
            <v>HAGER</v>
          </cell>
          <cell r="D2614" t="str">
            <v>HAGER</v>
          </cell>
        </row>
        <row r="2615">
          <cell r="A2615" t="str">
            <v>HCF990U (Switch h1600 3P 1600A)</v>
          </cell>
          <cell r="B2615" t="str">
            <v>HCF990U(Switch h1600 3P 1600A)</v>
          </cell>
          <cell r="C2615" t="str">
            <v>HAGER</v>
          </cell>
          <cell r="D2615" t="str">
            <v>HAGER</v>
          </cell>
        </row>
        <row r="2616">
          <cell r="A2616" t="str">
            <v>HCF981U (Switch h1600 4P 1250A)</v>
          </cell>
          <cell r="B2616" t="str">
            <v>HCF981U(Switch h1600 4P 1250A)</v>
          </cell>
          <cell r="C2616" t="str">
            <v>HAGER</v>
          </cell>
          <cell r="D2616" t="str">
            <v>HAGER</v>
          </cell>
        </row>
        <row r="2617">
          <cell r="A2617" t="str">
            <v>HCF991U (Switch h1600 4P 1600A)</v>
          </cell>
          <cell r="B2617" t="str">
            <v>HCF991U(Switch h1600 4P 1600A)</v>
          </cell>
          <cell r="C2617" t="str">
            <v>HAGER</v>
          </cell>
          <cell r="D2617" t="str">
            <v>HAGER</v>
          </cell>
        </row>
        <row r="2618">
          <cell r="A2618" t="str">
            <v>HCD400U (Switch h630 3P 400A)</v>
          </cell>
          <cell r="B2618" t="str">
            <v>HCD400U(Switch h630 3P 400A)</v>
          </cell>
          <cell r="C2618" t="str">
            <v>HAGER</v>
          </cell>
          <cell r="D2618" t="str">
            <v>HAGER</v>
          </cell>
        </row>
        <row r="2619">
          <cell r="A2619" t="str">
            <v>HCD630U (Switch h630 3P 630A)</v>
          </cell>
          <cell r="B2619" t="str">
            <v>HCD630U(Switch h630 3P 630A)</v>
          </cell>
          <cell r="C2619" t="str">
            <v>HAGER</v>
          </cell>
          <cell r="D2619" t="str">
            <v>HAGER</v>
          </cell>
        </row>
        <row r="2620">
          <cell r="A2620" t="str">
            <v>HCD401U (Switch h630 4P 400A)</v>
          </cell>
          <cell r="B2620" t="str">
            <v>HCD401U(Switch h630 4P 400A)</v>
          </cell>
          <cell r="C2620" t="str">
            <v>HAGER</v>
          </cell>
          <cell r="D2620" t="str">
            <v>HAGER</v>
          </cell>
        </row>
        <row r="2621">
          <cell r="A2621" t="str">
            <v>HCD631U (Switch h630 4P 630A)</v>
          </cell>
          <cell r="B2621" t="str">
            <v>HCD631U(Switch h630 4P 630A)</v>
          </cell>
          <cell r="C2621" t="str">
            <v>HAGER</v>
          </cell>
          <cell r="D2621" t="str">
            <v>HAGER</v>
          </cell>
        </row>
        <row r="2622">
          <cell r="A2622" t="str">
            <v>HCA125Z (Switch X160 3P 125A)</v>
          </cell>
          <cell r="B2622" t="str">
            <v>HCA125Z(Switch X160 3P 125A)</v>
          </cell>
          <cell r="C2622" t="str">
            <v>HAGER</v>
          </cell>
          <cell r="D2622" t="str">
            <v>HAGER</v>
          </cell>
        </row>
        <row r="2623">
          <cell r="A2623" t="str">
            <v>HCA160Z (Switch X160 3P 160A)</v>
          </cell>
          <cell r="B2623" t="str">
            <v>HCA160Z(Switch X160 3P 160A)</v>
          </cell>
          <cell r="C2623" t="str">
            <v>HAGER</v>
          </cell>
          <cell r="D2623" t="str">
            <v>HAGER</v>
          </cell>
        </row>
        <row r="2624">
          <cell r="A2624" t="str">
            <v>HCA126Z (Switch X160 4P 125A)</v>
          </cell>
          <cell r="B2624" t="str">
            <v>HCA126Z(Switch X160 4P 125A)</v>
          </cell>
          <cell r="C2624" t="str">
            <v>HAGER</v>
          </cell>
          <cell r="D2624" t="str">
            <v>HAGER</v>
          </cell>
        </row>
        <row r="2625">
          <cell r="A2625" t="str">
            <v>HCA161Z (Switch X160 4P 160A)</v>
          </cell>
          <cell r="B2625" t="str">
            <v>HCA161Z(Switch X160 4P 160A)</v>
          </cell>
          <cell r="C2625" t="str">
            <v>HAGER</v>
          </cell>
          <cell r="D2625" t="str">
            <v>HAGER</v>
          </cell>
        </row>
        <row r="2626">
          <cell r="A2626" t="str">
            <v>HCB250Z (Switch X250 3P 250A)</v>
          </cell>
          <cell r="B2626" t="str">
            <v>HCB250Z(Switch X250 3P 250A)</v>
          </cell>
          <cell r="C2626" t="str">
            <v>HAGER</v>
          </cell>
          <cell r="D2626" t="str">
            <v>HAGER</v>
          </cell>
        </row>
        <row r="2627">
          <cell r="A2627" t="str">
            <v>HCB251Z (Switch X250 4P 250A)</v>
          </cell>
          <cell r="B2627" t="str">
            <v>HCB251Z(Switch X250 4P 250A)</v>
          </cell>
          <cell r="C2627" t="str">
            <v>HAGER</v>
          </cell>
          <cell r="D2627" t="str">
            <v>HAGER</v>
          </cell>
        </row>
        <row r="2628">
          <cell r="A2628" t="str">
            <v>EV108 (System Dimmer 1-10V  with scene input)</v>
          </cell>
          <cell r="B2628" t="str">
            <v>EV108(System Dimmer 1-10V with scene input)</v>
          </cell>
          <cell r="C2628" t="str">
            <v>HAGER</v>
          </cell>
          <cell r="D2628" t="str">
            <v>HAGER</v>
          </cell>
        </row>
        <row r="2629">
          <cell r="A2629" t="str">
            <v>HZI201I (TERMINAL COVER 125/160A 4P)</v>
          </cell>
          <cell r="B2629" t="str">
            <v>HZI201I(TERMINAL COVER 125/160A 4P)</v>
          </cell>
          <cell r="C2629" t="str">
            <v>HAGER</v>
          </cell>
          <cell r="D2629" t="str">
            <v>HAGER</v>
          </cell>
        </row>
        <row r="2630">
          <cell r="A2630" t="str">
            <v>HZI205I (TERMINAL COVER 1600A 4P)</v>
          </cell>
          <cell r="B2630" t="str">
            <v>HZI205I(TERMINAL COVER 1600A 4P)</v>
          </cell>
          <cell r="C2630" t="str">
            <v>HAGER</v>
          </cell>
          <cell r="D2630" t="str">
            <v>HAGER</v>
          </cell>
        </row>
        <row r="2631">
          <cell r="A2631" t="str">
            <v>HZI202I (TERMINAL COVER 250/400A 4P)</v>
          </cell>
          <cell r="B2631" t="str">
            <v>HZI202I(TERMINAL COVER 250/400A 4P)</v>
          </cell>
          <cell r="C2631" t="str">
            <v>HAGER</v>
          </cell>
          <cell r="D2631" t="str">
            <v>HAGER</v>
          </cell>
        </row>
        <row r="2632">
          <cell r="A2632" t="str">
            <v>HZI203I (TERMINAL COVER 630A 4P)</v>
          </cell>
          <cell r="B2632" t="str">
            <v>HZI203I(TERMINAL COVER 630A 4P)</v>
          </cell>
          <cell r="C2632" t="str">
            <v>HAGER</v>
          </cell>
          <cell r="D2632" t="str">
            <v>HAGER</v>
          </cell>
        </row>
        <row r="2633">
          <cell r="A2633" t="str">
            <v>HZI204I (TERMINAL COVER 800/1250A 4P)</v>
          </cell>
          <cell r="B2633" t="str">
            <v>HZI204I(TERMINAL COVER 800/1250A 4P)</v>
          </cell>
          <cell r="C2633" t="str">
            <v>HAGER</v>
          </cell>
          <cell r="D2633" t="str">
            <v>HAGER</v>
          </cell>
        </row>
        <row r="2634">
          <cell r="A2634" t="str">
            <v>HZC202I (TERMINAL SHROUDS 4P LBS 125-200A)</v>
          </cell>
          <cell r="B2634" t="str">
            <v>HZC202I(TERMINAL SHROUDS 4P LBS 125-200A)</v>
          </cell>
          <cell r="C2634" t="str">
            <v>HAGER</v>
          </cell>
          <cell r="D2634" t="str">
            <v>HAGER</v>
          </cell>
        </row>
        <row r="2635">
          <cell r="A2635" t="str">
            <v>HZC204I (TERMINAL SHROUDS 4P LBS 200-400A)</v>
          </cell>
          <cell r="B2635" t="str">
            <v>HZC204I(TERMINAL SHROUDS 4P LBS 200-400A)</v>
          </cell>
          <cell r="C2635" t="str">
            <v>HAGER</v>
          </cell>
          <cell r="D2635" t="str">
            <v>HAGER</v>
          </cell>
        </row>
        <row r="2636">
          <cell r="A2636" t="str">
            <v>HZC206I (TERMINAL SHROUDS 4P LBS 400-630A)</v>
          </cell>
          <cell r="B2636" t="str">
            <v>HZC206I(TERMINAL SHROUDS 4P LBS 400-630A)</v>
          </cell>
          <cell r="C2636" t="str">
            <v>HAGER</v>
          </cell>
          <cell r="D2636" t="str">
            <v>HAGER</v>
          </cell>
        </row>
        <row r="2637">
          <cell r="A2637" t="str">
            <v>EC350 (Three phase kwh meter 63A)</v>
          </cell>
          <cell r="B2637" t="str">
            <v>EC350(Three phase kwh meter 63A)</v>
          </cell>
          <cell r="C2637" t="str">
            <v>HAGER</v>
          </cell>
          <cell r="D2637" t="str">
            <v>HAGER</v>
          </cell>
        </row>
        <row r="2638">
          <cell r="A2638" t="str">
            <v>VYP10GHZ (Tier-PPI TPN 10way IP43 Acrylic Door DB)</v>
          </cell>
          <cell r="B2638" t="str">
            <v>VYP10GHZ(Tier-PPI TPN 10way IP43 Acrylic Door DB)</v>
          </cell>
          <cell r="C2638" t="str">
            <v>HAGER</v>
          </cell>
          <cell r="D2638" t="str">
            <v>HAGER</v>
          </cell>
        </row>
        <row r="2639">
          <cell r="A2639" t="str">
            <v>VYP10DHZ (Tier-PPI TPN 10way IP43 Double Door DB)</v>
          </cell>
          <cell r="B2639" t="str">
            <v>VYP10DHZ(Tier-PPI TPN 10way IP43 Double Door DB)</v>
          </cell>
          <cell r="C2639" t="str">
            <v>HAGER</v>
          </cell>
          <cell r="D2639" t="str">
            <v>HAGER</v>
          </cell>
        </row>
        <row r="2640">
          <cell r="A2640" t="str">
            <v>VYP12GHZ (Tier-PPI TPN 12way IP43 Acrylic Door DB)</v>
          </cell>
          <cell r="B2640" t="str">
            <v>VYP12GHZ(Tier-PPI TPN 12way IP43 Acrylic Door DB)</v>
          </cell>
          <cell r="C2640" t="str">
            <v>HAGER</v>
          </cell>
          <cell r="D2640" t="str">
            <v>HAGER</v>
          </cell>
        </row>
        <row r="2641">
          <cell r="A2641" t="str">
            <v>VYP12DHZ (Tier-PPI TPN 12way IP43 Double Door DB)</v>
          </cell>
          <cell r="B2641" t="str">
            <v>VYP12DHZ(Tier-PPI TPN 12way IP43 Double Door DB)</v>
          </cell>
          <cell r="C2641" t="str">
            <v>HAGER</v>
          </cell>
          <cell r="D2641" t="str">
            <v>HAGER</v>
          </cell>
        </row>
        <row r="2642">
          <cell r="A2642" t="str">
            <v>VYP12PHZ (Tier-PPI TPN 12way IP54 Double Door DB)</v>
          </cell>
          <cell r="B2642" t="str">
            <v>VYP12PHZ(Tier-PPI TPN 12way IP54 Double Door DB)</v>
          </cell>
          <cell r="C2642" t="str">
            <v>HAGER</v>
          </cell>
          <cell r="D2642" t="str">
            <v>HAGER</v>
          </cell>
        </row>
        <row r="2643">
          <cell r="A2643" t="str">
            <v>VYP16GHZ (Tier-PPI TPN 16way IP43 Acrylic Door DB)</v>
          </cell>
          <cell r="B2643" t="str">
            <v>VYP16GHZ(Tier-PPI TPN 16way IP43 Acrylic Door DB)</v>
          </cell>
          <cell r="C2643" t="str">
            <v>HAGER</v>
          </cell>
          <cell r="D2643" t="str">
            <v>HAGER</v>
          </cell>
        </row>
        <row r="2644">
          <cell r="A2644" t="str">
            <v>VYP16DHZ (Tier-PPI TPN 16way IP43 Double Door DB)</v>
          </cell>
          <cell r="B2644" t="str">
            <v>VYP16DHZ(Tier-PPI TPN 16way IP43 Double Door DB)</v>
          </cell>
          <cell r="C2644" t="str">
            <v>HAGER</v>
          </cell>
          <cell r="D2644" t="str">
            <v>HAGER</v>
          </cell>
        </row>
        <row r="2645">
          <cell r="A2645" t="str">
            <v>VYP06GHZ (Tier-PPI TPN 6way IP43 Acrylic Door DB)</v>
          </cell>
          <cell r="B2645" t="str">
            <v>VYP06GHZ(Tier-PPI TPN 6way IP43 Acrylic Door DB)</v>
          </cell>
          <cell r="C2645" t="str">
            <v>HAGER</v>
          </cell>
          <cell r="D2645" t="str">
            <v>HAGER</v>
          </cell>
        </row>
        <row r="2646">
          <cell r="A2646" t="str">
            <v>VYP06DHZ (Tier-PPI TPN 6way IP43 Double Door DB)</v>
          </cell>
          <cell r="B2646" t="str">
            <v>VYP06DHZ(Tier-PPI TPN 6way IP43 Double Door DB)</v>
          </cell>
          <cell r="C2646" t="str">
            <v>HAGER</v>
          </cell>
          <cell r="D2646" t="str">
            <v>HAGER</v>
          </cell>
        </row>
        <row r="2647">
          <cell r="A2647" t="str">
            <v>VYP06PHZ (Tier-PPI TPN 6way IP54 Double Door DB)</v>
          </cell>
          <cell r="B2647" t="str">
            <v>VYP06PHZ(Tier-PPI TPN 6way IP54 Double Door DB)</v>
          </cell>
          <cell r="C2647" t="str">
            <v>HAGER</v>
          </cell>
          <cell r="D2647" t="str">
            <v>HAGER</v>
          </cell>
        </row>
        <row r="2648">
          <cell r="A2648" t="str">
            <v>VYP08GHZ (Tier-PPI TPN 8way IP43 Acrylic Door DB)</v>
          </cell>
          <cell r="B2648" t="str">
            <v>VYP08GHZ(Tier-PPI TPN 8way IP43 Acrylic Door DB)</v>
          </cell>
          <cell r="C2648" t="str">
            <v>HAGER</v>
          </cell>
          <cell r="D2648" t="str">
            <v>HAGER</v>
          </cell>
        </row>
        <row r="2649">
          <cell r="A2649" t="str">
            <v>VYP08DHZ (Tier-PPI TPN 8way IP43 Double Door DB)</v>
          </cell>
          <cell r="B2649" t="str">
            <v>VYP08DHZ(Tier-PPI TPN 8way IP43 Double Door DB)</v>
          </cell>
          <cell r="C2649" t="str">
            <v>HAGER</v>
          </cell>
          <cell r="D2649" t="str">
            <v>HAGER</v>
          </cell>
        </row>
        <row r="2650">
          <cell r="A2650" t="str">
            <v>VYP08PHZ (Tier-PPI TPN 8way IP54 Double Door DB)</v>
          </cell>
          <cell r="B2650" t="str">
            <v>VYP08PHZ(Tier-PPI TPN 8way IP54 Double Door DB)</v>
          </cell>
          <cell r="C2650" t="str">
            <v>HAGER</v>
          </cell>
          <cell r="D2650" t="str">
            <v>HAGER</v>
          </cell>
        </row>
        <row r="2651">
          <cell r="A2651" t="str">
            <v>EMN005 (Time lag switch)</v>
          </cell>
          <cell r="B2651" t="str">
            <v>EMN005(Time lag switch)</v>
          </cell>
          <cell r="C2651" t="str">
            <v>HAGER</v>
          </cell>
          <cell r="D2651" t="str">
            <v>HAGER</v>
          </cell>
        </row>
        <row r="2652">
          <cell r="A2652" t="str">
            <v>L44779010 (T-piece  for  GBD5008509010)</v>
          </cell>
          <cell r="B2652" t="str">
            <v>L44779010(T-piece for GBD5008509010)</v>
          </cell>
          <cell r="C2652" t="str">
            <v>HAGER</v>
          </cell>
          <cell r="D2652" t="str">
            <v>HAGER</v>
          </cell>
        </row>
        <row r="2653">
          <cell r="A2653" t="str">
            <v>L43519010 (T-piece  for  GBD5010009010)</v>
          </cell>
          <cell r="B2653" t="str">
            <v>L43519010(T-piece for GBD5010009010)</v>
          </cell>
          <cell r="C2653" t="str">
            <v>HAGER</v>
          </cell>
          <cell r="D2653" t="str">
            <v>HAGER</v>
          </cell>
        </row>
        <row r="2654">
          <cell r="A2654" t="str">
            <v>L43579010 (T-piece  for  GBD5013109010)</v>
          </cell>
          <cell r="B2654" t="str">
            <v>L43579010(T-piece for GBD5013109010)</v>
          </cell>
          <cell r="C2654" t="str">
            <v>HAGER</v>
          </cell>
          <cell r="D2654" t="str">
            <v>HAGER</v>
          </cell>
        </row>
        <row r="2655">
          <cell r="A2655" t="str">
            <v>L43559010 (T-piece  for  GBD5016009010)</v>
          </cell>
          <cell r="B2655" t="str">
            <v>L43559010(T-piece for GBD5016009010)</v>
          </cell>
          <cell r="C2655" t="str">
            <v>HAGER</v>
          </cell>
          <cell r="D2655" t="str">
            <v>HAGER</v>
          </cell>
        </row>
        <row r="2656">
          <cell r="A2656" t="str">
            <v>L43479010 (T-piece  for  GBD5016109010)</v>
          </cell>
          <cell r="B2656" t="str">
            <v>L43479010(T-piece for GBD5016109010)</v>
          </cell>
          <cell r="C2656" t="str">
            <v>HAGER</v>
          </cell>
          <cell r="D2656" t="str">
            <v>HAGER</v>
          </cell>
        </row>
        <row r="2657">
          <cell r="A2657" t="str">
            <v>L43599010 (T-piece  for  GBD5019009010)</v>
          </cell>
          <cell r="B2657" t="str">
            <v>L43599010(T-piece for GBD5019009010)</v>
          </cell>
          <cell r="C2657" t="str">
            <v>HAGER</v>
          </cell>
          <cell r="D2657" t="str">
            <v>HAGER</v>
          </cell>
        </row>
        <row r="2658">
          <cell r="A2658" t="str">
            <v>Y82122 (TPN 12way Double Door DB)</v>
          </cell>
          <cell r="B2658" t="str">
            <v>Y82122(TPN 12way Double Door DB)</v>
          </cell>
          <cell r="C2658" t="str">
            <v>HAGER</v>
          </cell>
          <cell r="D2658" t="str">
            <v>HAGER</v>
          </cell>
        </row>
        <row r="2659">
          <cell r="A2659" t="str">
            <v>VYT12CHZ (TPN 12way IP30 Single Door DB)</v>
          </cell>
          <cell r="B2659" t="str">
            <v>VYT12CHZ(TPN 12way IP30 Single Door DB)</v>
          </cell>
          <cell r="C2659" t="str">
            <v>HAGER</v>
          </cell>
          <cell r="D2659" t="str">
            <v>HAGER</v>
          </cell>
        </row>
        <row r="2660">
          <cell r="A2660" t="str">
            <v>VYT12GHZ (TPN 12way IP43 Acrylic Door DB)</v>
          </cell>
          <cell r="B2660" t="str">
            <v>VYT12GHZ(TPN 12way IP43 Acrylic Door DB)</v>
          </cell>
          <cell r="C2660" t="str">
            <v>HAGER</v>
          </cell>
          <cell r="D2660" t="str">
            <v>HAGER</v>
          </cell>
        </row>
        <row r="2661">
          <cell r="A2661" t="str">
            <v>VYT12DHZ (TPN 12way IP43 Double Door DB)</v>
          </cell>
          <cell r="B2661" t="str">
            <v>VYT12DHZ(TPN 12way IP43 Double Door DB)</v>
          </cell>
          <cell r="C2661" t="str">
            <v>HAGER</v>
          </cell>
          <cell r="D2661" t="str">
            <v>HAGER</v>
          </cell>
        </row>
        <row r="2662">
          <cell r="A2662" t="str">
            <v>VYT12DH (TPN 12way IP43 Double Door DB_x000D_
)</v>
          </cell>
          <cell r="B2662" t="str">
            <v>VYT12DH(TPN 12way IP43 Double Door DB_x000D_
)</v>
          </cell>
          <cell r="C2662" t="str">
            <v>HAGER</v>
          </cell>
          <cell r="D2662" t="str">
            <v>HAGER</v>
          </cell>
        </row>
        <row r="2663">
          <cell r="A2663" t="str">
            <v>VYT12PHZ (TPN 12way IP54 Double Door DB)</v>
          </cell>
          <cell r="B2663" t="str">
            <v>VYT12PHZ(TPN 12way IP54 Double Door DB)</v>
          </cell>
          <cell r="C2663" t="str">
            <v>HAGER</v>
          </cell>
          <cell r="D2663" t="str">
            <v>HAGER</v>
          </cell>
        </row>
        <row r="2664">
          <cell r="A2664" t="str">
            <v>Y82121 (TPN 12way Single Door DB)</v>
          </cell>
          <cell r="B2664" t="str">
            <v>Y82121(TPN 12way Single Door DB)</v>
          </cell>
          <cell r="C2664" t="str">
            <v>HAGER</v>
          </cell>
          <cell r="D2664" t="str">
            <v>HAGER</v>
          </cell>
        </row>
        <row r="2665">
          <cell r="A2665" t="str">
            <v>VYT16GHZ (TPN 16way IP43 Acrylic Door DB)</v>
          </cell>
          <cell r="B2665" t="str">
            <v>VYT16GHZ(TPN 16way IP43 Acrylic Door DB)</v>
          </cell>
          <cell r="C2665" t="str">
            <v>HAGER</v>
          </cell>
          <cell r="D2665" t="str">
            <v>HAGER</v>
          </cell>
        </row>
        <row r="2666">
          <cell r="A2666" t="str">
            <v>VYT16DHZ (TPN 16way IP43 Double Door DB)</v>
          </cell>
          <cell r="B2666" t="str">
            <v>VYT16DHZ(TPN 16way IP43 Double Door DB)</v>
          </cell>
          <cell r="C2666" t="str">
            <v>HAGER</v>
          </cell>
          <cell r="D2666" t="str">
            <v>HAGER</v>
          </cell>
        </row>
        <row r="2667">
          <cell r="A2667" t="str">
            <v>Y82043 (TPN 4way 4M Double Door DB)</v>
          </cell>
          <cell r="B2667" t="str">
            <v>Y82043(TPN 4way 4M Double Door DB)</v>
          </cell>
          <cell r="C2667" t="str">
            <v>HAGER</v>
          </cell>
          <cell r="D2667" t="str">
            <v>HAGER</v>
          </cell>
        </row>
        <row r="2668">
          <cell r="A2668" t="str">
            <v>VYT04CDZ (TPN 4way 4M IP30 Single Door DB)</v>
          </cell>
          <cell r="B2668" t="str">
            <v>VYT04CDZ(TPN 4way 4M IP30 Single Door DB)</v>
          </cell>
          <cell r="C2668" t="str">
            <v>HAGER</v>
          </cell>
          <cell r="D2668" t="str">
            <v>HAGER</v>
          </cell>
        </row>
        <row r="2669">
          <cell r="A2669" t="str">
            <v>VYT04DDZ (TPN 4way 4M IP43 Double Door DB)</v>
          </cell>
          <cell r="B2669" t="str">
            <v>VYT04DDZ(TPN 4way 4M IP43 Double Door DB)</v>
          </cell>
          <cell r="C2669" t="str">
            <v>HAGER</v>
          </cell>
          <cell r="D2669" t="str">
            <v>HAGER</v>
          </cell>
        </row>
        <row r="2670">
          <cell r="A2670" t="str">
            <v>Y82042 (TPN 4way Double Door DB)</v>
          </cell>
          <cell r="B2670" t="str">
            <v>Y82042(TPN 4way Double Door DB)</v>
          </cell>
          <cell r="C2670" t="str">
            <v>HAGER</v>
          </cell>
          <cell r="D2670" t="str">
            <v>HAGER</v>
          </cell>
        </row>
        <row r="2671">
          <cell r="A2671" t="str">
            <v>VYT04DZ (TPN 4way  Double Door DB_x000D_
)</v>
          </cell>
          <cell r="B2671" t="str">
            <v>VYT04DZ(TPN 4way Double Door DB_x000D_
)</v>
          </cell>
          <cell r="C2671" t="str">
            <v>HAGER</v>
          </cell>
          <cell r="D2671" t="str">
            <v>HAGER</v>
          </cell>
        </row>
        <row r="2672">
          <cell r="A2672" t="str">
            <v>VYT04CHZ (TPN 4way IP30 Single Door DB)</v>
          </cell>
          <cell r="B2672" t="str">
            <v>VYT04CHZ(TPN 4way IP30 Single Door DB)</v>
          </cell>
          <cell r="C2672" t="str">
            <v>HAGER</v>
          </cell>
          <cell r="D2672" t="str">
            <v>HAGER</v>
          </cell>
        </row>
        <row r="2673">
          <cell r="A2673" t="str">
            <v>VYT04GHZ (TPN 4way IP43 Acrylic Door DB)</v>
          </cell>
          <cell r="B2673" t="str">
            <v>VYT04GHZ(TPN 4way IP43 Acrylic Door DB)</v>
          </cell>
          <cell r="C2673" t="str">
            <v>HAGER</v>
          </cell>
          <cell r="D2673" t="str">
            <v>HAGER</v>
          </cell>
        </row>
        <row r="2674">
          <cell r="A2674" t="str">
            <v>VYT04DHZ (TPN 4way IP43 Double Door DB)</v>
          </cell>
          <cell r="B2674" t="str">
            <v>VYT04DHZ(TPN 4way IP43 Double Door DB)</v>
          </cell>
          <cell r="C2674" t="str">
            <v>HAGER</v>
          </cell>
          <cell r="D2674" t="str">
            <v>HAGER</v>
          </cell>
        </row>
        <row r="2675">
          <cell r="A2675" t="str">
            <v>VYT04PHZ (TPN 4way IP54 Double Door DB)</v>
          </cell>
          <cell r="B2675" t="str">
            <v>VYT04PHZ(TPN 4way IP54 Double Door DB)</v>
          </cell>
          <cell r="C2675" t="str">
            <v>HAGER</v>
          </cell>
          <cell r="D2675" t="str">
            <v>HAGER</v>
          </cell>
        </row>
        <row r="2676">
          <cell r="A2676" t="str">
            <v>Y82041 (TPN 4way Single Door DB)</v>
          </cell>
          <cell r="B2676" t="str">
            <v>Y82041(TPN 4way Single Door DB)</v>
          </cell>
          <cell r="C2676" t="str">
            <v>HAGER</v>
          </cell>
          <cell r="D2676" t="str">
            <v>HAGER</v>
          </cell>
        </row>
        <row r="2677">
          <cell r="A2677" t="str">
            <v>VYT06CDZ (TPN 6way 4M IP30 Single Door DB)</v>
          </cell>
          <cell r="B2677" t="str">
            <v>VYT06CDZ(TPN 6way 4M IP30 Single Door DB)</v>
          </cell>
          <cell r="C2677" t="str">
            <v>HAGER</v>
          </cell>
          <cell r="D2677" t="str">
            <v>HAGER</v>
          </cell>
        </row>
        <row r="2678">
          <cell r="A2678" t="str">
            <v>VYT06DDZ (TPN 6way 4M IP43 Double Door DB)</v>
          </cell>
          <cell r="B2678" t="str">
            <v>VYT06DDZ(TPN 6way 4M IP43 Double Door DB)</v>
          </cell>
          <cell r="C2678" t="str">
            <v>HAGER</v>
          </cell>
          <cell r="D2678" t="str">
            <v>HAGER</v>
          </cell>
        </row>
        <row r="2679">
          <cell r="A2679" t="str">
            <v>Y82062 (TPN 6way Double Door DB)</v>
          </cell>
          <cell r="B2679" t="str">
            <v>Y82062(TPN 6way Double Door DB)</v>
          </cell>
          <cell r="C2679" t="str">
            <v>HAGER</v>
          </cell>
          <cell r="D2679" t="str">
            <v>HAGER</v>
          </cell>
        </row>
        <row r="2680">
          <cell r="A2680" t="str">
            <v>VYT06CHZ (TPN 6way IP30 Single Door DB)</v>
          </cell>
          <cell r="B2680" t="str">
            <v>VYT06CHZ(TPN 6way IP30 Single Door DB)</v>
          </cell>
          <cell r="C2680" t="str">
            <v>HAGER</v>
          </cell>
          <cell r="D2680" t="str">
            <v>HAGER</v>
          </cell>
        </row>
        <row r="2681">
          <cell r="A2681" t="str">
            <v>VYT06GHZ (TPN 6way IP43 Acrylic Door DB)</v>
          </cell>
          <cell r="B2681" t="str">
            <v>VYT06GHZ(TPN 6way IP43 Acrylic Door DB)</v>
          </cell>
          <cell r="C2681" t="str">
            <v>HAGER</v>
          </cell>
          <cell r="D2681" t="str">
            <v>HAGER</v>
          </cell>
        </row>
        <row r="2682">
          <cell r="A2682" t="str">
            <v>VYT06DHZ (TPN 6way IP43 Double Door DB)</v>
          </cell>
          <cell r="B2682" t="str">
            <v>VYT06DHZ(TPN 6way IP43 Double Door DB)</v>
          </cell>
          <cell r="C2682" t="str">
            <v>HAGER</v>
          </cell>
          <cell r="D2682" t="str">
            <v>HAGER</v>
          </cell>
        </row>
        <row r="2683">
          <cell r="A2683" t="str">
            <v>VYT06PHZ (TPN 6way IP54 Double Door DB)</v>
          </cell>
          <cell r="B2683" t="str">
            <v>VYT06PHZ(TPN 6way IP54 Double Door DB)</v>
          </cell>
          <cell r="C2683" t="str">
            <v>HAGER</v>
          </cell>
          <cell r="D2683" t="str">
            <v>HAGER</v>
          </cell>
        </row>
        <row r="2684">
          <cell r="A2684" t="str">
            <v>Y82061 (TPN 6way Single Door DB)</v>
          </cell>
          <cell r="B2684" t="str">
            <v>Y82061(TPN 6way Single Door DB)</v>
          </cell>
          <cell r="C2684" t="str">
            <v>HAGER</v>
          </cell>
          <cell r="D2684" t="str">
            <v>HAGER</v>
          </cell>
        </row>
        <row r="2685">
          <cell r="A2685" t="str">
            <v>Y82082 (TPN 8way Double Door DB)</v>
          </cell>
          <cell r="B2685" t="str">
            <v>Y82082(TPN 8way Double Door DB)</v>
          </cell>
          <cell r="C2685" t="str">
            <v>HAGER</v>
          </cell>
          <cell r="D2685" t="str">
            <v>HAGER</v>
          </cell>
        </row>
        <row r="2686">
          <cell r="A2686" t="str">
            <v>VYT08CHZ (TPN 8way IP30 Single Door DB)</v>
          </cell>
          <cell r="B2686" t="str">
            <v>VYT08CHZ(TPN 8way IP30 Single Door DB)</v>
          </cell>
          <cell r="C2686" t="str">
            <v>HAGER</v>
          </cell>
          <cell r="D2686" t="str">
            <v>HAGER</v>
          </cell>
        </row>
        <row r="2687">
          <cell r="A2687" t="str">
            <v>VYT08GHZ (TPN 8way IP43 Acrylic Door DB)</v>
          </cell>
          <cell r="B2687" t="str">
            <v>VYT08GHZ(TPN 8way IP43 Acrylic Door DB)</v>
          </cell>
          <cell r="C2687" t="str">
            <v>HAGER</v>
          </cell>
          <cell r="D2687" t="str">
            <v>HAGER</v>
          </cell>
        </row>
        <row r="2688">
          <cell r="A2688" t="str">
            <v>VYT08DHZ (TPN 8way IP43 Double Door DB)</v>
          </cell>
          <cell r="B2688" t="str">
            <v>VYT08DHZ(TPN 8way IP43 Double Door DB)</v>
          </cell>
          <cell r="C2688" t="str">
            <v>HAGER</v>
          </cell>
          <cell r="D2688" t="str">
            <v>HAGER</v>
          </cell>
        </row>
        <row r="2689">
          <cell r="A2689" t="str">
            <v>VYT08PHZ (TPN 8way IP54 Double Door DB)</v>
          </cell>
          <cell r="B2689" t="str">
            <v>VYT08PHZ(TPN 8way IP54 Double Door DB)</v>
          </cell>
          <cell r="C2689" t="str">
            <v>HAGER</v>
          </cell>
          <cell r="D2689" t="str">
            <v>HAGER</v>
          </cell>
        </row>
        <row r="2690">
          <cell r="A2690" t="str">
            <v>Y82081 (TPN 8way Single Door DB)</v>
          </cell>
          <cell r="B2690" t="str">
            <v>Y82081(TPN 8way Single Door DB)</v>
          </cell>
          <cell r="C2690" t="str">
            <v>HAGER</v>
          </cell>
          <cell r="D2690" t="str">
            <v>HAGER</v>
          </cell>
        </row>
        <row r="2691">
          <cell r="A2691" t="str">
            <v>VYT06DH (TPN NOVELLO+ 6WAY, IP43 DD DB)</v>
          </cell>
          <cell r="B2691" t="str">
            <v>VYT06DH(TPN NOVELLO+ 6WAY, IP43 DD DB)</v>
          </cell>
          <cell r="C2691" t="str">
            <v>HAGER</v>
          </cell>
          <cell r="D2691" t="str">
            <v>HAGER</v>
          </cell>
        </row>
        <row r="2692">
          <cell r="A2692" t="str">
            <v>GBD5016009010 (Trunking  GBD 54 x 175, two compartment)</v>
          </cell>
          <cell r="B2692" t="str">
            <v>GBD5016009010(Trunking GBD 54 x 175, two compartment)</v>
          </cell>
          <cell r="C2692" t="str">
            <v>HAGER</v>
          </cell>
          <cell r="D2692" t="str">
            <v>HAGER</v>
          </cell>
        </row>
        <row r="2693">
          <cell r="A2693" t="str">
            <v>GBD5019009010 (Trunking  GBD 54 x 207, three compartment)</v>
          </cell>
          <cell r="B2693" t="str">
            <v>GBD5019009010(Trunking GBD 54 x 207, three compartment)</v>
          </cell>
          <cell r="C2693" t="str">
            <v>HAGER</v>
          </cell>
          <cell r="D2693" t="str">
            <v>HAGER</v>
          </cell>
        </row>
        <row r="2694">
          <cell r="A2694" t="str">
            <v>GBD5005009010 (Trunking  GBD 54 x 54, single compartment)</v>
          </cell>
          <cell r="B2694" t="str">
            <v>GBD5005009010(Trunking GBD 54 x 54, single compartment)</v>
          </cell>
          <cell r="C2694" t="str">
            <v>HAGER</v>
          </cell>
          <cell r="D2694" t="str">
            <v>HAGER</v>
          </cell>
        </row>
        <row r="2695">
          <cell r="A2695" t="str">
            <v>GBD5010009010 (Trunking  GBD 56 x 105, Single Compartment)</v>
          </cell>
          <cell r="B2695" t="str">
            <v>GBD5010009010(Trunking GBD 56 x 105, Single Compartment)</v>
          </cell>
          <cell r="C2695" t="str">
            <v>HAGER</v>
          </cell>
          <cell r="D2695" t="str">
            <v>HAGER</v>
          </cell>
        </row>
        <row r="2696">
          <cell r="A2696" t="str">
            <v>GBD5013109010 (Trunking  GBD 56 x 134, two compartment)</v>
          </cell>
          <cell r="B2696" t="str">
            <v>GBD5013109010(Trunking GBD 56 x 134, two compartment)</v>
          </cell>
          <cell r="C2696" t="str">
            <v>HAGER</v>
          </cell>
          <cell r="D2696" t="str">
            <v>HAGER</v>
          </cell>
        </row>
        <row r="2697">
          <cell r="A2697" t="str">
            <v>GBD5016109010 (Trunking  GBD 56 x 162, three compartment)</v>
          </cell>
          <cell r="B2697" t="str">
            <v>GBD5016109010(Trunking GBD 56 x 162, three compartment)</v>
          </cell>
          <cell r="C2697" t="str">
            <v>HAGER</v>
          </cell>
          <cell r="D2697" t="str">
            <v>HAGER</v>
          </cell>
        </row>
        <row r="2698">
          <cell r="A2698" t="str">
            <v>GBD5008509010 (Trunking  GBD 56 x 85, single compartment)</v>
          </cell>
          <cell r="B2698" t="str">
            <v>GBD5008509010(Trunking GBD 56 x 85, single compartment)</v>
          </cell>
          <cell r="C2698" t="str">
            <v>HAGER</v>
          </cell>
          <cell r="D2698" t="str">
            <v>HAGER</v>
          </cell>
        </row>
        <row r="2699">
          <cell r="A2699" t="str">
            <v>EE100 (Twilight switch 5 -50 lux &amp; 50 - 2000 lux with Cell)</v>
          </cell>
          <cell r="B2699" t="str">
            <v>EE100(Twilight switch 5 -50 lux &amp; 50 - 2000 lux with Cell)</v>
          </cell>
          <cell r="C2699" t="str">
            <v>HAGER</v>
          </cell>
          <cell r="D2699" t="str">
            <v>HAGER</v>
          </cell>
        </row>
        <row r="2700">
          <cell r="A2700" t="str">
            <v>SPL212R_x000D_
 (TWO POLE 12.5 KA  2PT1+T2 TNS/TT   230 VOLTS_x000D_
)</v>
          </cell>
          <cell r="B2700" t="str">
            <v>SPL212R_x000D_
(TWO POLE 12.5 KA  2PT1+T2 TNS/TT   230 VOLTS_x000D_
)</v>
          </cell>
          <cell r="C2700" t="str">
            <v>HAGER</v>
          </cell>
          <cell r="D2700" t="str">
            <v>HAGER</v>
          </cell>
        </row>
        <row r="2701">
          <cell r="A2701" t="str">
            <v>SP320 (Type I, 100kA, 3P)</v>
          </cell>
          <cell r="B2701" t="str">
            <v>SP320(Type I, 100kA, 3P)</v>
          </cell>
          <cell r="C2701" t="str">
            <v>HAGER</v>
          </cell>
          <cell r="D2701" t="str">
            <v>HAGER</v>
          </cell>
        </row>
        <row r="2702">
          <cell r="A2702" t="str">
            <v>SP120 (Type I , 50kA, 1P)</v>
          </cell>
          <cell r="B2702" t="str">
            <v>SP120(Type I , 50kA, 1P)</v>
          </cell>
          <cell r="C2702" t="str">
            <v>HAGER</v>
          </cell>
          <cell r="D2702" t="str">
            <v>HAGER</v>
          </cell>
        </row>
        <row r="2703">
          <cell r="A2703" t="str">
            <v>SP150 (Type I , 50kA, 1P (N-PE))</v>
          </cell>
          <cell r="B2703" t="str">
            <v>SP150(Type I , 50kA, 1P(N-PE))</v>
          </cell>
          <cell r="C2703" t="str">
            <v>HAGER</v>
          </cell>
          <cell r="D2703" t="str">
            <v>HAGER</v>
          </cell>
        </row>
        <row r="2704">
          <cell r="A2704" t="str">
            <v>SPN115D (Type II, 15kA, 1P)</v>
          </cell>
          <cell r="B2704" t="str">
            <v>SPN115D(Type II, 15kA, 1P)</v>
          </cell>
          <cell r="C2704" t="str">
            <v>HAGER</v>
          </cell>
          <cell r="D2704" t="str">
            <v>HAGER</v>
          </cell>
        </row>
        <row r="2705">
          <cell r="A2705" t="str">
            <v>SPD215D (Type II, 15kA, 1P+N)</v>
          </cell>
          <cell r="B2705" t="str">
            <v>SPD215D(Type II, 15kA, 1P+N)</v>
          </cell>
          <cell r="C2705" t="str">
            <v>HAGER</v>
          </cell>
          <cell r="D2705" t="str">
            <v>HAGER</v>
          </cell>
        </row>
        <row r="2706">
          <cell r="A2706" t="str">
            <v>SPD415D (Type II, 15kA, 4P)</v>
          </cell>
          <cell r="B2706" t="str">
            <v>SPD415D(Type II, 15kA, 4P)</v>
          </cell>
          <cell r="C2706" t="str">
            <v>HAGER</v>
          </cell>
          <cell r="D2706" t="str">
            <v>HAGER</v>
          </cell>
        </row>
        <row r="2707">
          <cell r="A2707" t="str">
            <v>SPD140D (Type II, 40kA, 1P)</v>
          </cell>
          <cell r="B2707" t="str">
            <v>SPD140D(Type II, 40kA, 1P)</v>
          </cell>
          <cell r="C2707" t="str">
            <v>HAGER</v>
          </cell>
          <cell r="D2707" t="str">
            <v>HAGER</v>
          </cell>
        </row>
        <row r="2708">
          <cell r="A2708" t="str">
            <v>SPD240D (Type II, 40kA, 1P+N)</v>
          </cell>
          <cell r="B2708" t="str">
            <v>SPD240D(Type II, 40kA, 1P+N)</v>
          </cell>
          <cell r="C2708" t="str">
            <v>HAGER</v>
          </cell>
          <cell r="D2708" t="str">
            <v>HAGER</v>
          </cell>
        </row>
        <row r="2709">
          <cell r="A2709" t="str">
            <v>SPN240R (Type II, 40kA,1P+N with reserve ind &amp; fault signalling)</v>
          </cell>
          <cell r="B2709" t="str">
            <v>SPN240R(Type II, 40kA,1P+N with reserve ind &amp; fault signalling)</v>
          </cell>
          <cell r="C2709" t="str">
            <v>HAGER</v>
          </cell>
          <cell r="D2709" t="str">
            <v>HAGER</v>
          </cell>
        </row>
        <row r="2710">
          <cell r="A2710" t="str">
            <v>SPN140R (Type II, 40kA,1P with reserve ind &amp; fault signalling)</v>
          </cell>
          <cell r="B2710" t="str">
            <v>SPN140R(Type II, 40kA,1P with reserve ind &amp; fault signalling)</v>
          </cell>
          <cell r="C2710" t="str">
            <v>HAGER</v>
          </cell>
          <cell r="D2710" t="str">
            <v>HAGER</v>
          </cell>
        </row>
        <row r="2711">
          <cell r="A2711" t="str">
            <v>SPD440D (Type II, 40kA, 4P)</v>
          </cell>
          <cell r="B2711" t="str">
            <v>SPD440D(Type II, 40kA, 4P)</v>
          </cell>
          <cell r="C2711" t="str">
            <v>HAGER</v>
          </cell>
          <cell r="D2711" t="str">
            <v>HAGER</v>
          </cell>
        </row>
        <row r="2712">
          <cell r="A2712" t="str">
            <v>SPN440R (Type II, 40kA,4P with reserve ind &amp; fault signalling)</v>
          </cell>
          <cell r="B2712" t="str">
            <v>SPN440R(Type II, 40kA,4P with reserve ind &amp; fault signalling)</v>
          </cell>
          <cell r="C2712" t="str">
            <v>HAGER</v>
          </cell>
          <cell r="D2712" t="str">
            <v>HAGER</v>
          </cell>
        </row>
        <row r="2713">
          <cell r="A2713" t="str">
            <v>SPN265R (Type II, 65kA,1P+N with reserve ind &amp; fault signalling)</v>
          </cell>
          <cell r="B2713" t="str">
            <v>SPN265R(Type II, 65kA,1P+N with reserve ind &amp; fault signalling)</v>
          </cell>
          <cell r="C2713" t="str">
            <v>HAGER</v>
          </cell>
          <cell r="D2713" t="str">
            <v>HAGER</v>
          </cell>
        </row>
        <row r="2714">
          <cell r="A2714" t="str">
            <v>SPN165R (Type II, 65kA,1P with reserve ind &amp; fault signalling)</v>
          </cell>
          <cell r="B2714" t="str">
            <v>SPN165R(Type II, 65kA,1P with reserve ind &amp; fault signalling)</v>
          </cell>
          <cell r="C2714" t="str">
            <v>HAGER</v>
          </cell>
          <cell r="D2714" t="str">
            <v>HAGER</v>
          </cell>
        </row>
        <row r="2715">
          <cell r="A2715" t="str">
            <v>SPN465R (Type II, 65kA,4P with reserve ind &amp; fault signalling)</v>
          </cell>
          <cell r="B2715" t="str">
            <v>SPN465R(Type II, 65kA,4P with reserve ind &amp; fault signalling)</v>
          </cell>
          <cell r="C2715" t="str">
            <v>HAGER</v>
          </cell>
          <cell r="D2715" t="str">
            <v>HAGER</v>
          </cell>
        </row>
        <row r="2716">
          <cell r="A2716" t="str">
            <v>SPN208 (Type II Fine, 8kA, 2P)</v>
          </cell>
          <cell r="B2716" t="str">
            <v>SPN208(Type II Fine, 8kA, 2P)</v>
          </cell>
          <cell r="C2716" t="str">
            <v>HAGER</v>
          </cell>
          <cell r="D2716" t="str">
            <v>HAGER</v>
          </cell>
        </row>
        <row r="2717">
          <cell r="A2717" t="str">
            <v>SPN408S (Type II Fine, 8kA, 4P)</v>
          </cell>
          <cell r="B2717" t="str">
            <v>SPN408S(Type II Fine, 8kA, 4P)</v>
          </cell>
          <cell r="C2717" t="str">
            <v>HAGER</v>
          </cell>
          <cell r="D2717" t="str">
            <v>HAGER</v>
          </cell>
        </row>
        <row r="2718">
          <cell r="A2718" t="str">
            <v>HXC014H (Undervoltage Release h250-630 200-240VAC)</v>
          </cell>
          <cell r="B2718" t="str">
            <v>HXC014H(Undervoltage Release h250-630 200-240VAC)</v>
          </cell>
          <cell r="C2718" t="str">
            <v>HAGER</v>
          </cell>
          <cell r="D2718" t="str">
            <v>HAGER</v>
          </cell>
        </row>
        <row r="2719">
          <cell r="A2719" t="str">
            <v>HXC015H (Undervoltage Release h250-630 380-450VAC)</v>
          </cell>
          <cell r="B2719" t="str">
            <v>HXC015H(Undervoltage Release h250-630 380-450VAC)</v>
          </cell>
          <cell r="C2719" t="str">
            <v>HAGER</v>
          </cell>
          <cell r="D2719" t="str">
            <v>HAGER</v>
          </cell>
        </row>
        <row r="2720">
          <cell r="A2720" t="str">
            <v>HXC011H (Undervoltage Release h250-h630 24 V DC)</v>
          </cell>
          <cell r="B2720" t="str">
            <v>HXC011H(Undervoltage Release h250-h630 24 V DC)</v>
          </cell>
          <cell r="C2720" t="str">
            <v>HAGER</v>
          </cell>
          <cell r="D2720" t="str">
            <v>HAGER</v>
          </cell>
        </row>
        <row r="2721">
          <cell r="A2721" t="str">
            <v>HXA014H (Undervoltage release x160-250 200-240VAC)</v>
          </cell>
          <cell r="B2721" t="str">
            <v>HXA014H(Undervoltage release x160-250 200-240VAC)</v>
          </cell>
          <cell r="C2721" t="str">
            <v>HAGER</v>
          </cell>
          <cell r="D2721" t="str">
            <v>HAGER</v>
          </cell>
        </row>
        <row r="2722">
          <cell r="A2722" t="str">
            <v>HXA015H (Undervoltage release x160-250 380-450VAC)</v>
          </cell>
          <cell r="B2722" t="str">
            <v>HXA015H(Undervoltage release x160-250 380-450VAC)</v>
          </cell>
          <cell r="C2722" t="str">
            <v>HAGER</v>
          </cell>
          <cell r="D2722" t="str">
            <v>HAGER</v>
          </cell>
        </row>
        <row r="2723">
          <cell r="A2723" t="str">
            <v>HXA011H (Undervoltage release x160-x250 24 V DC)</v>
          </cell>
          <cell r="B2723" t="str">
            <v>HXA011H(Undervoltage release x160-x250 24 V DC)</v>
          </cell>
          <cell r="C2723" t="str">
            <v>HAGER</v>
          </cell>
          <cell r="D2723" t="str">
            <v>HAGER</v>
          </cell>
        </row>
        <row r="2724">
          <cell r="A2724" t="str">
            <v>MZ206 (UNDER VOLT RELEASE 230V AC COIL)</v>
          </cell>
          <cell r="B2724" t="str">
            <v>MZ206(UNDER VOLT RELEASE 230V AC COIL)</v>
          </cell>
          <cell r="C2724" t="str">
            <v>HAGER</v>
          </cell>
          <cell r="D2724" t="str">
            <v>HAGER</v>
          </cell>
        </row>
        <row r="2725">
          <cell r="A2725" t="str">
            <v>MZ205 (UNDER VOLT RELEASE 24 V DC COIL)</v>
          </cell>
          <cell r="B2725" t="str">
            <v>MZ205(UNDER VOLT RELEASE 24 V DC COIL)</v>
          </cell>
          <cell r="C2725" t="str">
            <v>HAGER</v>
          </cell>
          <cell r="D2725" t="str">
            <v>HAGER</v>
          </cell>
        </row>
        <row r="2726">
          <cell r="A2726" t="str">
            <v>WSNDS61 (USB charger)</v>
          </cell>
          <cell r="B2726" t="str">
            <v>WSNDS61(USB charger)</v>
          </cell>
          <cell r="C2726" t="str">
            <v>HAGER</v>
          </cell>
          <cell r="D2726" t="str">
            <v>HAGER</v>
          </cell>
        </row>
        <row r="2727">
          <cell r="A2727" t="str">
            <v>WSNDS61A (USB charger  ANTH)</v>
          </cell>
          <cell r="B2727" t="str">
            <v>WSNDS61A(USB charger ANTH)</v>
          </cell>
          <cell r="C2727" t="str">
            <v>HAGER</v>
          </cell>
          <cell r="D2727" t="str">
            <v>HAGER</v>
          </cell>
        </row>
        <row r="2728">
          <cell r="A2728" t="str">
            <v>WSNDS51 (USB Port)</v>
          </cell>
          <cell r="B2728" t="str">
            <v>WSNDS51(USB Port)</v>
          </cell>
          <cell r="C2728" t="str">
            <v>HAGER</v>
          </cell>
          <cell r="D2728" t="str">
            <v>HAGER</v>
          </cell>
        </row>
        <row r="2729">
          <cell r="A2729" t="str">
            <v>WSNDS51A (USB Port  ANTH)</v>
          </cell>
          <cell r="B2729" t="str">
            <v>WSNDS51A(USB Port ANTH)</v>
          </cell>
          <cell r="C2729" t="str">
            <v>HAGER</v>
          </cell>
          <cell r="D2729" t="str">
            <v>HAGER</v>
          </cell>
        </row>
        <row r="2730">
          <cell r="A2730" t="str">
            <v>EE808 (User remote control for EE815 &amp; EE816)</v>
          </cell>
          <cell r="B2730" t="str">
            <v>EE808(User remote control for EE815 &amp; EE816)</v>
          </cell>
          <cell r="C2730" t="str">
            <v>HAGER</v>
          </cell>
          <cell r="D2730" t="str">
            <v>HAGER</v>
          </cell>
        </row>
        <row r="2731">
          <cell r="A2731" t="str">
            <v>HXE014H (UVR h800-h1600 220-240VAC)</v>
          </cell>
          <cell r="B2731" t="str">
            <v>HXE014H(UVR h800-h1600 220-240VAC)</v>
          </cell>
          <cell r="C2731" t="str">
            <v>HAGER</v>
          </cell>
          <cell r="D2731" t="str">
            <v>HAGER</v>
          </cell>
        </row>
        <row r="2732">
          <cell r="A2732" t="str">
            <v>HXE011H (UVR h800-h1600 24VDC)</v>
          </cell>
          <cell r="B2732" t="str">
            <v>HXE011H(UVR h800-h1600 24VDC)</v>
          </cell>
          <cell r="C2732" t="str">
            <v>HAGER</v>
          </cell>
          <cell r="D2732" t="str">
            <v>HAGER</v>
          </cell>
        </row>
        <row r="2733">
          <cell r="A2733" t="str">
            <v>HXE015H (UVR h800-h1600 380-415VAC)</v>
          </cell>
          <cell r="B2733" t="str">
            <v>HXE015H(UVR h800-h1600 380-415VAC)</v>
          </cell>
          <cell r="C2733" t="str">
            <v>HAGER</v>
          </cell>
          <cell r="D2733" t="str">
            <v>HAGER</v>
          </cell>
        </row>
        <row r="2734">
          <cell r="A2734" t="str">
            <v>VE110PN (Vector IP65, 10 Modules, for outdoor application, with metric knock outs)</v>
          </cell>
          <cell r="B2734" t="str">
            <v>VE110PN(Vector IP65, 10 Modules, for outdoor application, with metric knock outs)</v>
          </cell>
          <cell r="C2734" t="str">
            <v>HAGER</v>
          </cell>
          <cell r="D2734" t="str">
            <v>HAGER</v>
          </cell>
        </row>
        <row r="2735">
          <cell r="A2735" t="str">
            <v>VE110L (Vector IP 65 1 row 10 mod encl)</v>
          </cell>
          <cell r="B2735" t="str">
            <v>VE110L(Vector IP 65 1 row 10 mod encl)</v>
          </cell>
          <cell r="C2735" t="str">
            <v>HAGER</v>
          </cell>
          <cell r="D2735" t="str">
            <v>HAGER</v>
          </cell>
        </row>
        <row r="2736">
          <cell r="A2736" t="str">
            <v>VE112L (Vector IP 65 1 row 12 mod encl)</v>
          </cell>
          <cell r="B2736" t="str">
            <v>VE112L(Vector IP 65 1 row 12 mod encl)</v>
          </cell>
          <cell r="C2736" t="str">
            <v>HAGER</v>
          </cell>
          <cell r="D2736" t="str">
            <v>HAGER</v>
          </cell>
        </row>
        <row r="2737">
          <cell r="A2737" t="str">
            <v>VE118L (Vector IP 65 1 row 18 mod encl)</v>
          </cell>
          <cell r="B2737" t="str">
            <v>VE118L(Vector IP 65 1 row 18 mod encl)</v>
          </cell>
          <cell r="C2737" t="str">
            <v>HAGER</v>
          </cell>
          <cell r="D2737" t="str">
            <v>HAGER</v>
          </cell>
        </row>
        <row r="2738">
          <cell r="A2738" t="str">
            <v>VE103L (Vector IP 65 1 row 3 mod encl)</v>
          </cell>
          <cell r="B2738" t="str">
            <v>VE103L(Vector IP 65 1 row 3 mod encl)</v>
          </cell>
          <cell r="C2738" t="str">
            <v>HAGER</v>
          </cell>
          <cell r="D2738" t="str">
            <v>HAGER</v>
          </cell>
        </row>
        <row r="2739">
          <cell r="A2739" t="str">
            <v>VE106L (Vector IP 65 1 row 6 mod encl)</v>
          </cell>
          <cell r="B2739" t="str">
            <v>VE106L(Vector IP 65 1 row 6 mod encl)</v>
          </cell>
          <cell r="C2739" t="str">
            <v>HAGER</v>
          </cell>
          <cell r="D2739" t="str">
            <v>HAGER</v>
          </cell>
        </row>
        <row r="2740">
          <cell r="A2740" t="str">
            <v>VE112PN (Vector IP65, 1X12 Modules, for outdoor application, with metric knock outs)</v>
          </cell>
          <cell r="B2740" t="str">
            <v>VE112PN(Vector IP65, 1X12 Modules, for outdoor application, with metric knock outs)</v>
          </cell>
          <cell r="C2740" t="str">
            <v>HAGER</v>
          </cell>
          <cell r="D2740" t="str">
            <v>HAGER</v>
          </cell>
        </row>
        <row r="2741">
          <cell r="A2741" t="str">
            <v>VE118PN (Vector IP65, 1X18 Modules, for outdoor application, with metric knock outs)</v>
          </cell>
          <cell r="B2741" t="str">
            <v>VE118PN(Vector IP65, 1X18 Modules, for outdoor application, with metric knock outs)</v>
          </cell>
          <cell r="C2741" t="str">
            <v>HAGER</v>
          </cell>
          <cell r="D2741" t="str">
            <v>HAGER</v>
          </cell>
        </row>
        <row r="2742">
          <cell r="A2742" t="str">
            <v>VE212L (Vector IP 65 2 row 12 mod encl)</v>
          </cell>
          <cell r="B2742" t="str">
            <v>VE212L(Vector IP 65 2 row 12 mod encl)</v>
          </cell>
          <cell r="C2742" t="str">
            <v>HAGER</v>
          </cell>
          <cell r="D2742" t="str">
            <v>HAGER</v>
          </cell>
        </row>
        <row r="2743">
          <cell r="A2743" t="str">
            <v>VE218L (Vector IP 65 2 row 36 mod encl)</v>
          </cell>
          <cell r="B2743" t="str">
            <v>VE218L(Vector IP 65 2 row 36 mod encl)</v>
          </cell>
          <cell r="C2743" t="str">
            <v>HAGER</v>
          </cell>
          <cell r="D2743" t="str">
            <v>HAGER</v>
          </cell>
        </row>
        <row r="2744">
          <cell r="A2744" t="str">
            <v>VE212PN (Vector IP65, 2X12 Modules, for outdoor application, with metric knock outs)</v>
          </cell>
          <cell r="B2744" t="str">
            <v>VE212PN(Vector IP65, 2X12 Modules, for outdoor application, with metric knock outs)</v>
          </cell>
          <cell r="C2744" t="str">
            <v>HAGER</v>
          </cell>
          <cell r="D2744" t="str">
            <v>HAGER</v>
          </cell>
        </row>
        <row r="2745">
          <cell r="A2745" t="str">
            <v>VE218PN (Vector IP65, 2X18 Modules, for outdoor application, with metric knock outs)</v>
          </cell>
          <cell r="B2745" t="str">
            <v>VE218PN(Vector IP65, 2X18 Modules, for outdoor application, with metric knock outs)</v>
          </cell>
          <cell r="C2745" t="str">
            <v>HAGER</v>
          </cell>
          <cell r="D2745" t="str">
            <v>HAGER</v>
          </cell>
        </row>
        <row r="2746">
          <cell r="A2746" t="str">
            <v>VE103PN (Vector IP65, 3 Modules, for outdoor application, with metric knock outs)</v>
          </cell>
          <cell r="B2746" t="str">
            <v>VE103PN(Vector IP65, 3 Modules, for outdoor application, with metric knock outs)</v>
          </cell>
          <cell r="C2746" t="str">
            <v>HAGER</v>
          </cell>
          <cell r="D2746" t="str">
            <v>HAGER</v>
          </cell>
        </row>
        <row r="2747">
          <cell r="A2747" t="str">
            <v>VE312L (Vector IP 65 3 row 36 mod encl)</v>
          </cell>
          <cell r="B2747" t="str">
            <v>VE312L(Vector IP 65 3 row 36 mod encl)</v>
          </cell>
          <cell r="C2747" t="str">
            <v>HAGER</v>
          </cell>
          <cell r="D2747" t="str">
            <v>HAGER</v>
          </cell>
        </row>
        <row r="2748">
          <cell r="A2748" t="str">
            <v>VE318L (Vector IP 65 3 row 54 mod encl)</v>
          </cell>
          <cell r="B2748" t="str">
            <v>VE318L(Vector IP 65 3 row 54 mod encl)</v>
          </cell>
          <cell r="C2748" t="str">
            <v>HAGER</v>
          </cell>
          <cell r="D2748" t="str">
            <v>HAGER</v>
          </cell>
        </row>
        <row r="2749">
          <cell r="A2749" t="str">
            <v>VE312PN (Vector IP65, 3X12 Modules, for outdoor application, with metric knock outs)</v>
          </cell>
          <cell r="B2749" t="str">
            <v>VE312PN(Vector IP65, 3X12 Modules, for outdoor application, with metric knock outs)</v>
          </cell>
          <cell r="C2749" t="str">
            <v>HAGER</v>
          </cell>
          <cell r="D2749" t="str">
            <v>HAGER</v>
          </cell>
        </row>
        <row r="2750">
          <cell r="A2750" t="str">
            <v>VE318PN (Vector IP65, 3X18 Modules, for outdoor application, with metric knock outs)</v>
          </cell>
          <cell r="B2750" t="str">
            <v>VE318PN(Vector IP65, 3X18 Modules, for outdoor application, with metric knock outs)</v>
          </cell>
          <cell r="C2750" t="str">
            <v>HAGER</v>
          </cell>
          <cell r="D2750" t="str">
            <v>HAGER</v>
          </cell>
        </row>
        <row r="2751">
          <cell r="A2751" t="str">
            <v>VE412L (Vector IP 65 4 row 48 mod encl)</v>
          </cell>
          <cell r="B2751" t="str">
            <v>VE412L(Vector IP 65 4 row 48 mod encl)</v>
          </cell>
          <cell r="C2751" t="str">
            <v>HAGER</v>
          </cell>
          <cell r="D2751" t="str">
            <v>HAGER</v>
          </cell>
        </row>
        <row r="2752">
          <cell r="A2752" t="str">
            <v>VE412PN (Vector IP65, 4X12 Modules, for outdoor application, with metric knock outs)</v>
          </cell>
          <cell r="B2752" t="str">
            <v>VE412PN(Vector IP65, 4X12 Modules, for outdoor application, with metric knock outs)</v>
          </cell>
          <cell r="C2752" t="str">
            <v>HAGER</v>
          </cell>
          <cell r="D2752" t="str">
            <v>HAGER</v>
          </cell>
        </row>
        <row r="2753">
          <cell r="A2753" t="str">
            <v>VE106PN (Vector IP65, 6 Modules, for outdoor application, with metric knock outs)</v>
          </cell>
          <cell r="B2753" t="str">
            <v>VE106PN(Vector IP65, 6 Modules, for outdoor application, with metric knock outs)</v>
          </cell>
          <cell r="C2753" t="str">
            <v>HAGER</v>
          </cell>
          <cell r="D2753" t="str">
            <v>HAGER</v>
          </cell>
        </row>
        <row r="2754">
          <cell r="A2754" t="str">
            <v>VZ311 (Vector IP 65 Key Lock)</v>
          </cell>
          <cell r="B2754" t="str">
            <v>VZ311(Vector IP 65 Key Lock)</v>
          </cell>
          <cell r="C2754" t="str">
            <v>HAGER</v>
          </cell>
          <cell r="D2754" t="str">
            <v>HAGER</v>
          </cell>
        </row>
        <row r="2755">
          <cell r="A2755" t="str">
            <v>VZ020D (Ventilation Cable Gland, IP66, M20)</v>
          </cell>
          <cell r="B2755" t="str">
            <v>VZ020D(Ventilation Cable Gland, IP66, M20)</v>
          </cell>
          <cell r="C2755" t="str">
            <v>HAGER</v>
          </cell>
          <cell r="D2755" t="str">
            <v>HAGER</v>
          </cell>
        </row>
        <row r="2756">
          <cell r="A2756" t="str">
            <v>VZ025D (Ventilation Cable Gland, IP66, M25)</v>
          </cell>
          <cell r="B2756" t="str">
            <v>VZ025D(Ventilation Cable Gland, IP66, M25)</v>
          </cell>
          <cell r="C2756" t="str">
            <v>HAGER</v>
          </cell>
          <cell r="D2756" t="str">
            <v>HAGER</v>
          </cell>
        </row>
        <row r="2757">
          <cell r="A2757" t="str">
            <v>VZ032D (Ventilation Cable Gland, IP66, M32)</v>
          </cell>
          <cell r="B2757" t="str">
            <v>VZ032D(Ventilation Cable Gland, IP66, M32)</v>
          </cell>
          <cell r="C2757" t="str">
            <v>HAGER</v>
          </cell>
          <cell r="D2757" t="str">
            <v>HAGER</v>
          </cell>
        </row>
        <row r="2758">
          <cell r="A2758" t="str">
            <v>SK602 (Voltmeter selector switch 7 position, 3 mod)</v>
          </cell>
          <cell r="B2758" t="str">
            <v>SK602(Voltmeter selector switch 7 position, 3 mod)</v>
          </cell>
          <cell r="C2758" t="str">
            <v>HAGER</v>
          </cell>
          <cell r="D2758" t="str">
            <v>HAGER</v>
          </cell>
        </row>
        <row r="2759">
          <cell r="A2759" t="str">
            <v>WSNHS72 (Volume controller)</v>
          </cell>
          <cell r="B2759" t="str">
            <v>WSNHS72(Volume controller)</v>
          </cell>
          <cell r="C2759" t="str">
            <v>HAGER</v>
          </cell>
          <cell r="D2759" t="str">
            <v>HAGER</v>
          </cell>
        </row>
        <row r="2760">
          <cell r="A2760" t="str">
            <v>WSNHS72A (Volume controller   ANTH)</v>
          </cell>
          <cell r="B2760" t="str">
            <v>WSNHS72A(Volume controller ANTH)</v>
          </cell>
          <cell r="C2760" t="str">
            <v>HAGER</v>
          </cell>
          <cell r="D2760" t="str">
            <v>HAGER</v>
          </cell>
        </row>
        <row r="2761">
          <cell r="A2761" t="str">
            <v>VS218TJ1_x000D_
 (VS218TJ1 (2 Row X 18 Mod Plain Door Surface Mounting)_x000D_
)</v>
          </cell>
          <cell r="B2761" t="str">
            <v>VS218TJ1_x000D_
(VS218TJ1(2 Row X 18 Mod Plain Door Surface Mounting)_x000D_
)</v>
          </cell>
          <cell r="C2761" t="str">
            <v>HAGER</v>
          </cell>
          <cell r="D2761" t="str">
            <v>HAGER</v>
          </cell>
        </row>
        <row r="2762">
          <cell r="A2762" t="str">
            <v>VYV12CLZ (VTPN 12way IP30 Single Door DB)</v>
          </cell>
          <cell r="B2762" t="str">
            <v>VYV12CLZ(VTPN 12way IP30 Single Door DB)</v>
          </cell>
          <cell r="C2762" t="str">
            <v>HAGER</v>
          </cell>
          <cell r="D2762" t="str">
            <v>HAGER</v>
          </cell>
        </row>
        <row r="2763">
          <cell r="A2763" t="str">
            <v>VYV12GLZ (VTPN 12way IP42 Acrylic Door DB)</v>
          </cell>
          <cell r="B2763" t="str">
            <v>VYV12GLZ(VTPN 12way IP42 Acrylic Door DB)</v>
          </cell>
          <cell r="C2763" t="str">
            <v>HAGER</v>
          </cell>
          <cell r="D2763" t="str">
            <v>HAGER</v>
          </cell>
        </row>
        <row r="2764">
          <cell r="A2764" t="str">
            <v>VYV12DLZ (VTPN 12way IP42 Double Door DB)</v>
          </cell>
          <cell r="B2764" t="str">
            <v>VYV12DLZ(VTPN 12way IP42 Double Door DB)</v>
          </cell>
          <cell r="C2764" t="str">
            <v>HAGER</v>
          </cell>
          <cell r="D2764" t="str">
            <v>HAGER</v>
          </cell>
        </row>
        <row r="2765">
          <cell r="A2765" t="str">
            <v>VYV12DL-P (VTPN 12way IP42 Double Door DB_x000D_
)</v>
          </cell>
          <cell r="B2765" t="str">
            <v>VYV12DL-P(VTPN 12way IP42 Double Door DB_x000D_
)</v>
          </cell>
          <cell r="C2765" t="str">
            <v>HAGER</v>
          </cell>
          <cell r="D2765" t="str">
            <v>HAGER</v>
          </cell>
        </row>
        <row r="2766">
          <cell r="A2766" t="str">
            <v>VYV12PLZ (VTPN 12way IP54 Double Door DB)</v>
          </cell>
          <cell r="B2766" t="str">
            <v>VYV12PLZ(VTPN 12way IP54 Double Door DB)</v>
          </cell>
          <cell r="C2766" t="str">
            <v>HAGER</v>
          </cell>
          <cell r="D2766" t="str">
            <v>HAGER</v>
          </cell>
        </row>
        <row r="2767">
          <cell r="A2767" t="str">
            <v>VYV16GLZ (VTPN 16way IP42 Acrylic Door DB)</v>
          </cell>
          <cell r="B2767" t="str">
            <v>VYV16GLZ(VTPN 16way IP42 Acrylic Door DB)</v>
          </cell>
          <cell r="C2767" t="str">
            <v>HAGER</v>
          </cell>
          <cell r="D2767" t="str">
            <v>HAGER</v>
          </cell>
        </row>
        <row r="2768">
          <cell r="A2768" t="str">
            <v>VYV16DLZ (VTPN 16way IP42 Double Door DB)</v>
          </cell>
          <cell r="B2768" t="str">
            <v>VYV16DLZ(VTPN 16way IP42 Double Door DB)</v>
          </cell>
          <cell r="C2768" t="str">
            <v>HAGER</v>
          </cell>
          <cell r="D2768" t="str">
            <v>HAGER</v>
          </cell>
        </row>
        <row r="2769">
          <cell r="A2769" t="str">
            <v>VYV04CLZ (VTPN 4way IP30 Single Door DB)</v>
          </cell>
          <cell r="B2769" t="str">
            <v>VYV04CLZ(VTPN 4way IP30 Single Door DB)</v>
          </cell>
          <cell r="C2769" t="str">
            <v>HAGER</v>
          </cell>
          <cell r="D2769" t="str">
            <v>HAGER</v>
          </cell>
        </row>
        <row r="2770">
          <cell r="A2770" t="str">
            <v>VYV04GLZ (VTPN 4way IP42 Acrylic Door DB)</v>
          </cell>
          <cell r="B2770" t="str">
            <v>VYV04GLZ(VTPN 4way IP42 Acrylic Door DB)</v>
          </cell>
          <cell r="C2770" t="str">
            <v>HAGER</v>
          </cell>
          <cell r="D2770" t="str">
            <v>HAGER</v>
          </cell>
        </row>
        <row r="2771">
          <cell r="A2771" t="str">
            <v>VYV04DLZ (VTPN 4way IP42 Double Door DB)</v>
          </cell>
          <cell r="B2771" t="str">
            <v>VYV04DLZ(VTPN 4way IP42 Double Door DB)</v>
          </cell>
          <cell r="C2771" t="str">
            <v>HAGER</v>
          </cell>
          <cell r="D2771" t="str">
            <v>HAGER</v>
          </cell>
        </row>
        <row r="2772">
          <cell r="A2772" t="str">
            <v>VYV04DL-P (VTPN 4way IP42 Double Door DB_x000D_
)</v>
          </cell>
          <cell r="B2772" t="str">
            <v>VYV04DL-P(VTPN 4way IP42 Double Door DB_x000D_
)</v>
          </cell>
          <cell r="C2772" t="str">
            <v>HAGER</v>
          </cell>
          <cell r="D2772" t="str">
            <v>HAGER</v>
          </cell>
        </row>
        <row r="2773">
          <cell r="A2773" t="str">
            <v>VYV04PLZ (VTPN 4way IP54 Double Door DB)</v>
          </cell>
          <cell r="B2773" t="str">
            <v>VYV04PLZ(VTPN 4way IP54 Double Door DB)</v>
          </cell>
          <cell r="C2773" t="str">
            <v>HAGER</v>
          </cell>
          <cell r="D2773" t="str">
            <v>HAGER</v>
          </cell>
        </row>
        <row r="2774">
          <cell r="A2774" t="str">
            <v>VYV06CLZ (VTPN 6way IP30 Single Door DB)</v>
          </cell>
          <cell r="B2774" t="str">
            <v>VYV06CLZ(VTPN 6way IP30 Single Door DB)</v>
          </cell>
          <cell r="C2774" t="str">
            <v>HAGER</v>
          </cell>
          <cell r="D2774" t="str">
            <v>HAGER</v>
          </cell>
        </row>
        <row r="2775">
          <cell r="A2775" t="str">
            <v>VYV06GLZ (VTPN 6way IP42 Acrylic Door DB)</v>
          </cell>
          <cell r="B2775" t="str">
            <v>VYV06GLZ(VTPN 6way IP42 Acrylic Door DB)</v>
          </cell>
          <cell r="C2775" t="str">
            <v>HAGER</v>
          </cell>
          <cell r="D2775" t="str">
            <v>HAGER</v>
          </cell>
        </row>
        <row r="2776">
          <cell r="A2776" t="str">
            <v>VYV06DLZ (VTPN 6way IP42 Double Door DB)</v>
          </cell>
          <cell r="B2776" t="str">
            <v>VYV06DLZ(VTPN 6way IP42 Double Door DB)</v>
          </cell>
          <cell r="C2776" t="str">
            <v>HAGER</v>
          </cell>
          <cell r="D2776" t="str">
            <v>HAGER</v>
          </cell>
        </row>
        <row r="2777">
          <cell r="A2777" t="str">
            <v>VYV06PLZ (VTPN 6way IP54 Double Door DB)</v>
          </cell>
          <cell r="B2777" t="str">
            <v>VYV06PLZ(VTPN 6way IP54 Double Door DB)</v>
          </cell>
          <cell r="C2777" t="str">
            <v>HAGER</v>
          </cell>
          <cell r="D2777" t="str">
            <v>HAGER</v>
          </cell>
        </row>
        <row r="2778">
          <cell r="A2778" t="str">
            <v>VYV08CLZ (VTPN 8way IP30 Single Door DB)</v>
          </cell>
          <cell r="B2778" t="str">
            <v>VYV08CLZ(VTPN 8way IP30 Single Door DB)</v>
          </cell>
          <cell r="C2778" t="str">
            <v>HAGER</v>
          </cell>
          <cell r="D2778" t="str">
            <v>HAGER</v>
          </cell>
        </row>
        <row r="2779">
          <cell r="A2779" t="str">
            <v>VYV08GLZ (VTPN 8way IP42 Acrylic Door DB)</v>
          </cell>
          <cell r="B2779" t="str">
            <v>VYV08GLZ(VTPN 8way IP42 Acrylic Door DB)</v>
          </cell>
          <cell r="C2779" t="str">
            <v>HAGER</v>
          </cell>
          <cell r="D2779" t="str">
            <v>HAGER</v>
          </cell>
        </row>
        <row r="2780">
          <cell r="A2780" t="str">
            <v>VYV08DLZ (VTPN 8way IP42 Double Door DB)</v>
          </cell>
          <cell r="B2780" t="str">
            <v>VYV08DLZ(VTPN 8way IP42 Double Door DB)</v>
          </cell>
          <cell r="C2780" t="str">
            <v>HAGER</v>
          </cell>
          <cell r="D2780" t="str">
            <v>HAGER</v>
          </cell>
        </row>
        <row r="2781">
          <cell r="A2781" t="str">
            <v>VYV08DL (VTPN 8way IP42 Double Door DB_x000D_
)</v>
          </cell>
          <cell r="B2781" t="str">
            <v>VYV08DL(VTPN 8way IP42 Double Door DB_x000D_
)</v>
          </cell>
          <cell r="C2781" t="str">
            <v>HAGER</v>
          </cell>
          <cell r="D2781" t="str">
            <v>HAGER</v>
          </cell>
        </row>
        <row r="2782">
          <cell r="A2782" t="str">
            <v>VYV08PLZ (VTPN 8way IP54 Double Door DB)</v>
          </cell>
          <cell r="B2782" t="str">
            <v>VYV08PLZ(VTPN 8way IP54 Double Door DB)</v>
          </cell>
          <cell r="C2782" t="str">
            <v>HAGER</v>
          </cell>
          <cell r="D2782" t="str">
            <v>HAGER</v>
          </cell>
        </row>
        <row r="2783">
          <cell r="A2783" t="str">
            <v>VYV12DM-P (VTPN, NOVELLO+, 12WAY , IP42 DD DB MCCB)</v>
          </cell>
          <cell r="B2783" t="str">
            <v>VYV12DM-P(VTPN, NOVELLO+, 12WAY , IP42 DD DB MCCB)</v>
          </cell>
          <cell r="C2783" t="str">
            <v>HAGER</v>
          </cell>
          <cell r="D2783" t="str">
            <v>HAGER</v>
          </cell>
        </row>
        <row r="2784">
          <cell r="A2784" t="str">
            <v>VYV08DL-P (VTPN, Novello+, 8way, IP42, DD,DB, MCB IC)</v>
          </cell>
          <cell r="B2784" t="str">
            <v>VYV08DL-P(VTPN, Novello+, 8way, IP42, DD,DB, MCB IC)</v>
          </cell>
          <cell r="C2784" t="str">
            <v>HAGER</v>
          </cell>
          <cell r="D2784" t="str">
            <v>HAGER</v>
          </cell>
        </row>
        <row r="2785">
          <cell r="A2785" t="str">
            <v>VYA110C (VYA110C (10A 1M Metal P&amp;S IP30 box))</v>
          </cell>
          <cell r="B2785" t="str">
            <v>VYA110C(VYA110C(10A 1M Metal P&amp;S IP30 box))</v>
          </cell>
          <cell r="C2785" t="str">
            <v>HAGER</v>
          </cell>
          <cell r="D2785" t="str">
            <v>HAGER</v>
          </cell>
        </row>
        <row r="2786">
          <cell r="A2786" t="str">
            <v>VYA120C (VYA120C (20A 1M Metal P&amp;S IP30 box))</v>
          </cell>
          <cell r="B2786" t="str">
            <v>VYA120C(VYA120C(20A 1M Metal P&amp;S IP30 box))</v>
          </cell>
          <cell r="C2786" t="str">
            <v>HAGER</v>
          </cell>
          <cell r="D2786" t="str">
            <v>HAGER</v>
          </cell>
        </row>
        <row r="2787">
          <cell r="A2787" t="str">
            <v>WSNSW11 (White 6A 1W Switch Hager)</v>
          </cell>
          <cell r="B2787" t="str">
            <v>WSNSW11(White 6A 1W Switch Hager)</v>
          </cell>
          <cell r="C2787" t="str">
            <v>HAGER</v>
          </cell>
          <cell r="D2787" t="str">
            <v>HAGER</v>
          </cell>
        </row>
        <row r="2788">
          <cell r="A2788" t="str">
            <v>VYM160CMZ-H (x 160 Frame MCCB 3 Pole hing door)</v>
          </cell>
          <cell r="B2788" t="str">
            <v>VYM160CMZ-H(x 160 Frame MCCB 3 Pole hing door)</v>
          </cell>
          <cell r="C2788" t="str">
            <v>HAGER</v>
          </cell>
          <cell r="D2788" t="str">
            <v>HAGER</v>
          </cell>
        </row>
        <row r="2789">
          <cell r="A2789" t="str">
            <v>VYM161CMZ-H (x 160 Frame MCCB 4 Pole hing door)</v>
          </cell>
          <cell r="B2789" t="str">
            <v>VYM161CMZ-H(x 160 Frame MCCB 4 Pole hing door)</v>
          </cell>
          <cell r="C2789" t="str">
            <v>HAGER</v>
          </cell>
          <cell r="D2789" t="str">
            <v>HAGER</v>
          </cell>
        </row>
        <row r="2790">
          <cell r="A2790" t="str">
            <v>VYM161HM (x 160 Frame MCCB 4 Pole hing door_x000D_
)</v>
          </cell>
          <cell r="B2790" t="str">
            <v>VYM161HM(x 160 Frame MCCB 4 Pole hing door_x000D_
)</v>
          </cell>
          <cell r="C2790" t="str">
            <v>HAGER</v>
          </cell>
          <cell r="D2790" t="str">
            <v>HAGER</v>
          </cell>
        </row>
        <row r="2791">
          <cell r="A2791" t="str">
            <v>VYM250CMZ-H (x 250 Frame MCCB 3 Pole hing door)</v>
          </cell>
          <cell r="B2791" t="str">
            <v>VYM250CMZ-H(x 250 Frame MCCB 3 Pole hing door)</v>
          </cell>
          <cell r="C2791" t="str">
            <v>HAGER</v>
          </cell>
          <cell r="D2791" t="str">
            <v>HAGER</v>
          </cell>
        </row>
        <row r="2792">
          <cell r="A2792" t="str">
            <v>VYM251CMZ-H (x 250 Frame MCCB 4 Pole hing door)</v>
          </cell>
          <cell r="B2792" t="str">
            <v>VYM251CMZ-H(x 250 Frame MCCB 4 Pole hing door)</v>
          </cell>
          <cell r="C2792" t="str">
            <v>HAGER</v>
          </cell>
          <cell r="D2792" t="str">
            <v>HAGER</v>
          </cell>
        </row>
        <row r="2793">
          <cell r="A2793" t="str">
            <v>WHMFDSKG22X5 (2C 2.5 SQMM YY FX BK)</v>
          </cell>
          <cell r="B2793" t="str">
            <v>WHMFDSKG22X5(2C 2.5 SQMM YY FX BK)</v>
          </cell>
          <cell r="C2793" t="str">
            <v>HAVELLS</v>
          </cell>
          <cell r="D2793" t="str">
            <v>HAVELLS</v>
          </cell>
        </row>
        <row r="2794">
          <cell r="A2794" t="str">
            <v>WHMFDSKG32X5 (3C 2.5 SQMM YY FX BK)</v>
          </cell>
          <cell r="B2794" t="str">
            <v>WHMFDSKG32X5(3C 2.5 SQMM YY FX BK)</v>
          </cell>
          <cell r="C2794" t="str">
            <v>HAVELLS</v>
          </cell>
          <cell r="D2794" t="str">
            <v>HAVELLS</v>
          </cell>
        </row>
        <row r="2795">
          <cell r="A2795" t="str">
            <v>WHFFFNGL14X07 (FRLS SC 4.0 SQMM EXTRA FX GN 180 M)</v>
          </cell>
          <cell r="B2795" t="str">
            <v>WHFFFNGL14X07(FRLS SC 4.0 SQMM EXTRA FX GN 180 M)</v>
          </cell>
          <cell r="C2795" t="str">
            <v>HAVELLS</v>
          </cell>
          <cell r="D2795" t="str">
            <v>HAVELLS</v>
          </cell>
        </row>
        <row r="2796">
          <cell r="A2796" t="str">
            <v>WHMFDFKG32X5 (Havells FRLSH 3C x 2.5 YY FX BK)</v>
          </cell>
          <cell r="B2796" t="str">
            <v>WHMFDFKG32X5(Havells FRLSH 3C x 2.5 YY FX BK)</v>
          </cell>
          <cell r="C2796" t="str">
            <v>HAVELLS</v>
          </cell>
          <cell r="D2796" t="str">
            <v>HAVELLS</v>
          </cell>
        </row>
        <row r="2797">
          <cell r="A2797" t="str">
            <v>WHFFDNKA12X5 (Life Line SC 2.5 Sq.mm FX BK 90M)</v>
          </cell>
          <cell r="B2797" t="str">
            <v>WHFFDNKA12X5(Life Line SC 2.5 Sq.mm FX BK 90M)</v>
          </cell>
          <cell r="C2797" t="str">
            <v>HAVELLS</v>
          </cell>
          <cell r="D2797" t="str">
            <v>HAVELLS</v>
          </cell>
        </row>
        <row r="2798">
          <cell r="A2798" t="str">
            <v>WHFFDNRA12X5 (Life Line SC 2.5 Sq.mm FX Red 90M)</v>
          </cell>
          <cell r="B2798" t="str">
            <v>WHFFDNRA12X5(Life Line SC 2.5 Sq.mm FX Red 90M)</v>
          </cell>
          <cell r="C2798" t="str">
            <v>HAVELLS</v>
          </cell>
          <cell r="D2798" t="str">
            <v>HAVELLS</v>
          </cell>
        </row>
        <row r="2799">
          <cell r="A2799" t="str">
            <v>10corex2.5 XLPE (10Core x 2.5 sqmm 1.1 kV Grade XLPE Insulated Copper Cable Havells _x000D_
)</v>
          </cell>
          <cell r="B2799" t="str">
            <v>10corex2.5 XLPE(10Core x 2.5 sqmm 1.1 kV Grade XLPE Insulated Copper Cable Havells _x000D_
)</v>
          </cell>
          <cell r="C2799" t="str">
            <v>HAVELLS</v>
          </cell>
          <cell r="D2799" t="str">
            <v>HAVELLS</v>
          </cell>
        </row>
        <row r="2800">
          <cell r="A2800" t="str">
            <v>CHCAMACFGK121X5 (12X1.5 YFY(STD) 1.1KV_x000D_
INDUST CABLE PVC INSULATED)</v>
          </cell>
          <cell r="B2800" t="str">
            <v>CHCAMACFGK121X5(12X1.5 YFY(STD) 1.1KV_x000D_
INDUST CABLE PVC INSULATED)</v>
          </cell>
          <cell r="C2800" t="str">
            <v>HAVELLS</v>
          </cell>
          <cell r="D2800" t="str">
            <v>HAVELLS</v>
          </cell>
        </row>
        <row r="2801">
          <cell r="A2801" t="str">
            <v>CHLAFACNGG01010 (1X10 YY FX. GREEN O/SH 1.1 KV)</v>
          </cell>
          <cell r="B2801" t="str">
            <v>CHLAFACNGG01010(1X10 YY FX. GREEN O/SH 1.1 KV)</v>
          </cell>
          <cell r="C2801" t="str">
            <v>HAVELLS</v>
          </cell>
          <cell r="D2801" t="str">
            <v>HAVELLS</v>
          </cell>
        </row>
        <row r="2802">
          <cell r="A2802" t="str">
            <v>CHCAJLDFHK241X5 (24X1.5 2XFY 1.1KV INDUST CABLE PVC INSULATED)</v>
          </cell>
          <cell r="B2802" t="str">
            <v>CHCAJLDFHK241X5(24X1.5 2XFY 1.1KV INDUST CABLE PVC INSULATED)</v>
          </cell>
          <cell r="C2802" t="str">
            <v>HAVELLS</v>
          </cell>
          <cell r="D2802" t="str">
            <v>HAVELLS</v>
          </cell>
        </row>
        <row r="2803">
          <cell r="A2803" t="str">
            <v>D27WC0261 (2 CORE 1.5SQ MM COPPER FLEXIBLE)</v>
          </cell>
          <cell r="B2803" t="str">
            <v>D27WC0261(2 CORE 1.5SQ MM COPPER FLEXIBLE)</v>
          </cell>
          <cell r="C2803" t="str">
            <v>HAVELLS</v>
          </cell>
          <cell r="D2803" t="str">
            <v>HAVELLS</v>
          </cell>
        </row>
        <row r="2804">
          <cell r="A2804" t="str">
            <v>D27WC0260 (2 CORE X 1.5SQ.MM FRLS COPPER ARMORED)</v>
          </cell>
          <cell r="B2804" t="str">
            <v>D27WC0260(2 CORE X 1.5SQ.MM FRLS COPPER ARMORED)</v>
          </cell>
          <cell r="C2804" t="str">
            <v>HAVELLS</v>
          </cell>
          <cell r="D2804" t="str">
            <v>HAVELLS</v>
          </cell>
        </row>
        <row r="2805">
          <cell r="A2805" t="str">
            <v>CHCAALDWHK02010 (2X10 A2XWY 1.1KV INDUST CABLE, XLPE INSULATED)</v>
          </cell>
          <cell r="B2805" t="str">
            <v>CHCAALDWHK02010(2X10 A2XWY 1.1KV INDUST CABLE, XLPE INSULATED)</v>
          </cell>
          <cell r="C2805" t="str">
            <v>HAVELLS</v>
          </cell>
          <cell r="D2805" t="str">
            <v>HAVELLS</v>
          </cell>
        </row>
        <row r="2806">
          <cell r="A2806" t="str">
            <v>CHBAMLDWHK021X5 (2x1.5 2XWY (STD) SHIELDED 1.1 KV)</v>
          </cell>
          <cell r="B2806" t="str">
            <v>CHBAMLDWHK021X5(2x1.5 2XWY(STD) SHIELDED 1.1 KV)</v>
          </cell>
          <cell r="C2806" t="str">
            <v>HAVELLS</v>
          </cell>
          <cell r="D2806" t="str">
            <v>HAVELLS</v>
          </cell>
        </row>
        <row r="2807">
          <cell r="A2807" t="str">
            <v>Havells3.5Cx185sqmm (3.5core x 185 Sqmm. Aluminium Arm. LT XLPE Cable)</v>
          </cell>
          <cell r="B2807" t="str">
            <v>Havells3.5Cx185sqmm(3.5core x 185 Sqmm. Aluminium Arm. LT XLPE Cable)</v>
          </cell>
          <cell r="C2807" t="str">
            <v>HAVELLS</v>
          </cell>
          <cell r="D2807" t="str">
            <v>HAVELLS</v>
          </cell>
        </row>
        <row r="2808">
          <cell r="A2808" t="str">
            <v>Havells 3.5Cx300sqmm (3.5core x 300 Sqmm. Aluminium Arm. LT XLPE Cable)</v>
          </cell>
          <cell r="B2808" t="str">
            <v>Havells 3.5Cx300sqmm(3.5core x 300 Sqmm. Aluminium Arm. LT XLPE Cable)</v>
          </cell>
          <cell r="C2808" t="str">
            <v>HAVELLS</v>
          </cell>
          <cell r="D2808" t="str">
            <v>HAVELLS</v>
          </cell>
        </row>
        <row r="2809">
          <cell r="A2809" t="str">
            <v>3.5Cx35sqmm (3.5core x 35 Sqmm Aluminium Armoured LT XLPE 1.1 KV)</v>
          </cell>
          <cell r="B2809" t="str">
            <v>3.5Cx35sqmm(3.5core x 35 Sqmm Aluminium Armoured LT XLPE 1.1 KV)</v>
          </cell>
          <cell r="C2809" t="str">
            <v>HAVELLS</v>
          </cell>
          <cell r="D2809" t="str">
            <v>HAVELLS</v>
          </cell>
        </row>
        <row r="2810">
          <cell r="A2810" t="str">
            <v>Havells (3.5core x 50sqmm Aluminium Armoured LT XLPE 1.1 KV)</v>
          </cell>
          <cell r="B2810" t="str">
            <v>Havells(3.5core x 50sqmm Aluminium Armoured LT XLPE 1.1 KV)</v>
          </cell>
          <cell r="C2810" t="str">
            <v>HAVELLS</v>
          </cell>
          <cell r="D2810" t="str">
            <v>HAVELLS</v>
          </cell>
        </row>
        <row r="2811">
          <cell r="A2811" t="str">
            <v>Havells 3.5Cx95sqmm (3.5core x 95 Sqmm. Aluminium Arm. LT XLPE Cable)</v>
          </cell>
          <cell r="B2811" t="str">
            <v>Havells 3.5Cx95sqmm(3.5core x 95 Sqmm. Aluminium Arm. LT XLPE Cable)</v>
          </cell>
          <cell r="C2811" t="str">
            <v>HAVELLS</v>
          </cell>
          <cell r="D2811" t="str">
            <v>HAVELLS</v>
          </cell>
        </row>
        <row r="2812">
          <cell r="A2812" t="str">
            <v>CHLABLDFHK3H120 (3.5X120 A2XFY 1.1KV INDUST CABLE, XLPE INSULATED)</v>
          </cell>
          <cell r="B2812" t="str">
            <v>CHLABLDFHK3H120(3.5X120 A2XFY 1.1KV INDUST CABLE, XLPE INSULATED)</v>
          </cell>
          <cell r="C2812" t="str">
            <v>HAVELLS</v>
          </cell>
          <cell r="D2812" t="str">
            <v>HAVELLS</v>
          </cell>
        </row>
        <row r="2813">
          <cell r="A2813" t="str">
            <v>CHLABLDFHK3H185 (3.5X185 A2XFY 1.1KV INDUST CABLE, XLPE INSULATED)</v>
          </cell>
          <cell r="B2813" t="str">
            <v>CHLABLDFHK3H185(3.5X185 A2XFY 1.1KV INDUST CABLE, XLPE INSULATED)</v>
          </cell>
          <cell r="C2813" t="str">
            <v>HAVELLS</v>
          </cell>
          <cell r="D2813" t="str">
            <v>HAVELLS</v>
          </cell>
        </row>
        <row r="2814">
          <cell r="A2814" t="str">
            <v>CHLABLDFHK3H240 (3.5X240 A2XFY 1.1KV INDUST CABLE, XLPE INSULATED)</v>
          </cell>
          <cell r="B2814" t="str">
            <v>CHLABLDFHK3H240(3.5X240 A2XFY 1.1KV INDUST CABLE, XLPE INSULATED)</v>
          </cell>
          <cell r="C2814" t="str">
            <v>HAVELLS</v>
          </cell>
          <cell r="D2814" t="str">
            <v>HAVELLS</v>
          </cell>
        </row>
        <row r="2815">
          <cell r="A2815" t="str">
            <v>CHLABLDFHK3H025 (3.5X25 A2XFY 1.1KV INDUST CABLE, XLPE INSULATED)</v>
          </cell>
          <cell r="B2815" t="str">
            <v>CHLABLDFHK3H025(3.5X25 A2XFY 1.1KV INDUST CABLE, XLPE INSULATED)</v>
          </cell>
          <cell r="C2815" t="str">
            <v>HAVELLS</v>
          </cell>
          <cell r="D2815" t="str">
            <v>HAVELLS</v>
          </cell>
        </row>
        <row r="2816">
          <cell r="A2816" t="str">
            <v>CHLABLDFHK3H300 (3.5X300 A2XFY1.1KV INDUST CABLE, XLPE INSULATED)</v>
          </cell>
          <cell r="B2816" t="str">
            <v>CHLABLDFHK3H300(3.5X300 A2XFY1.1KV INDUST CABLE, XLPE INSULATED)</v>
          </cell>
          <cell r="C2816" t="str">
            <v>HAVELLS</v>
          </cell>
          <cell r="D2816" t="str">
            <v>HAVELLS</v>
          </cell>
        </row>
        <row r="2817">
          <cell r="A2817" t="str">
            <v>CHLABLDFHK3H035 (3.5X35 A2XFY 1.1KV INDUST CABLE, XLPE INSULATED)</v>
          </cell>
          <cell r="B2817" t="str">
            <v>CHLABLDFHK3H035(3.5X35 A2XFY 1.1KV INDUST CABLE, XLPE INSULATED)</v>
          </cell>
          <cell r="C2817" t="str">
            <v>HAVELLS</v>
          </cell>
          <cell r="D2817" t="str">
            <v>HAVELLS</v>
          </cell>
        </row>
        <row r="2818">
          <cell r="A2818" t="str">
            <v>CHLABLDFHK3H050 (3.5X50 A2XFY 1.1KV INDUST CABLE, XLPE INSULATED)</v>
          </cell>
          <cell r="B2818" t="str">
            <v>CHLABLDFHK3H050(3.5X50 A2XFY 1.1KV INDUST CABLE, XLPE INSULATED)</v>
          </cell>
          <cell r="C2818" t="str">
            <v>HAVELLS</v>
          </cell>
          <cell r="D2818" t="str">
            <v>HAVELLS</v>
          </cell>
        </row>
        <row r="2819">
          <cell r="A2819" t="str">
            <v>CHLABLDFHK3H070 (3.5X70 A2XFY 1.1KV INDUST CABLE, XLPE INSULATED)</v>
          </cell>
          <cell r="B2819" t="str">
            <v>CHLABLDFHK3H070(3.5X70 A2XFY 1.1KV INDUST CABLE, XLPE INSULATED)</v>
          </cell>
          <cell r="C2819" t="str">
            <v>HAVELLS</v>
          </cell>
          <cell r="D2819" t="str">
            <v>HAVELLS</v>
          </cell>
        </row>
        <row r="2820">
          <cell r="A2820" t="str">
            <v>CHLABLDFHK3H095 (3.5X95 A2XFY 1.1KV_x000D_
INDUST CABLE, XLPE INSULATED)</v>
          </cell>
          <cell r="B2820" t="str">
            <v>CHLABLDFHK3H095(3.5X95 A2XFY 1.1KV_x000D_
INDUST CABLE, XLPE INSULATED)</v>
          </cell>
          <cell r="C2820" t="str">
            <v>HAVELLS</v>
          </cell>
          <cell r="D2820" t="str">
            <v>HAVELLS</v>
          </cell>
        </row>
        <row r="2821">
          <cell r="A2821" t="str">
            <v>3Corex2.5 XLPE (3Core x 2.5 sqmm 1.1kV Grade XLPE Insulated Copper Cable Havells _x000D_
)</v>
          </cell>
          <cell r="B2821" t="str">
            <v>3Corex2.5 XLPE(3Core x 2.5 sqmm 1.1kV Grade XLPE Insulated Copper Cable Havells _x000D_
)</v>
          </cell>
          <cell r="C2821" t="str">
            <v>HAVELLS</v>
          </cell>
          <cell r="D2821" t="str">
            <v>HAVELLS</v>
          </cell>
        </row>
        <row r="2822">
          <cell r="A2822" t="str">
            <v>3Corex2.5 (3Core x 2.5 sqmm 300/500 V Grade XLPE Insulated with Aluminium mylar tape Cable Havells _x000D_
)</v>
          </cell>
          <cell r="B2822" t="str">
            <v>3Corex2.5(3Core x 2.5 sqmm 300/500 V Grade XLPE Insulated with Aluminium mylar tape Cable Havells _x000D_
)</v>
          </cell>
          <cell r="C2822" t="str">
            <v>HAVELLS</v>
          </cell>
          <cell r="D2822" t="str">
            <v>HAVELLS</v>
          </cell>
        </row>
        <row r="2823">
          <cell r="A2823" t="str">
            <v>3X4 Submersible (3Core x 4sqmm Flat Submersible Pump Cable)</v>
          </cell>
          <cell r="B2823" t="str">
            <v>3X4 Submersible(3Core x 4sqmm Flat Submersible Pump Cable)</v>
          </cell>
          <cell r="C2823" t="str">
            <v>HAVELLS</v>
          </cell>
          <cell r="D2823" t="str">
            <v>HAVELLS</v>
          </cell>
        </row>
        <row r="2824">
          <cell r="A2824" t="str">
            <v>3x6 Submersible (3Core x 6sqmm Flat Submersible Pump Cable)</v>
          </cell>
          <cell r="B2824" t="str">
            <v>3x6 Submersible(3Core x 6sqmm Flat Submersible Pump Cable)</v>
          </cell>
          <cell r="C2824" t="str">
            <v>HAVELLS</v>
          </cell>
          <cell r="D2824" t="str">
            <v>HAVELLS</v>
          </cell>
        </row>
        <row r="2825">
          <cell r="A2825" t="str">
            <v>CHCAJLDWHK031X5 (3x1.5 2XWY 1.1KV INDUST CABLE XLPE INSULATED)</v>
          </cell>
          <cell r="B2825" t="str">
            <v>CHCAJLDWHK031X5(3x1.5 2XWY 1.1KV INDUST CABLE XLPE INSULATED)</v>
          </cell>
          <cell r="C2825" t="str">
            <v>HAVELLS</v>
          </cell>
          <cell r="D2825" t="str">
            <v>HAVELLS</v>
          </cell>
        </row>
        <row r="2826">
          <cell r="A2826" t="str">
            <v>CHDVFANNFB031X5 (3X1.5 YY FX. SHIELDED FRLSH BLUE_x000D_
500V)</v>
          </cell>
          <cell r="B2826" t="str">
            <v>CHDVFANNFB031X5(3X1.5 YY FX. SHIELDED FRLSH BLUE_x000D_
500V)</v>
          </cell>
          <cell r="C2826" t="str">
            <v>HAVELLS</v>
          </cell>
          <cell r="D2826" t="str">
            <v>HAVELLS</v>
          </cell>
        </row>
        <row r="2827">
          <cell r="A2827" t="str">
            <v>CHLAMACNGK031X5 (3X1.5 YY (STD) 1.1KV_x000D_
INDUST CABLE PVC INSULATED)</v>
          </cell>
          <cell r="B2827" t="str">
            <v>CHLAMACNGK031X5(3X1.5 YY(STD) 1.1KV_x000D_
INDUST CABLE PVC INSULATED)</v>
          </cell>
          <cell r="C2827" t="str">
            <v>HAVELLS</v>
          </cell>
          <cell r="D2827" t="str">
            <v>HAVELLS</v>
          </cell>
        </row>
        <row r="2828">
          <cell r="A2828" t="str">
            <v>CHLABLDFHK03016 (3x16 A2XFY1.1KV INDUST CABLE XLPE INSULATED)</v>
          </cell>
          <cell r="B2828" t="str">
            <v>CHLABLDFHK03016(3x16 A2XFY1.1KV INDUST CABLE XLPE INSULATED)</v>
          </cell>
          <cell r="C2828" t="str">
            <v>HAVELLS</v>
          </cell>
          <cell r="D2828" t="str">
            <v>HAVELLS</v>
          </cell>
        </row>
        <row r="2829">
          <cell r="A2829" t="str">
            <v>CHHECLDFHK03240 (3x240 A2XFY 6.35/11KV INDUST CABLE XLPE INSULATED)</v>
          </cell>
          <cell r="B2829" t="str">
            <v>CHHECLDFHK03240(3x240 A2XFY 6.35/11KV INDUST CABLE XLPE INSULATED)</v>
          </cell>
          <cell r="C2829" t="str">
            <v>HAVELLS</v>
          </cell>
          <cell r="D2829" t="str">
            <v>HAVELLS</v>
          </cell>
        </row>
        <row r="2830">
          <cell r="A2830" t="str">
            <v>CHCAJLDWHK032X5 (3x2.5 2XWY 1.1KV INDUST CABLE XLPE INSULATED)</v>
          </cell>
          <cell r="B2830" t="str">
            <v>CHCAJLDWHK032X5(3x2.5 2XWY 1.1KV INDUST CABLE XLPE INSULATED)</v>
          </cell>
          <cell r="C2830" t="str">
            <v>HAVELLS</v>
          </cell>
          <cell r="D2830" t="str">
            <v>HAVELLS</v>
          </cell>
        </row>
        <row r="2831">
          <cell r="A2831" t="str">
            <v>CHLABLDFHK03025 (3X25 A2XFY 1.1KV_x000D_
INDUST CABLE, XLPE INSULATED)</v>
          </cell>
          <cell r="B2831" t="str">
            <v>CHLABLDFHK03025(3X25 A2XFY 1.1KV_x000D_
INDUST CABLE, XLPE INSULATED)</v>
          </cell>
          <cell r="C2831" t="str">
            <v>HAVELLS</v>
          </cell>
          <cell r="D2831" t="str">
            <v>HAVELLS</v>
          </cell>
        </row>
        <row r="2832">
          <cell r="A2832" t="str">
            <v>CHIECLDWHK03400 (3X400 A2XWY 6.35/11KVINDUST CABLE, XLPE INSULATED)</v>
          </cell>
          <cell r="B2832" t="str">
            <v>CHIECLDWHK03400(3X400 A2XWY 6.35/11KVINDUST CABLE, XLPE INSULATED)</v>
          </cell>
          <cell r="C2832" t="str">
            <v>HAVELLS</v>
          </cell>
          <cell r="D2832" t="str">
            <v>HAVELLS</v>
          </cell>
        </row>
        <row r="2833">
          <cell r="A2833" t="str">
            <v>CHCAJLDWHK034X0 (3x4 2XWY 1.1KV INDUST CABLE XLPE INSULATED)</v>
          </cell>
          <cell r="B2833" t="str">
            <v>CHCAJLDWHK034X0(3x4 2XWY 1.1KV INDUST CABLE XLPE INSULATED)</v>
          </cell>
          <cell r="C2833" t="str">
            <v>HAVELLS</v>
          </cell>
          <cell r="D2833" t="str">
            <v>HAVELLS</v>
          </cell>
        </row>
        <row r="2834">
          <cell r="A2834" t="str">
            <v>CHCAJLDWHK036X0 (3x6 2XWY 1.1KV INDUST CABLE XLPE INSULATED)</v>
          </cell>
          <cell r="B2834" t="str">
            <v>CHCAJLDWHK036X0(3x6 2XWY 1.1KV INDUST CABLE XLPE INSULATED)</v>
          </cell>
          <cell r="C2834" t="str">
            <v>HAVELLS</v>
          </cell>
          <cell r="D2834" t="str">
            <v>HAVELLS</v>
          </cell>
        </row>
        <row r="2835">
          <cell r="A2835" t="str">
            <v>Havells 4Cx16sqmm (4Core x 16Sq.mm Al Ar LT XLPE Cable 1.1 Kv)</v>
          </cell>
          <cell r="B2835" t="str">
            <v>Havells 4Cx16sqmm(4Core x 16Sq.mm Al Ar LT XLPE Cable 1.1 Kv)</v>
          </cell>
          <cell r="C2835" t="str">
            <v>HAVELLS</v>
          </cell>
          <cell r="D2835" t="str">
            <v>HAVELLS</v>
          </cell>
        </row>
        <row r="2836">
          <cell r="A2836" t="str">
            <v>4Corex2.5 (4Core x 2.5 sqmm 300/500 V Grade XLPE Insulated with Aluminium mylar tape Cable Havells _x000D_
)</v>
          </cell>
          <cell r="B2836" t="str">
            <v>4Corex2.5(4Core x 2.5 sqmm 300/500 V Grade XLPE Insulated with Aluminium mylar tape Cable Havells _x000D_
)</v>
          </cell>
          <cell r="C2836" t="str">
            <v>HAVELLS</v>
          </cell>
          <cell r="D2836" t="str">
            <v>HAVELLS</v>
          </cell>
        </row>
        <row r="2837">
          <cell r="A2837" t="str">
            <v>CHCAMLDFHK04010 (4x10 2XFY (STD) 1.1 KV INDUST CABLE XLPE INSULATED)</v>
          </cell>
          <cell r="B2837" t="str">
            <v>CHCAMLDFHK04010(4x10 2XFY(STD) 1.1 KV INDUST CABLE XLPE INSULATED)</v>
          </cell>
          <cell r="C2837" t="str">
            <v>HAVELLS</v>
          </cell>
          <cell r="D2837" t="str">
            <v>HAVELLS</v>
          </cell>
        </row>
        <row r="2838">
          <cell r="A2838" t="str">
            <v>CHCAKLDFFK04010 (4X10 2XFY (STD) FRLSH O/S 1.1KV_x000D_
 (INDUST CABLE, XLPE INSULATED)_x000D_)</v>
          </cell>
          <cell r="B2838" t="str">
            <v>CHCAKLDFFK04010(4X10 2XFY(STD) FRLSH O/S 1.1KV_x000D_
(INDUST CABLE, XLPE INSULATED)_x000D_)</v>
          </cell>
          <cell r="C2838" t="str">
            <v>HAVELLS</v>
          </cell>
          <cell r="D2838" t="str">
            <v>HAVELLS</v>
          </cell>
        </row>
        <row r="2839">
          <cell r="A2839" t="str">
            <v>CHCAALDFHK04010 (4X10 A2XFY 1.1 KV INDUST CABLE, XLPE INSULATED)</v>
          </cell>
          <cell r="B2839" t="str">
            <v>CHCAALDFHK04010(4X10 A2XFY 1.1 KV INDUST CABLE, XLPE INSULATED)</v>
          </cell>
          <cell r="C2839" t="str">
            <v>HAVELLS</v>
          </cell>
          <cell r="D2839" t="str">
            <v>HAVELLS</v>
          </cell>
        </row>
        <row r="2840">
          <cell r="A2840" t="str">
            <v>CHCAJLDWHK041X5 (4x1.5 2XWY 1.1KV INDUST CABLE XLPE INSULATED)</v>
          </cell>
          <cell r="B2840" t="str">
            <v>CHCAJLDWHK041X5(4x1.5 2XWY 1.1KV INDUST CABLE XLPE INSULATED)</v>
          </cell>
          <cell r="C2840" t="str">
            <v>HAVELLS</v>
          </cell>
          <cell r="D2840" t="str">
            <v>HAVELLS</v>
          </cell>
        </row>
        <row r="2841">
          <cell r="A2841" t="str">
            <v>CHDAMLDWHK041X5 (4x1.5 2xwy (STD) SHIELDED 1.1 KV)</v>
          </cell>
          <cell r="B2841" t="str">
            <v>CHDAMLDWHK041X5(4x1.5 2xwy(STD) SHIELDED 1.1 KV)</v>
          </cell>
          <cell r="C2841" t="str">
            <v>HAVELLS</v>
          </cell>
          <cell r="D2841" t="str">
            <v>HAVELLS</v>
          </cell>
        </row>
        <row r="2842">
          <cell r="A2842" t="str">
            <v>CHLAKLDFFK04016 (4X16 2XFY FRLSH O/S 1.1KV (INDUST CABLE, XLPE INSULATED))</v>
          </cell>
          <cell r="B2842" t="str">
            <v>CHLAKLDFFK04016(4X16 2XFY FRLSH O/S 1.1KV(INDUST CABLE, XLPE INSULATED))</v>
          </cell>
          <cell r="C2842" t="str">
            <v>HAVELLS</v>
          </cell>
          <cell r="D2842" t="str">
            <v>HAVELLS</v>
          </cell>
        </row>
        <row r="2843">
          <cell r="A2843" t="str">
            <v>CHLABLDFHK04016 (4X16 A2XFY1.1KV INDUST CABLE, XLPE INSULATED)</v>
          </cell>
          <cell r="B2843" t="str">
            <v>CHLABLDFHK04016(4X16 A2XFY1.1KV INDUST CABLE, XLPE INSULATED)</v>
          </cell>
          <cell r="C2843" t="str">
            <v>HAVELLS</v>
          </cell>
          <cell r="D2843" t="str">
            <v>HAVELLS</v>
          </cell>
        </row>
        <row r="2844">
          <cell r="A2844" t="str">
            <v>CHCAJLDWHK042X5 (4x2.5 2XWY 1.1KV INDUST CABLE XLPE)</v>
          </cell>
          <cell r="B2844" t="str">
            <v>CHCAJLDWHK042X5(4x2.5 2XWY 1.1KV INDUST CABLE XLPE)</v>
          </cell>
          <cell r="C2844" t="str">
            <v>HAVELLS</v>
          </cell>
          <cell r="D2844" t="str">
            <v>HAVELLS</v>
          </cell>
        </row>
        <row r="2845">
          <cell r="A2845" t="str">
            <v>CHCAJLDWHK044X0 (4x4 2XWY 1.1KV INDUST CABLE XLPE INSULATED)</v>
          </cell>
          <cell r="B2845" t="str">
            <v>CHCAJLDWHK044X0(4x4 2XWY 1.1KV INDUST CABLE XLPE INSULATED)</v>
          </cell>
          <cell r="C2845" t="str">
            <v>HAVELLS</v>
          </cell>
          <cell r="D2845" t="str">
            <v>HAVELLS</v>
          </cell>
        </row>
        <row r="2846">
          <cell r="A2846" t="str">
            <v>CHCAJLDWHK046X0 (4x6 2XWY 1.1KV INDUST CABLE XLPE INSULATED)</v>
          </cell>
          <cell r="B2846" t="str">
            <v>CHCAJLDWHK046X0(4x6 2XWY 1.1KV INDUST CABLE XLPE INSULATED)</v>
          </cell>
          <cell r="C2846" t="str">
            <v>HAVELLS</v>
          </cell>
          <cell r="D2846" t="str">
            <v>HAVELLS</v>
          </cell>
        </row>
        <row r="2847">
          <cell r="A2847" t="str">
            <v>CHCAMACNGK071X5 (7X1.5 YY (STD) 1.1KV_x000D_
INDUST CABLE PVC INSULATED)</v>
          </cell>
          <cell r="B2847" t="str">
            <v>CHCAMACNGK071X5(7X1.5 YY(STD) 1.1KV_x000D_
INDUST CABLE PVC INSULATED)</v>
          </cell>
          <cell r="C2847" t="str">
            <v>HAVELLS</v>
          </cell>
          <cell r="D2847" t="str">
            <v>HAVELLS</v>
          </cell>
        </row>
        <row r="2848">
          <cell r="A2848" t="str">
            <v>WHFFFNGL11X07 (FRLS SC 1.0 SQMM EXTRA FX_x000D_
GN 180 M)</v>
          </cell>
          <cell r="B2848" t="str">
            <v>WHFFFNGL11X07(FRLS SC 1.0 SQMM EXTRA FX_x000D_
GN 180 M)</v>
          </cell>
          <cell r="C2848" t="str">
            <v>HAVELLS</v>
          </cell>
          <cell r="D2848" t="str">
            <v>HAVELLS</v>
          </cell>
        </row>
        <row r="2849">
          <cell r="A2849" t="str">
            <v>WHFFFNGL11X57 (FRLS SC 1.5 SQMM EXTRA FX_x000D_
GN 180 M)</v>
          </cell>
          <cell r="B2849" t="str">
            <v>WHFFFNGL11X57(FRLS SC 1.5 SQMM EXTRA FX_x000D_
GN 180 M)</v>
          </cell>
          <cell r="C2849" t="str">
            <v>HAVELLS</v>
          </cell>
          <cell r="D2849" t="str">
            <v>HAVELLS</v>
          </cell>
        </row>
        <row r="2850">
          <cell r="A2850" t="str">
            <v>WHFFFNKL11X57 (FRLS SC 1.5 SQMM EXTRA FX BK_x000D_
180 M)</v>
          </cell>
          <cell r="B2850" t="str">
            <v>WHFFFNKL11X57(FRLS SC 1.5 SQMM EXTRA FX BK_x000D_
180 M)</v>
          </cell>
          <cell r="C2850" t="str">
            <v>HAVELLS</v>
          </cell>
          <cell r="D2850" t="str">
            <v>HAVELLS</v>
          </cell>
        </row>
        <row r="2851">
          <cell r="A2851" t="str">
            <v>WHFFFNBL11X57 (FRLS SC 1.5 SQMM EXTRA FX BL_x000D_
180 M)</v>
          </cell>
          <cell r="B2851" t="str">
            <v>WHFFFNBL11X57(FRLS SC 1.5 SQMM EXTRA FX BL_x000D_
180 M)</v>
          </cell>
          <cell r="C2851" t="str">
            <v>HAVELLS</v>
          </cell>
          <cell r="D2851" t="str">
            <v>HAVELLS</v>
          </cell>
        </row>
        <row r="2852">
          <cell r="A2852" t="str">
            <v>WHFFFNRL11X57 (FRLS SC 1.5 SQMM EXTRA FX RD_x000D_
180 M)</v>
          </cell>
          <cell r="B2852" t="str">
            <v>WHFFFNRL11X57(FRLS SC 1.5 SQMM EXTRA FX RD_x000D_
180 M)</v>
          </cell>
          <cell r="C2852" t="str">
            <v>HAVELLS</v>
          </cell>
          <cell r="D2852" t="str">
            <v>HAVELLS</v>
          </cell>
        </row>
        <row r="2853">
          <cell r="A2853" t="str">
            <v>WHFFFNYL11X57 (FRLS SC 1.5 SQMM EXTRA FX YL_x000D_
180 M)</v>
          </cell>
          <cell r="B2853" t="str">
            <v>WHFFFNYL11X57(FRLS SC 1.5 SQMM EXTRA FX YL_x000D_
180 M)</v>
          </cell>
          <cell r="C2853" t="str">
            <v>HAVELLS</v>
          </cell>
          <cell r="D2853" t="str">
            <v>HAVELLS</v>
          </cell>
        </row>
        <row r="2854">
          <cell r="A2854" t="str">
            <v>WHFFFNGL12X57 (FRLS SC 2.5 SQMM EXTRA FX_x000D_
GN 180 M)</v>
          </cell>
          <cell r="B2854" t="str">
            <v>WHFFFNGL12X57(FRLS SC 2.5 SQMM EXTRA FX_x000D_
GN 180 M)</v>
          </cell>
          <cell r="C2854" t="str">
            <v>HAVELLS</v>
          </cell>
          <cell r="D2854" t="str">
            <v>HAVELLS</v>
          </cell>
        </row>
        <row r="2855">
          <cell r="A2855" t="str">
            <v>WHFFFNKL12X57 (FRLS SC 2.5 SQMM EXTRA FX BK_x000D_
180 M)</v>
          </cell>
          <cell r="B2855" t="str">
            <v>WHFFFNKL12X57(FRLS SC 2.5 SQMM EXTRA FX BK_x000D_
180 M)</v>
          </cell>
          <cell r="C2855" t="str">
            <v>HAVELLS</v>
          </cell>
          <cell r="D2855" t="str">
            <v>HAVELLS</v>
          </cell>
        </row>
        <row r="2856">
          <cell r="A2856" t="str">
            <v>WHFFFNBL12X57 (FRLS SC 2.5 SQMM EXTRA FX BL_x000D_
180 M)</v>
          </cell>
          <cell r="B2856" t="str">
            <v>WHFFFNBL12X57(FRLS SC 2.5 SQMM EXTRA FX BL_x000D_
180 M)</v>
          </cell>
          <cell r="C2856" t="str">
            <v>HAVELLS</v>
          </cell>
          <cell r="D2856" t="str">
            <v>HAVELLS</v>
          </cell>
        </row>
        <row r="2857">
          <cell r="A2857" t="str">
            <v>WHFFFNRL12X57 (FRLS SC 2.5 SQMM EXTRA FX RD_x000D_
180 M)</v>
          </cell>
          <cell r="B2857" t="str">
            <v>WHFFFNRL12X57(FRLS SC 2.5 SQMM EXTRA FX RD_x000D_
180 M)</v>
          </cell>
          <cell r="C2857" t="str">
            <v>HAVELLS</v>
          </cell>
          <cell r="D2857" t="str">
            <v>HAVELLS</v>
          </cell>
        </row>
        <row r="2858">
          <cell r="A2858" t="str">
            <v>WHFFFNYL12X57 (FRLS SC 2.5 SQMM EXTRA FX YL_x000D_
180 M)</v>
          </cell>
          <cell r="B2858" t="str">
            <v>WHFFFNYL12X57(FRLS SC 2.5 SQMM EXTRA FX YL_x000D_
180 M)</v>
          </cell>
          <cell r="C2858" t="str">
            <v>HAVELLS</v>
          </cell>
          <cell r="D2858" t="str">
            <v>HAVELLS</v>
          </cell>
        </row>
        <row r="2859">
          <cell r="A2859" t="str">
            <v>WHFFFNKL14X07 (FRLS SC 4.0 SQMM EXTRA FX BK_x000D_
180 M)</v>
          </cell>
          <cell r="B2859" t="str">
            <v>WHFFFNKL14X07(FRLS SC 4.0 SQMM EXTRA FX BK_x000D_
180 M)</v>
          </cell>
          <cell r="C2859" t="str">
            <v>HAVELLS</v>
          </cell>
          <cell r="D2859" t="str">
            <v>HAVELLS</v>
          </cell>
        </row>
        <row r="2860">
          <cell r="A2860" t="str">
            <v>WHFFFNBL14X07 (FRLS SC 4.0 SQMM EXTRA FX BL_x000D_
180 M)</v>
          </cell>
          <cell r="B2860" t="str">
            <v>WHFFFNBL14X07(FRLS SC 4.0 SQMM EXTRA FX BL_x000D_
180 M)</v>
          </cell>
          <cell r="C2860" t="str">
            <v>HAVELLS</v>
          </cell>
          <cell r="D2860" t="str">
            <v>HAVELLS</v>
          </cell>
        </row>
        <row r="2861">
          <cell r="A2861" t="str">
            <v>WHFFFNRL14X07 (FRLS SC 4.0 SQMM EXTRA FX RD_x000D_
180 M)</v>
          </cell>
          <cell r="B2861" t="str">
            <v>WHFFFNRL14X07(FRLS SC 4.0 SQMM EXTRA FX RD_x000D_
180 M)</v>
          </cell>
          <cell r="C2861" t="str">
            <v>HAVELLS</v>
          </cell>
          <cell r="D2861" t="str">
            <v>HAVELLS</v>
          </cell>
        </row>
        <row r="2862">
          <cell r="A2862" t="str">
            <v>WHFFFNYL14X07 (FRLS SC 4.0 SQMM EXTRA FX YL_x000D_
180 M)</v>
          </cell>
          <cell r="B2862" t="str">
            <v>WHFFFNYL14X07(FRLS SC 4.0 SQMM EXTRA FX YL_x000D_
180 M)</v>
          </cell>
          <cell r="C2862" t="str">
            <v>HAVELLS</v>
          </cell>
          <cell r="D2862" t="str">
            <v>HAVELLS</v>
          </cell>
        </row>
        <row r="2863">
          <cell r="A2863" t="str">
            <v>Havells Wire 2.5 Sq.mm (Havells Wire 2.5 Sq.mm  90 Mtr)</v>
          </cell>
          <cell r="B2863" t="str">
            <v>Havells Wire 2.5 Sq.mm(Havells Wire 2.5 Sq.mm 90 Mtr)</v>
          </cell>
          <cell r="C2863" t="str">
            <v>HAVELLS</v>
          </cell>
          <cell r="D2863" t="str">
            <v>HAVELLS</v>
          </cell>
        </row>
        <row r="2864">
          <cell r="A2864" t="str">
            <v>WSFFDNKG1010 (STD# SC 10 SQMM FX BK)</v>
          </cell>
          <cell r="B2864" t="str">
            <v>WSFFDNKG1010(STD# SC 10 SQMM FX BK)</v>
          </cell>
          <cell r="C2864" t="str">
            <v>HAVELLS</v>
          </cell>
          <cell r="D2864" t="str">
            <v>HAVELLS</v>
          </cell>
        </row>
        <row r="2865">
          <cell r="A2865" t="str">
            <v>WSFFFNKL11X57 (STD Flame Shield SC 1.5 SQMM FX BK 180 M)</v>
          </cell>
          <cell r="B2865" t="str">
            <v>WSFFFNKL11X57(STD Flame Shield SC 1.5 SQMM FX BK 180 M)</v>
          </cell>
          <cell r="C2865" t="str">
            <v>HAVELLS</v>
          </cell>
          <cell r="D2865" t="str">
            <v>HAVELLS</v>
          </cell>
        </row>
        <row r="2866">
          <cell r="A2866" t="str">
            <v>WSFFFNBL11X57 (STD Flame Shield SC 1.5 SQMM FX BL 180 M)</v>
          </cell>
          <cell r="B2866" t="str">
            <v>WSFFFNBL11X57(STD Flame Shield SC 1.5 SQMM FX BL 180 M)</v>
          </cell>
          <cell r="C2866" t="str">
            <v>HAVELLS</v>
          </cell>
          <cell r="D2866" t="str">
            <v>HAVELLS</v>
          </cell>
        </row>
        <row r="2867">
          <cell r="A2867" t="str">
            <v>WSFFFNGL11X57 (STD Flame Shield SC 1.5 SQMM FX GN 180 M)</v>
          </cell>
          <cell r="B2867" t="str">
            <v>WSFFFNGL11X57(STD Flame Shield SC 1.5 SQMM FX GN 180 M)</v>
          </cell>
          <cell r="C2867" t="str">
            <v>HAVELLS</v>
          </cell>
          <cell r="D2867" t="str">
            <v>HAVELLS</v>
          </cell>
        </row>
        <row r="2868">
          <cell r="A2868" t="str">
            <v>WSFFFNRL11X57 (STD Flame Shield SC 1.5 SQMM FX RD 180 M)</v>
          </cell>
          <cell r="B2868" t="str">
            <v>WSFFFNRL11X57(STD Flame Shield SC 1.5 SQMM FX RD 180 M)</v>
          </cell>
          <cell r="C2868" t="str">
            <v>HAVELLS</v>
          </cell>
          <cell r="D2868" t="str">
            <v>HAVELLS</v>
          </cell>
        </row>
        <row r="2869">
          <cell r="A2869" t="str">
            <v>WSFFFNYL11X57 (STD Flame Shield SC 1.5 SQMM FX YL 180 M)</v>
          </cell>
          <cell r="B2869" t="str">
            <v>WSFFFNYL11X57(STD Flame Shield SC 1.5 SQMM FX YL 180 M)</v>
          </cell>
          <cell r="C2869" t="str">
            <v>HAVELLS</v>
          </cell>
          <cell r="D2869" t="str">
            <v>HAVELLS</v>
          </cell>
        </row>
        <row r="2870">
          <cell r="A2870" t="str">
            <v>WSFFFNKL16X07 (STD Flame Shield SC 6.0 SQMM FX BK 180 M)</v>
          </cell>
          <cell r="B2870" t="str">
            <v>WSFFFNKL16X07(STD Flame Shield SC 6.0 SQMM FX BK 180 M)</v>
          </cell>
          <cell r="C2870" t="str">
            <v>HAVELLS</v>
          </cell>
          <cell r="D2870" t="str">
            <v>HAVELLS</v>
          </cell>
        </row>
        <row r="2871">
          <cell r="A2871" t="str">
            <v>WSFFFNGL16X07 (STD Flame Shield SC 6.0 SQMM FX GN 180 M)</v>
          </cell>
          <cell r="B2871" t="str">
            <v>WSFFFNGL16X07(STD Flame Shield SC 6.0 SQMM FX GN 180 M)</v>
          </cell>
          <cell r="C2871" t="str">
            <v>HAVELLS</v>
          </cell>
          <cell r="D2871" t="str">
            <v>HAVELLS</v>
          </cell>
        </row>
        <row r="2872">
          <cell r="A2872" t="str">
            <v>Exhaust 150mm (Fan Anc Smart Air 150mm Pipe Exhaust)</v>
          </cell>
          <cell r="B2872" t="str">
            <v>Exhaust 150mm(Fan Anc Smart Air 150mm Pipe Exhaust)</v>
          </cell>
          <cell r="C2872" t="str">
            <v>HAVELLS</v>
          </cell>
          <cell r="D2872" t="str">
            <v>HAVELLS</v>
          </cell>
        </row>
        <row r="2873">
          <cell r="A2873" t="str">
            <v>FHEHDSPDB120</v>
          </cell>
          <cell r="B2873" t="str">
            <v>FHEHDSPDB120</v>
          </cell>
          <cell r="C2873" t="str">
            <v>HAVELLS</v>
          </cell>
          <cell r="D2873" t="str">
            <v>HAVELLS</v>
          </cell>
        </row>
        <row r="2874">
          <cell r="A2874" t="str">
            <v>FHWSW4SIVR16 (HAVELLS SWING FAN 400MM)</v>
          </cell>
          <cell r="B2874" t="str">
            <v>FHWSW4SIVR16(HAVELLS SWING FAN 400MM)</v>
          </cell>
          <cell r="C2874" t="str">
            <v>HAVELLS</v>
          </cell>
          <cell r="D2874" t="str">
            <v>HAVELLS</v>
          </cell>
        </row>
        <row r="2875">
          <cell r="A2875" t="str">
            <v>FHVVEMTBRN12 (HAVELLS VENTIL AIR DSP (300 MM))</v>
          </cell>
          <cell r="B2875" t="str">
            <v>FHVVEMTBRN12(HAVELLS VENTIL AIR DSP (300 MM))</v>
          </cell>
          <cell r="C2875" t="str">
            <v>HAVELLS</v>
          </cell>
          <cell r="D2875" t="str">
            <v>HAVELLS</v>
          </cell>
        </row>
        <row r="2876">
          <cell r="A2876" t="str">
            <v>FHCNF5SWHT48P (HF EFFICIENCIA 1200MM FAN NEO WH HAVELLS)</v>
          </cell>
          <cell r="B2876" t="str">
            <v>FHCNF5SWHT48P(HF EFFICIENCIA 1200MM FAN NEO WH HAVELLS)</v>
          </cell>
          <cell r="C2876" t="str">
            <v>HAVELLS</v>
          </cell>
          <cell r="D2876" t="str">
            <v>HAVELLS</v>
          </cell>
        </row>
        <row r="2877">
          <cell r="A2877" t="str">
            <v>FSCZOSTWHT48 (1200MM FAN ZOE ELEGANT WHITE)</v>
          </cell>
          <cell r="B2877" t="str">
            <v>FSCZOSTWHT48(1200MM FAN ZOE ELEGANT WHITE)</v>
          </cell>
          <cell r="C2877" t="str">
            <v>HAVELLS</v>
          </cell>
          <cell r="D2877" t="str">
            <v>HAVELLS</v>
          </cell>
        </row>
        <row r="2878">
          <cell r="A2878" t="str">
            <v>FHCNF5SBRN56 (1400mm FAN EFFICIENCIA NEO BROWN)</v>
          </cell>
          <cell r="B2878" t="str">
            <v>FHCNF5SBRN56(1400mm FAN EFFICIENCIA NEO BROWN)</v>
          </cell>
          <cell r="C2878" t="str">
            <v>HAVELLS</v>
          </cell>
          <cell r="D2878" t="str">
            <v>HAVELLS</v>
          </cell>
        </row>
        <row r="2879">
          <cell r="A2879" t="str">
            <v>FSVRASPGRY12 (300MM REFRESH AIR SPS)</v>
          </cell>
          <cell r="B2879" t="str">
            <v>FSVRASPGRY12(300MM REFRESH AIR SPS)</v>
          </cell>
          <cell r="C2879" t="str">
            <v>HAVELLS</v>
          </cell>
          <cell r="D2879" t="str">
            <v>HAVELLS</v>
          </cell>
        </row>
        <row r="2880">
          <cell r="A2880" t="str">
            <v>400mm PLATINA HS WALL FAN WHT</v>
          </cell>
          <cell r="B2880" t="str">
            <v>400mm PLATINA HS WALL FAN WHT</v>
          </cell>
          <cell r="C2880" t="str">
            <v>HAVELLS</v>
          </cell>
          <cell r="D2880" t="str">
            <v>HAVELLS</v>
          </cell>
        </row>
        <row r="2881">
          <cell r="A2881" t="str">
            <v>FSERFSTGRY24 (600MM RF HD 900 (RPM))</v>
          </cell>
          <cell r="B2881" t="str">
            <v>FSERFSTGRY24(600MM RF HD 900(RPM))</v>
          </cell>
          <cell r="C2881" t="str">
            <v>HAVELLS</v>
          </cell>
          <cell r="D2881" t="str">
            <v>HAVELLS</v>
          </cell>
        </row>
        <row r="2882">
          <cell r="A2882" t="str">
            <v>FHPICMXSBK07 (CABIN FAN I-COOL BLACK GREY 175MM)</v>
          </cell>
          <cell r="B2882" t="str">
            <v>FHPICMXSBK07(CABIN FAN I-COOL BLACK GREY 175MM)</v>
          </cell>
          <cell r="C2882" t="str">
            <v>HAVELLS</v>
          </cell>
          <cell r="D2882" t="str">
            <v>HAVELLS</v>
          </cell>
        </row>
        <row r="2883">
          <cell r="A2883" t="str">
            <v>ES 40 (Energy Efficient Ceiling Fan 1200MM Sweep)</v>
          </cell>
          <cell r="B2883" t="str">
            <v>ES 40(Energy Efficient Ceiling Fan 1200MM Sweep)</v>
          </cell>
          <cell r="C2883" t="str">
            <v>HAVELLS</v>
          </cell>
          <cell r="D2883" t="str">
            <v>HAVELLS</v>
          </cell>
        </row>
        <row r="2884">
          <cell r="A2884" t="str">
            <v>ES Neo (ES Neo White FAN 1200 MM)</v>
          </cell>
          <cell r="B2884" t="str">
            <v>ES Neo(ES Neo White FAN 1200 MM)</v>
          </cell>
          <cell r="C2884" t="str">
            <v>HAVELLS</v>
          </cell>
          <cell r="D2884" t="str">
            <v>HAVELLS</v>
          </cell>
        </row>
        <row r="2885">
          <cell r="A2885" t="str">
            <v>Fan Enticher Black (Fan Enticer Art Black Chrome 1200mm)</v>
          </cell>
          <cell r="B2885" t="str">
            <v>Fan Enticher Black(Fan Enticer Art Black Chrome 1200mm)</v>
          </cell>
          <cell r="C2885" t="str">
            <v>HAVELLS</v>
          </cell>
          <cell r="D2885" t="str">
            <v>HAVELLS</v>
          </cell>
        </row>
        <row r="2886">
          <cell r="A2886" t="str">
            <v>Fan Florence Black (Fan Florence Black Antque Copper 1200mm)</v>
          </cell>
          <cell r="B2886" t="str">
            <v>Fan Florence Black(Fan Florence Black Antque Copper 1200mm)</v>
          </cell>
          <cell r="C2886" t="str">
            <v>HAVELLS</v>
          </cell>
          <cell r="D2886" t="str">
            <v>HAVELLS</v>
          </cell>
        </row>
        <row r="2887">
          <cell r="A2887" t="str">
            <v>FAN 1200 Florence (FAN Florence UL White Nickel 1200 MM Havells)</v>
          </cell>
          <cell r="B2887" t="str">
            <v>FAN 1200 Florence(FAN Florence UL White Nickel 1200 MM Havells)</v>
          </cell>
          <cell r="C2887" t="str">
            <v>HAVELLS</v>
          </cell>
          <cell r="D2887" t="str">
            <v>HAVELLS</v>
          </cell>
        </row>
        <row r="2888">
          <cell r="A2888" t="str">
            <v>FHCORSTABR48 (Fan Orion Antique Brass 1200mm)</v>
          </cell>
          <cell r="B2888" t="str">
            <v>FHCORSTABR48(Fan Orion Antique Brass 1200mm)</v>
          </cell>
          <cell r="C2888" t="str">
            <v>HAVELLS</v>
          </cell>
          <cell r="D2888" t="str">
            <v>HAVELLS</v>
          </cell>
        </row>
        <row r="2889">
          <cell r="A2889" t="str">
            <v>Fan Elegant (FAN Samrat Elegant White 1200 MM)</v>
          </cell>
          <cell r="B2889" t="str">
            <v>Fan Elegant(FAN Samrat Elegant White 1200 MM)</v>
          </cell>
          <cell r="C2889" t="str">
            <v>HAVELLS</v>
          </cell>
          <cell r="D2889" t="str">
            <v>HAVELLS</v>
          </cell>
        </row>
        <row r="2890">
          <cell r="A2890" t="str">
            <v>Fan Stealth Air Black (Fan Stealth Air Meet Black 1250mm)</v>
          </cell>
          <cell r="B2890" t="str">
            <v>Fan Stealth Air Black(Fan Stealth Air Meet Black 1250mm)</v>
          </cell>
          <cell r="C2890" t="str">
            <v>HAVELLS</v>
          </cell>
          <cell r="D2890" t="str">
            <v>HAVELLS</v>
          </cell>
        </row>
        <row r="2891">
          <cell r="A2891" t="str">
            <v>FHWSWSTIVR16 (Havells Electric Wall Fan Swing 400mm)</v>
          </cell>
          <cell r="B2891" t="str">
            <v>FHWSWSTIVR16(Havells Electric Wall Fan Swing 400mm)</v>
          </cell>
          <cell r="C2891" t="str">
            <v>HAVELLS</v>
          </cell>
          <cell r="D2891" t="str">
            <v>HAVELLS</v>
          </cell>
        </row>
        <row r="2892">
          <cell r="A2892" t="str">
            <v>FHCEWTOAK48 (Havells Enticer Art Wood (OAK WOOD))</v>
          </cell>
          <cell r="B2892" t="str">
            <v>FHCEWTOAK48(Havells Enticer Art Wood (OAK WOOD))</v>
          </cell>
          <cell r="C2892" t="str">
            <v>HAVELLS</v>
          </cell>
          <cell r="D2892" t="str">
            <v>HAVELLS</v>
          </cell>
        </row>
        <row r="2893">
          <cell r="A2893" t="str">
            <v>FHCEF5SBRN48 (Havells E S 40 (BROWN))</v>
          </cell>
          <cell r="B2893" t="str">
            <v>FHCEF5SBRN48(Havells E S 40(BROWN))</v>
          </cell>
          <cell r="C2893" t="str">
            <v>HAVELLS</v>
          </cell>
          <cell r="D2893" t="str">
            <v>HAVELLS</v>
          </cell>
        </row>
        <row r="2894">
          <cell r="A2894" t="str">
            <v>FHCESISWHT (HAVELLS ES PLUS (WHITE))</v>
          </cell>
          <cell r="B2894" t="str">
            <v>FHCESISWHT(HAVELLS ES PLUS(WHITE))</v>
          </cell>
          <cell r="C2894" t="str">
            <v>HAVELLS</v>
          </cell>
          <cell r="D2894" t="str">
            <v>HAVELLS</v>
          </cell>
        </row>
        <row r="2895">
          <cell r="A2895" t="str">
            <v>GATIK PEDESTAN FAN (HAVELLS GATIK PEDESTAL FAN (TIMER))</v>
          </cell>
          <cell r="B2895" t="str">
            <v>GATIK PEDESTAN FAN(HAVELLS GATIK PEDESTAL FAN(TIMER))</v>
          </cell>
          <cell r="C2895" t="str">
            <v>HAVELLS</v>
          </cell>
          <cell r="D2895" t="str">
            <v>HAVELLS</v>
          </cell>
        </row>
        <row r="2896">
          <cell r="A2896" t="str">
            <v>HEAVY DUTY EXHAUST (HAVELLS HEAVY DUTY EXHAUST (300MM))</v>
          </cell>
          <cell r="B2896" t="str">
            <v>HEAVY DUTY EXHAUST(HAVELLS HEAVY DUTY EXHAUST(300MM))</v>
          </cell>
          <cell r="C2896" t="str">
            <v>HAVELLS</v>
          </cell>
          <cell r="D2896" t="str">
            <v>HAVELLS</v>
          </cell>
        </row>
        <row r="2897">
          <cell r="A2897" t="str">
            <v>EXHAUST FAN (380mm) (HAVELLS HEAVY DUTY EXHAUST FAN (380mm))</v>
          </cell>
          <cell r="B2897" t="str">
            <v>EXHAUST FAN(380mm)(HAVELLS HEAVY DUTY EXHAUST FAN(380mm))</v>
          </cell>
          <cell r="C2897" t="str">
            <v>HAVELLS</v>
          </cell>
          <cell r="D2897" t="str">
            <v>HAVELLS</v>
          </cell>
        </row>
        <row r="2898">
          <cell r="A2898" t="str">
            <v>FHACPSTSCL18 (HAVELLS HEAVY DUTY PEDESTAL FAN (450 MM))</v>
          </cell>
          <cell r="B2898" t="str">
            <v>FHACPSTSCL18(HAVELLS HEAVY DUTY PEDESTAL FAN(450 MM))</v>
          </cell>
          <cell r="C2898" t="str">
            <v>HAVELLS</v>
          </cell>
          <cell r="D2898" t="str">
            <v>HAVELLS</v>
          </cell>
        </row>
        <row r="2899">
          <cell r="A2899" t="str">
            <v>PACER (IVORY) 1200MM (HAVELLS PACER(IVORY) 1200MM)</v>
          </cell>
          <cell r="B2899" t="str">
            <v>PACER(IVORY) 1200MM(HAVELLS PACER(IVORY) 1200MM)</v>
          </cell>
          <cell r="C2899" t="str">
            <v>HAVELLS</v>
          </cell>
          <cell r="D2899" t="str">
            <v>HAVELLS</v>
          </cell>
        </row>
        <row r="2900">
          <cell r="A2900" t="str">
            <v>PACER 600MM (HAVELLS PACER(IVORY) 600MM)</v>
          </cell>
          <cell r="B2900" t="str">
            <v>PACER 600MM(HAVELLS PACER(IVORY) 600MM)</v>
          </cell>
          <cell r="C2900" t="str">
            <v>HAVELLS</v>
          </cell>
          <cell r="D2900" t="str">
            <v>HAVELLS</v>
          </cell>
        </row>
        <row r="2901">
          <cell r="A2901" t="str">
            <v>FHWPTRCWHT16 (HAVELLS PLATINA WALL FAN (REMOTE))</v>
          </cell>
          <cell r="B2901" t="str">
            <v>FHWPTRCWHT16(HAVELLS PLATINA WALL FAN(REMOTE))</v>
          </cell>
          <cell r="C2901" t="str">
            <v>HAVELLS</v>
          </cell>
          <cell r="D2901" t="str">
            <v>HAVELLS</v>
          </cell>
        </row>
        <row r="2902">
          <cell r="A2902" t="str">
            <v>FHCSSSTWHT36 (Havells SS390 900mm White FAN)</v>
          </cell>
          <cell r="B2902" t="str">
            <v>FHCSSSTWHT36(Havells SS390 900mm White FAN)</v>
          </cell>
          <cell r="C2902" t="str">
            <v>HAVELLS</v>
          </cell>
          <cell r="D2902" t="str">
            <v>HAVELLS</v>
          </cell>
        </row>
        <row r="2903">
          <cell r="A2903" t="str">
            <v>SWING PEDESTAL FAN (HAVELLS SWING PEDESTAL FAN)</v>
          </cell>
          <cell r="B2903" t="str">
            <v>SWING PEDESTAL FAN(HAVELLS SWING PEDESTAL FAN)</v>
          </cell>
          <cell r="C2903" t="str">
            <v>HAVELLS</v>
          </cell>
          <cell r="D2903" t="str">
            <v>HAVELLS</v>
          </cell>
        </row>
        <row r="2904">
          <cell r="A2904" t="str">
            <v>FHTSWLXWHT16 (Havells Swing Table FAN LX White)</v>
          </cell>
          <cell r="B2904" t="str">
            <v>FHTSWLXWHT16(Havells Swing Table FAN LX White)</v>
          </cell>
          <cell r="C2904" t="str">
            <v>HAVELLS</v>
          </cell>
          <cell r="D2904" t="str">
            <v>HAVELLS</v>
          </cell>
        </row>
        <row r="2905">
          <cell r="A2905" t="str">
            <v>FHCTASTBRN48 (Havells Thrill Air (Brown) 1200mm)</v>
          </cell>
          <cell r="B2905" t="str">
            <v>FHCTASTBRN48(Havells Thrill Air(Brown) 1200mm)</v>
          </cell>
          <cell r="C2905" t="str">
            <v>HAVELLS</v>
          </cell>
          <cell r="D2905" t="str">
            <v>HAVELLS</v>
          </cell>
        </row>
        <row r="2906">
          <cell r="A2906" t="str">
            <v>FHCTA1SWHT48 (HAVELLS THRILL AIR (WHITE))</v>
          </cell>
          <cell r="B2906" t="str">
            <v>FHCTA1SWHT48(HAVELLS THRILL AIR (WHITE))</v>
          </cell>
          <cell r="C2906" t="str">
            <v>HAVELLS</v>
          </cell>
          <cell r="D2906" t="str">
            <v>HAVELLS</v>
          </cell>
        </row>
        <row r="2907">
          <cell r="A2907" t="str">
            <v>FHVVEMTBRN09 (HAVELLS VENTIL AIR DSP)</v>
          </cell>
          <cell r="B2907" t="str">
            <v>FHVVEMTBRN09(HAVELLS VENTIL AIR DSP)</v>
          </cell>
          <cell r="C2907" t="str">
            <v>HAVELLS</v>
          </cell>
          <cell r="D2907" t="str">
            <v>HAVELLS</v>
          </cell>
        </row>
        <row r="2908">
          <cell r="A2908" t="str">
            <v>FHVVEMTDBS09 (HAVELLS VENTIL AIR DSP 230MM)</v>
          </cell>
          <cell r="B2908" t="str">
            <v>FHVVEMTDBS09(HAVELLS VENTIL AIR DSP 230MM)</v>
          </cell>
          <cell r="C2908" t="str">
            <v>HAVELLS</v>
          </cell>
          <cell r="D2908" t="str">
            <v>HAVELLS</v>
          </cell>
        </row>
        <row r="2909">
          <cell r="A2909" t="str">
            <v>FHVVEDXOWH06 (HAVELLS VENTIL AIR DX ( 150 MM ))</v>
          </cell>
          <cell r="B2909" t="str">
            <v>FHVVEDXOWH06(HAVELLS VENTIL AIR DX( 150 MM ))</v>
          </cell>
          <cell r="C2909" t="str">
            <v>HAVELLS</v>
          </cell>
          <cell r="D2909" t="str">
            <v>HAVELLS</v>
          </cell>
        </row>
        <row r="2910">
          <cell r="A2910" t="str">
            <v>FHACWSTSCL24 (Havells Wall 24" Fan Air Circulator Turbo Force)</v>
          </cell>
          <cell r="B2910" t="str">
            <v>FHACWSTSCL24(Havells Wall 24" Fan Air Circulator Turbo Force)</v>
          </cell>
          <cell r="C2910" t="str">
            <v>HAVELLS</v>
          </cell>
          <cell r="D2910" t="str">
            <v>HAVELLS</v>
          </cell>
        </row>
        <row r="2911">
          <cell r="A2911" t="str">
            <v>FHACWSTSCL18 (Heavy Duty Turbo Force Aircircular Wall Fan 18" 450)</v>
          </cell>
          <cell r="B2911" t="str">
            <v>FHACWSTSCL18(Heavy Duty Turbo Force Aircircular Wall Fan 18" 450)</v>
          </cell>
          <cell r="C2911" t="str">
            <v>HAVELLS</v>
          </cell>
          <cell r="D2911" t="str">
            <v>HAVELLS</v>
          </cell>
        </row>
        <row r="2912">
          <cell r="A2912" t="str">
            <v>Pacer Electric Ceiling Fan 300mm</v>
          </cell>
          <cell r="B2912" t="str">
            <v>Pacer Electric Ceiling Fan 300mm</v>
          </cell>
          <cell r="C2912" t="str">
            <v>HAVELLS</v>
          </cell>
          <cell r="D2912" t="str">
            <v>HAVELLS</v>
          </cell>
        </row>
        <row r="2913">
          <cell r="A2913" t="str">
            <v>FHCPSTWH48 (PACER ELEGANT WHITE 1200mm FAN)</v>
          </cell>
          <cell r="B2913" t="str">
            <v>FHCPSTWH48(PACER ELEGANT WHITE 1200mm FAN)</v>
          </cell>
          <cell r="C2913" t="str">
            <v>HAVELLS</v>
          </cell>
          <cell r="D2913" t="str">
            <v>HAVELLS</v>
          </cell>
        </row>
        <row r="2914">
          <cell r="A2914" t="str">
            <v>PACER FAN (PACER ELEGANT WHITE 1400MM FAN)</v>
          </cell>
          <cell r="B2914" t="str">
            <v>PACER FAN(PACER ELEGANT WHITE 1400MM FAN)</v>
          </cell>
          <cell r="C2914" t="str">
            <v>HAVELLS</v>
          </cell>
          <cell r="D2914" t="str">
            <v>HAVELLS</v>
          </cell>
        </row>
        <row r="2915">
          <cell r="A2915" t="str">
            <v>FHCPSTWHT24 (PACER ELEGANT WHITE 600mm FAN)</v>
          </cell>
          <cell r="B2915" t="str">
            <v>FHCPSTWHT24(PACER ELEGANT WHITE 600mm FAN)</v>
          </cell>
          <cell r="C2915" t="str">
            <v>HAVELLS</v>
          </cell>
          <cell r="D2915" t="str">
            <v>HAVELLS</v>
          </cell>
        </row>
        <row r="2916">
          <cell r="A2916" t="str">
            <v>FHWS4STBRN16 (SWANKY WALL FAN (400mm))</v>
          </cell>
          <cell r="B2916" t="str">
            <v>FHWS4STBRN16(SWANKY WALL FAN(400mm))</v>
          </cell>
          <cell r="C2916" t="str">
            <v>HAVELLS</v>
          </cell>
          <cell r="D2916" t="str">
            <v>HAVELLS</v>
          </cell>
        </row>
        <row r="2917">
          <cell r="A2917" t="str">
            <v>DX 200MM (THRILL AIR DX 200MM)</v>
          </cell>
          <cell r="B2917" t="str">
            <v>DX 200MM(THRILL AIR DX 200MM)</v>
          </cell>
          <cell r="C2917" t="str">
            <v>HAVELLS</v>
          </cell>
          <cell r="D2917" t="str">
            <v>HAVELLS</v>
          </cell>
        </row>
        <row r="2918">
          <cell r="A2918" t="str">
            <v>FHVVEMTPBB09 (VENTIL AIR DB 230MM)</v>
          </cell>
          <cell r="B2918" t="str">
            <v>FHVVEMTPBB09(VENTIL AIR DB 230MM)</v>
          </cell>
          <cell r="C2918" t="str">
            <v>HAVELLS</v>
          </cell>
          <cell r="D2918" t="str">
            <v>HAVELLS</v>
          </cell>
        </row>
        <row r="2919">
          <cell r="A2919" t="str">
            <v>Celso Fan (Ventil AIR-DXW 200MM FAN)</v>
          </cell>
          <cell r="B2919" t="str">
            <v>Celso Fan(Ventil AIR-DXW 200MM FAN)</v>
          </cell>
          <cell r="C2919" t="str">
            <v>HAVELLS</v>
          </cell>
          <cell r="D2919" t="str">
            <v>HAVELLS</v>
          </cell>
        </row>
        <row r="2920">
          <cell r="A2920" t="str">
            <v>FHVVEDEWHT06 (Ventil Air DXWE 150MM)</v>
          </cell>
          <cell r="B2920" t="str">
            <v>FHVVEDEWHT06(Ventil Air DXWE 150MM)</v>
          </cell>
          <cell r="C2920" t="str">
            <v>HAVELLS</v>
          </cell>
          <cell r="D2920" t="str">
            <v>HAVELLS</v>
          </cell>
        </row>
        <row r="2921">
          <cell r="A2921" t="str">
            <v>Ventil 300mm (Ventil Air T.Force 300mm 1400 RPM)</v>
          </cell>
          <cell r="B2921" t="str">
            <v>Ventil 300mm(Ventil Air T.Force 300mm 1400 RPM)</v>
          </cell>
          <cell r="C2921" t="str">
            <v>HAVELLS</v>
          </cell>
          <cell r="D2921" t="str">
            <v>HAVELLS</v>
          </cell>
        </row>
        <row r="2922">
          <cell r="A2922" t="str">
            <v>FSCZO1SWHT48 (ZOE ES ELEGANT WHITW 1200MM)</v>
          </cell>
          <cell r="B2922" t="str">
            <v>FSCZO1SWHT48(ZOE ES ELEGANT WHITW 1200MM)</v>
          </cell>
          <cell r="C2922" t="str">
            <v>HAVELLS</v>
          </cell>
          <cell r="D2922" t="str">
            <v>HAVELLS</v>
          </cell>
        </row>
        <row r="2923">
          <cell r="A2923" t="str">
            <v>CDR SP 25H (CDR SP 25H 2KW IVORY (RACold))</v>
          </cell>
          <cell r="B2923" t="str">
            <v>CDR SP 25H(CDR SP 25H 2KW IVORY(RACold))</v>
          </cell>
          <cell r="C2923" t="str">
            <v>HAVELLS</v>
          </cell>
          <cell r="D2923" t="str">
            <v>HAVELLS</v>
          </cell>
        </row>
        <row r="2924">
          <cell r="A2924" t="str">
            <v>CDR SP 25HL (CDR SP 25HL 2KW White (RA Cold))</v>
          </cell>
          <cell r="B2924" t="str">
            <v>CDR SP 25HL(CDR SP 25HL 2KW White(RA Cold))</v>
          </cell>
          <cell r="C2924" t="str">
            <v>HAVELLS</v>
          </cell>
          <cell r="D2924" t="str">
            <v>HAVELLS</v>
          </cell>
        </row>
        <row r="2925">
          <cell r="A2925" t="str">
            <v>LHLDEUHEML8R015 (CLASSY LED 15W E27 CDL LAMP)</v>
          </cell>
          <cell r="B2925" t="str">
            <v>LHLDEUHEML8R015(CLASSY LED 15W E27 CDL LAMP)</v>
          </cell>
          <cell r="C2925" t="str">
            <v>HAVELLS</v>
          </cell>
          <cell r="D2925" t="str">
            <v>HAVELLS</v>
          </cell>
        </row>
        <row r="2926">
          <cell r="A2926" t="str">
            <v>LHLDDDHAID4R012 (COMFY VIZON LED 12W E27 CDL)</v>
          </cell>
          <cell r="B2926" t="str">
            <v>LHLDDDHAID4R012(COMFY VIZON LED 12W E27 CDL)</v>
          </cell>
          <cell r="C2926" t="str">
            <v>HAVELLS</v>
          </cell>
          <cell r="D2926" t="str">
            <v>HAVELLS</v>
          </cell>
        </row>
        <row r="2927">
          <cell r="A2927" t="str">
            <v>LHLDEUEB4L8R009 (LED Adore 9W B22 CDL 3STAR Lamp)</v>
          </cell>
          <cell r="B2927" t="str">
            <v>LHLDEUEB4L8R009(LED Adore 9W B22 CDL 3STAR Lamp)</v>
          </cell>
          <cell r="C2927" t="str">
            <v>HAVELLS</v>
          </cell>
          <cell r="D2927" t="str">
            <v>HAVELLS</v>
          </cell>
        </row>
        <row r="2928">
          <cell r="A2928" t="str">
            <v>LHLDEUEBML8R009 (LED Adore 9W B22 CDL 4STAR Lamp)</v>
          </cell>
          <cell r="B2928" t="str">
            <v>LHLDEUEBML8R009(LED Adore 9W B22 CDL 4STAR Lamp)</v>
          </cell>
          <cell r="C2928" t="str">
            <v>HAVELLS</v>
          </cell>
          <cell r="D2928" t="str">
            <v>HAVELLS</v>
          </cell>
        </row>
        <row r="2929">
          <cell r="A2929" t="str">
            <v>LHLDBWEB4L8R009 (LED NEW  ADORE 9W B22 CDL BALL Lamp)</v>
          </cell>
          <cell r="B2929" t="str">
            <v>LHLDBWEB4L8R009(LED NEW ADORE 9W B22 CDL BALL Lamp)</v>
          </cell>
          <cell r="C2929" t="str">
            <v>HAVELLS</v>
          </cell>
          <cell r="D2929" t="str">
            <v>HAVELLS</v>
          </cell>
        </row>
        <row r="2930">
          <cell r="A2930" t="str">
            <v>LHLDEUECNL8R012 (LED NU BULB PLUS 12W 865 B22 3STAR)</v>
          </cell>
          <cell r="B2930" t="str">
            <v>LHLDEUECNL8R012(LED NU BULB PLUS 12W 865 B22 3STAR)</v>
          </cell>
          <cell r="C2930" t="str">
            <v>HAVELLS</v>
          </cell>
          <cell r="D2930" t="str">
            <v>HAVELLS</v>
          </cell>
        </row>
        <row r="2931">
          <cell r="A2931" t="str">
            <v>DHDPSHODRW12 (DB SPN 12W DD QVE (RG))</v>
          </cell>
          <cell r="B2931" t="str">
            <v>DHDPSHODRW12(DB SPN 12W DD QVE(RG))</v>
          </cell>
          <cell r="C2931" t="str">
            <v>HAVELLS</v>
          </cell>
          <cell r="D2931" t="str">
            <v>HAVELLS</v>
          </cell>
        </row>
        <row r="2932">
          <cell r="A2932" t="str">
            <v>LHEBGSP7PZ1W012 (INTEGRANEODLR12WLED857S)</v>
          </cell>
          <cell r="B2932" t="str">
            <v>LHEBGSP7PZ1W012(INTEGRANEODLR12WLED857S)</v>
          </cell>
          <cell r="C2932" t="str">
            <v>HAVELLS</v>
          </cell>
          <cell r="D2932" t="str">
            <v>HAVELLS</v>
          </cell>
        </row>
        <row r="2933">
          <cell r="A2933" t="str">
            <v>LHEBGSP5PZ1W015 (Integra Neo DLR 15W LED 830S)</v>
          </cell>
          <cell r="B2933" t="str">
            <v>LHEBGSP5PZ1W015(Integra Neo DLR 15W LED 830S)</v>
          </cell>
          <cell r="C2933" t="str">
            <v>HAVELLS</v>
          </cell>
          <cell r="D2933" t="str">
            <v>HAVELLS</v>
          </cell>
        </row>
        <row r="2934">
          <cell r="A2934" t="str">
            <v>LHEBLAP7PZ1W005 (ORBITDLR5WLED857S)</v>
          </cell>
          <cell r="B2934" t="str">
            <v>LHEBLAP7PZ1W005(ORBITDLR5WLED857S)</v>
          </cell>
          <cell r="C2934" t="str">
            <v>HAVELLS</v>
          </cell>
          <cell r="D2934" t="str">
            <v>HAVELLS</v>
          </cell>
        </row>
        <row r="2935">
          <cell r="A2935" t="str">
            <v>LHEBLUPBIH1W020 (Spark LEPROFIXDLR20W 830MOD)</v>
          </cell>
          <cell r="B2935" t="str">
            <v>LHEBLUPBIH1W020(Spark LEPROFIXDLR20W 830MOD)</v>
          </cell>
          <cell r="C2935" t="str">
            <v>HAVELLS</v>
          </cell>
          <cell r="D2935" t="str">
            <v>HAVELLS</v>
          </cell>
        </row>
        <row r="2936">
          <cell r="A2936" t="str">
            <v>LHEBLUPFIH1W020 (Spark LEPROFIXDLR 20W 857MOD)</v>
          </cell>
          <cell r="B2936" t="str">
            <v>LHEBLUPFIH1W020(Spark LEPROFIXDLR 20W 857MOD)</v>
          </cell>
          <cell r="C2936" t="str">
            <v>HAVELLS</v>
          </cell>
          <cell r="D2936" t="str">
            <v>HAVELLS</v>
          </cell>
        </row>
        <row r="2937">
          <cell r="A2937" t="str">
            <v>LHEBMKPDIB1W020 (SPARKLE PRO LED DL 20W 840 24D ADJ)</v>
          </cell>
          <cell r="B2937" t="str">
            <v>LHEBMKPDIB1W020(SPARKLE PRO LED DL 20W 840 24D ADJ)</v>
          </cell>
          <cell r="C2937" t="str">
            <v>HAVELLS</v>
          </cell>
          <cell r="D2937" t="str">
            <v>HAVELLS</v>
          </cell>
        </row>
        <row r="2938">
          <cell r="A2938" t="str">
            <v>EdgePro 18W LED Recessed Mount Square</v>
          </cell>
          <cell r="B2938" t="str">
            <v>EdgePro 18W LED Recessed Mount Square</v>
          </cell>
          <cell r="C2938" t="str">
            <v>HAVELLS</v>
          </cell>
          <cell r="D2938" t="str">
            <v>HAVELLS</v>
          </cell>
        </row>
        <row r="2939">
          <cell r="A2939" t="str">
            <v>LHEWEKP7PL1W012 (EDGEPRO LED PANEL RD 12W 5700K)</v>
          </cell>
          <cell r="B2939" t="str">
            <v>LHEWEKP7PL1W012(EDGEPRO LED PANEL RD 12W 5700K)</v>
          </cell>
          <cell r="C2939" t="str">
            <v>HAVELLS</v>
          </cell>
          <cell r="D2939" t="str">
            <v>HAVELLS</v>
          </cell>
        </row>
        <row r="2940">
          <cell r="A2940" t="str">
            <v>LHEWEKP7PL1W015 (EDGEPRO LED PANEL RD. 15W 5700K)</v>
          </cell>
          <cell r="B2940" t="str">
            <v>LHEWEKP7PL1W015(EDGEPRO LED PANEL RD. 15W 5700K)</v>
          </cell>
          <cell r="C2940" t="str">
            <v>HAVELLS</v>
          </cell>
          <cell r="D2940" t="str">
            <v>HAVELLS</v>
          </cell>
        </row>
        <row r="2941">
          <cell r="A2941" t="str">
            <v>LHEWELP7PL1W015 (Edgepro LED Panel SQ 15W 5700K)</v>
          </cell>
          <cell r="B2941" t="str">
            <v>LHEWELP7PL1W015(Edgepro LED Panel SQ 15W 5700K)</v>
          </cell>
          <cell r="C2941" t="str">
            <v>HAVELLS</v>
          </cell>
          <cell r="D2941" t="str">
            <v>HAVELLS</v>
          </cell>
        </row>
        <row r="2942">
          <cell r="A2942" t="str">
            <v>Integra 10W LED Recesed Mount Round</v>
          </cell>
          <cell r="B2942" t="str">
            <v>Integra 10W LED Recesed Mount Round</v>
          </cell>
          <cell r="C2942" t="str">
            <v>HAVELLS</v>
          </cell>
          <cell r="D2942" t="str">
            <v>HAVELLS</v>
          </cell>
        </row>
        <row r="2943">
          <cell r="A2943" t="str">
            <v>Integra 18W LED Recessed Mount Round</v>
          </cell>
          <cell r="B2943" t="str">
            <v>Integra 18W LED Recessed Mount Round</v>
          </cell>
          <cell r="C2943" t="str">
            <v>HAVELLS</v>
          </cell>
          <cell r="D2943" t="str">
            <v>HAVELLS</v>
          </cell>
        </row>
        <row r="2944">
          <cell r="A2944" t="str">
            <v>LHEBGSP7PZ1J024 (LED LFIXT INTEGRA NEO DL REC  24W 857)</v>
          </cell>
          <cell r="B2944" t="str">
            <v>LHEBGSP7PZ1J024(LED LFIXT INTEGRA NEO DL REC 24W 857)</v>
          </cell>
          <cell r="C2944" t="str">
            <v>HAVELLS</v>
          </cell>
          <cell r="D2944" t="str">
            <v>HAVELLS</v>
          </cell>
        </row>
        <row r="2945">
          <cell r="A2945" t="str">
            <v>LHEBGSP7PZ1W015 (LED LFIXT INTEGRA NEO DL REC RD 15W 857)</v>
          </cell>
          <cell r="B2945" t="str">
            <v>LHEBGSP7PZ1W015(LED LFIXT INTEGRA NEO DL REC RD 15W 857)</v>
          </cell>
          <cell r="C2945" t="str">
            <v>HAVELLS</v>
          </cell>
          <cell r="D2945" t="str">
            <v>HAVELLS</v>
          </cell>
        </row>
        <row r="2946">
          <cell r="A2946" t="str">
            <v>LHELAAU7PG7J100 (BAYBRITEFLAREHB100WLED 757APWBBOLTG)</v>
          </cell>
          <cell r="B2946" t="str">
            <v>LHELAAU7PG7J100(BAYBRITEFLAREHB100WLED 757APWBBOLTG)</v>
          </cell>
          <cell r="C2946" t="str">
            <v>HAVELLS</v>
          </cell>
          <cell r="D2946" t="str">
            <v>HAVELLS</v>
          </cell>
        </row>
        <row r="2947">
          <cell r="A2947" t="str">
            <v>Comet 12W LED Surface Mount Round</v>
          </cell>
          <cell r="B2947" t="str">
            <v>Comet 12W LED Surface Mount Round</v>
          </cell>
          <cell r="C2947" t="str">
            <v>HAVELLS</v>
          </cell>
          <cell r="D2947" t="str">
            <v>HAVELLS</v>
          </cell>
        </row>
        <row r="2948">
          <cell r="A2948" t="str">
            <v>Comet 18W LED Surface Mount Round</v>
          </cell>
          <cell r="B2948" t="str">
            <v>Comet 18W LED Surface Mount Round</v>
          </cell>
          <cell r="C2948" t="str">
            <v>HAVELLS</v>
          </cell>
          <cell r="D2948" t="str">
            <v>HAVELLS</v>
          </cell>
        </row>
        <row r="2949">
          <cell r="A2949" t="str">
            <v>LHEAAWP7IL1W012 (Comet Surface LED Panel round 12w 6500k_x000D_
)</v>
          </cell>
          <cell r="B2949" t="str">
            <v>LHEAAWP7IL1W012(Comet Surface LED Panel round 12w 6500k_x000D_
)</v>
          </cell>
          <cell r="C2949" t="str">
            <v>HAVELLS</v>
          </cell>
          <cell r="D2949" t="str">
            <v>HAVELLS</v>
          </cell>
        </row>
        <row r="2950">
          <cell r="A2950" t="str">
            <v>LHEAAWF7LTW012 (CROMA LED SURFACE LED PANEL SQUARE 12W LED)</v>
          </cell>
          <cell r="B2950" t="str">
            <v>LHEAAWF7LTW012(CROMA LED SURFACE LED PANEL SQUARE 12W LED)</v>
          </cell>
          <cell r="C2950" t="str">
            <v>HAVELLS</v>
          </cell>
          <cell r="D2950" t="str">
            <v>HAVELLS</v>
          </cell>
        </row>
        <row r="2951">
          <cell r="A2951" t="str">
            <v>LHEAAWF7LTW018 (CROMA SURFACE LED PANEL SQUARE 18W LED)</v>
          </cell>
          <cell r="B2951" t="str">
            <v>LHEAAWF7LTW018(CROMA SURFACE LED PANEL SQUARE 18W LED)</v>
          </cell>
          <cell r="C2951" t="str">
            <v>HAVELLS</v>
          </cell>
          <cell r="D2951" t="str">
            <v>HAVELLS</v>
          </cell>
        </row>
        <row r="2952">
          <cell r="A2952" t="str">
            <v>LHEEAWPDIG1W025 (Cylindro TSS25W 840S24DWHT)</v>
          </cell>
          <cell r="B2952" t="str">
            <v>LHEEAWPDIG1W025(Cylindro TSS25W 840S24DWHT)</v>
          </cell>
          <cell r="C2952" t="str">
            <v>HAVELLS</v>
          </cell>
          <cell r="D2952" t="str">
            <v>HAVELLS</v>
          </cell>
        </row>
        <row r="2953">
          <cell r="A2953" t="str">
            <v>LSSLOW0414 (DALIDRIVERSQ10-50V/800MA 10161099)</v>
          </cell>
          <cell r="B2953" t="str">
            <v>LSSLOW0414(DALIDRIVERSQ10-50V/800MA 10161099)</v>
          </cell>
          <cell r="C2953" t="str">
            <v>HAVELLS</v>
          </cell>
          <cell r="D2953" t="str">
            <v>HAVELLS</v>
          </cell>
        </row>
        <row r="2954">
          <cell r="A2954" t="str">
            <v>LHEWEKP7PL1W018 (EDGEPRORDDLR18WLED857S)</v>
          </cell>
          <cell r="B2954" t="str">
            <v>LHEWEKP7PL1W018(EDGEPRORDDLR18WLED857S)</v>
          </cell>
          <cell r="C2954" t="str">
            <v>HAVELLS</v>
          </cell>
          <cell r="D2954" t="str">
            <v>HAVELLS</v>
          </cell>
        </row>
        <row r="2955">
          <cell r="A2955" t="str">
            <v>LHEAAGP7IA2W012 (Endura DL SURFACE 12w 857)</v>
          </cell>
          <cell r="B2955" t="str">
            <v>LHEAAGP7IA2W012(Endura DL SURFACE 12w 857)</v>
          </cell>
          <cell r="C2955" t="str">
            <v>HAVELLS</v>
          </cell>
          <cell r="D2955" t="str">
            <v>HAVELLS</v>
          </cell>
        </row>
        <row r="2956">
          <cell r="A2956" t="str">
            <v>LHEAAXP7PL1W015 (Endura DL Surface 15 Watt)</v>
          </cell>
          <cell r="B2956" t="str">
            <v>LHEAAXP7PL1W015(Endura DL Surface 15 Watt)</v>
          </cell>
          <cell r="C2956" t="str">
            <v>HAVELLS</v>
          </cell>
          <cell r="D2956" t="str">
            <v>HAVELLS</v>
          </cell>
        </row>
        <row r="2957">
          <cell r="A2957" t="str">
            <v>LHEAAGP7IA1W018 (ENDURANEO SURFACED LS21WLED 857S)</v>
          </cell>
          <cell r="B2957" t="str">
            <v>LHEAAGP7IA1W018(ENDURANEO SURFACED LS21WLED 857S)</v>
          </cell>
          <cell r="C2957" t="str">
            <v>HAVELLS</v>
          </cell>
          <cell r="D2957" t="str">
            <v>HAVELLS</v>
          </cell>
        </row>
        <row r="2958">
          <cell r="A2958" t="str">
            <v>LHEXBLP7IN1W005 (Havells E Lite Pride Plus 5W 6500k 1Ft)</v>
          </cell>
          <cell r="B2958" t="str">
            <v>LHEXBLP7IN1W005(Havells E Lite Pride Plus 5W 6500k 1Ft)</v>
          </cell>
          <cell r="C2958" t="str">
            <v>HAVELLS</v>
          </cell>
          <cell r="D2958" t="str">
            <v>HAVELLS</v>
          </cell>
        </row>
        <row r="2959">
          <cell r="A2959" t="str">
            <v>URBANE (B. NICKLE) (HAVELLS URBANE (B. NICKLE))</v>
          </cell>
          <cell r="B2959" t="str">
            <v>URBANE(B. NICKLE)(HAVELLS URBANE(B. NICKLE))</v>
          </cell>
          <cell r="C2959" t="str">
            <v>HAVELLS</v>
          </cell>
          <cell r="D2959" t="str">
            <v>HAVELLS</v>
          </cell>
        </row>
        <row r="2960">
          <cell r="A2960" t="str">
            <v>LHEBGSP7NZ1W015 (INTEGRANEODLR15WLED857MOD)</v>
          </cell>
          <cell r="B2960" t="str">
            <v>LHEBGSP7NZ1W015(INTEGRANEODLR15WLED857MOD)</v>
          </cell>
          <cell r="C2960" t="str">
            <v>HAVELLS</v>
          </cell>
          <cell r="D2960" t="str">
            <v>HAVELLS</v>
          </cell>
        </row>
        <row r="2961">
          <cell r="A2961" t="str">
            <v>LHEAARP7PL1W010 (INTEGRANEOSURFACEDLS10WLED857S)</v>
          </cell>
          <cell r="B2961" t="str">
            <v>LHEAARP7PL1W010(INTEGRANEOSURFACEDLS10WLED857S)</v>
          </cell>
          <cell r="C2961" t="str">
            <v>HAVELLS</v>
          </cell>
          <cell r="D2961" t="str">
            <v>HAVELLS</v>
          </cell>
        </row>
        <row r="2962">
          <cell r="A2962" t="str">
            <v>LHEAAGP7PL1W010 (INTEGRASURFACEDLS10WLED857S)</v>
          </cell>
          <cell r="B2962" t="str">
            <v>LHEAAGP7PL1W010(INTEGRASURFACEDLS10WLED857S)</v>
          </cell>
          <cell r="C2962" t="str">
            <v>HAVELLS</v>
          </cell>
          <cell r="D2962" t="str">
            <v>HAVELLS</v>
          </cell>
        </row>
        <row r="2963">
          <cell r="A2963" t="str">
            <v>LHEPCYU7N46J060 (JETACOMPECTOFL60WLED757LTG)</v>
          </cell>
          <cell r="B2963" t="str">
            <v>LHEPCYU7N46J060(JETACOMPECTOFL60WLED757LTG)</v>
          </cell>
          <cell r="C2963" t="str">
            <v>HAVELLS</v>
          </cell>
          <cell r="D2963" t="str">
            <v>HAVELLS</v>
          </cell>
        </row>
        <row r="2964">
          <cell r="A2964" t="str">
            <v>LHEAAWP7IL1W018 (LED COMET Surface 18W SQ)</v>
          </cell>
          <cell r="B2964" t="str">
            <v>LHEAAWP7IL1W018(LED COMET Surface 18W SQ)</v>
          </cell>
          <cell r="C2964" t="str">
            <v>HAVELLS</v>
          </cell>
          <cell r="D2964" t="str">
            <v>HAVELLS</v>
          </cell>
        </row>
        <row r="2965">
          <cell r="A2965" t="str">
            <v>LHEAARP7PL1W015 (LED L.FIXT INTEGRA NEO DL SUR 15W 857)</v>
          </cell>
          <cell r="B2965" t="str">
            <v>LHEAARP7PL1W015(LED L.FIXT INTEGRA NEO DL SUR 15W 857)</v>
          </cell>
          <cell r="C2965" t="str">
            <v>HAVELLS</v>
          </cell>
          <cell r="D2965" t="str">
            <v>HAVELLS</v>
          </cell>
        </row>
        <row r="2966">
          <cell r="A2966" t="str">
            <v>LHEAAGP7PV1W015 (LED L FIXT INTEGRA SUR 15W 6K 10)</v>
          </cell>
          <cell r="B2966" t="str">
            <v>LHEAAGP7PV1W015(LED L FIXT INTEGRA SUR 15W 6K 10)</v>
          </cell>
          <cell r="C2966" t="str">
            <v>HAVELLS</v>
          </cell>
          <cell r="D2966" t="str">
            <v>HAVELLS</v>
          </cell>
        </row>
        <row r="2967">
          <cell r="A2967" t="str">
            <v>LHEWBPP7NL1E034 (LED L.FIXT VENUS NEO REC2X218-42W865W/D)</v>
          </cell>
          <cell r="B2967" t="str">
            <v>LHEWBPP7NL1E034(LED L.FIXT VENUS NEO REC2X218-42W865W/D)</v>
          </cell>
          <cell r="C2967" t="str">
            <v>HAVELLS</v>
          </cell>
          <cell r="D2967" t="str">
            <v>HAVELLS</v>
          </cell>
        </row>
        <row r="2968">
          <cell r="A2968" t="str">
            <v>LHEXBLP7IN1W009 (LED LIGHTING 9W ELITE LED GREEN 6K)</v>
          </cell>
          <cell r="B2968" t="str">
            <v>LHEXBLP7IN1W009(LED LIGHTING 9W ELITE LED GREEN 6K)</v>
          </cell>
          <cell r="C2968" t="str">
            <v>HAVELLS</v>
          </cell>
          <cell r="D2968" t="str">
            <v>HAVELLS</v>
          </cell>
        </row>
        <row r="2969">
          <cell r="A2969" t="str">
            <v>LHETBXU7PA6J090</v>
          </cell>
          <cell r="B2969" t="str">
            <v>LHETBXU7PA6J090</v>
          </cell>
          <cell r="C2969" t="str">
            <v>HAVELLS</v>
          </cell>
          <cell r="D2969" t="str">
            <v>HAVELLS</v>
          </cell>
        </row>
        <row r="2970">
          <cell r="A2970" t="str">
            <v>LSSLOW0260 (L.SPARE ASSEMBLED DRIVER(P)SETSAUCER120W)</v>
          </cell>
          <cell r="B2970" t="str">
            <v>LSSLOW0260(L.SPARE ASSEMBLED DRIVER(P)SETSAUCER120W)</v>
          </cell>
          <cell r="C2970" t="str">
            <v>HAVELLS</v>
          </cell>
          <cell r="D2970" t="str">
            <v>HAVELLS</v>
          </cell>
        </row>
        <row r="2971">
          <cell r="A2971" t="str">
            <v>LSCELDLX0111 (L.Spare LPD 5KA 440V Intergral Purpose BH)</v>
          </cell>
          <cell r="B2971" t="str">
            <v>LSCELDLX0111(L.Spare LPD 5KA 440V Intergral Purpose BH)</v>
          </cell>
          <cell r="C2971" t="str">
            <v>HAVELLS</v>
          </cell>
          <cell r="D2971" t="str">
            <v>HAVELLS</v>
          </cell>
        </row>
        <row r="2972">
          <cell r="A2972" t="str">
            <v>LSSCRX2369 (L.SPARE SPD 10KV/5KA RATING 300V)</v>
          </cell>
          <cell r="B2972" t="str">
            <v>LSSCRX2369(L.SPARE SPD 10KV/5KA RATING 300V)</v>
          </cell>
          <cell r="C2972" t="str">
            <v>HAVELLS</v>
          </cell>
          <cell r="D2972" t="str">
            <v>HAVELLS</v>
          </cell>
        </row>
        <row r="2973">
          <cell r="A2973" t="str">
            <v>LHEDECP7PL1W025 (MONDO 40 RDP/S 25W LED857 SPSWH)</v>
          </cell>
          <cell r="B2973" t="str">
            <v>LHEDECP7PL1W025(MONDO 40 RDP/S 25W LED857 SPSWH)</v>
          </cell>
          <cell r="C2973" t="str">
            <v>HAVELLS</v>
          </cell>
          <cell r="D2973" t="str">
            <v>HAVELLS</v>
          </cell>
        </row>
        <row r="2974">
          <cell r="A2974" t="str">
            <v>LHEAABP7IN1W012 (12W LED SQ TRIM CLIPON PANEL)</v>
          </cell>
          <cell r="B2974" t="str">
            <v>LHEAABP7IN1W012(12W LED SQ TRIM CLIPON PANEL)</v>
          </cell>
          <cell r="C2974" t="str">
            <v>HAVELLS</v>
          </cell>
          <cell r="D2974" t="str">
            <v>HAVELLS</v>
          </cell>
        </row>
        <row r="2975">
          <cell r="A2975" t="str">
            <v>LHECDIL71W015 (15W Integra Down Light)</v>
          </cell>
          <cell r="B2975" t="str">
            <v>LHECDIL71W015(15W Integra Down Light)</v>
          </cell>
          <cell r="C2975" t="str">
            <v>HAVELLS</v>
          </cell>
          <cell r="D2975" t="str">
            <v>HAVELLS</v>
          </cell>
        </row>
        <row r="2976">
          <cell r="A2976" t="str">
            <v>LHEBAVPNPZ1W18W (18W LED EDGE PRO PANEL LIGHT)</v>
          </cell>
          <cell r="B2976" t="str">
            <v>LHEBAVPNPZ1W18W(18W LED EDGE PRO PANEL LIGHT)</v>
          </cell>
          <cell r="C2976" t="str">
            <v>HAVELLS</v>
          </cell>
          <cell r="D2976" t="str">
            <v>HAVELLS</v>
          </cell>
        </row>
        <row r="2977">
          <cell r="A2977" t="str">
            <v>LHEWAJPFNV1F018 (18W LED Integra Nxt Downlight)</v>
          </cell>
          <cell r="B2977" t="str">
            <v>LHEWAJPFNV1F018(18W LED Integra Nxt Downlight)</v>
          </cell>
          <cell r="C2977" t="str">
            <v>HAVELLS</v>
          </cell>
          <cell r="D2977" t="str">
            <v>HAVELLS</v>
          </cell>
        </row>
        <row r="2978">
          <cell r="A2978" t="str">
            <v>LHEDAMP7IA1W020P (20W LED Lumiline Nxt 865S)</v>
          </cell>
          <cell r="B2978" t="str">
            <v>LHEDAMP7IA1W020P(20W LED Lumiline Nxt 865S)</v>
          </cell>
          <cell r="C2978" t="str">
            <v>HAVELLS</v>
          </cell>
          <cell r="D2978" t="str">
            <v>HAVELLS</v>
          </cell>
        </row>
        <row r="2979">
          <cell r="A2979" t="str">
            <v>LHEDAAP7PL1W022 (22W LED LUMILINE T5 BATTEN TUBE LIGHT)</v>
          </cell>
          <cell r="B2979" t="str">
            <v>LHEDAAP7PL1W022(22W LED LUMILINE T5 BATTEN TUBE LIGHT)</v>
          </cell>
          <cell r="C2979" t="str">
            <v>HAVELLS</v>
          </cell>
          <cell r="D2979" t="str">
            <v>HAVELLS</v>
          </cell>
        </row>
        <row r="2980">
          <cell r="A2980" t="str">
            <v>LHEBFCP7PI1E030 (30W LEDSparkle Pro Down Light)</v>
          </cell>
          <cell r="B2980" t="str">
            <v>LHEBFCP7PI1E030(30W LEDSparkle Pro Down Light)</v>
          </cell>
          <cell r="C2980" t="str">
            <v>HAVELLS</v>
          </cell>
          <cell r="D2980" t="str">
            <v>HAVELLS</v>
          </cell>
        </row>
        <row r="2981">
          <cell r="A2981" t="str">
            <v>LHEBAPPDIH1W030 (30W LED UNECO JDLR 840S)</v>
          </cell>
          <cell r="B2981" t="str">
            <v>LHEBAPPDIH1W030(30W LED UNECO JDLR 840S)</v>
          </cell>
          <cell r="C2981" t="str">
            <v>HAVELLS</v>
          </cell>
          <cell r="D2981" t="str">
            <v>HAVELLS</v>
          </cell>
        </row>
        <row r="2982">
          <cell r="A2982" t="str">
            <v>LHEKABF7PZ7W036 (36W LED MAGNUM GRAND TUBE LIGHT)</v>
          </cell>
          <cell r="B2982" t="str">
            <v>LHEKABF7PZ7W036(36W LED MAGNUM GRAND TUBE LIGHT)</v>
          </cell>
          <cell r="C2982" t="str">
            <v>HAVELLS</v>
          </cell>
          <cell r="D2982" t="str">
            <v>HAVELLS</v>
          </cell>
        </row>
        <row r="2983">
          <cell r="A2983" t="str">
            <v>LHEDDPPNPW6J042 (42W LED 2X1 BOCR Light)</v>
          </cell>
          <cell r="B2983" t="str">
            <v>LHEDDPPNPW6J042(42W LED 2X1 BOCR Light)</v>
          </cell>
          <cell r="C2983" t="str">
            <v>HAVELLS</v>
          </cell>
          <cell r="D2983" t="str">
            <v>HAVELLS</v>
          </cell>
        </row>
        <row r="2984">
          <cell r="A2984" t="str">
            <v>LHECDJN7PW6W042 (42W LED 2X2 BOCR 857S)</v>
          </cell>
          <cell r="B2984" t="str">
            <v>LHECDJN7PW6W042(42W LED 2X2 BOCR 857S)</v>
          </cell>
          <cell r="C2984" t="str">
            <v>HAVELLS</v>
          </cell>
          <cell r="D2984" t="str">
            <v>HAVELLS</v>
          </cell>
        </row>
        <row r="2985">
          <cell r="A2985" t="str">
            <v>LHELABU7PG6J060 (60W LED ILLIOS BAYPLUS)</v>
          </cell>
          <cell r="B2985" t="str">
            <v>LHELABU7PG6J060(60W LED ILLIOS BAYPLUS)</v>
          </cell>
          <cell r="C2985" t="str">
            <v>HAVELLS</v>
          </cell>
          <cell r="D2985" t="str">
            <v>HAVELLS</v>
          </cell>
        </row>
        <row r="2986">
          <cell r="A2986" t="str">
            <v>LHEEGEPGIE1W006 (6W LED CRYSTA COB LIGHT - NW)</v>
          </cell>
          <cell r="B2986" t="str">
            <v>LHEEGEPGIE1W006(6W LED CRYSTA COB LIGHT - NW)</v>
          </cell>
          <cell r="C2986" t="str">
            <v>HAVELLS</v>
          </cell>
          <cell r="D2986" t="str">
            <v>HAVELLS</v>
          </cell>
        </row>
        <row r="2987">
          <cell r="A2987" t="str">
            <v>LHECCWL7PW6W080 (80W LED BOCR 857S PCMSEXE)</v>
          </cell>
          <cell r="B2987" t="str">
            <v>LHECCWL7PW6W080(80W LED BOCR 857S PCMSEXE)</v>
          </cell>
          <cell r="C2987" t="str">
            <v>HAVELLS</v>
          </cell>
          <cell r="D2987" t="str">
            <v>HAVELLS</v>
          </cell>
        </row>
        <row r="2988">
          <cell r="A2988" t="str">
            <v>LHEAABP7IL1W018 (ADJUST SUR/REC LED PANEL 18W)</v>
          </cell>
          <cell r="B2988" t="str">
            <v>LHEAABP7IL1W018(ADJUST SUR/REC LED PANEL 18W)</v>
          </cell>
          <cell r="C2988" t="str">
            <v>HAVELLS</v>
          </cell>
          <cell r="D2988" t="str">
            <v>HAVELLS</v>
          </cell>
        </row>
        <row r="2989">
          <cell r="A2989" t="str">
            <v>LHEDDQP7PK5W018 (BOCR1X1R18W LED857SPCMS)</v>
          </cell>
          <cell r="B2989" t="str">
            <v>LHEDDQP7PK5W018(BOCR1X1R18W LED857SPCMS)</v>
          </cell>
          <cell r="C2989" t="str">
            <v>HAVELLS</v>
          </cell>
          <cell r="D2989" t="str">
            <v>HAVELLS</v>
          </cell>
        </row>
        <row r="2990">
          <cell r="A2990" t="str">
            <v>LHEDDQP7IL6W018 (BOCR1x1R 18W LED857SPCMSEXE)</v>
          </cell>
          <cell r="B2990" t="str">
            <v>LHEDDQP7IL6W018(BOCR1x1R 18W LED857SPCMSEXE)</v>
          </cell>
          <cell r="C2990" t="str">
            <v>HAVELLS</v>
          </cell>
          <cell r="D2990" t="str">
            <v>HAVELLS</v>
          </cell>
        </row>
        <row r="2991">
          <cell r="A2991" t="str">
            <v>LHEDDPPNUW6W028 (BOCR 2X1 R 28W LED 857SPMSSLEXE)</v>
          </cell>
          <cell r="B2991" t="str">
            <v>LHEDDPPNUW6W028(BOCR 2X1 R 28W LED 857SPMSSLEXE)</v>
          </cell>
          <cell r="C2991" t="str">
            <v>HAVELLS</v>
          </cell>
          <cell r="D2991" t="str">
            <v>HAVELLS</v>
          </cell>
        </row>
        <row r="2992">
          <cell r="A2992" t="str">
            <v>LHECDJN7PW6W036 (BOCR2X2R36WLED857SPCMSCHEXE)</v>
          </cell>
          <cell r="B2992" t="str">
            <v>LHECDJN7PW6W036(BOCR2X2R36WLED857SPCMSCHEXE)</v>
          </cell>
          <cell r="C2992" t="str">
            <v>HAVELLS</v>
          </cell>
          <cell r="D2992" t="str">
            <v>HAVELLS</v>
          </cell>
        </row>
        <row r="2993">
          <cell r="A2993" t="str">
            <v>LHECCWL7PW6W036 (BOCR 2X2R 36W LED 857 SPCMSEXE)</v>
          </cell>
          <cell r="B2993" t="str">
            <v>LHECCWL7PW6W036(BOCR 2X2R 36W LED 857 SPCMSEXE)</v>
          </cell>
          <cell r="C2993" t="str">
            <v>HAVELLS</v>
          </cell>
          <cell r="D2993" t="str">
            <v>HAVELLS</v>
          </cell>
        </row>
        <row r="2994">
          <cell r="A2994" t="str">
            <v>LHEDDNP7PW6W036 (BOCR2X2R36WLED857SPCMSGE)</v>
          </cell>
          <cell r="B2994" t="str">
            <v>LHEDDNP7PW6W036(BOCR2X2R36WLED857SPCMSGE)</v>
          </cell>
          <cell r="C2994" t="str">
            <v>HAVELLS</v>
          </cell>
          <cell r="D2994" t="str">
            <v>HAVELLS</v>
          </cell>
        </row>
        <row r="2995">
          <cell r="A2995" t="str">
            <v>LHEDDNP7IA6W036 (BOCR2x2R 36WLED 857SPCSSGEN)</v>
          </cell>
          <cell r="B2995" t="str">
            <v>LHEDDNP7IA6W036(BOCR2x2R 36WLED 857SPCSSGEN)</v>
          </cell>
          <cell r="C2995" t="str">
            <v>HAVELLS</v>
          </cell>
          <cell r="D2995" t="str">
            <v>HAVELLS</v>
          </cell>
        </row>
        <row r="2996">
          <cell r="A2996" t="str">
            <v>LHEDDNP7PW6S042 (BOCR 2X2R 42W LED 857SPC MSEXE)</v>
          </cell>
          <cell r="B2996" t="str">
            <v>LHEDDNP7PW6S042(BOCR 2X2R 42W LED 857SPC MSEXE)</v>
          </cell>
          <cell r="C2996" t="str">
            <v>HAVELLS</v>
          </cell>
          <cell r="D2996" t="str">
            <v>HAVELLS</v>
          </cell>
        </row>
        <row r="2997">
          <cell r="A2997" t="str">
            <v>LHEDDNP7IL6W042 (BOCR 2X2R42W LED 857 SPCMSGEN)</v>
          </cell>
          <cell r="B2997" t="str">
            <v>LHEDDNP7IL6W042(BOCR 2X2R42W LED 857 SPCMSGEN)</v>
          </cell>
          <cell r="C2997" t="str">
            <v>HAVELLS</v>
          </cell>
          <cell r="D2997" t="str">
            <v>HAVELLS</v>
          </cell>
        </row>
        <row r="2998">
          <cell r="A2998" t="str">
            <v>LHECCWL7PW6W060 (BOCR 2X2R 60W LED 857 SPCMSEXE)</v>
          </cell>
          <cell r="B2998" t="str">
            <v>LHECCWL7PW6W060(BOCR 2X2R 60W LED 857 SPCMSEXE)</v>
          </cell>
          <cell r="C2998" t="str">
            <v>HAVELLS</v>
          </cell>
          <cell r="D2998" t="str">
            <v>HAVELLS</v>
          </cell>
        </row>
        <row r="2999">
          <cell r="A2999" t="str">
            <v>LHEDDOP7PL5W034 (BOCR 4X1 R 34W LED 857SPCMS)</v>
          </cell>
          <cell r="B2999" t="str">
            <v>LHEDDOP7PL5W034(BOCR 4X1 R 34W LED 857SPCMS)</v>
          </cell>
          <cell r="C2999" t="str">
            <v>HAVELLS</v>
          </cell>
          <cell r="D2999" t="str">
            <v>HAVELLS</v>
          </cell>
        </row>
        <row r="3000">
          <cell r="A3000" t="str">
            <v>LHEOANPJPK6K015 (CLIOWLS 15W LED 830PSYMTOTG)</v>
          </cell>
          <cell r="B3000" t="str">
            <v>LHEOANPJPK6K015(CLIOWLS 15W LED 830PSYMTOTG)</v>
          </cell>
          <cell r="C3000" t="str">
            <v>HAVELLS</v>
          </cell>
          <cell r="D3000" t="str">
            <v>HAVELLS</v>
          </cell>
        </row>
        <row r="3001">
          <cell r="A3001" t="str">
            <v>LHECDOL7IL1EW040 (CONSTA 1144LP 40W LED 857SPCWH)</v>
          </cell>
          <cell r="B3001" t="str">
            <v>LHECDOL7IL1EW040(CONSTA 1144LP 40W LED 857SPCWH)</v>
          </cell>
          <cell r="C3001" t="str">
            <v>HAVELLS</v>
          </cell>
          <cell r="D3001" t="str">
            <v>HAVELLS</v>
          </cell>
        </row>
        <row r="3002">
          <cell r="A3002" t="str">
            <v>LHECDOL7IL1W040 (CONSTA 1144LP 40W LED857SPC WH LED)</v>
          </cell>
          <cell r="B3002" t="str">
            <v>LHECDOL7IL1W040(CONSTA 1144LP 40W LED857SPC WH LED)</v>
          </cell>
          <cell r="C3002" t="str">
            <v>HAVELLS</v>
          </cell>
          <cell r="D3002" t="str">
            <v>HAVELLS</v>
          </cell>
        </row>
        <row r="3003">
          <cell r="A3003" t="str">
            <v>LSSCRX2026 (Constant Current LED Driver for Downlight)</v>
          </cell>
          <cell r="B3003" t="str">
            <v>LSSCRX2026(Constant Current LED Driver for Downlight)</v>
          </cell>
          <cell r="C3003" t="str">
            <v>HAVELLS</v>
          </cell>
          <cell r="D3003" t="str">
            <v>HAVELLS</v>
          </cell>
        </row>
        <row r="3004">
          <cell r="A3004" t="str">
            <v>LHEWABP7PL1W036 (CONTOUR 2X2 PLR 36W LED 857S)</v>
          </cell>
          <cell r="B3004" t="str">
            <v>LHEWABP7PL1W036(CONTOUR 2X2 PLR 36W LED 857S)</v>
          </cell>
          <cell r="C3004" t="str">
            <v>HAVELLS</v>
          </cell>
          <cell r="D3004" t="str">
            <v>HAVELLS</v>
          </cell>
        </row>
        <row r="3005">
          <cell r="A3005" t="str">
            <v>LHEAAAP7PL1W035 (CYLINDRO PRO SURFDLS 35W LED 857S 45DWHT)</v>
          </cell>
          <cell r="B3005" t="str">
            <v>LHEAAAP7PL1W035(CYLINDRO PRO SURFDLS 35W LED 857S 45DWHT)</v>
          </cell>
          <cell r="C3005" t="str">
            <v>HAVELLS</v>
          </cell>
          <cell r="D3005" t="str">
            <v>HAVELLS</v>
          </cell>
        </row>
        <row r="3006">
          <cell r="A3006" t="str">
            <v>LHEEAWPFIH1K025 (Cylindro TSS 25W 857S32D Blk)</v>
          </cell>
          <cell r="B3006" t="str">
            <v>LHEEAWPFIH1K025(Cylindro TSS 25W 857S32D Blk)</v>
          </cell>
          <cell r="C3006" t="str">
            <v>HAVELLS</v>
          </cell>
          <cell r="D3006" t="str">
            <v>HAVELLS</v>
          </cell>
        </row>
        <row r="3007">
          <cell r="A3007" t="str">
            <v>LHEDEEP6PY1J036 (Destello 50 D-I 36W 1130 840 GRY)</v>
          </cell>
          <cell r="B3007" t="str">
            <v>LHEDEEP6PY1J036(Destello 50 D-I 36W 1130 840 GRY)</v>
          </cell>
          <cell r="C3007" t="str">
            <v>HAVELLS</v>
          </cell>
          <cell r="D3007" t="str">
            <v>HAVELLS</v>
          </cell>
        </row>
        <row r="3008">
          <cell r="A3008" t="str">
            <v>LHEDEEP7PY1W072 (DESTELLO 50 D-I 72W 2260 857 WHT)</v>
          </cell>
          <cell r="B3008" t="str">
            <v>LHEDEEP7PY1W072(DESTELLO 50 D-I 72W 2260 857 WHT)</v>
          </cell>
          <cell r="C3008" t="str">
            <v>HAVELLS</v>
          </cell>
          <cell r="D3008" t="str">
            <v>HAVELLS</v>
          </cell>
        </row>
        <row r="3009">
          <cell r="A3009" t="str">
            <v>LHECEFL7PL1W025 (DESTEL LO50LR25W LED857SPMMAWH)</v>
          </cell>
          <cell r="B3009" t="str">
            <v>LHECEFL7PL1W025(DESTEL LO50LR25W LED857SPMMAWH)</v>
          </cell>
          <cell r="C3009" t="str">
            <v>HAVELLS</v>
          </cell>
          <cell r="D3009" t="str">
            <v>HAVELLS</v>
          </cell>
        </row>
        <row r="3010">
          <cell r="A3010" t="str">
            <v>LHECFXL6PL1W025 (DESTELLO 50 REC 25W)</v>
          </cell>
          <cell r="B3010" t="str">
            <v>LHECFXL6PL1W025(DESTELLO 50 REC 25W)</v>
          </cell>
          <cell r="C3010" t="str">
            <v>HAVELLS</v>
          </cell>
          <cell r="D3010" t="str">
            <v>HAVELLS</v>
          </cell>
        </row>
        <row r="3011">
          <cell r="A3011" t="str">
            <v>LHEDEEP7PL1W012 (Destello 50 Sus/Sur 12W 570 857_x000D_
WHT)</v>
          </cell>
          <cell r="B3011" t="str">
            <v>LHEDEEP7PL1W012(Destello 50 Sus/Sur 12W 570 857_x000D_
WHT)</v>
          </cell>
          <cell r="C3011" t="str">
            <v>HAVELLS</v>
          </cell>
          <cell r="D3011" t="str">
            <v>HAVELLS</v>
          </cell>
        </row>
        <row r="3012">
          <cell r="A3012" t="str">
            <v>LHEDEEP7PY1W036 (DESTELLODILP36WLED857SPMMAWH)</v>
          </cell>
          <cell r="B3012" t="str">
            <v>LHEDEEP7PY1W036(DESTELLODILP36WLED857SPMMAWH)</v>
          </cell>
          <cell r="C3012" t="str">
            <v>HAVELLS</v>
          </cell>
          <cell r="D3012" t="str">
            <v>HAVELLS</v>
          </cell>
        </row>
        <row r="3013">
          <cell r="A3013" t="str">
            <v>LHEDEEP6PY1W036 (DESTELLO ODILP 36W LED 840 SPMMAWH)</v>
          </cell>
          <cell r="B3013" t="str">
            <v>LHEDEEP6PY1W036(DESTELLO ODILP 36W LED 840 SPMMAWH)</v>
          </cell>
          <cell r="C3013" t="str">
            <v>HAVELLS</v>
          </cell>
          <cell r="D3013" t="str">
            <v>HAVELLS</v>
          </cell>
        </row>
        <row r="3014">
          <cell r="A3014" t="str">
            <v>LHEDAFP7JN1W025_x000D_
 (DESTG25090DP/S25WLED857DWH577_x000D_
)</v>
          </cell>
          <cell r="B3014" t="str">
            <v>LHEDAFP7JN1W025_x000D_
(DESTG25090DP/S25WLED857DWH577_x000D_
)</v>
          </cell>
          <cell r="C3014" t="str">
            <v>HAVELLS</v>
          </cell>
          <cell r="D3014" t="str">
            <v>HAVELLS</v>
          </cell>
        </row>
        <row r="3015">
          <cell r="A3015" t="str">
            <v>LHEDAFP5PL1K025 (DESTG 250LP/S 25W LED 830 SBLK 1130)</v>
          </cell>
          <cell r="B3015" t="str">
            <v>LHEDAFP5PL1K025(DESTG 250LP/S 25W LED 830 SBLK 1130)</v>
          </cell>
          <cell r="C3015" t="str">
            <v>HAVELLS</v>
          </cell>
          <cell r="D3015" t="str">
            <v>HAVELLS</v>
          </cell>
        </row>
        <row r="3016">
          <cell r="A3016" t="str">
            <v>LHEDAFP6PL1W036 (DESTG250LP/S36WLED840SWH113)</v>
          </cell>
          <cell r="B3016" t="str">
            <v>LHEDAFP6PL1W036(DESTG250LP/S36WLED840SWH113)</v>
          </cell>
          <cell r="C3016" t="str">
            <v>HAVELLS</v>
          </cell>
          <cell r="D3016" t="str">
            <v>HAVELLS</v>
          </cell>
        </row>
        <row r="3017">
          <cell r="A3017" t="str">
            <v>LHEDAFP7PL1W036 (DESTG250LP/S36WLED857SWH130)</v>
          </cell>
          <cell r="B3017" t="str">
            <v>LHEDAFP7PL1W036(DESTG250LP/S36WLED857SWH130)</v>
          </cell>
          <cell r="C3017" t="str">
            <v>HAVELLS</v>
          </cell>
          <cell r="D3017" t="str">
            <v>HAVELLS</v>
          </cell>
        </row>
        <row r="3018">
          <cell r="A3018" t="str">
            <v>LHEDAFP7PK1W036P (DESTG250LP/S36WLED857SWH2260CDPACCINCLUD)</v>
          </cell>
          <cell r="B3018" t="str">
            <v>LHEDAFP7PK1W036P(DESTG250LP/S36WLED857SWH2260CDPACCINCLUD)</v>
          </cell>
          <cell r="C3018" t="str">
            <v>HAVELLS</v>
          </cell>
          <cell r="D3018" t="str">
            <v>HAVELLS</v>
          </cell>
        </row>
        <row r="3019">
          <cell r="A3019" t="str">
            <v>LSSLOW0475 (DESTG250LP/SEND CAPWHx2)</v>
          </cell>
          <cell r="B3019" t="str">
            <v>LSSLOW0475(DESTG250LP/SEND CAPWHx2)</v>
          </cell>
          <cell r="C3019" t="str">
            <v>HAVELLS</v>
          </cell>
          <cell r="D3019" t="str">
            <v>HAVELLS</v>
          </cell>
        </row>
        <row r="3020">
          <cell r="A3020" t="str">
            <v>LHECFXL7PL1W025 (DESTG250LR 25WLED 857SWH1130)</v>
          </cell>
          <cell r="B3020" t="str">
            <v>LHECFXL7PL1W025(DESTG250LR 25WLED 857SWH1130)</v>
          </cell>
          <cell r="C3020" t="str">
            <v>HAVELLS</v>
          </cell>
          <cell r="D3020" t="str">
            <v>HAVELLS</v>
          </cell>
        </row>
        <row r="3021">
          <cell r="A3021" t="str">
            <v>LHECFXL7PL1W025 O (DESTG250LR 25WLED 857SWH1130 O)</v>
          </cell>
          <cell r="B3021" t="str">
            <v>LHECFXL7PL1W025 O(DESTG250LR 25WLED 857SWH1130 O)</v>
          </cell>
          <cell r="C3021" t="str">
            <v>HAVELLS</v>
          </cell>
          <cell r="D3021" t="str">
            <v>HAVELLS</v>
          </cell>
        </row>
        <row r="3022">
          <cell r="A3022" t="str">
            <v>LHEDADP6PN1S040 (DURABS 40W LED 840 SPCSS)</v>
          </cell>
          <cell r="B3022" t="str">
            <v>LHEDADP6PN1S040(DURABS 40W LED 840 SPCSS)</v>
          </cell>
          <cell r="C3022" t="str">
            <v>HAVELLS</v>
          </cell>
          <cell r="D3022" t="str">
            <v>HAVELLS</v>
          </cell>
        </row>
        <row r="3023">
          <cell r="A3023" t="str">
            <v>LHEWEKP6PL1W015 (Edge Pro DLR 15W LED 840S)</v>
          </cell>
          <cell r="B3023" t="str">
            <v>LHEWEKP6PL1W015(Edge Pro DLR 15W LED 840S)</v>
          </cell>
          <cell r="C3023" t="str">
            <v>HAVELLS</v>
          </cell>
          <cell r="D3023" t="str">
            <v>HAVELLS</v>
          </cell>
        </row>
        <row r="3024">
          <cell r="A3024" t="str">
            <v>LHEWEKP7PL1W006 (EDGEPRO LED PANEL RD 06W 5700K)</v>
          </cell>
          <cell r="B3024" t="str">
            <v>LHEWEKP7PL1W006(EDGEPRO LED PANEL RD 06W 5700K)</v>
          </cell>
          <cell r="C3024" t="str">
            <v>HAVELLS</v>
          </cell>
          <cell r="D3024" t="str">
            <v>HAVELLS</v>
          </cell>
        </row>
        <row r="3025">
          <cell r="A3025" t="str">
            <v>LHEBAVPNPZ1W012 (EDGEPRONEORDDLR12WLED857S)</v>
          </cell>
          <cell r="B3025" t="str">
            <v>LHEBAVPNPZ1W012(EDGEPRONEORDDLR12WLED857S)</v>
          </cell>
          <cell r="C3025" t="str">
            <v>HAVELLS</v>
          </cell>
          <cell r="D3025" t="str">
            <v>HAVELLS</v>
          </cell>
        </row>
        <row r="3026">
          <cell r="A3026" t="str">
            <v>LHEBAVPNPZ1W015 (EDGEPRO NEO RD DLR 15W LED 857S)</v>
          </cell>
          <cell r="B3026" t="str">
            <v>LHEBAVPNPZ1W015(EDGEPRO NEO RD DLR 15W LED 857S)</v>
          </cell>
          <cell r="C3026" t="str">
            <v>HAVELLS</v>
          </cell>
          <cell r="D3026" t="str">
            <v>HAVELLS</v>
          </cell>
        </row>
        <row r="3027">
          <cell r="A3027" t="str">
            <v>LHEBAVP6PZ1W018 (EDGEPRONEORDDLR18WLED840S)</v>
          </cell>
          <cell r="B3027" t="str">
            <v>LHEBAVP6PZ1W018(EDGEPRONEORDDLR18WLED840S)</v>
          </cell>
          <cell r="C3027" t="str">
            <v>HAVELLS</v>
          </cell>
          <cell r="D3027" t="str">
            <v>HAVELLS</v>
          </cell>
        </row>
        <row r="3028">
          <cell r="A3028" t="str">
            <v>LHEBAVPNPZ1W018 (EDGEPRONEORDDLR18WLED857S)</v>
          </cell>
          <cell r="B3028" t="str">
            <v>LHEBAVPNPZ1W018(EDGEPRONEORDDLR18WLED857S)</v>
          </cell>
          <cell r="C3028" t="str">
            <v>HAVELLS</v>
          </cell>
          <cell r="D3028" t="str">
            <v>HAVELLS</v>
          </cell>
        </row>
        <row r="3029">
          <cell r="A3029" t="str">
            <v>LHEWEKP6PL1W018 (EDGE PRO RDDLR 18W LED 840S)</v>
          </cell>
          <cell r="B3029" t="str">
            <v>LHEWEKP6PL1W018(EDGE PRO RDDLR 18W LED 840S)</v>
          </cell>
          <cell r="C3029" t="str">
            <v>HAVELLS</v>
          </cell>
          <cell r="D3029" t="str">
            <v>HAVELLS</v>
          </cell>
        </row>
        <row r="3030">
          <cell r="A3030" t="str">
            <v>LHEWEKP6PL1W006 (EDGE PRO RDDL R 6W LED 840S)</v>
          </cell>
          <cell r="B3030" t="str">
            <v>LHEWEKP6PL1W006(EDGE PRO RDDL R 6W LED 840S)</v>
          </cell>
          <cell r="C3030" t="str">
            <v>HAVELLS</v>
          </cell>
          <cell r="D3030" t="str">
            <v>HAVELLS</v>
          </cell>
        </row>
        <row r="3031">
          <cell r="A3031" t="str">
            <v>LHEWELP6PL1W012 (EDGE Pro SQ DLR 12W LED840S)</v>
          </cell>
          <cell r="B3031" t="str">
            <v>LHEWELP6PL1W012(EDGE Pro SQ DLR 12W LED840S)</v>
          </cell>
          <cell r="C3031" t="str">
            <v>HAVELLS</v>
          </cell>
          <cell r="D3031" t="str">
            <v>HAVELLS</v>
          </cell>
        </row>
        <row r="3032">
          <cell r="A3032" t="str">
            <v>LHEWELP6PL1W018 (EDGE ProSQDLR18WLED840S)</v>
          </cell>
          <cell r="B3032" t="str">
            <v>LHEWELP6PL1W018(EDGE ProSQDLR18WLED840S)</v>
          </cell>
          <cell r="C3032" t="str">
            <v>HAVELLS</v>
          </cell>
          <cell r="D3032" t="str">
            <v>HAVELLS</v>
          </cell>
        </row>
        <row r="3033">
          <cell r="A3033" t="str">
            <v>LHEWELP7PL1W018 (EDGEPROSQDLR18WLED857S)</v>
          </cell>
          <cell r="B3033" t="str">
            <v>LHEWELP7PL1W018(EDGEPROSQDLR18WLED857S)</v>
          </cell>
          <cell r="C3033" t="str">
            <v>HAVELLS</v>
          </cell>
          <cell r="D3033" t="str">
            <v>HAVELLS</v>
          </cell>
        </row>
        <row r="3034">
          <cell r="A3034" t="str">
            <v>LHEABFPNIL1W012 (EDGE SURFACE RD DLR 12W LED 857S)</v>
          </cell>
          <cell r="B3034" t="str">
            <v>LHEABFPNIL1W012(EDGE SURFACE RD DLR 12W LED 857S)</v>
          </cell>
          <cell r="C3034" t="str">
            <v>HAVELLS</v>
          </cell>
          <cell r="D3034" t="str">
            <v>HAVELLS</v>
          </cell>
        </row>
        <row r="3035">
          <cell r="A3035" t="str">
            <v>LHEABFP6IL1W015 (EDGESURFACERDDLR15WLED840S)</v>
          </cell>
          <cell r="B3035" t="str">
            <v>LHEABFP6IL1W015(EDGESURFACERDDLR15WLED840S)</v>
          </cell>
          <cell r="C3035" t="str">
            <v>HAVELLS</v>
          </cell>
          <cell r="D3035" t="str">
            <v>HAVELLS</v>
          </cell>
        </row>
        <row r="3036">
          <cell r="A3036" t="str">
            <v>LHEABFPNIL1W015 (EDGE SURFACE RD DLR 15W LED 857S)</v>
          </cell>
          <cell r="B3036" t="str">
            <v>LHEABFPNIL1W015(EDGE SURFACE RD DLR 15W LED 857S)</v>
          </cell>
          <cell r="C3036" t="str">
            <v>HAVELLS</v>
          </cell>
          <cell r="D3036" t="str">
            <v>HAVELLS</v>
          </cell>
        </row>
        <row r="3037">
          <cell r="A3037" t="str">
            <v>LHEABFPNIL1W018 (EDGE SURFACE RD DLR 18W LED 857S)</v>
          </cell>
          <cell r="B3037" t="str">
            <v>LHEABFPNIL1W018(EDGE SURFACE RD DLR 18W LED 857S)</v>
          </cell>
          <cell r="C3037" t="str">
            <v>HAVELLS</v>
          </cell>
          <cell r="D3037" t="str">
            <v>HAVELLS</v>
          </cell>
        </row>
        <row r="3038">
          <cell r="A3038" t="str">
            <v>LHEABGPNIL1W018 (EDGE SURFACE SQ DLR 18W LED 857S)</v>
          </cell>
          <cell r="B3038" t="str">
            <v>LHEABGPNIL1W018(EDGE SURFACE SQ DLR 18W LED 857S)</v>
          </cell>
          <cell r="C3038" t="str">
            <v>HAVELLS</v>
          </cell>
          <cell r="D3038" t="str">
            <v>HAVELLS</v>
          </cell>
        </row>
        <row r="3039">
          <cell r="A3039" t="str">
            <v>LHELAWU7IN7J090 (ENDURA BAYBRITE NEO CAR90W LED 757 BOLTG)</v>
          </cell>
          <cell r="B3039" t="str">
            <v>LHELAWU7IN7J090(ENDURA BAYBRITE NEO CAR90W LED 757 BOLTG)</v>
          </cell>
          <cell r="C3039" t="str">
            <v>HAVELLS</v>
          </cell>
          <cell r="D3039" t="str">
            <v>HAVELLS</v>
          </cell>
        </row>
        <row r="3040">
          <cell r="A3040" t="str">
            <v>LHEYAFP7PG1W020 (ENDURA LINEAR NEO OBS20W LED 865SPCWH)</v>
          </cell>
          <cell r="B3040" t="str">
            <v>LHEYAFP7PG1W020(ENDURA LINEAR NEO OBS20W LED 865SPCWH)</v>
          </cell>
          <cell r="C3040" t="str">
            <v>HAVELLS</v>
          </cell>
          <cell r="D3040" t="str">
            <v>HAVELLS</v>
          </cell>
        </row>
        <row r="3041">
          <cell r="A3041" t="str">
            <v>LHEDAOP7PL1J020P (ENDURALINEARPROBS20WLED865SPCSSIND)</v>
          </cell>
          <cell r="B3041" t="str">
            <v>LHEDAOP7PL1J020P(ENDURALINEARPROBS20WLED865SPCSSIND)</v>
          </cell>
          <cell r="C3041" t="str">
            <v>HAVELLS</v>
          </cell>
          <cell r="D3041" t="str">
            <v>HAVELLS</v>
          </cell>
        </row>
        <row r="3042">
          <cell r="A3042" t="str">
            <v>LHETATU7PA7J070 (ENDURA OMNI PLUS SL 70W LED 757 SASYTOPC)</v>
          </cell>
          <cell r="B3042" t="str">
            <v>LHETATU7PA7J070(ENDURA OMNI PLUS SL 70W LED 757 SASYTOPC)</v>
          </cell>
          <cell r="C3042" t="str">
            <v>HAVELLS</v>
          </cell>
          <cell r="D3042" t="str">
            <v>HAVELLS</v>
          </cell>
        </row>
        <row r="3043">
          <cell r="A3043" t="str">
            <v>LHDBXU7PA7J036 (ENDURA PEARL NEOSL 36W LED 757PASYTOPC)</v>
          </cell>
          <cell r="B3043" t="str">
            <v>LHDBXU7PA7J036(ENDURA PEARL NEOSL 36W LED 757PASYTOPC)</v>
          </cell>
          <cell r="C3043" t="str">
            <v>HAVELLS</v>
          </cell>
          <cell r="D3043" t="str">
            <v>HAVELLS</v>
          </cell>
        </row>
        <row r="3044">
          <cell r="A3044" t="str">
            <v>LHETBXUNPA7J090 (ENDURA PEARL PLUS SL 90W LED 757 PASYTOPCLC)</v>
          </cell>
          <cell r="B3044" t="str">
            <v>LHETBXUNPA7J090(ENDURA PEARL PLUS SL 90W LED 757 PASYTOPCLC)</v>
          </cell>
          <cell r="C3044" t="str">
            <v>HAVELLS</v>
          </cell>
          <cell r="D3044" t="str">
            <v>HAVELLS</v>
          </cell>
        </row>
        <row r="3045">
          <cell r="A3045" t="str">
            <v>LHETAJU7PA7H120 (ENDURASUNBEAMGENXSL120WLED757SASYBOPC)</v>
          </cell>
          <cell r="B3045" t="str">
            <v>LHETAJU7PA7H120(ENDURASUNBEAMGENXSL120WLED757SASYBOPC)</v>
          </cell>
          <cell r="C3045" t="str">
            <v>HAVELLS</v>
          </cell>
          <cell r="D3045" t="str">
            <v>HAVELLS</v>
          </cell>
        </row>
        <row r="3046">
          <cell r="A3046" t="str">
            <v>LHETAJU7PA7H060 (ENDURASUNBEAMGENXSL60WLED757SASYBOPC)</v>
          </cell>
          <cell r="B3046" t="str">
            <v>LHETAJU7PA7H060(ENDURASUNBEAMGENXSL60WLED757SASYBOPC)</v>
          </cell>
          <cell r="C3046" t="str">
            <v>HAVELLS</v>
          </cell>
          <cell r="D3046" t="str">
            <v>HAVELLS</v>
          </cell>
        </row>
        <row r="3047">
          <cell r="A3047" t="str">
            <v>LHEMABP7ID6J040 (ENDURA WELL GLASS NEO TSS40W LED 757SPCSO)</v>
          </cell>
          <cell r="B3047" t="str">
            <v>LHEMABP7ID6J040(ENDURA WELL GLASS NEO TSS40W LED 757SPCSO)</v>
          </cell>
          <cell r="C3047" t="str">
            <v>HAVELLS</v>
          </cell>
          <cell r="D3047" t="str">
            <v>HAVELLS</v>
          </cell>
        </row>
        <row r="3048">
          <cell r="A3048" t="str">
            <v>LHEPCZU7PA7E080 (FLARE NEO CAWFR 80W LED 757PSYMLTG)</v>
          </cell>
          <cell r="B3048" t="str">
            <v>LHEPCZU7PA7E080(FLARE NEO CAWFR 80W LED 757PSYMLTG)</v>
          </cell>
          <cell r="C3048" t="str">
            <v>HAVELLS</v>
          </cell>
          <cell r="D3048" t="str">
            <v>HAVELLS</v>
          </cell>
        </row>
        <row r="3049">
          <cell r="A3049" t="str">
            <v>LHEHDLP5UN1W024 (Flexion Strip)</v>
          </cell>
          <cell r="B3049" t="str">
            <v>LHEHDLP5UN1W024(Flexion Strip)</v>
          </cell>
          <cell r="C3049" t="str">
            <v>HAVELLS</v>
          </cell>
          <cell r="D3049" t="str">
            <v>HAVELLS</v>
          </cell>
        </row>
        <row r="3050">
          <cell r="A3050" t="str">
            <v>LHELAFU7PH7J150 (GAZELLAHBP150WLED857PV2BOTG)</v>
          </cell>
          <cell r="B3050" t="str">
            <v>LHELAFU7PH7J150(GAZELLAHBP150WLED857PV2BOTG)</v>
          </cell>
          <cell r="C3050" t="str">
            <v>HAVELLS</v>
          </cell>
          <cell r="D3050" t="str">
            <v>HAVELLS</v>
          </cell>
        </row>
        <row r="3051">
          <cell r="A3051" t="str">
            <v>LHELAOU7PN7J150 (GAZELLAHBV2P150WLED857PB0TGGRY)</v>
          </cell>
          <cell r="B3051" t="str">
            <v>LHELAOU7PN7J150(GAZELLAHBV2P150WLED857PB0TGGRY)</v>
          </cell>
          <cell r="C3051" t="str">
            <v>HAVELLS</v>
          </cell>
          <cell r="D3051" t="str">
            <v>HAVELLS</v>
          </cell>
        </row>
        <row r="3052">
          <cell r="A3052" t="str">
            <v>LHEBMJP7PV1W015 (GLOWDLR15WLED857S)</v>
          </cell>
          <cell r="B3052" t="str">
            <v>LHEBMJP7PV1W015(GLOWDLR15WLED857S)</v>
          </cell>
          <cell r="C3052" t="str">
            <v>HAVELLS</v>
          </cell>
          <cell r="D3052" t="str">
            <v>HAVELLS</v>
          </cell>
        </row>
        <row r="3053">
          <cell r="A3053" t="str">
            <v>LHEBMJP7PV1W010 (GLOW DL REC RD 10Q 857S)</v>
          </cell>
          <cell r="B3053" t="str">
            <v>LHEBMJP7PV1W010(GLOW DL REC RD 10Q 857S)</v>
          </cell>
          <cell r="C3053" t="str">
            <v>HAVELLS</v>
          </cell>
          <cell r="D3053" t="str">
            <v>HAVELLS</v>
          </cell>
        </row>
        <row r="3054">
          <cell r="A3054" t="str">
            <v>LHEAAUP7PL1W015 (GLOWDLS 15WLED857S)</v>
          </cell>
          <cell r="B3054" t="str">
            <v>LHEAAUP7PL1W015(GLOWDLS 15WLED857S)</v>
          </cell>
          <cell r="C3054" t="str">
            <v>HAVELLS</v>
          </cell>
          <cell r="D3054" t="str">
            <v>HAVELLS</v>
          </cell>
        </row>
        <row r="3055">
          <cell r="A3055" t="str">
            <v>Havells LED 20W (Havells 20W LED Poton Ultra 6500K Single Side Conn)</v>
          </cell>
          <cell r="B3055" t="str">
            <v>Havells LED 20W(Havells 20W LED Poton Ultra 6500K Single Side Conn)</v>
          </cell>
          <cell r="C3055" t="str">
            <v>HAVELLS</v>
          </cell>
          <cell r="D3055" t="str">
            <v>HAVELLS</v>
          </cell>
        </row>
        <row r="3056">
          <cell r="A3056" t="str">
            <v>LHEEGEPBIE1W018 (HAVELLS LED CRYSTA COB SWIVEL SPOTLIGHT 18W 3K)</v>
          </cell>
          <cell r="B3056" t="str">
            <v>LHEEGEPBIE1W018(HAVELLS LED CRYSTA COB SWIVEL SPOTLIGHT 18W 3K)</v>
          </cell>
          <cell r="C3056" t="str">
            <v>HAVELLS</v>
          </cell>
          <cell r="D3056" t="str">
            <v>HAVELLS</v>
          </cell>
        </row>
        <row r="3057">
          <cell r="A3057" t="str">
            <v>LHEEBPP7IN1W005 (HAVELLS LED LIGHT LUMENO D/L 5W RD)</v>
          </cell>
          <cell r="B3057" t="str">
            <v>LHEEBPP7IN1W005(HAVELLS LED LIGHT LUMENO D/L 5W RD)</v>
          </cell>
          <cell r="C3057" t="str">
            <v>HAVELLS</v>
          </cell>
          <cell r="D3057" t="str">
            <v>HAVELLS</v>
          </cell>
        </row>
        <row r="3058">
          <cell r="A3058" t="str">
            <v>LHEBHEP7IZ1W012 (HAVELLSLED OCTAN 12W SQ 6K)</v>
          </cell>
          <cell r="B3058" t="str">
            <v>LHEBHEP7IZ1W012(HAVELLSLED OCTAN 12W SQ 6K)</v>
          </cell>
          <cell r="C3058" t="str">
            <v>HAVELLS</v>
          </cell>
          <cell r="D3058" t="str">
            <v>HAVELLS</v>
          </cell>
        </row>
        <row r="3059">
          <cell r="A3059" t="str">
            <v>LHEAAHP5IL1W018 (Havells Trim Cosmo Led Surface Panel 18w Rd 3k)</v>
          </cell>
          <cell r="B3059" t="str">
            <v>LHEAAHP5IL1W018(Havells Trim Cosmo Led Surface Panel 18w Rd 3k)</v>
          </cell>
          <cell r="C3059" t="str">
            <v>HAVELLS</v>
          </cell>
          <cell r="D3059" t="str">
            <v>HAVELLS</v>
          </cell>
        </row>
        <row r="3060">
          <cell r="A3060" t="str">
            <v>LHEWAJP7PV1W036 (HERCULES 2X2 PLR 36W LED 857S)</v>
          </cell>
          <cell r="B3060" t="str">
            <v>LHEWAJP7PV1W036(HERCULES 2X2 PLR 36W LED 857S)</v>
          </cell>
          <cell r="C3060" t="str">
            <v>HAVELLS</v>
          </cell>
          <cell r="D3060" t="str">
            <v>HAVELLS</v>
          </cell>
        </row>
        <row r="3061">
          <cell r="A3061" t="str">
            <v>LHEWAJP7IV1W036 (HERCULES 2X2 PLR 36W LED 865S)</v>
          </cell>
          <cell r="B3061" t="str">
            <v>LHEWAJP7IV1W036(HERCULES 2X2 PLR 36W LED 865S)</v>
          </cell>
          <cell r="C3061" t="str">
            <v>HAVELLS</v>
          </cell>
          <cell r="D3061" t="str">
            <v>HAVELLS</v>
          </cell>
        </row>
        <row r="3062">
          <cell r="A3062" t="str">
            <v>LHLDEJNEUL8Z018 (HERCULES PLL 419TL 18W LED 865SPC)</v>
          </cell>
          <cell r="B3062" t="str">
            <v>LHLDEJNEUL8Z018(HERCULES PLL 419TL 18W LED 865SPC)</v>
          </cell>
          <cell r="C3062" t="str">
            <v>HAVELLS</v>
          </cell>
          <cell r="D3062" t="str">
            <v>HAVELLS</v>
          </cell>
        </row>
        <row r="3063">
          <cell r="A3063" t="str">
            <v>LHEKBBA5I17W010 (HEXAFT 10W LED 830SSYMBOPC)</v>
          </cell>
          <cell r="B3063" t="str">
            <v>LHEKBBA5I17W010(HEXAFT 10W LED 830SSYMBOPC)</v>
          </cell>
          <cell r="C3063" t="str">
            <v>HAVELLS</v>
          </cell>
          <cell r="D3063" t="str">
            <v>HAVELLS</v>
          </cell>
        </row>
        <row r="3064">
          <cell r="A3064" t="str">
            <v>LHEDAPP6PK1W022 (ILLUMINO50L90DP/S22WLED840SWHT577)</v>
          </cell>
          <cell r="B3064" t="str">
            <v>LHEDAPP6PK1W022(ILLUMINO50L90DP/S22WLED840SWHT577)</v>
          </cell>
          <cell r="C3064" t="str">
            <v>HAVELLS</v>
          </cell>
          <cell r="D3064" t="str">
            <v>HAVELLS</v>
          </cell>
        </row>
        <row r="3065">
          <cell r="A3065" t="str">
            <v>LHEDAIP6PL1K022 (ILLUMINO50LP/S22WLED840SBLK1130)</v>
          </cell>
          <cell r="B3065" t="str">
            <v>LHEDAIP6PL1K022(ILLUMINO50LP/S22WLED840SBLK1130)</v>
          </cell>
          <cell r="C3065" t="str">
            <v>HAVELLS</v>
          </cell>
          <cell r="D3065" t="str">
            <v>HAVELLS</v>
          </cell>
        </row>
        <row r="3066">
          <cell r="A3066" t="str">
            <v>LHEDAIP6PL1W022 (ILLUMINO50LP/S22WLED840SWH1130)</v>
          </cell>
          <cell r="B3066" t="str">
            <v>LHEDAIP6PL1W022(ILLUMINO50LP/S22WLED840SWH1130)</v>
          </cell>
          <cell r="C3066" t="str">
            <v>HAVELLS</v>
          </cell>
          <cell r="D3066" t="str">
            <v>HAVELLS</v>
          </cell>
        </row>
        <row r="3067">
          <cell r="A3067" t="str">
            <v>LHEDAIP7PL1W022 (ILLUMINO50LP/S22W LED857SWH1130)</v>
          </cell>
          <cell r="B3067" t="str">
            <v>LHEDAIP7PL1W022(ILLUMINO50LP/S22W LED857SWH1130)</v>
          </cell>
          <cell r="C3067" t="str">
            <v>HAVELLS</v>
          </cell>
          <cell r="D3067" t="str">
            <v>HAVELLS</v>
          </cell>
        </row>
        <row r="3068">
          <cell r="A3068" t="str">
            <v>LHEDAIP7PL1W034_x000D_
 (ILLUMINO50LP/S34WLED857SWH1694_x000D_
)</v>
          </cell>
          <cell r="B3068" t="str">
            <v>LHEDAIP7PL1W034_x000D_
(ILLUMINO50LP/S34WLED857SWH1694_x000D_
)</v>
          </cell>
          <cell r="C3068" t="str">
            <v>HAVELLS</v>
          </cell>
          <cell r="D3068" t="str">
            <v>HAVELLS</v>
          </cell>
        </row>
        <row r="3069">
          <cell r="A3069" t="str">
            <v>LHEDAIP6PL1K045 (ILLUMINO50LP/S45WLED840SBLK2258)</v>
          </cell>
          <cell r="B3069" t="str">
            <v>LHEDAIP6PL1K045(ILLUMINO50LP/S45WLED840SBLK2258)</v>
          </cell>
          <cell r="C3069" t="str">
            <v>HAVELLS</v>
          </cell>
          <cell r="D3069" t="str">
            <v>HAVELLS</v>
          </cell>
        </row>
        <row r="3070">
          <cell r="A3070" t="str">
            <v>LHEDAIP6PL1W045 (ILLUMINO50LP/S45WLED840SWH2258)</v>
          </cell>
          <cell r="B3070" t="str">
            <v>LHEDAIP6PL1W045(ILLUMINO50LP/S45WLED840SWH2258)</v>
          </cell>
          <cell r="C3070" t="str">
            <v>HAVELLS</v>
          </cell>
          <cell r="D3070" t="str">
            <v>HAVELLS</v>
          </cell>
        </row>
        <row r="3071">
          <cell r="A3071" t="str">
            <v>LHEDAIP7PL1W045 (ILLUMINO 50LP/S45W LED 857 SWH2258)</v>
          </cell>
          <cell r="B3071" t="str">
            <v>LHEDAIP7PL1W045(ILLUMINO 50LP/S45W LED 857 SWH2258)</v>
          </cell>
          <cell r="C3071" t="str">
            <v>HAVELLS</v>
          </cell>
          <cell r="D3071" t="str">
            <v>HAVELLS</v>
          </cell>
        </row>
        <row r="3072">
          <cell r="A3072" t="str">
            <v>LHEDAIP7PL1W012 (ILLUMINO50LPS/S12WLED857SWH566)</v>
          </cell>
          <cell r="B3072" t="str">
            <v>LHEDAIP7PL1W012(ILLUMINO50LPS/S12WLED857SWH566)</v>
          </cell>
          <cell r="C3072" t="str">
            <v>HAVELLS</v>
          </cell>
          <cell r="D3072" t="str">
            <v>HAVELLS</v>
          </cell>
        </row>
        <row r="3073">
          <cell r="A3073" t="str">
            <v>LHEEALPFIH1W008 (INNOVA NEO SPOTLIGHT 8W LED)</v>
          </cell>
          <cell r="B3073" t="str">
            <v>LHEEALPFIH1W008(INNOVA NEO SPOTLIGHT 8W LED)</v>
          </cell>
          <cell r="C3073" t="str">
            <v>HAVELLS</v>
          </cell>
          <cell r="D3073" t="str">
            <v>HAVELLS</v>
          </cell>
        </row>
        <row r="3074">
          <cell r="A3074" t="str">
            <v>LHEEALPFIH1W012 (INNOVA SPOT LED LIGHT 12W RD 6K)</v>
          </cell>
          <cell r="B3074" t="str">
            <v>LHEEALPFIH1W012(INNOVA SPOT LED LIGHT 12W RD 6K)</v>
          </cell>
          <cell r="C3074" t="str">
            <v>HAVELLS</v>
          </cell>
          <cell r="D3074" t="str">
            <v>HAVELLS</v>
          </cell>
        </row>
        <row r="3075">
          <cell r="A3075" t="str">
            <v>LHECDIL6IL1W015_x000D_
 (INTEGRA GRAD LED DOWNLIGHTER 15W)</v>
          </cell>
          <cell r="B3075" t="str">
            <v>LHECDIL6IL1W015_x000D_
(INTEGRA GRAD LED DOWNLIGHTER 15W)</v>
          </cell>
          <cell r="C3075" t="str">
            <v>HAVELLS</v>
          </cell>
          <cell r="D3075" t="str">
            <v>HAVELLS</v>
          </cell>
        </row>
        <row r="3076">
          <cell r="A3076" t="str">
            <v>LHEBGSP7PV1W015 (INTEGRA GRAND DLR 15W LED 865S)</v>
          </cell>
          <cell r="B3076" t="str">
            <v>LHEBGSP7PV1W015(INTEGRA GRAND DLR 15W LED 865S)</v>
          </cell>
          <cell r="C3076" t="str">
            <v>HAVELLS</v>
          </cell>
          <cell r="D3076" t="str">
            <v>HAVELLS</v>
          </cell>
        </row>
        <row r="3077">
          <cell r="A3077" t="str">
            <v>LHECDIL7IL1W015 (INTEGRA GRAND DL REC RD 15W)</v>
          </cell>
          <cell r="B3077" t="str">
            <v>LHECDIL7IL1W015(INTEGRA GRAND DL REC RD 15W)</v>
          </cell>
          <cell r="C3077" t="str">
            <v>HAVELLS</v>
          </cell>
          <cell r="D3077" t="str">
            <v>HAVELLS</v>
          </cell>
        </row>
        <row r="3078">
          <cell r="A3078" t="str">
            <v>LHEBGSP7PZ1W010 (INTEGRA NEO DLR 10W LED 857S)</v>
          </cell>
          <cell r="B3078" t="str">
            <v>LHEBGSP7PZ1W010(INTEGRA NEO DLR 10W LED 857S)</v>
          </cell>
          <cell r="C3078" t="str">
            <v>HAVELLS</v>
          </cell>
          <cell r="D3078" t="str">
            <v>HAVELLS</v>
          </cell>
        </row>
        <row r="3079">
          <cell r="A3079" t="str">
            <v>LHEBGSP6PZ1W015 (Integra Neo DLR 15W LED840S)</v>
          </cell>
          <cell r="B3079" t="str">
            <v>LHEBGSP6PZ1W015(Integra Neo DLR 15W LED840S)</v>
          </cell>
          <cell r="C3079" t="str">
            <v>HAVELLS</v>
          </cell>
          <cell r="D3079" t="str">
            <v>HAVELLS</v>
          </cell>
        </row>
        <row r="3080">
          <cell r="A3080" t="str">
            <v>LHEBGSP7PV1W018 (INTEGRANEODLR18WLED857S)</v>
          </cell>
          <cell r="B3080" t="str">
            <v>LHEBGSP7PV1W018(INTEGRANEODLR18WLED857S)</v>
          </cell>
          <cell r="C3080" t="str">
            <v>HAVELLS</v>
          </cell>
          <cell r="D3080" t="str">
            <v>HAVELLS</v>
          </cell>
        </row>
        <row r="3081">
          <cell r="A3081" t="str">
            <v>LHEBGSP7IV1W018 (INTEGRANEODLR18WLED865S)</v>
          </cell>
          <cell r="B3081" t="str">
            <v>LHEBGSP7IV1W018(INTEGRANEODLR18WLED865S)</v>
          </cell>
          <cell r="C3081" t="str">
            <v>HAVELLS</v>
          </cell>
          <cell r="D3081" t="str">
            <v>HAVELLS</v>
          </cell>
        </row>
        <row r="3082">
          <cell r="A3082" t="str">
            <v>LHEBGSP7PZ1W024 (Integra NeoDLR24WLED 857S)</v>
          </cell>
          <cell r="B3082" t="str">
            <v>LHEBGSP7PZ1W024(Integra NeoDLR24WLED 857S)</v>
          </cell>
          <cell r="C3082" t="str">
            <v>HAVELLS</v>
          </cell>
          <cell r="D3082" t="str">
            <v>HAVELLS</v>
          </cell>
        </row>
        <row r="3083">
          <cell r="A3083" t="str">
            <v>LHLDDDBA2A2R012 (INTEGRA NXT DLR 12W LED 857S TR)</v>
          </cell>
          <cell r="B3083" t="str">
            <v>LHLDDDBA2A2R012(INTEGRA NXT DLR 12W LED 857S TR)</v>
          </cell>
          <cell r="C3083" t="str">
            <v>HAVELLS</v>
          </cell>
          <cell r="D3083" t="str">
            <v>HAVELLS</v>
          </cell>
        </row>
        <row r="3084">
          <cell r="A3084" t="str">
            <v>LHEWAJPFNV1F015 (INTEGRANXTDLR15WLED857S)</v>
          </cell>
          <cell r="B3084" t="str">
            <v>LHEWAJPFNV1F015(INTEGRANXTDLR15WLED857S)</v>
          </cell>
          <cell r="C3084" t="str">
            <v>HAVELLS</v>
          </cell>
          <cell r="D3084" t="str">
            <v>HAVELLS</v>
          </cell>
        </row>
        <row r="3085">
          <cell r="A3085" t="str">
            <v>LHLDDDBC2A2R015 (INTEGRA NXT DLR 15W LED 857S TR)</v>
          </cell>
          <cell r="B3085" t="str">
            <v>LHLDDDBC2A2R015(INTEGRA NXT DLR 15W LED 857S TR)</v>
          </cell>
          <cell r="C3085" t="str">
            <v>HAVELLS</v>
          </cell>
          <cell r="D3085" t="str">
            <v>HAVELLS</v>
          </cell>
        </row>
        <row r="3086">
          <cell r="A3086" t="str">
            <v>LHEWAJPGNV1F015 (INTEGRA NXT DLR 15W LED 865S)</v>
          </cell>
          <cell r="B3086" t="str">
            <v>LHEWAJPGNV1F015(INTEGRA NXT DLR 15W LED 865S)</v>
          </cell>
          <cell r="C3086" t="str">
            <v>HAVELLS</v>
          </cell>
          <cell r="D3086" t="str">
            <v>HAVELLS</v>
          </cell>
        </row>
        <row r="3087">
          <cell r="A3087" t="str">
            <v>LHLDDDBA2A2R018 (INTEGRA NXT DLR 18W LED 857S TR)</v>
          </cell>
          <cell r="B3087" t="str">
            <v>LHLDDDBA2A2R018(INTEGRA NXT DLR 18W LED 857S TR)</v>
          </cell>
          <cell r="C3087" t="str">
            <v>HAVELLS</v>
          </cell>
          <cell r="D3087" t="str">
            <v>HAVELLS</v>
          </cell>
        </row>
        <row r="3088">
          <cell r="A3088" t="str">
            <v>LHEWAJPGNV1F018 (INTEGRA NXT DLR 18W LED 865S)</v>
          </cell>
          <cell r="B3088" t="str">
            <v>LHEWAJPGNV1F018(INTEGRA NXT DLR 18W LED 865S)</v>
          </cell>
          <cell r="C3088" t="str">
            <v>HAVELLS</v>
          </cell>
          <cell r="D3088" t="str">
            <v>HAVELLS</v>
          </cell>
        </row>
        <row r="3089">
          <cell r="A3089" t="str">
            <v>LHLDDDBC2B2R009 (INTEGRA NXT DLR 9W LED 857S TR)</v>
          </cell>
          <cell r="B3089" t="str">
            <v>LHLDDDBC2B2R009(INTEGRA NXT DLR 9W LED 857S TR)</v>
          </cell>
          <cell r="C3089" t="str">
            <v>HAVELLS</v>
          </cell>
          <cell r="D3089" t="str">
            <v>HAVELLS</v>
          </cell>
        </row>
        <row r="3090">
          <cell r="A3090" t="str">
            <v>LHEWAJPGNV1F009 (INTEGRA NXT DLR 9W LED 865S)</v>
          </cell>
          <cell r="B3090" t="str">
            <v>LHEWAJPGNV1F009(INTEGRA NXT DLR 9W LED 865S)</v>
          </cell>
          <cell r="C3090" t="str">
            <v>HAVELLS</v>
          </cell>
          <cell r="D3090" t="str">
            <v>HAVELLS</v>
          </cell>
        </row>
        <row r="3091">
          <cell r="A3091" t="str">
            <v>LHLDDDBE1A2R015 (INTEGRANXTDLRD15WLED840S)</v>
          </cell>
          <cell r="B3091" t="str">
            <v>LHLDDDBE1A2R015(INTEGRANXTDLRD15WLED840S)</v>
          </cell>
          <cell r="C3091" t="str">
            <v>HAVELLS</v>
          </cell>
          <cell r="D3091" t="str">
            <v>HAVELLS</v>
          </cell>
        </row>
        <row r="3092">
          <cell r="A3092" t="str">
            <v>LHEWAJP7PV1Y012 (INTEGRANXTRDDLRSURD12WLED857S)</v>
          </cell>
          <cell r="B3092" t="str">
            <v>LHEWAJP7PV1Y012(INTEGRANXTRDDLRSURD12WLED857S)</v>
          </cell>
          <cell r="C3092" t="str">
            <v>HAVELLS</v>
          </cell>
          <cell r="D3092" t="str">
            <v>HAVELLS</v>
          </cell>
        </row>
        <row r="3093">
          <cell r="A3093" t="str">
            <v>LHLDDDBA2I2R024 (INTEGRANXTRDDLRSURD24WLED857S)</v>
          </cell>
          <cell r="B3093" t="str">
            <v>LHLDDDBA2I2R024(INTEGRANXTRDDLRSURD24WLED857S)</v>
          </cell>
          <cell r="C3093" t="str">
            <v>HAVELLS</v>
          </cell>
          <cell r="D3093" t="str">
            <v>HAVELLS</v>
          </cell>
        </row>
        <row r="3094">
          <cell r="A3094" t="str">
            <v>INTEGRANXTSQDLRSURD12WLED865S</v>
          </cell>
          <cell r="B3094" t="str">
            <v>INTEGRANXTSQDLRSURD12WLED865S</v>
          </cell>
          <cell r="C3094" t="str">
            <v>HAVELLS</v>
          </cell>
          <cell r="D3094" t="str">
            <v>HAVELLS</v>
          </cell>
        </row>
        <row r="3095">
          <cell r="A3095" t="str">
            <v>LHEPARU7IN7J200 (JETA ADORNEFLS 200W LED 757PR1SYMTOTG)</v>
          </cell>
          <cell r="B3095" t="str">
            <v>LHEPARU7IN7J200(JETA ADORNEFLS 200W LED 757PR1SYMTOTG)</v>
          </cell>
          <cell r="C3095" t="str">
            <v>HAVELLS</v>
          </cell>
          <cell r="D3095" t="str">
            <v>HAVELLS</v>
          </cell>
        </row>
        <row r="3096">
          <cell r="A3096" t="str">
            <v>LHEPARU7PN7J150 (JETA ADORNFLS 150W LED 757SSYMTOTG)</v>
          </cell>
          <cell r="B3096" t="str">
            <v>LHEPARU7PN7J150(JETA ADORNFLS 150W LED 757SSYMTOTG)</v>
          </cell>
          <cell r="C3096" t="str">
            <v>HAVELLS</v>
          </cell>
          <cell r="D3096" t="str">
            <v>HAVELLS</v>
          </cell>
        </row>
        <row r="3097">
          <cell r="A3097" t="str">
            <v>LHEPBQU7PJ7J200 (JETAADORNFLS200WLED757SSYMTOTGV3)</v>
          </cell>
          <cell r="B3097" t="str">
            <v>LHEPBQU7PJ7J200(JETAADORNFLS200WLED757SSYMTOTGV3)</v>
          </cell>
          <cell r="C3097" t="str">
            <v>HAVELLS</v>
          </cell>
          <cell r="D3097" t="str">
            <v>HAVELLS</v>
          </cell>
        </row>
        <row r="3098">
          <cell r="A3098" t="str">
            <v>LHEPARU7PA7J100 (JETA ADORN NXTFLS 100W LED 757P 60D TO TG)</v>
          </cell>
          <cell r="B3098" t="str">
            <v>LHEPARU7PA7J100(JETA ADORN NXTFLS 100W LED 757P 60D TO TG)</v>
          </cell>
          <cell r="C3098" t="str">
            <v>HAVELLS</v>
          </cell>
          <cell r="D3098" t="str">
            <v>HAVELLS</v>
          </cell>
        </row>
        <row r="3099">
          <cell r="A3099" t="str">
            <v>LHEPARN7PA7J200 (JETA ADORN NXT FLS 200W LED 757 P 60DTOG)</v>
          </cell>
          <cell r="B3099" t="str">
            <v>LHEPARN7PA7J200(JETA ADORN NXT FLS 200W LED 757 P 60DTOG)</v>
          </cell>
          <cell r="C3099" t="str">
            <v>HAVELLS</v>
          </cell>
          <cell r="D3099" t="str">
            <v>HAVELLS</v>
          </cell>
        </row>
        <row r="3100">
          <cell r="A3100" t="str">
            <v>LHEPAFU7PO7J250 (JETA AIRISMAX FL 250W LED 757 PWBLTG)</v>
          </cell>
          <cell r="B3100" t="str">
            <v>LHEPAFU7PO7J250(JETA AIRISMAX FL 250W LED 757 PWBLTG)</v>
          </cell>
          <cell r="C3100" t="str">
            <v>HAVELLS</v>
          </cell>
          <cell r="D3100" t="str">
            <v>HAVELLS</v>
          </cell>
        </row>
        <row r="3101">
          <cell r="A3101" t="str">
            <v>LHEPADU7P17J150 (JETA IRIS FLS 150W LED 757 P2AWBLTG)</v>
          </cell>
          <cell r="B3101" t="str">
            <v>LHEPADU7P17J150(JETA IRIS FLS 150W LED 757 P2AWBLTG)</v>
          </cell>
          <cell r="C3101" t="str">
            <v>HAVELLS</v>
          </cell>
          <cell r="D3101" t="str">
            <v>HAVELLS</v>
          </cell>
        </row>
        <row r="3102">
          <cell r="A3102" t="str">
            <v>LHEPACU7PZ7J050 (JETA QuantoFLS 50WLED 765 SYMPC)</v>
          </cell>
          <cell r="B3102" t="str">
            <v>LHEPACU7PZ7J050(JETA QuantoFLS 50WLED 765 SYMPC)</v>
          </cell>
          <cell r="C3102" t="str">
            <v>HAVELLS</v>
          </cell>
          <cell r="D3102" t="str">
            <v>HAVELLS</v>
          </cell>
        </row>
        <row r="3103">
          <cell r="A3103" t="str">
            <v>LHEPACU7PZ7J050(N) (JETA QuantoFLS 50WLED 765 SYMPC (N))</v>
          </cell>
          <cell r="B3103" t="str">
            <v>LHEPACU7PZ7J050(N)(JETA QuantoFLS 50WLED 765 SYMPC(N))</v>
          </cell>
          <cell r="C3103" t="str">
            <v>HAVELLS</v>
          </cell>
          <cell r="D3103" t="str">
            <v>HAVELLS</v>
          </cell>
        </row>
        <row r="3104">
          <cell r="A3104" t="str">
            <v>LHEPAXU7PJ7J250 (JETARESOLUTEFLS250WLED75760DTOTG)</v>
          </cell>
          <cell r="B3104" t="str">
            <v>LHEPAXU7PJ7J250(JETARESOLUTEFLS250WLED75760DTOTG)</v>
          </cell>
          <cell r="C3104" t="str">
            <v>HAVELLS</v>
          </cell>
          <cell r="D3104" t="str">
            <v>HAVELLS</v>
          </cell>
        </row>
        <row r="3105">
          <cell r="A3105" t="str">
            <v>LHEPAGU7P47J150 (JETA STURDYFL 150W LED 757SSYMLTG)</v>
          </cell>
          <cell r="B3105" t="str">
            <v>LHEPAGU7P47J150(JETA STURDYFL 150W LED 757SSYMLTG)</v>
          </cell>
          <cell r="C3105" t="str">
            <v>HAVELLS</v>
          </cell>
          <cell r="D3105" t="str">
            <v>HAVELLS</v>
          </cell>
        </row>
        <row r="3106">
          <cell r="A3106" t="str">
            <v>LHEPAJU7P47J200 (JETA STURDY NEO FLS 200W LED 757 SSYMTOTG)</v>
          </cell>
          <cell r="B3106" t="str">
            <v>LHEPAJU7P47J200(JETA STURDY NEO FLS 200W LED 757 SSYMTOTG)</v>
          </cell>
          <cell r="C3106" t="str">
            <v>HAVELLS</v>
          </cell>
          <cell r="D3106" t="str">
            <v>HAVELLS</v>
          </cell>
        </row>
        <row r="3107">
          <cell r="A3107" t="str">
            <v>LSSLOW0570 (JKITILLUMINO50P/S)</v>
          </cell>
          <cell r="B3107" t="str">
            <v>LSSLOW0570(JKITILLUMINO50P/S)</v>
          </cell>
          <cell r="C3107" t="str">
            <v>HAVELLS</v>
          </cell>
          <cell r="D3107" t="str">
            <v>HAVELLS</v>
          </cell>
        </row>
        <row r="3108">
          <cell r="A3108" t="str">
            <v>B22 CDL 15W (LED Classy 15W B22 CDL Ball Lamp)</v>
          </cell>
          <cell r="B3108" t="str">
            <v>B22 CDL 15W(LED Classy 15W B22 CDL Ball Lamp)</v>
          </cell>
          <cell r="C3108" t="str">
            <v>HAVELLS</v>
          </cell>
          <cell r="D3108" t="str">
            <v>HAVELLS</v>
          </cell>
        </row>
        <row r="3109">
          <cell r="A3109" t="str">
            <v>LHLDEUEEML8R015 (LED CLASSY 15W BULB)</v>
          </cell>
          <cell r="B3109" t="str">
            <v>LHLDEUEEML8R015(LED CLASSY 15W BULB)</v>
          </cell>
          <cell r="C3109" t="str">
            <v>HAVELLS</v>
          </cell>
          <cell r="D3109" t="str">
            <v>HAVELLS</v>
          </cell>
        </row>
        <row r="3110">
          <cell r="A3110" t="str">
            <v>LHEACP7IN1W010 (LED DELITE NEO 10W BATTEN 6K - 2FT)</v>
          </cell>
          <cell r="B3110" t="str">
            <v>LHEACP7IN1W010(LED DELITE NEO 10W BATTEN 6K - 2FT)</v>
          </cell>
          <cell r="C3110" t="str">
            <v>HAVELLS</v>
          </cell>
          <cell r="D3110" t="str">
            <v>HAVELLS</v>
          </cell>
        </row>
        <row r="3111">
          <cell r="A3111" t="str">
            <v>LHEXAZP7PN1W005 (LED Elite Pride Plus 5w 6k)</v>
          </cell>
          <cell r="B3111" t="str">
            <v>LHEXAZP7PN1W005(LED Elite Pride Plus 5w 6k)</v>
          </cell>
          <cell r="C3111" t="str">
            <v>HAVELLS</v>
          </cell>
          <cell r="D3111" t="str">
            <v>HAVELLS</v>
          </cell>
        </row>
        <row r="3112">
          <cell r="A3112" t="str">
            <v>Innova 3W RD (LED Innova Spot Light 3W RD 3K)</v>
          </cell>
          <cell r="B3112" t="str">
            <v>Innova 3W RD(LED Innova Spot Light 3W RD 3K)</v>
          </cell>
          <cell r="C3112" t="str">
            <v>HAVELLS</v>
          </cell>
          <cell r="D3112" t="str">
            <v>HAVELLS</v>
          </cell>
        </row>
        <row r="3113">
          <cell r="A3113" t="str">
            <v>LHECDYL6PW1W028 (LED L.FIXT PLANO 2X2 840S)</v>
          </cell>
          <cell r="B3113" t="str">
            <v>LHECDYL6PW1W028(LED L.FIXT PLANO 2X2 840S)</v>
          </cell>
          <cell r="C3113" t="str">
            <v>HAVELLS</v>
          </cell>
          <cell r="D3113" t="str">
            <v>HAVELLS</v>
          </cell>
        </row>
        <row r="3114">
          <cell r="A3114" t="str">
            <v>LHEDDZP7IW1W028 (LED L.FIXT PLANO REC 28W 865 2x2 S)</v>
          </cell>
          <cell r="B3114" t="str">
            <v>LHEDDZP7IW1W028(LED L.FIXT PLANO REC 28W 865 2x2 S)</v>
          </cell>
          <cell r="C3114" t="str">
            <v>HAVELLS</v>
          </cell>
          <cell r="D3114" t="str">
            <v>HAVELLS</v>
          </cell>
        </row>
        <row r="3115">
          <cell r="A3115" t="str">
            <v>LHEDDZP7IW1W036 (LED L.FIXT PLANO REC 36W 865 2x2 S)</v>
          </cell>
          <cell r="B3115" t="str">
            <v>LHEDDZP7IW1W036(LED L.FIXT PLANO REC 36W 865 2x2 S)</v>
          </cell>
          <cell r="C3115" t="str">
            <v>HAVELLS</v>
          </cell>
          <cell r="D3115" t="str">
            <v>HAVELLS</v>
          </cell>
        </row>
        <row r="3116">
          <cell r="A3116" t="str">
            <v>E27 Adore 9W WW (LED New Adore 9W E27 WW Ball Lamp)</v>
          </cell>
          <cell r="B3116" t="str">
            <v>E27 Adore 9W WW(LED New Adore 9W E27 WW Ball Lamp)</v>
          </cell>
          <cell r="C3116" t="str">
            <v>HAVELLS</v>
          </cell>
          <cell r="D3116" t="str">
            <v>HAVELLS</v>
          </cell>
        </row>
        <row r="3117">
          <cell r="A3117" t="str">
            <v>LHEXASP7PN1W020 (LED NU BATTEN 20 W 6500 K)</v>
          </cell>
          <cell r="B3117" t="str">
            <v>LHEXASP7PN1W020(LED NU BATTEN 20 W 6500 K)</v>
          </cell>
          <cell r="C3117" t="str">
            <v>HAVELLS</v>
          </cell>
          <cell r="D3117" t="str">
            <v>HAVELLS</v>
          </cell>
        </row>
        <row r="3118">
          <cell r="A3118" t="str">
            <v>LHEBHDDP7IZIW012 (LED OCTAN 12W SQ 6K)</v>
          </cell>
          <cell r="B3118" t="str">
            <v>LHEBHDDP7IZIW012(LED OCTAN 12W SQ 6K)</v>
          </cell>
          <cell r="C3118" t="str">
            <v>HAVELLS</v>
          </cell>
          <cell r="D3118" t="str">
            <v>HAVELLS</v>
          </cell>
        </row>
        <row r="3119">
          <cell r="A3119" t="str">
            <v>LHEBHDP7I21W003 (LED OCTANE 3W RD 6K)</v>
          </cell>
          <cell r="B3119" t="str">
            <v>LHEBHDP7I21W003(LED OCTANE 3W RD 6K)</v>
          </cell>
          <cell r="C3119" t="str">
            <v>HAVELLS</v>
          </cell>
          <cell r="D3119" t="str">
            <v>HAVELLS</v>
          </cell>
        </row>
        <row r="3120">
          <cell r="A3120" t="str">
            <v>LHEXAZP7PN1W010 (Led Pride Ultra 10watt Batten 2ft)</v>
          </cell>
          <cell r="B3120" t="str">
            <v>LHEXAZP7PN1W010(Led Pride Ultra 10watt Batten 2ft)</v>
          </cell>
          <cell r="C3120" t="str">
            <v>HAVELLS</v>
          </cell>
          <cell r="D3120" t="str">
            <v>HAVELLS</v>
          </cell>
        </row>
        <row r="3121">
          <cell r="A3121" t="str">
            <v>LHEEGEPGIE1W012_x000D_
 (LED RECESSED DOWNLIGHTER 12W)</v>
          </cell>
          <cell r="B3121" t="str">
            <v>LHEEGEPGIE1W012_x000D_
(LED RECESSED DOWNLIGHTER 12W)</v>
          </cell>
          <cell r="C3121" t="str">
            <v>HAVELLS</v>
          </cell>
          <cell r="D3121" t="str">
            <v>HAVELLS</v>
          </cell>
        </row>
        <row r="3122">
          <cell r="A3122" t="str">
            <v>LHEAABP7IL1W006 (LED Trim Clipon SUR 6W 6K)</v>
          </cell>
          <cell r="B3122" t="str">
            <v>LHEAABP7IL1W006(LED Trim Clipon SUR 6W 6K)</v>
          </cell>
          <cell r="C3122" t="str">
            <v>HAVELLS</v>
          </cell>
          <cell r="D3122" t="str">
            <v>HAVELLS</v>
          </cell>
        </row>
        <row r="3123">
          <cell r="A3123" t="str">
            <v>LHEDAHP7PL1W025 (LUMENTO 50LP/S25W LED 857 SWH 1137)</v>
          </cell>
          <cell r="B3123" t="str">
            <v>LHEDAHP7PL1W025(LUMENTO 50LP/S25W LED 857 SWH 1137)</v>
          </cell>
          <cell r="C3123" t="str">
            <v>HAVELLS</v>
          </cell>
          <cell r="D3123" t="str">
            <v>HAVELLS</v>
          </cell>
        </row>
        <row r="3124">
          <cell r="A3124" t="str">
            <v>LHEDAAP7IL1J018P (LUMILINEPLUSBS18WLED865SPCSSIND)</v>
          </cell>
          <cell r="B3124" t="str">
            <v>LHEDAAP7IL1J018P(LUMILINEPLUSBS18WLED865SPCSSIND)</v>
          </cell>
          <cell r="C3124" t="str">
            <v>HAVELLS</v>
          </cell>
          <cell r="D3124" t="str">
            <v>HAVELLS</v>
          </cell>
        </row>
        <row r="3125">
          <cell r="A3125" t="str">
            <v>LUMILINEPLUSNEOBS10WLED865SPCSSINDS</v>
          </cell>
          <cell r="B3125" t="str">
            <v>LUMILINEPLUSNEOBS10WLED865SPCSSINDS</v>
          </cell>
          <cell r="C3125" t="str">
            <v>HAVELLS</v>
          </cell>
          <cell r="D3125" t="str">
            <v>HAVELLS</v>
          </cell>
        </row>
        <row r="3126">
          <cell r="A3126" t="str">
            <v>LHEOAPPBPK6K015 (LYCUSSPS15WLED730PSYMBOTG)</v>
          </cell>
          <cell r="B3126" t="str">
            <v>LHEOAPPBPK6K015(LYCUSSPS15WLED730PSYMBOTG)</v>
          </cell>
          <cell r="C3126" t="str">
            <v>HAVELLS</v>
          </cell>
          <cell r="D3126" t="str">
            <v>HAVELLS</v>
          </cell>
        </row>
        <row r="3127">
          <cell r="A3127" t="str">
            <v>LHEKABF7P17W036 (MAGNUMGRAND GOLD36W LED857SPCLILO)</v>
          </cell>
          <cell r="B3127" t="str">
            <v>LHEKABF7P17W036(MAGNUMGRAND GOLD36W LED857SPCLILO)</v>
          </cell>
          <cell r="C3127" t="str">
            <v>HAVELLS</v>
          </cell>
          <cell r="D3127" t="str">
            <v>HAVELLS</v>
          </cell>
        </row>
        <row r="3128">
          <cell r="A3128" t="str">
            <v>LHEKAWF7PZ7J040 (MAGNUMGRANDNEOIP6640WLED857SPC)</v>
          </cell>
          <cell r="B3128" t="str">
            <v>LHEKAWF7PZ7J040(MAGNUMGRANDNEOIP6640WLED857SPC)</v>
          </cell>
          <cell r="C3128" t="str">
            <v>HAVELLS</v>
          </cell>
          <cell r="D3128" t="str">
            <v>HAVELLS</v>
          </cell>
        </row>
        <row r="3129">
          <cell r="A3129" t="str">
            <v>LHEDECP6PL1W025 (MONDO 400 RDP/ S25W LED 840SPSWH)</v>
          </cell>
          <cell r="B3129" t="str">
            <v>LHEDECP6PL1W025(MONDO 400 RDP/ S25W LED 840SPSWH)</v>
          </cell>
          <cell r="C3129" t="str">
            <v>HAVELLS</v>
          </cell>
          <cell r="D3129" t="str">
            <v>HAVELLS</v>
          </cell>
        </row>
        <row r="3130">
          <cell r="A3130" t="str">
            <v>LHEDEDP7PL1W036 (MONDO 600RDP/ S36W LED 857 SPSWH)</v>
          </cell>
          <cell r="B3130" t="str">
            <v>LHEDEDP7PL1W036(MONDO 600RDP/ S36W LED 857 SPSWH)</v>
          </cell>
          <cell r="C3130" t="str">
            <v>HAVELLS</v>
          </cell>
          <cell r="D3130" t="str">
            <v>HAVELLS</v>
          </cell>
        </row>
        <row r="3131">
          <cell r="A3131" t="str">
            <v>LHEBHDP7IZ1W012 (Octan 12W RD 6K Havells)</v>
          </cell>
          <cell r="B3131" t="str">
            <v>LHEBHDP7IZ1W012(Octan 12W RD 6K Havells)</v>
          </cell>
          <cell r="C3131" t="str">
            <v>HAVELLS</v>
          </cell>
          <cell r="D3131" t="str">
            <v>HAVELLS</v>
          </cell>
        </row>
        <row r="3132">
          <cell r="A3132" t="str">
            <v>LHEBHDP7IZ1W003 (Octane 3W RD 6K Havells)</v>
          </cell>
          <cell r="B3132" t="str">
            <v>LHEBHDP7IZ1W003(Octane 3W RD 6K Havells)</v>
          </cell>
          <cell r="C3132" t="str">
            <v>HAVELLS</v>
          </cell>
          <cell r="D3132" t="str">
            <v>HAVELLS</v>
          </cell>
        </row>
        <row r="3133">
          <cell r="A3133" t="str">
            <v>Octane 3W (Octane 3W RD Down Light)</v>
          </cell>
          <cell r="B3133" t="str">
            <v>Octane 3W(Octane 3W RD Down Light)</v>
          </cell>
          <cell r="C3133" t="str">
            <v>HAVELLS</v>
          </cell>
          <cell r="D3133" t="str">
            <v>HAVELLS</v>
          </cell>
        </row>
        <row r="3134">
          <cell r="A3134" t="str">
            <v>LHEBHDP5IZ1W015 (OCTANE LED PANEL 15W RD 3000K)</v>
          </cell>
          <cell r="B3134" t="str">
            <v>LHEBHDP5IZ1W015(OCTANE LED PANEL 15W RD 3000K)</v>
          </cell>
          <cell r="C3134" t="str">
            <v>HAVELLS</v>
          </cell>
          <cell r="D3134" t="str">
            <v>HAVELLS</v>
          </cell>
        </row>
        <row r="3135">
          <cell r="A3135" t="str">
            <v>LHEBHDP6IZ1W015 (OCTANE LED PANEL 15W RD 4000K)</v>
          </cell>
          <cell r="B3135" t="str">
            <v>LHEBHDP6IZ1W015(OCTANE LED PANEL 15W RD 4000K)</v>
          </cell>
          <cell r="C3135" t="str">
            <v>HAVELLS</v>
          </cell>
          <cell r="D3135" t="str">
            <v>HAVELLS</v>
          </cell>
        </row>
        <row r="3136">
          <cell r="A3136" t="str">
            <v>LHEBHDP7IZ1W015 (OCTANE LED PANEL 15W RD 6500K)</v>
          </cell>
          <cell r="B3136" t="str">
            <v>LHEBHDP7IZ1W015(OCTANE LED PANEL 15W RD 6500K)</v>
          </cell>
          <cell r="C3136" t="str">
            <v>HAVELLS</v>
          </cell>
          <cell r="D3136" t="str">
            <v>HAVELLS</v>
          </cell>
        </row>
        <row r="3137">
          <cell r="A3137" t="str">
            <v>LHELAGUNPN7J100 (PARABELLOHBP100WLED857PBOTG)</v>
          </cell>
          <cell r="B3137" t="str">
            <v>LHELAGUNPN7J100(PARABELLOHBP100WLED857PBOTG)</v>
          </cell>
          <cell r="C3137" t="str">
            <v>HAVELLS</v>
          </cell>
          <cell r="D3137" t="str">
            <v>HAVELLS</v>
          </cell>
        </row>
        <row r="3138">
          <cell r="A3138" t="str">
            <v>LHELAGN7PN7J120 (PARABELLOHBP120WLED857PBOTG)</v>
          </cell>
          <cell r="B3138" t="str">
            <v>LHELAGN7PN7J120(PARABELLOHBP120WLED857PBOTG)</v>
          </cell>
          <cell r="C3138" t="str">
            <v>HAVELLS</v>
          </cell>
          <cell r="D3138" t="str">
            <v>HAVELLS</v>
          </cell>
        </row>
        <row r="3139">
          <cell r="A3139" t="str">
            <v>LHEIAEPDPA1W015 (PHAROS DLP 15W LED840S36D WHT)</v>
          </cell>
          <cell r="B3139" t="str">
            <v>LHEIAEPDPA1W015(PHAROS DLP 15W LED840S36D WHT)</v>
          </cell>
          <cell r="C3139" t="str">
            <v>HAVELLS</v>
          </cell>
          <cell r="D3139" t="str">
            <v>HAVELLS</v>
          </cell>
        </row>
        <row r="3140">
          <cell r="A3140" t="str">
            <v>LHEIAEPDPB1W015 (PHAROSDLS15WLED840S36DWHT)</v>
          </cell>
          <cell r="B3140" t="str">
            <v>LHEIAEPDPB1W015(PHAROSDLS15WLED840S36DWHT)</v>
          </cell>
          <cell r="C3140" t="str">
            <v>HAVELLS</v>
          </cell>
          <cell r="D3140" t="str">
            <v>HAVELLS</v>
          </cell>
        </row>
        <row r="3141">
          <cell r="A3141" t="str">
            <v>LHLDABXEML83020 (PHOTON ULTRAN  1213T 8SSTL 20W LED 865SPCIND)</v>
          </cell>
          <cell r="B3141" t="str">
            <v>LHLDABXEML83020(PHOTON ULTRAN 1213T 8SSTL 20W LED 865SPCIND)</v>
          </cell>
          <cell r="C3141" t="str">
            <v>HAVELLS</v>
          </cell>
          <cell r="D3141" t="str">
            <v>HAVELLS</v>
          </cell>
        </row>
        <row r="3142">
          <cell r="A3142" t="str">
            <v>LHEDDZP7IW1W024 (PLANO 2x2PLR24W LED865S)</v>
          </cell>
          <cell r="B3142" t="str">
            <v>LHEDDZP7IW1W024(PLANO 2x2PLR24W LED865S)</v>
          </cell>
          <cell r="C3142" t="str">
            <v>HAVELLS</v>
          </cell>
          <cell r="D3142" t="str">
            <v>HAVELLS</v>
          </cell>
        </row>
        <row r="3143">
          <cell r="A3143" t="str">
            <v>LHECDYL6PW1W036 (PLANO 2X2 PLR 36W LED 840S)</v>
          </cell>
          <cell r="B3143" t="str">
            <v>LHECDYL6PW1W036(PLANO 2X2 PLR 36W LED 840S)</v>
          </cell>
          <cell r="C3143" t="str">
            <v>HAVELLS</v>
          </cell>
          <cell r="D3143" t="str">
            <v>HAVELLS</v>
          </cell>
        </row>
        <row r="3144">
          <cell r="A3144" t="str">
            <v>LHECDYL7NW1W036 (PLANO 2X2PLR 36W LED857SPOP)</v>
          </cell>
          <cell r="B3144" t="str">
            <v>LHECDYL7NW1W036(PLANO 2X2PLR 36W LED857SPOP)</v>
          </cell>
          <cell r="C3144" t="str">
            <v>HAVELLS</v>
          </cell>
          <cell r="D3144" t="str">
            <v>HAVELLS</v>
          </cell>
        </row>
        <row r="3145">
          <cell r="A3145" t="str">
            <v>LHEDDZN7PA1W036 (PLANO2X2PLR36WLED857TAPS)</v>
          </cell>
          <cell r="B3145" t="str">
            <v>LHEDDZN7PA1W036(PLANO2X2PLR36WLED857TAPS)</v>
          </cell>
          <cell r="C3145" t="str">
            <v>HAVELLS</v>
          </cell>
          <cell r="D3145" t="str">
            <v>HAVELLS</v>
          </cell>
        </row>
        <row r="3146">
          <cell r="A3146" t="str">
            <v>LHEDDZP7PW1W042 (PLANO 2X2 PLR 42W LED 857S)</v>
          </cell>
          <cell r="B3146" t="str">
            <v>LHEDDZP7PW1W042(PLANO 2X2 PLR 42W LED 857S)</v>
          </cell>
          <cell r="C3146" t="str">
            <v>HAVELLS</v>
          </cell>
          <cell r="D3146" t="str">
            <v>HAVELLS</v>
          </cell>
        </row>
        <row r="3147">
          <cell r="A3147" t="str">
            <v>LHEDDZP7IW1W042 (PLANO2X2PLR42WLED865S)</v>
          </cell>
          <cell r="B3147" t="str">
            <v>LHEDDZP7IW1W042(PLANO2X2PLR42WLED865S)</v>
          </cell>
          <cell r="C3147" t="str">
            <v>HAVELLS</v>
          </cell>
          <cell r="D3147" t="str">
            <v>HAVELLS</v>
          </cell>
        </row>
        <row r="3148">
          <cell r="A3148" t="str">
            <v>LHECDYL8PW1W060 (PLANO2X2PLR60WLED865SG2)</v>
          </cell>
          <cell r="B3148" t="str">
            <v>LHECDYL8PW1W060(PLANO2X2PLR60WLED865SG2)</v>
          </cell>
          <cell r="C3148" t="str">
            <v>HAVELLS</v>
          </cell>
          <cell r="D3148" t="str">
            <v>HAVELLS</v>
          </cell>
        </row>
        <row r="3149">
          <cell r="A3149" t="str">
            <v>LHEDDZP7IN1W036 (PLANO 36W SURFACE PANEL LED)</v>
          </cell>
          <cell r="B3149" t="str">
            <v>LHEDDZP7IN1W036(PLANO 36W SURFACE PANEL LED)</v>
          </cell>
          <cell r="C3149" t="str">
            <v>HAVELLS</v>
          </cell>
          <cell r="D3149" t="str">
            <v>HAVELLS</v>
          </cell>
        </row>
        <row r="3150">
          <cell r="A3150" t="str">
            <v>LHEDDZP7PW1W036 (PLANOSUR 2x2PLS36W LED857S0720)</v>
          </cell>
          <cell r="B3150" t="str">
            <v>LHEDDZP7PW1W036(PLANOSUR 2x2PLS36W LED857S0720)</v>
          </cell>
          <cell r="C3150" t="str">
            <v>HAVELLS</v>
          </cell>
          <cell r="D3150" t="str">
            <v>HAVELLS</v>
          </cell>
        </row>
        <row r="3151">
          <cell r="A3151" t="str">
            <v>LHEDDZP7IQ1W042 (PLANO SUR 2X2 PLS 42W LED 857 S0720)</v>
          </cell>
          <cell r="B3151" t="str">
            <v>LHEDDZP7IQ1W042(PLANO SUR 2X2 PLS 42W LED 857 S0720)</v>
          </cell>
          <cell r="C3151" t="str">
            <v>HAVELLS</v>
          </cell>
          <cell r="D3151" t="str">
            <v>HAVELLS</v>
          </cell>
        </row>
        <row r="3152">
          <cell r="A3152" t="str">
            <v>LHEDEAP7PW1W036 (PLANO SUR 4X1 PLS 36W LED 857 S0720)</v>
          </cell>
          <cell r="B3152" t="str">
            <v>LHEDEAP7PW1W036(PLANO SUR 4X1 PLS 36W LED 857 S0720)</v>
          </cell>
          <cell r="C3152" t="str">
            <v>HAVELLS</v>
          </cell>
          <cell r="D3152" t="str">
            <v>HAVELLS</v>
          </cell>
        </row>
        <row r="3153">
          <cell r="A3153" t="str">
            <v>LHEDEAP7PW1W042 (PLANO SUR 4X1 PLS 42W LED 857S0720)</v>
          </cell>
          <cell r="B3153" t="str">
            <v>LHEDEAP7PW1W042(PLANO SUR 4X1 PLS 42W LED 857S0720)</v>
          </cell>
          <cell r="C3153" t="str">
            <v>HAVELLS</v>
          </cell>
          <cell r="D3153" t="str">
            <v>HAVELLS</v>
          </cell>
        </row>
        <row r="3154">
          <cell r="A3154" t="str">
            <v>LHEWEJP7PL1W034 (Pluto NEO 2x2 PLR34W LED857S)</v>
          </cell>
          <cell r="B3154" t="str">
            <v>LHEWEJP7PL1W034(Pluto NEO 2x2 PLR34W LED857S)</v>
          </cell>
          <cell r="C3154" t="str">
            <v>HAVELLS</v>
          </cell>
          <cell r="D3154" t="str">
            <v>HAVELLS</v>
          </cell>
        </row>
        <row r="3155">
          <cell r="A3155" t="str">
            <v>LHEODCPFI46J007 (Radiant Neo LED Step Light 7W 3K IP65)</v>
          </cell>
          <cell r="B3155" t="str">
            <v>LHEODCPFI46J007(Radiant Neo LED Step Light 7W 3K IP65)</v>
          </cell>
          <cell r="C3155" t="str">
            <v>HAVELLS</v>
          </cell>
          <cell r="D3155" t="str">
            <v>HAVELLS</v>
          </cell>
        </row>
        <row r="3156">
          <cell r="A3156" t="str">
            <v>LHEOALP7PZ6J010 (RUGBY  GENXFTS 10W LED 865SSY MBOPC)</v>
          </cell>
          <cell r="B3156" t="str">
            <v>LHEOALP7PZ6J010(RUGBY  GENXFTS 10W LED 865SSY MBOPC)</v>
          </cell>
          <cell r="C3156" t="str">
            <v>HAVELLS</v>
          </cell>
          <cell r="D3156" t="str">
            <v>HAVELLS</v>
          </cell>
        </row>
        <row r="3157">
          <cell r="A3157" t="str">
            <v>LHELAHUNNG7J150 (SAUCER GENX ADVHBP 150W LED 857 PWBBORL)</v>
          </cell>
          <cell r="B3157" t="str">
            <v>LHELAHUNNG7J150(SAUCER GENX ADVHBP 150W LED 857 PWBBORL)</v>
          </cell>
          <cell r="C3157" t="str">
            <v>HAVELLS</v>
          </cell>
          <cell r="D3157" t="str">
            <v>HAVELLS</v>
          </cell>
        </row>
        <row r="3158">
          <cell r="A3158" t="str">
            <v>LHELAHU7IN7J200 (SAUCERGENXADVHBP200WLED857MOWBBORL)</v>
          </cell>
          <cell r="B3158" t="str">
            <v>LHELAHU7IN7J200(SAUCERGENXADVHBP200WLED857MOWBBORL)</v>
          </cell>
          <cell r="C3158" t="str">
            <v>HAVELLS</v>
          </cell>
          <cell r="D3158" t="str">
            <v>HAVELLS</v>
          </cell>
        </row>
        <row r="3159">
          <cell r="A3159" t="str">
            <v>LHEBFCPJIG1W015 (Sparkle PROGIMBALDLR2x15W LED830M0D24D)</v>
          </cell>
          <cell r="B3159" t="str">
            <v>LHEBFCPJIG1W015(Sparkle PROGIMBALDLR2x15W LED830M0D24D)</v>
          </cell>
          <cell r="C3159" t="str">
            <v>HAVELLS</v>
          </cell>
          <cell r="D3159" t="str">
            <v>HAVELLS</v>
          </cell>
        </row>
        <row r="3160">
          <cell r="A3160" t="str">
            <v>LHEBFCPJIG1K025 (SPARKLEPRO GIMBAL DLR 2X25 LED 830MOD24D BLK)</v>
          </cell>
          <cell r="B3160" t="str">
            <v>LHEBFCPJIG1K025(SPARKLEPRO GIMBAL DLR 2X25 LED 830MOD24D BLK)</v>
          </cell>
          <cell r="C3160" t="str">
            <v>HAVELLS</v>
          </cell>
          <cell r="D3160" t="str">
            <v>HAVELLS</v>
          </cell>
        </row>
        <row r="3161">
          <cell r="A3161" t="str">
            <v>LHEBMKPDIH1W020 (SPARKLE PRO LED DL 20W)</v>
          </cell>
          <cell r="B3161" t="str">
            <v>LHEBMKPDIH1W020(SPARKLE PRO LED DL 20W)</v>
          </cell>
          <cell r="C3161" t="str">
            <v>HAVELLS</v>
          </cell>
          <cell r="D3161" t="str">
            <v>HAVELLS</v>
          </cell>
        </row>
        <row r="3162">
          <cell r="A3162" t="str">
            <v>LHEBFMPBIH1W015 (SPIRITLAMPUNITDLR15WLED827MOD38D)</v>
          </cell>
          <cell r="B3162" t="str">
            <v>LHEBFMPBIH1W015(SPIRITLAMPUNITDLR15WLED827MOD38D)</v>
          </cell>
          <cell r="C3162" t="str">
            <v>HAVELLS</v>
          </cell>
          <cell r="D3162" t="str">
            <v>HAVELLS</v>
          </cell>
        </row>
        <row r="3163">
          <cell r="A3163" t="str">
            <v>LHEYAAP7PG1W040 (STOUT MINI 1200 BSGEN 40W LED 857 SPCWH)</v>
          </cell>
          <cell r="B3163" t="str">
            <v>LHEYAAP7PG1W040(STOUT MINI 1200 BSGEN 40W LED 857 SPCWH)</v>
          </cell>
          <cell r="C3163" t="str">
            <v>HAVELLS</v>
          </cell>
          <cell r="D3163" t="str">
            <v>HAVELLS</v>
          </cell>
        </row>
        <row r="3164">
          <cell r="A3164" t="str">
            <v>LHEWAHP7PL1W036 (STRATO2X2PLR36WLED857MOD)</v>
          </cell>
          <cell r="B3164" t="str">
            <v>LHEWAHP7PL1W036(STRATO2X2PLR36WLED857MOD)</v>
          </cell>
          <cell r="C3164" t="str">
            <v>HAVELLS</v>
          </cell>
          <cell r="D3164" t="str">
            <v>HAVELLS</v>
          </cell>
        </row>
        <row r="3165">
          <cell r="A3165" t="str">
            <v>LHEMAAP7PD7J040 (STUPEWGP 40W LED 757SSYMTOPCGRY)</v>
          </cell>
          <cell r="B3165" t="str">
            <v>LHEMAAP7PD7J040(STUPEWGP 40W LED 757SSYMTOPCGRY)</v>
          </cell>
          <cell r="C3165" t="str">
            <v>HAVELLS</v>
          </cell>
          <cell r="D3165" t="str">
            <v>HAVELLS</v>
          </cell>
        </row>
        <row r="3166">
          <cell r="A3166" t="str">
            <v>LHETACU7PA7J045 (SUNDOWN SL 45W LED 765 PASYB0PC)</v>
          </cell>
          <cell r="B3166" t="str">
            <v>LHETACU7PA7J045(SUNDOWN SL 45W LED 765 PASYB0PC)</v>
          </cell>
          <cell r="C3166" t="str">
            <v>HAVELLS</v>
          </cell>
          <cell r="D3166" t="str">
            <v>HAVELLS</v>
          </cell>
        </row>
        <row r="3167">
          <cell r="A3167" t="str">
            <v>LHEEGEPGIE1W024 (SWIVEL SPOTLIGHT 24W 6500K)</v>
          </cell>
          <cell r="B3167" t="str">
            <v>LHEEGEPGIE1W024(SWIVEL SPOTLIGHT 24W 6500K)</v>
          </cell>
          <cell r="C3167" t="str">
            <v>HAVELLS</v>
          </cell>
          <cell r="D3167" t="str">
            <v>HAVELLS</v>
          </cell>
        </row>
        <row r="3168">
          <cell r="A3168" t="str">
            <v>LHLDCLXNML8Z030 (TITANIA PLUS 1213 T8SSTL 30W LED 865SPC)</v>
          </cell>
          <cell r="B3168" t="str">
            <v>LHLDCLXNML8Z030(TITANIA PLUS 1213 T8SSTL 30W LED 865SPC)</v>
          </cell>
          <cell r="C3168" t="str">
            <v>HAVELLS</v>
          </cell>
          <cell r="D3168" t="str">
            <v>HAVELLS</v>
          </cell>
        </row>
        <row r="3169">
          <cell r="A3169" t="str">
            <v>LHECEBL7PW6J080 (TOCR 2X2R 80W LED 857SPCMSEXE)</v>
          </cell>
          <cell r="B3169" t="str">
            <v>LHECEBL7PW6J080(TOCR 2X2R 80W LED 857SPCMSEXE)</v>
          </cell>
          <cell r="C3169" t="str">
            <v>HAVELLS</v>
          </cell>
          <cell r="D3169" t="str">
            <v>HAVELLS</v>
          </cell>
        </row>
        <row r="3170">
          <cell r="A3170" t="str">
            <v>LHEDAEP7PK1W036 (TORUS600RDP/S36WLED857SCDPWH)</v>
          </cell>
          <cell r="B3170" t="str">
            <v>LHEDAEP7PK1W036(TORUS600RDP/S36WLED857SCDPWH)</v>
          </cell>
          <cell r="C3170" t="str">
            <v>HAVELLS</v>
          </cell>
          <cell r="D3170" t="str">
            <v>HAVELLS</v>
          </cell>
        </row>
        <row r="3171">
          <cell r="A3171" t="str">
            <v>LHENAHP7I47J010 (TURINBLS 10W LED 857PSYMTOPC)</v>
          </cell>
          <cell r="B3171" t="str">
            <v>LHENAHP7I47J010(TURINBLS 10W LED 857PSYMTOPC)</v>
          </cell>
          <cell r="C3171" t="str">
            <v>HAVELLS</v>
          </cell>
          <cell r="D3171" t="str">
            <v>HAVELLS</v>
          </cell>
        </row>
        <row r="3172">
          <cell r="A3172" t="str">
            <v>LHECAAL7NL1W025 (TZLR25WLED857SPSWH1195)</v>
          </cell>
          <cell r="B3172" t="str">
            <v>LHECAAL7NL1W025(TZLR25WLED857SPSWH1195)</v>
          </cell>
          <cell r="C3172" t="str">
            <v>HAVELLS</v>
          </cell>
          <cell r="D3172" t="str">
            <v>HAVELLS</v>
          </cell>
        </row>
        <row r="3173">
          <cell r="A3173" t="str">
            <v>LHENAEP7I16K010 (UFOBLS 10W LED 857PSYMTOPCM)</v>
          </cell>
          <cell r="B3173" t="str">
            <v>LHENAEP7I16K010(UFOBLS 10W LED 857PSYMTOPCM)</v>
          </cell>
          <cell r="C3173" t="str">
            <v>HAVELLS</v>
          </cell>
          <cell r="D3173" t="str">
            <v>HAVELLS</v>
          </cell>
        </row>
        <row r="3174">
          <cell r="A3174" t="str">
            <v>LHEBAPPDIG1W008 (UNECOADJDLR8WLED840S24)</v>
          </cell>
          <cell r="B3174" t="str">
            <v>LHEBAPPDIG1W008(UNECOADJDLR8WLED840S24)</v>
          </cell>
          <cell r="C3174" t="str">
            <v>HAVELLS</v>
          </cell>
          <cell r="D3174" t="str">
            <v>HAVELLS</v>
          </cell>
        </row>
        <row r="3175">
          <cell r="A3175" t="str">
            <v>LHEBAQPDIG1W015 (Unecofix DLR 15W LED 840S)</v>
          </cell>
          <cell r="B3175" t="str">
            <v>LHEBAQPDIG1W015(Unecofix DLR 15W LED 840S)</v>
          </cell>
          <cell r="C3175" t="str">
            <v>HAVELLS</v>
          </cell>
          <cell r="D3175" t="str">
            <v>HAVELLS</v>
          </cell>
        </row>
        <row r="3176">
          <cell r="A3176" t="str">
            <v>LHEBAQPFIG1W015 (UNECOFIXDLR15WLED857S60)</v>
          </cell>
          <cell r="B3176" t="str">
            <v>LHEBAQPFIG1W015(UNECOFIXDLR15WLED857S60)</v>
          </cell>
          <cell r="C3176" t="str">
            <v>HAVELLS</v>
          </cell>
          <cell r="D3176" t="str">
            <v>HAVELLS</v>
          </cell>
        </row>
        <row r="3177">
          <cell r="A3177" t="str">
            <v>LHEBAQPDIH1W020 (UNECO FIX DLR 20W LED 840S 60)</v>
          </cell>
          <cell r="B3177" t="str">
            <v>LHEBAQPDIH1W020(UNECO FIX DLR 20W LED 840S 60)</v>
          </cell>
          <cell r="C3177" t="str">
            <v>HAVELLS</v>
          </cell>
          <cell r="D3177" t="str">
            <v>HAVELLS</v>
          </cell>
        </row>
        <row r="3178">
          <cell r="A3178" t="str">
            <v>LHEIAEPDIA1K015 (UNECOPENDDLP15WLED840S24BLK)</v>
          </cell>
          <cell r="B3178" t="str">
            <v>LHEIAEPDIA1K015(UNECOPENDDLP15WLED840S24BLK)</v>
          </cell>
          <cell r="C3178" t="str">
            <v>HAVELLS</v>
          </cell>
          <cell r="D3178" t="str">
            <v>HAVELLS</v>
          </cell>
        </row>
        <row r="3179">
          <cell r="A3179" t="str">
            <v>LHEIAEPGIA1K015 (UNECOPENDDLP15WLED857S24BLK)</v>
          </cell>
          <cell r="B3179" t="str">
            <v>LHEIAEPGIA1K015(UNECOPENDDLP15WLED857S24BLK)</v>
          </cell>
          <cell r="C3179" t="str">
            <v>HAVELLS</v>
          </cell>
          <cell r="D3179" t="str">
            <v>HAVELLS</v>
          </cell>
        </row>
        <row r="3180">
          <cell r="A3180" t="str">
            <v>LHEIAEPGIA1W015 (UNE COPE NDDLP 15W LED 857S 24WHT)</v>
          </cell>
          <cell r="B3180" t="str">
            <v>LHEIAEPGIA1W015(UNE COPE NDDLP 15W LED 857S 24WHT)</v>
          </cell>
          <cell r="C3180" t="str">
            <v>HAVELLS</v>
          </cell>
          <cell r="D3180" t="str">
            <v>HAVELLS</v>
          </cell>
        </row>
        <row r="3181">
          <cell r="A3181" t="str">
            <v>LHEIAEPBIA1K020 (UNECO PEND DLP 20W LED 830S 36BLK)</v>
          </cell>
          <cell r="B3181" t="str">
            <v>LHEIAEPBIA1K020(UNECO PEND DLP 20W LED 830S 36BLK)</v>
          </cell>
          <cell r="C3181" t="str">
            <v>HAVELLS</v>
          </cell>
          <cell r="D3181" t="str">
            <v>HAVELLS</v>
          </cell>
        </row>
        <row r="3182">
          <cell r="A3182" t="str">
            <v>LHEIAEPDIA1K020 (UNECO PEND DLP 20W LED 840S 36 BLK)</v>
          </cell>
          <cell r="B3182" t="str">
            <v>LHEIAEPDIA1K020(UNECO PEND DLP 20W LED 840S 36 BLK)</v>
          </cell>
          <cell r="C3182" t="str">
            <v>HAVELLS</v>
          </cell>
          <cell r="D3182" t="str">
            <v>HAVELLS</v>
          </cell>
        </row>
        <row r="3183">
          <cell r="A3183" t="str">
            <v>LHEIAEPGIA1K020 (UNECOPENDDLP20WLED857S36BLK)</v>
          </cell>
          <cell r="B3183" t="str">
            <v>LHEIAEPGIA1K020(UNECOPENDDLP20WLED857S36BLK)</v>
          </cell>
          <cell r="C3183" t="str">
            <v>HAVELLS</v>
          </cell>
          <cell r="D3183" t="str">
            <v>HAVELLS</v>
          </cell>
        </row>
        <row r="3184">
          <cell r="A3184" t="str">
            <v>LHEIAEPGIA1K030 (UNECOP END DLP 30W LED 857S 36BLK)</v>
          </cell>
          <cell r="B3184" t="str">
            <v>LHEIAEPGIA1K030(UNECOP END DLP 30W LED 857S 36BLK)</v>
          </cell>
          <cell r="C3184" t="str">
            <v>HAVELLS</v>
          </cell>
          <cell r="D3184" t="str">
            <v>HAVELLS</v>
          </cell>
        </row>
        <row r="3185">
          <cell r="A3185" t="str">
            <v>LHEIAEPDIA1K008 (UNECO PENDDLP 8W LED 840S24BLK)</v>
          </cell>
          <cell r="B3185" t="str">
            <v>LHEIAEPDIA1K008(UNECO PENDDLP 8W LED 840S24BLK)</v>
          </cell>
          <cell r="C3185" t="str">
            <v>HAVELLS</v>
          </cell>
          <cell r="D3185" t="str">
            <v>HAVELLS</v>
          </cell>
        </row>
        <row r="3186">
          <cell r="A3186" t="str">
            <v>LHEABCPDIG1K015 (UNECO SURF DLS 15W LED 840S 24BLK)</v>
          </cell>
          <cell r="B3186" t="str">
            <v>LHEABCPDIG1K015(UNECO SURF DLS 15W LED 840S 24BLK)</v>
          </cell>
          <cell r="C3186" t="str">
            <v>HAVELLS</v>
          </cell>
          <cell r="D3186" t="str">
            <v>HAVELLS</v>
          </cell>
        </row>
        <row r="3187">
          <cell r="A3187" t="str">
            <v>LHEABCPFIG1K015 (UNECOSURFDLS15WLED857S24)</v>
          </cell>
          <cell r="B3187" t="str">
            <v>LHEABCPFIG1K015(UNECOSURFDLS15WLED857S24)</v>
          </cell>
          <cell r="C3187" t="str">
            <v>HAVELLS</v>
          </cell>
          <cell r="D3187" t="str">
            <v>HAVELLS</v>
          </cell>
        </row>
        <row r="3188">
          <cell r="A3188" t="str">
            <v>LHEEAOPDIN1W025 (UNECO TRACK LIGHT TS25W LED 840 S 60WHT)</v>
          </cell>
          <cell r="B3188" t="str">
            <v>LHEEAOPDIN1W025(UNECO TRACK LIGHT TS25W LED 840 S 60WHT)</v>
          </cell>
          <cell r="C3188" t="str">
            <v>HAVELLS</v>
          </cell>
          <cell r="D3188" t="str">
            <v>HAVELLS</v>
          </cell>
        </row>
        <row r="3189">
          <cell r="A3189" t="str">
            <v>LHEWBQP6PW1W036 (VENUSNEO2X2PLR36WLED840G2)</v>
          </cell>
          <cell r="B3189" t="str">
            <v>LHEWBQP6PW1W036(VENUSNEO2X2PLR36WLED840G2)</v>
          </cell>
          <cell r="C3189" t="str">
            <v>HAVELLS</v>
          </cell>
          <cell r="D3189" t="str">
            <v>HAVELLS</v>
          </cell>
        </row>
        <row r="3190">
          <cell r="A3190" t="str">
            <v>LHEWBQP7PW1W036 (VENUS NEO 2X2 PLR 36W LED 857G2)</v>
          </cell>
          <cell r="B3190" t="str">
            <v>LHEWBQP7PW1W036(VENUS NEO 2X2 PLR 36W LED 857G2)</v>
          </cell>
          <cell r="C3190" t="str">
            <v>HAVELLS</v>
          </cell>
          <cell r="D3190" t="str">
            <v>HAVELLS</v>
          </cell>
        </row>
        <row r="3191">
          <cell r="A3191" t="str">
            <v>LHEWBPPNPV1W036 (VENUSNEO2X2PLR36WLED857POTR)</v>
          </cell>
          <cell r="B3191" t="str">
            <v>LHEWBPPNPV1W036(VENUSNEO2X2PLR36WLED857POTR)</v>
          </cell>
          <cell r="C3191" t="str">
            <v>HAVELLS</v>
          </cell>
          <cell r="D3191" t="str">
            <v>HAVELLS</v>
          </cell>
        </row>
        <row r="3192">
          <cell r="A3192" t="str">
            <v>LHEWAEPNIV1W036 (VENUS NEO 2X2 PLR 36W LED 857 STTR)</v>
          </cell>
          <cell r="B3192" t="str">
            <v>LHEWAEPNIV1W036(VENUS NEO 2X2 PLR 36W LED 857 STTR)</v>
          </cell>
          <cell r="C3192" t="str">
            <v>HAVELLS</v>
          </cell>
          <cell r="D3192" t="str">
            <v>HAVELLS</v>
          </cell>
        </row>
        <row r="3193">
          <cell r="A3193" t="str">
            <v>LHEWBQPNPW1W036 (VENUS NEO 2X2 PLR 36W LED 865G2)</v>
          </cell>
          <cell r="B3193" t="str">
            <v>LHEWBQPNPW1W036(VENUS NEO 2X2 PLR 36W LED 865G2)</v>
          </cell>
          <cell r="C3193" t="str">
            <v>HAVELLS</v>
          </cell>
          <cell r="D3193" t="str">
            <v>HAVELLS</v>
          </cell>
        </row>
        <row r="3194">
          <cell r="A3194" t="str">
            <v>LHEWBPP6NW1W034 (VENUS NEO HE 2X2PLR 18-42W LED 840 MOD)</v>
          </cell>
          <cell r="B3194" t="str">
            <v>LHEWBPP6NW1W034(VENUS NEO HE 2X2PLR 18-42W LED 840 MOD)</v>
          </cell>
          <cell r="C3194" t="str">
            <v>HAVELLS</v>
          </cell>
          <cell r="D3194" t="str">
            <v>HAVELLS</v>
          </cell>
        </row>
        <row r="3195">
          <cell r="A3195" t="str">
            <v>LSSLHX2627 (L SPARE DRIVER 75W RDBAY PRESN262_R3)</v>
          </cell>
          <cell r="B3195" t="str">
            <v>LSSLHX2627(L SPARE DRIVER 75W RDBAY PRESN262_R3)</v>
          </cell>
          <cell r="C3195" t="str">
            <v>HAVELLS</v>
          </cell>
          <cell r="D3195" t="str">
            <v>HAVELLS</v>
          </cell>
        </row>
        <row r="3196">
          <cell r="A3196" t="str">
            <v>LSSCRX2307 (36W LED DRIVER)</v>
          </cell>
          <cell r="B3196" t="str">
            <v>LSSCRX2307(36W LED DRIVER)</v>
          </cell>
          <cell r="C3196" t="str">
            <v>HAVELLS</v>
          </cell>
          <cell r="D3196" t="str">
            <v>HAVELLS</v>
          </cell>
        </row>
        <row r="3197">
          <cell r="A3197" t="str">
            <v>LSSLNW0135 (5A LED Driver)</v>
          </cell>
          <cell r="B3197" t="str">
            <v>LSSLNW0135(5A LED Driver)</v>
          </cell>
          <cell r="C3197" t="str">
            <v>HAVELLS</v>
          </cell>
          <cell r="D3197" t="str">
            <v>HAVELLS</v>
          </cell>
        </row>
        <row r="3198">
          <cell r="A3198" t="str">
            <v>LSSLOW0396 (ASSEMBLED CG BOX VALOUR 400WP)</v>
          </cell>
          <cell r="B3198" t="str">
            <v>LSSLOW0396(ASSEMBLED CG BOX VALOUR 400WP)</v>
          </cell>
          <cell r="C3198" t="str">
            <v>HAVELLS</v>
          </cell>
          <cell r="D3198" t="str">
            <v>HAVELLS</v>
          </cell>
        </row>
        <row r="3199">
          <cell r="A3199" t="str">
            <v>LSSLOGO0139 (ASSEMBLED CG BOX VALOUR 500WP)</v>
          </cell>
          <cell r="B3199" t="str">
            <v>LSSLOGO0139(ASSEMBLED CG BOX VALOUR 500WP)</v>
          </cell>
          <cell r="C3199" t="str">
            <v>HAVELLS</v>
          </cell>
          <cell r="D3199" t="str">
            <v>HAVELLS</v>
          </cell>
        </row>
        <row r="3200">
          <cell r="A3200" t="str">
            <v>LDJGB36 (Constant Current LED Driver)</v>
          </cell>
          <cell r="B3200" t="str">
            <v>LDJGB36(Constant Current LED Driver)</v>
          </cell>
          <cell r="C3200" t="str">
            <v>HAVELLS</v>
          </cell>
          <cell r="D3200" t="str">
            <v>HAVELLS</v>
          </cell>
        </row>
        <row r="3201">
          <cell r="A3201" t="str">
            <v>LSSCRX2329 (DALIDRIVER NM80V/160MA)</v>
          </cell>
          <cell r="B3201" t="str">
            <v>LSSCRX2329(DALIDRIVER NM80V/160MA)</v>
          </cell>
          <cell r="C3201" t="str">
            <v>HAVELLS</v>
          </cell>
          <cell r="D3201" t="str">
            <v>HAVELLS</v>
          </cell>
        </row>
        <row r="3202">
          <cell r="A3202" t="str">
            <v>LSSLOW0421 (DALIFRIVERSQ10-50V/350MA 10161105)</v>
          </cell>
          <cell r="B3202" t="str">
            <v>LSSLOW0421(DALIFRIVERSQ10-50V/350MA 10161105)</v>
          </cell>
          <cell r="C3202" t="str">
            <v>HAVELLS</v>
          </cell>
          <cell r="D3202" t="str">
            <v>HAVELLS</v>
          </cell>
        </row>
        <row r="3203">
          <cell r="A3203" t="str">
            <v>LSSLOW0081 (Flexi Strip Driver24WS)</v>
          </cell>
          <cell r="B3203" t="str">
            <v>LSSLOW0081(Flexi Strip Driver24WS)</v>
          </cell>
          <cell r="C3203" t="str">
            <v>HAVELLS</v>
          </cell>
          <cell r="D3203" t="str">
            <v>HAVELLS</v>
          </cell>
        </row>
        <row r="3204">
          <cell r="A3204" t="str">
            <v>LSSLOW0083 (FLEXISTRIPDRIVER72WS)</v>
          </cell>
          <cell r="B3204" t="str">
            <v>LSSLOW0083(FLEXISTRIPDRIVER72WS)</v>
          </cell>
          <cell r="C3204" t="str">
            <v>HAVELLS</v>
          </cell>
          <cell r="D3204" t="str">
            <v>HAVELLS</v>
          </cell>
        </row>
        <row r="3205">
          <cell r="A3205" t="str">
            <v>LSSCRX2291 (LEDDRIVER15WS)</v>
          </cell>
          <cell r="B3205" t="str">
            <v>LSSCRX2291(LEDDRIVER15WS)</v>
          </cell>
          <cell r="C3205" t="str">
            <v>HAVELLS</v>
          </cell>
          <cell r="D3205" t="str">
            <v>HAVELLS</v>
          </cell>
        </row>
        <row r="3206">
          <cell r="A3206" t="str">
            <v>LSSCRX1837 (LED DRIVER24WS)</v>
          </cell>
          <cell r="B3206" t="str">
            <v>LSSCRX1837(LED DRIVER24WS)</v>
          </cell>
          <cell r="C3206" t="str">
            <v>HAVELLS</v>
          </cell>
          <cell r="D3206" t="str">
            <v>HAVELLS</v>
          </cell>
        </row>
        <row r="3207">
          <cell r="A3207" t="str">
            <v>LSSCRX1789 (LED DRIVER 30V 34WS)</v>
          </cell>
          <cell r="B3207" t="str">
            <v>LSSCRX1789(LED DRIVER 30V 34WS)</v>
          </cell>
          <cell r="C3207" t="str">
            <v>HAVELLS</v>
          </cell>
          <cell r="D3207" t="str">
            <v>HAVELLS</v>
          </cell>
        </row>
        <row r="3208">
          <cell r="A3208" t="str">
            <v>LSSCRX2306 (LED Driver 36V 28WS)</v>
          </cell>
          <cell r="B3208" t="str">
            <v>LSSCRX2306(LED Driver 36V 28WS)</v>
          </cell>
          <cell r="C3208" t="str">
            <v>HAVELLS</v>
          </cell>
          <cell r="D3208" t="str">
            <v>HAVELLS</v>
          </cell>
        </row>
        <row r="3209">
          <cell r="A3209" t="str">
            <v>LSSCRX2308 (LEDDRIVER36V36WS)</v>
          </cell>
          <cell r="B3209" t="str">
            <v>LSSCRX2308(LEDDRIVER36V36WS)</v>
          </cell>
          <cell r="C3209" t="str">
            <v>HAVELLS</v>
          </cell>
          <cell r="D3209" t="str">
            <v>HAVELLS</v>
          </cell>
        </row>
        <row r="3210">
          <cell r="A3210" t="str">
            <v>LSSLOW0231 (LED DRIVER ASSEMCGBOIX VALOUR 180WS)</v>
          </cell>
          <cell r="B3210" t="str">
            <v>LSSLOW0231(LED DRIVER ASSEMCGBOIX VALOUR 180WS)</v>
          </cell>
          <cell r="C3210" t="str">
            <v>HAVELLS</v>
          </cell>
          <cell r="D3210" t="str">
            <v>HAVELLS</v>
          </cell>
        </row>
        <row r="3211">
          <cell r="A3211" t="str">
            <v>LSSLOW0240 (LED Driver Assem CGBOX Valour 100WS)</v>
          </cell>
          <cell r="B3211" t="str">
            <v>LSSLOW0240(LED Driver Assem CGBOX Valour 100WS)</v>
          </cell>
          <cell r="C3211" t="str">
            <v>HAVELLS</v>
          </cell>
          <cell r="D3211" t="str">
            <v>HAVELLS</v>
          </cell>
        </row>
        <row r="3212">
          <cell r="A3212" t="str">
            <v>LSSLOW0259 (LED DRIVER-ASSEMCGBOXVALOUR160WS)</v>
          </cell>
          <cell r="B3212" t="str">
            <v>LSSLOW0259(LED DRIVER-ASSEMCGBOXVALOUR160WS)</v>
          </cell>
          <cell r="C3212" t="str">
            <v>HAVELLS</v>
          </cell>
          <cell r="D3212" t="str">
            <v>HAVELLS</v>
          </cell>
        </row>
        <row r="3213">
          <cell r="A3213" t="str">
            <v>LSSLOW0256 (LED DRIVER ASSEMCGBOX VALOUR 200WS)</v>
          </cell>
          <cell r="B3213" t="str">
            <v>LSSLOW0256(LED DRIVER ASSEMCGBOX VALOUR 200WS)</v>
          </cell>
          <cell r="C3213" t="str">
            <v>HAVELLS</v>
          </cell>
          <cell r="D3213" t="str">
            <v>HAVELLS</v>
          </cell>
        </row>
        <row r="3214">
          <cell r="A3214" t="str">
            <v>LSSLOW0258 (LED DRIVER-ASSEMCGBOXVALOUR 80WS)</v>
          </cell>
          <cell r="B3214" t="str">
            <v>LSSLOW0258(LED DRIVER-ASSEMCGBOXVALOUR 80WS)</v>
          </cell>
          <cell r="C3214" t="str">
            <v>HAVELLS</v>
          </cell>
          <cell r="D3214" t="str">
            <v>HAVELLS</v>
          </cell>
        </row>
        <row r="3215">
          <cell r="A3215" t="str">
            <v>LSSLOW0180 (LED DRIVER CYLINDRO LED TRACK LIGHT 25W)</v>
          </cell>
          <cell r="B3215" t="str">
            <v>LSSLOW0180(LED DRIVER CYLINDRO LED TRACK LIGHT 25W)</v>
          </cell>
          <cell r="C3215" t="str">
            <v>HAVELLS</v>
          </cell>
          <cell r="D3215" t="str">
            <v>HAVELLS</v>
          </cell>
        </row>
        <row r="3216">
          <cell r="A3216" t="str">
            <v>LSSLNW0150 (LED Driver Upto 24W)</v>
          </cell>
          <cell r="B3216" t="str">
            <v>LSSLNW0150(LED Driver Upto 24W)</v>
          </cell>
          <cell r="C3216" t="str">
            <v>HAVELLS</v>
          </cell>
          <cell r="D3216" t="str">
            <v>HAVELLS</v>
          </cell>
        </row>
        <row r="3217">
          <cell r="A3217" t="str">
            <v>LSSLHX4215 (L SPARE 50W IND_NGBL FR4FL601R3.1 DC_POT)</v>
          </cell>
          <cell r="B3217" t="str">
            <v>LSSLHX4215(L SPARE 50W IND_NGBL FR4FL601R3.1 DC_POT)</v>
          </cell>
          <cell r="C3217" t="str">
            <v>HAVELLS</v>
          </cell>
          <cell r="D3217" t="str">
            <v>HAVELLS</v>
          </cell>
        </row>
        <row r="3218">
          <cell r="A3218" t="str">
            <v>LSSCRX2208 (L.SPARE LED DRIVER 36W 90V 385mA)</v>
          </cell>
          <cell r="B3218" t="str">
            <v>LSSCRX2208(L.SPARE LED DRIVER 36W 90V 385mA)</v>
          </cell>
          <cell r="C3218" t="str">
            <v>HAVELLS</v>
          </cell>
          <cell r="D3218" t="str">
            <v>HAVELLS</v>
          </cell>
        </row>
        <row r="3219">
          <cell r="A3219" t="str">
            <v>LSSCRX1791 (L SPARE LED Driver 42W Pluto Non Dimnonce)</v>
          </cell>
          <cell r="B3219" t="str">
            <v>LSSCRX1791(L SPARE LED Driver 42W Pluto Non Dimnonce)</v>
          </cell>
          <cell r="C3219" t="str">
            <v>HAVELLS</v>
          </cell>
          <cell r="D3219" t="str">
            <v>HAVELLS</v>
          </cell>
        </row>
        <row r="3220">
          <cell r="A3220" t="str">
            <v>LSSLOW0176 (SPIRITATTACHMENTRD-ASYMBL15WWHT)</v>
          </cell>
          <cell r="B3220" t="str">
            <v>LSSLOW0176(SPIRITATTACHMENTRD-ASYMBL15WWHT)</v>
          </cell>
          <cell r="C3220" t="str">
            <v>HAVELLS</v>
          </cell>
          <cell r="D3220" t="str">
            <v>HAVELLS</v>
          </cell>
        </row>
        <row r="3221">
          <cell r="A3221" t="str">
            <v>LSSLOW0175 (SPIRITATTACHMENTRD-SYMDL15WWHT)</v>
          </cell>
          <cell r="B3221" t="str">
            <v>LSSLOW0175(SPIRITATTACHMENTRD-SYMDL15WWHT)</v>
          </cell>
          <cell r="C3221" t="str">
            <v>HAVELLS</v>
          </cell>
          <cell r="D3221" t="str">
            <v>HAVELLS</v>
          </cell>
        </row>
        <row r="3222">
          <cell r="A3222" t="str">
            <v>LHEHDEP5UN1F024 (FLEXISTRIP5MTRIP2024WLED830S)</v>
          </cell>
          <cell r="B3222" t="str">
            <v>LHEHDEP5UN1F024(FLEXISTRIP5MTRIP2024WLED830S)</v>
          </cell>
          <cell r="C3222" t="str">
            <v>HAVELLS</v>
          </cell>
          <cell r="D3222" t="str">
            <v>HAVELLS</v>
          </cell>
        </row>
        <row r="3223">
          <cell r="A3223" t="str">
            <v>LHEHDEP7UN1F024 (Flexistrip5MTR IP2024WLED 860S)</v>
          </cell>
          <cell r="B3223" t="str">
            <v>LHEHDEP7UN1F024(Flexistrip5MTR IP2024WLED 860S)</v>
          </cell>
          <cell r="C3223" t="str">
            <v>HAVELLS</v>
          </cell>
          <cell r="D3223" t="str">
            <v>HAVELLS</v>
          </cell>
        </row>
        <row r="3224">
          <cell r="A3224" t="str">
            <v>LHEHDEP5UN1F055 (FLEXI STRIP 5MTRIP 2024W LED 860S 5mtr)</v>
          </cell>
          <cell r="B3224" t="str">
            <v>LHEHDEP5UN1F055(FLEXI STRIP 5MTRIP 2024W LED 860S 5mtr)</v>
          </cell>
          <cell r="C3224" t="str">
            <v>HAVELLS</v>
          </cell>
          <cell r="D3224" t="str">
            <v>HAVELLS</v>
          </cell>
        </row>
        <row r="3225">
          <cell r="A3225" t="str">
            <v>LHEPARU7PA7J030 (Jeta Adorn NXT 30W Flood Light)</v>
          </cell>
          <cell r="B3225" t="str">
            <v>LHEPARU7PA7J030(Jeta Adorn NXT 30W Flood Light)</v>
          </cell>
          <cell r="C3225" t="str">
            <v>HAVELLS</v>
          </cell>
          <cell r="D3225" t="str">
            <v>HAVELLS</v>
          </cell>
        </row>
        <row r="3226">
          <cell r="A3226" t="str">
            <v>LHEPBCU7PJ7J150 (JETA Adorn NXT FLS 150W LED757SSYMTOTGV2)</v>
          </cell>
          <cell r="B3226" t="str">
            <v>LHEPBCU7PJ7J150(JETA Adorn NXT FLS 150W LED757SSYMTOTGV2)</v>
          </cell>
          <cell r="C3226" t="str">
            <v>HAVELLS</v>
          </cell>
          <cell r="D3226" t="str">
            <v>HAVELLS</v>
          </cell>
        </row>
        <row r="3227">
          <cell r="A3227" t="str">
            <v>LHEPBCU7PJ7J030 (Jeta Adorn NXT FLS 30W LED757SSYMTOTGV2)</v>
          </cell>
          <cell r="B3227" t="str">
            <v>LHEPBCU7PJ7J030(Jeta Adorn NXT FLS 30W LED757SSYMTOTGV2)</v>
          </cell>
          <cell r="C3227" t="str">
            <v>HAVELLS</v>
          </cell>
          <cell r="D3227" t="str">
            <v>HAVELLS</v>
          </cell>
        </row>
        <row r="3228">
          <cell r="A3228" t="str">
            <v>LHEPARU7PA7J050 (JETAADORNNXTFLS50WLED757P60DTOTG)</v>
          </cell>
          <cell r="B3228" t="str">
            <v>LHEPARU7PA7J050(JETAADORNNXTFLS50WLED757P60DTOTG)</v>
          </cell>
          <cell r="C3228" t="str">
            <v>HAVELLS</v>
          </cell>
          <cell r="D3228" t="str">
            <v>HAVELLS</v>
          </cell>
        </row>
        <row r="3229">
          <cell r="A3229" t="str">
            <v>LHEPBCU7PJ7J050 (JETA Adorn NXT FLS 50W Led757SSYMTOTGV2)</v>
          </cell>
          <cell r="B3229" t="str">
            <v>LHEPBCU7PJ7J050(JETA Adorn NXT FLS 50W Led757SSYMTOTGV2)</v>
          </cell>
          <cell r="C3229" t="str">
            <v>HAVELLS</v>
          </cell>
          <cell r="D3229" t="str">
            <v>HAVELLS</v>
          </cell>
        </row>
        <row r="3230">
          <cell r="A3230" t="str">
            <v>LHEPALN7PN7J100 (100W Led Resolute Flood Light)</v>
          </cell>
          <cell r="B3230" t="str">
            <v>LHEPALN7PN7J100(100W Led Resolute Flood Light)</v>
          </cell>
          <cell r="C3230" t="str">
            <v>HAVELLS</v>
          </cell>
          <cell r="D3230" t="str">
            <v>HAVELLS</v>
          </cell>
        </row>
        <row r="3231">
          <cell r="A3231" t="str">
            <v>LHEPARU7IN7J050 (JETAADORNFLS050WLED757PR1SYMTOTG)</v>
          </cell>
          <cell r="B3231" t="str">
            <v>LHEPARU7IN7J050(JETAADORNFLS050WLED757PR1SYMTOTG)</v>
          </cell>
          <cell r="C3231" t="str">
            <v>HAVELLS</v>
          </cell>
          <cell r="D3231" t="str">
            <v>HAVELLS</v>
          </cell>
        </row>
        <row r="3232">
          <cell r="A3232" t="str">
            <v>LHEPARU7P17J100 (JETAADORNFLS100WLED757PR1SYMTOTG)</v>
          </cell>
          <cell r="B3232" t="str">
            <v>LHEPARU7P17J100(JETAADORNFLS100WLED757PR1SYMTOTG)</v>
          </cell>
          <cell r="C3232" t="str">
            <v>HAVELLS</v>
          </cell>
          <cell r="D3232" t="str">
            <v>HAVELLS</v>
          </cell>
        </row>
        <row r="3233">
          <cell r="A3233" t="str">
            <v>LHEPARU7PN7J030 (JETAADORNFLS30WLED757SSYMTOTG)</v>
          </cell>
          <cell r="B3233" t="str">
            <v>LHEPARU7PN7J030(JETAADORNFLS30WLED757SSYMTOTG)</v>
          </cell>
          <cell r="C3233" t="str">
            <v>HAVELLS</v>
          </cell>
          <cell r="D3233" t="str">
            <v>HAVELLS</v>
          </cell>
        </row>
        <row r="3234">
          <cell r="A3234" t="str">
            <v>LHEPARU7PN7J050 (JETAADORNFLS50WLED757SSYMTOTG)</v>
          </cell>
          <cell r="B3234" t="str">
            <v>LHEPARU7PN7J050(JETAADORNFLS50WLED757SSYMTOTG)</v>
          </cell>
          <cell r="C3234" t="str">
            <v>HAVELLS</v>
          </cell>
          <cell r="D3234" t="str">
            <v>HAVELLS</v>
          </cell>
        </row>
        <row r="3235">
          <cell r="A3235" t="str">
            <v>LHEPARU7PN7J070 (JETA ADORN FLS 70W LED 757 SSYMTOTG)</v>
          </cell>
          <cell r="B3235" t="str">
            <v>LHEPARU7PN7J070(JETA ADORN FLS 70W LED 757 SSYMTOTG)</v>
          </cell>
          <cell r="C3235" t="str">
            <v>HAVELLS</v>
          </cell>
          <cell r="D3235" t="str">
            <v>HAVELLS</v>
          </cell>
        </row>
        <row r="3236">
          <cell r="A3236" t="str">
            <v>LHEPCYU7N46J050 (JETA COMPACT 50W LED 5700K)</v>
          </cell>
          <cell r="B3236" t="str">
            <v>LHEPCYU7N46J050(JETA COMPACT 50W LED 5700K)</v>
          </cell>
          <cell r="C3236" t="str">
            <v>HAVELLS</v>
          </cell>
          <cell r="D3236" t="str">
            <v>HAVELLS</v>
          </cell>
        </row>
        <row r="3237">
          <cell r="A3237" t="str">
            <v>LHEPAPU7PA7J250 (JETAIRISALPHA250WLED757APLTG)</v>
          </cell>
          <cell r="B3237" t="str">
            <v>LHEPAPU7PA7J250(JETAIRISALPHA250WLED757APLTG)</v>
          </cell>
          <cell r="C3237" t="str">
            <v>HAVELLS</v>
          </cell>
          <cell r="D3237" t="str">
            <v>HAVELLS</v>
          </cell>
        </row>
        <row r="3238">
          <cell r="A3238" t="str">
            <v>LHEPAPU7PN7J200 (JETAIRISALPHAFL200WLED857PBOLTG)</v>
          </cell>
          <cell r="B3238" t="str">
            <v>LHEPAPU7PN7J200(JETAIRISALPHAFL200WLED857PBOLTG)</v>
          </cell>
          <cell r="C3238" t="str">
            <v>HAVELLS</v>
          </cell>
          <cell r="D3238" t="str">
            <v>HAVELLS</v>
          </cell>
        </row>
        <row r="3239">
          <cell r="A3239" t="str">
            <v>LHEPAPU7PA7J300 (JETAIRISALPHAFL300WLED757PLTG)</v>
          </cell>
          <cell r="B3239" t="str">
            <v>LHEPAPU7PA7J300(JETAIRISALPHAFL300WLED757PLTG)</v>
          </cell>
          <cell r="C3239" t="str">
            <v>HAVELLS</v>
          </cell>
          <cell r="D3239" t="str">
            <v>HAVELLS</v>
          </cell>
        </row>
        <row r="3240">
          <cell r="A3240" t="str">
            <v>JETA IRIS FL 300W</v>
          </cell>
          <cell r="B3240" t="str">
            <v>JETA IRIS FL 300W</v>
          </cell>
          <cell r="C3240" t="str">
            <v>HAVELLS</v>
          </cell>
          <cell r="D3240" t="str">
            <v>HAVELLS</v>
          </cell>
        </row>
        <row r="3241">
          <cell r="A3241" t="str">
            <v>LHEPCZU7PA6W100 (JETAIRISFLS120WLED757SYMLTG-120W  LED FLOOD LIGHT FITTING 100 WATT)</v>
          </cell>
          <cell r="B3241" t="str">
            <v>LHEPCZU7PA6W100(JETAIRISFLS120WLED757SYMLTG-120W LED FLOOD LIGHT FITTING 100 WATT)</v>
          </cell>
          <cell r="C3241" t="str">
            <v>HAVELLS</v>
          </cell>
          <cell r="D3241" t="str">
            <v>HAVELLS</v>
          </cell>
        </row>
        <row r="3242">
          <cell r="A3242" t="str">
            <v>LHEPCZU7PA6W120 (JETAIRISFLS120WLED757SYMLTG-120W  LED FLOOD LIGHT FITTING 120 WATT)</v>
          </cell>
          <cell r="B3242" t="str">
            <v>LHEPCZU7PA6W120(JETAIRISFLS120WLED757SYMLTG-120W LED FLOOD LIGHT FITTING 120 WATT)</v>
          </cell>
          <cell r="C3242" t="str">
            <v>HAVELLS</v>
          </cell>
          <cell r="D3242" t="str">
            <v>HAVELLS</v>
          </cell>
        </row>
        <row r="3243">
          <cell r="A3243" t="str">
            <v>LHEPCZU5IA6E140 (JETAIRISFLS140WLED757SYMLTG-140W LED FLOOD LIGHT FITTING 140 WATT)</v>
          </cell>
          <cell r="B3243" t="str">
            <v>LHEPCZU5IA6E140(JETAIRISFLS140WLED757SYMLTG-140W LED FLOOD LIGHT FITTING 140 WATT)</v>
          </cell>
          <cell r="C3243" t="str">
            <v>HAVELLS</v>
          </cell>
          <cell r="D3243" t="str">
            <v>HAVELLS</v>
          </cell>
        </row>
        <row r="3244">
          <cell r="A3244" t="str">
            <v>LHEPCUU7PA7E150 (JET AIR ISFLS 150W LED 757PSYMLTG)</v>
          </cell>
          <cell r="B3244" t="str">
            <v>LHEPCUU7PA7E150(JET AIR ISFLS 150W LED 757PSYMLTG)</v>
          </cell>
          <cell r="C3244" t="str">
            <v>HAVELLS</v>
          </cell>
          <cell r="D3244" t="str">
            <v>HAVELLS</v>
          </cell>
        </row>
        <row r="3245">
          <cell r="A3245" t="str">
            <v>LHEPAFU7PO7J200 (JETAIRIS MAX FL 200W LED 757PWBLTG)</v>
          </cell>
          <cell r="B3245" t="str">
            <v>LHEPAFU7PO7J200(JETAIRIS MAX FL 200W LED 757PWBLTG)</v>
          </cell>
          <cell r="C3245" t="str">
            <v>HAVELLS</v>
          </cell>
          <cell r="D3245" t="str">
            <v>HAVELLS</v>
          </cell>
        </row>
        <row r="3246">
          <cell r="A3246" t="str">
            <v>LHEPAUU7PJ7S250 (JETAIRISPLUSFLS250WLED757PSYMLTOTG)</v>
          </cell>
          <cell r="B3246" t="str">
            <v>LHEPAUU7PJ7S250(JETAIRISPLUSFLS250WLED757PSYMLTOTG)</v>
          </cell>
          <cell r="C3246" t="str">
            <v>HAVELLS</v>
          </cell>
          <cell r="D3246" t="str">
            <v>HAVELLS</v>
          </cell>
        </row>
        <row r="3247">
          <cell r="A3247" t="str">
            <v>LHEPBFUEIN6W050 (JETA NEO 50W LED FLOOD LIGHT 5K WHITE)</v>
          </cell>
          <cell r="B3247" t="str">
            <v>LHEPBFUEIN6W050(JETA NEO 50W LED FLOOD LIGHT 5K WHITE)</v>
          </cell>
          <cell r="C3247" t="str">
            <v>HAVELLS</v>
          </cell>
          <cell r="D3247" t="str">
            <v>HAVELLS</v>
          </cell>
        </row>
        <row r="3248">
          <cell r="A3248" t="str">
            <v>LHEPBFU7PA7K070 (JETANEOFL70WLED757LTG-70W  LED FLOOD LIGHT FITTING 70 WATT)</v>
          </cell>
          <cell r="B3248" t="str">
            <v>LHEPBFU7PA7K070(JETANEOFL70WLED757LTG-70W LED FLOOD LIGHT FITTING 70 WATT)</v>
          </cell>
          <cell r="C3248" t="str">
            <v>HAVELLS</v>
          </cell>
          <cell r="D3248" t="str">
            <v>HAVELLS</v>
          </cell>
        </row>
        <row r="3249">
          <cell r="A3249" t="str">
            <v>LHEPACU7PA7J030 (JETA QUANTO FLS30WLED765SYMPCGRY)</v>
          </cell>
          <cell r="B3249" t="str">
            <v>LHEPACU7PA7J030(JETA QUANTO FLS30WLED765SYMPCGRY)</v>
          </cell>
          <cell r="C3249" t="str">
            <v>HAVELLS</v>
          </cell>
          <cell r="D3249" t="str">
            <v>HAVELLS</v>
          </cell>
        </row>
        <row r="3250">
          <cell r="A3250" t="str">
            <v>LHEPACU7PZ7J0500 (JETA QuantoFLS 50WLED 765 SYMPCC)</v>
          </cell>
          <cell r="B3250" t="str">
            <v>LHEPACU7PZ7J0500(JETA QuantoFLS 50WLED 765 SYMPCC)</v>
          </cell>
          <cell r="C3250" t="str">
            <v>HAVELLS</v>
          </cell>
          <cell r="D3250" t="str">
            <v>HAVELLS</v>
          </cell>
        </row>
        <row r="3251">
          <cell r="A3251" t="str">
            <v>LHEPACU7PZ7J0500c (JETA QuantoFLS 50WLED 765 SYMPCCc)</v>
          </cell>
          <cell r="B3251" t="str">
            <v>LHEPACU7PZ7J0500c(JETA QuantoFLS 50WLED 765 SYMPCCc)</v>
          </cell>
          <cell r="C3251" t="str">
            <v>HAVELLS</v>
          </cell>
          <cell r="D3251" t="str">
            <v>HAVELLS</v>
          </cell>
        </row>
        <row r="3252">
          <cell r="A3252" t="str">
            <v>LHEPAGU7P47J070 (JETA STURDYFL070WLED757SSYMLTG)</v>
          </cell>
          <cell r="B3252" t="str">
            <v>LHEPAGU7P47J070(JETA STURDYFL070WLED757SSYMLTG)</v>
          </cell>
          <cell r="C3252" t="str">
            <v>HAVELLS</v>
          </cell>
          <cell r="D3252" t="str">
            <v>HAVELLS</v>
          </cell>
        </row>
        <row r="3253">
          <cell r="A3253" t="str">
            <v>LHEPAGU7P47J100 (JETA STURDY FL100W LED 757SSYMLTG)</v>
          </cell>
          <cell r="B3253" t="str">
            <v>LHEPAGU7P47J100(JETA STURDY FL100W LED 757SSYMLTG)</v>
          </cell>
          <cell r="C3253" t="str">
            <v>HAVELLS</v>
          </cell>
          <cell r="D3253" t="str">
            <v>HAVELLS</v>
          </cell>
        </row>
        <row r="3254">
          <cell r="A3254" t="str">
            <v>LHEPAGU7P47J120 (JETA STURDY FL120W LED757SSYMLTG)</v>
          </cell>
          <cell r="B3254" t="str">
            <v>LHEPAGU7P47J120(JETA STURDY FL120W LED757SSYMLTG)</v>
          </cell>
          <cell r="C3254" t="str">
            <v>HAVELLS</v>
          </cell>
          <cell r="D3254" t="str">
            <v>HAVELLS</v>
          </cell>
        </row>
        <row r="3255">
          <cell r="A3255" t="str">
            <v>LHEPAGU7P47J200 (JETA STURDY FL 200W LED 757 SSYMLTG)</v>
          </cell>
          <cell r="B3255" t="str">
            <v>LHEPAGU7P47J200(JETA STURDY FL 200W LED 757 SSYMLTG)</v>
          </cell>
          <cell r="C3255" t="str">
            <v>HAVELLS</v>
          </cell>
          <cell r="D3255" t="str">
            <v>HAVELLS</v>
          </cell>
        </row>
        <row r="3256">
          <cell r="A3256" t="str">
            <v>LHEPAJU7P47J100 (JETASTURDYNEOFLS100WLED757SSYMTOTG)</v>
          </cell>
          <cell r="B3256" t="str">
            <v>LHEPAJU7P47J100(JETASTURDYNEOFLS100WLED757SSYMTOTG)</v>
          </cell>
          <cell r="C3256" t="str">
            <v>HAVELLS</v>
          </cell>
          <cell r="D3256" t="str">
            <v>HAVELLS</v>
          </cell>
        </row>
        <row r="3257">
          <cell r="A3257" t="str">
            <v xml:space="preserve">JETA VALOUR FL 100W LED 757 MODNBLTG_x000D_
</v>
          </cell>
          <cell r="B3257" t="str">
            <v xml:space="preserve">JETA VALOUR FL 100W LED 757 MODNBLTG_x000D_
</v>
          </cell>
          <cell r="C3257" t="str">
            <v>HAVELLS</v>
          </cell>
          <cell r="D3257" t="str">
            <v>HAVELLS</v>
          </cell>
        </row>
        <row r="3258">
          <cell r="A3258" t="str">
            <v>LHEPBJU7NJ6S400 (JETA VALOUR FL 400WHELED 757 MODNBLTG)</v>
          </cell>
          <cell r="B3258" t="str">
            <v>LHEPBJU7NJ6S400(JETA VALOUR FL 400WHELED 757 MODNBLTG)</v>
          </cell>
          <cell r="C3258" t="str">
            <v>HAVELLS</v>
          </cell>
          <cell r="D3258" t="str">
            <v>HAVELLS</v>
          </cell>
        </row>
        <row r="3259">
          <cell r="A3259" t="str">
            <v>LHEPBJU7NJ7J400 (JETA VALOUR FL 400W LED 757 MODUNBLTG)</v>
          </cell>
          <cell r="B3259" t="str">
            <v>LHEPBJU7NJ7J400(JETA VALOUR FL 400W LED 757 MODUNBLTG)</v>
          </cell>
          <cell r="C3259" t="str">
            <v>HAVELLS</v>
          </cell>
          <cell r="D3259" t="str">
            <v>HAVELLS</v>
          </cell>
        </row>
        <row r="3260">
          <cell r="A3260" t="str">
            <v>LHEPBJU7PJ7J500 (JETA VALOUR FL 500W LED 757 MODNBLTG)</v>
          </cell>
          <cell r="B3260" t="str">
            <v>LHEPBJU7PJ7J500(JETA VALOUR FL 500W LED 757 MODNBLTG)</v>
          </cell>
          <cell r="C3260" t="str">
            <v>HAVELLS</v>
          </cell>
          <cell r="D3260" t="str">
            <v>HAVELLS</v>
          </cell>
        </row>
        <row r="3261">
          <cell r="A3261" t="str">
            <v>LHEPBJU7PA6E300 (JETAVALOURFLS 300W LED757MODSYMLTG)</v>
          </cell>
          <cell r="B3261" t="str">
            <v>LHEPBJU7PA6E300(JETAVALOURFLS 300W LED757MODSYMLTG)</v>
          </cell>
          <cell r="C3261" t="str">
            <v>HAVELLS</v>
          </cell>
          <cell r="D3261" t="str">
            <v>HAVELLS</v>
          </cell>
        </row>
        <row r="3262">
          <cell r="A3262" t="str">
            <v>LHEPBJU7PA6E400 (JETAVALOURFLS400WLED757MODSYMLTG)</v>
          </cell>
          <cell r="B3262" t="str">
            <v>LHEPBJU7PA6E400(JETAVALOURFLS400WLED757MODSYMLTG)</v>
          </cell>
          <cell r="C3262" t="str">
            <v>HAVELLS</v>
          </cell>
          <cell r="D3262" t="str">
            <v>HAVELLS</v>
          </cell>
        </row>
        <row r="3263">
          <cell r="A3263" t="str">
            <v>LHELAAU7IH6J200 (JETA VALOUR HB200WLED757MODNBLTG)</v>
          </cell>
          <cell r="B3263" t="str">
            <v>LHELAAU7IH6J200(JETA VALOUR HB200WLED757MODNBLTG)</v>
          </cell>
          <cell r="C3263" t="str">
            <v>HAVELLS</v>
          </cell>
          <cell r="D3263" t="str">
            <v>HAVELLS</v>
          </cell>
        </row>
        <row r="3264">
          <cell r="A3264" t="str">
            <v>LHELACU7PH7J200 (JETAVALOURHB200WLED757PINTNBLTG)</v>
          </cell>
          <cell r="B3264" t="str">
            <v>LHELACU7PH7J200(JETAVALOURHB200WLED757PINTNBLTG)</v>
          </cell>
          <cell r="C3264" t="str">
            <v>HAVELLS</v>
          </cell>
          <cell r="D3264" t="str">
            <v>HAVELLS</v>
          </cell>
        </row>
        <row r="3265">
          <cell r="A3265" t="str">
            <v>LHEPBJN7PA7J400 (JETAVALOURLEFL400W3MLED757PINTMBLTG)</v>
          </cell>
          <cell r="B3265" t="str">
            <v>LHEPBJN7PA7J400(JETAVALOURLEFL400W3MLED757PINTMBLTG)</v>
          </cell>
          <cell r="C3265" t="str">
            <v>HAVELLS</v>
          </cell>
          <cell r="D3265" t="str">
            <v>HAVELLS</v>
          </cell>
        </row>
        <row r="3266">
          <cell r="A3266" t="str">
            <v>LHEPCZBFP46J150 (LED Flood Light Jeta Pro Plus FL 150W)</v>
          </cell>
          <cell r="B3266" t="str">
            <v>LHEPCZBFP46J150(LED Flood Light Jeta Pro Plus FL 150W)</v>
          </cell>
          <cell r="C3266" t="str">
            <v>HAVELLS</v>
          </cell>
          <cell r="D3266" t="str">
            <v>HAVELLS</v>
          </cell>
        </row>
        <row r="3267">
          <cell r="A3267" t="str">
            <v>LHEPBJU7PA6E180 (LED L FIXT JETA VALOUR 180W FL 5700K SYM)</v>
          </cell>
          <cell r="B3267" t="str">
            <v>LHEPBJU7PA6E180(LED L FIXT JETA VALOUR 180W FL 5700K SYM)</v>
          </cell>
          <cell r="C3267" t="str">
            <v>HAVELLS</v>
          </cell>
          <cell r="D3267" t="str">
            <v>HAVELLS</v>
          </cell>
        </row>
        <row r="3268">
          <cell r="A3268" t="str">
            <v>LHEPBJU7PA6E200 (LED L.FIXT JETA VALOUR 200W FL 5700K SYM)</v>
          </cell>
          <cell r="B3268" t="str">
            <v>LHEPBJU7PA6E200(LED L.FIXT JETA VALOUR 200W FL 5700K SYM)</v>
          </cell>
          <cell r="C3268" t="str">
            <v>HAVELLS</v>
          </cell>
          <cell r="D3268" t="str">
            <v>HAVELLS</v>
          </cell>
        </row>
        <row r="3269">
          <cell r="A3269" t="str">
            <v>LHEPBJU7PA6E240 (LED L.FIXT JETA VALOUR 240W FL 5700K SYM)</v>
          </cell>
          <cell r="B3269" t="str">
            <v>LHEPBJU7PA6E240(LED L.FIXT JETA VALOUR 240W FL 5700K SYM)</v>
          </cell>
          <cell r="C3269" t="str">
            <v>HAVELLS</v>
          </cell>
          <cell r="D3269" t="str">
            <v>HAVELLS</v>
          </cell>
        </row>
        <row r="3270">
          <cell r="A3270" t="str">
            <v>LHEVBHP7UN6K035_x000D_
 Old</v>
          </cell>
          <cell r="B3270" t="str">
            <v>LHEVBHP7UN6K035_x000D_
 Old</v>
          </cell>
          <cell r="C3270" t="str">
            <v>HAVELLS</v>
          </cell>
          <cell r="D3270" t="str">
            <v>HAVELLS</v>
          </cell>
        </row>
        <row r="3271">
          <cell r="A3271" t="str">
            <v>LHENAEP5IZ6K010 (UFOBLS10WLED830SPSYMTOPC)</v>
          </cell>
          <cell r="B3271" t="str">
            <v>LHENAEP5IZ6K010(UFOBLS10WLED830SPSYMTOPC)</v>
          </cell>
          <cell r="C3271" t="str">
            <v>HAVELLS</v>
          </cell>
          <cell r="D3271" t="str">
            <v>HAVELLS</v>
          </cell>
        </row>
        <row r="3272">
          <cell r="A3272" t="str">
            <v>LHENAXP5UZ6K008 (BAMBOO BL8WLED830S SYMTOPCM)</v>
          </cell>
          <cell r="B3272" t="str">
            <v>LHENAXP5UZ6K008(BAMBOO BL8WLED830S SYMTOPCM)</v>
          </cell>
          <cell r="C3272" t="str">
            <v>HAVELLS</v>
          </cell>
          <cell r="D3272" t="str">
            <v>HAVELLS</v>
          </cell>
        </row>
        <row r="3273">
          <cell r="A3273" t="str">
            <v>LHENAXP5PZ6K008 (BAMBOOBL8WLED830SSYMTOPCM (1.0M))</v>
          </cell>
          <cell r="B3273" t="str">
            <v>LHENAXP5PZ6K008(BAMBOOBL8WLED830SSYMTOPCM(1.0M))</v>
          </cell>
          <cell r="C3273" t="str">
            <v>HAVELLS</v>
          </cell>
          <cell r="D3273" t="str">
            <v>HAVELLS</v>
          </cell>
        </row>
        <row r="3274">
          <cell r="A3274" t="str">
            <v>LHEVBDP7IN6K008 (BAMBOO BL8WLED 857SSY MTOPC)</v>
          </cell>
          <cell r="B3274" t="str">
            <v>LHEVBDP7IN6K008(BAMBOO BL8WLED 857SSY MTOPC)</v>
          </cell>
          <cell r="C3274" t="str">
            <v>HAVELLS</v>
          </cell>
          <cell r="D3274" t="str">
            <v>HAVELLS</v>
          </cell>
        </row>
        <row r="3275">
          <cell r="A3275" t="str">
            <v>LHENAXP7PZ6K008 (BAMBO OBL8W LED857SSY MTOPCM)</v>
          </cell>
          <cell r="B3275" t="str">
            <v>LHENAXP7PZ6K008(BAMBO OBL8W LED857SSY MTOPCM)</v>
          </cell>
          <cell r="C3275" t="str">
            <v>HAVELLS</v>
          </cell>
          <cell r="D3275" t="str">
            <v>HAVELLS</v>
          </cell>
        </row>
        <row r="3276">
          <cell r="A3276" t="str">
            <v>LHENAXP7UZ6K008 (BAMBO OBL8W LED857SSY MTOPCM0)</v>
          </cell>
          <cell r="B3276" t="str">
            <v>LHENAXP7UZ6K008(BAMBO OBL8W LED857SSY MTOPCM0)</v>
          </cell>
          <cell r="C3276" t="str">
            <v>HAVELLS</v>
          </cell>
          <cell r="D3276" t="str">
            <v>HAVELLS</v>
          </cell>
        </row>
        <row r="3277">
          <cell r="A3277" t="str">
            <v>LHENAXP5116K008 (BAMBOOBLS8WLED830PSYMTOPC)</v>
          </cell>
          <cell r="B3277" t="str">
            <v>LHENAXP5116K008(BAMBOOBLS8WLED830PSYMTOPC)</v>
          </cell>
          <cell r="C3277" t="str">
            <v>HAVELLS</v>
          </cell>
          <cell r="D3277" t="str">
            <v>HAVELLS</v>
          </cell>
        </row>
        <row r="3278">
          <cell r="A3278" t="str">
            <v>LHENAXP7I16K008 (BAMBOOBLS8WLED857PSYMTOPC)</v>
          </cell>
          <cell r="B3278" t="str">
            <v>LHENAXP7I16K008(BAMBOOBLS8WLED857PSYMTOPC)</v>
          </cell>
          <cell r="C3278" t="str">
            <v>HAVELLS</v>
          </cell>
          <cell r="D3278" t="str">
            <v>HAVELLS</v>
          </cell>
        </row>
        <row r="3279">
          <cell r="A3279" t="str">
            <v>LHEVBHP7UN6K035 (Coral LED Post Top 35w 5700k Opal)</v>
          </cell>
          <cell r="B3279" t="str">
            <v>LHEVBHP7UN6K035(Coral LED Post Top 35w 5700k Opal)</v>
          </cell>
          <cell r="C3279" t="str">
            <v>HAVELLS</v>
          </cell>
          <cell r="D3279" t="str">
            <v>HAVELLS</v>
          </cell>
        </row>
        <row r="3280">
          <cell r="A3280" t="str">
            <v>LHEVBHP7IN6K015 (CORAL MINI PT 15W LED 757PSY MTOPC)</v>
          </cell>
          <cell r="B3280" t="str">
            <v>LHEVBHP7IN6K015(CORAL MINI PT 15W LED 757PSY MTOPC)</v>
          </cell>
          <cell r="C3280" t="str">
            <v>HAVELLS</v>
          </cell>
          <cell r="D3280" t="str">
            <v>HAVELLS</v>
          </cell>
        </row>
        <row r="3281">
          <cell r="A3281" t="str">
            <v>LHEVBHP7UN6K025 (CORAL PT25W LED 757PSYMTOPC)</v>
          </cell>
          <cell r="B3281" t="str">
            <v>LHEVBHP7UN6K025(CORAL PT25W LED 757PSYMTOPC)</v>
          </cell>
          <cell r="C3281" t="str">
            <v>HAVELLS</v>
          </cell>
          <cell r="D3281" t="str">
            <v>HAVELLS</v>
          </cell>
        </row>
        <row r="3282">
          <cell r="A3282" t="str">
            <v>LHEKBBA7I17W010 (Hexaft 10WLED 857 SSYMBOPC)</v>
          </cell>
          <cell r="B3282" t="str">
            <v>LHEKBBA7I17W010(Hexaft 10WLED 857 SSYMBOPC)</v>
          </cell>
          <cell r="C3282" t="str">
            <v>HAVELLS</v>
          </cell>
          <cell r="D3282" t="str">
            <v>HAVELLS</v>
          </cell>
        </row>
        <row r="3283">
          <cell r="A3283" t="str">
            <v>LHEPADU7IO7J100 (JETAIRISFL 100W LED 757ARWBLTG)</v>
          </cell>
          <cell r="B3283" t="str">
            <v>LHEPADU7IO7J100(JETAIRISFL 100W LED 757ARWBLTG)</v>
          </cell>
          <cell r="C3283" t="str">
            <v>HAVELLS</v>
          </cell>
          <cell r="D3283" t="str">
            <v>HAVELLS</v>
          </cell>
        </row>
        <row r="3284">
          <cell r="A3284" t="str">
            <v>LHENACP7I6K010 (MOUNTBL10WLED857PSYMTOPMMAM)</v>
          </cell>
          <cell r="B3284" t="str">
            <v>LHENACP7I6K010(MOUNTBL10WLED857PSYMTOPMMAM)</v>
          </cell>
          <cell r="C3284" t="str">
            <v>HAVELLS</v>
          </cell>
          <cell r="D3284" t="str">
            <v>HAVELLS</v>
          </cell>
        </row>
        <row r="3285">
          <cell r="A3285" t="str">
            <v>LHEIAEPGPA1KO15 (PHAROSDLP 15W LED 857S 36D BLK)</v>
          </cell>
          <cell r="B3285" t="str">
            <v>LHEIAEPGPA1KO15(PHAROSDLP 15W LED 857S 36D BLK)</v>
          </cell>
          <cell r="C3285" t="str">
            <v>HAVELLS</v>
          </cell>
          <cell r="D3285" t="str">
            <v>HAVELLS</v>
          </cell>
        </row>
        <row r="3286">
          <cell r="A3286" t="str">
            <v>LHEVBGP7IN6K015 (RUBY MINIPT 15WLED 757PSYMTOPC)</v>
          </cell>
          <cell r="B3286" t="str">
            <v>LHEVBGP7IN6K015(RUBY MINIPT 15WLED 757PSYMTOPC)</v>
          </cell>
          <cell r="C3286" t="str">
            <v>HAVELLS</v>
          </cell>
          <cell r="D3286" t="str">
            <v>HAVELLS</v>
          </cell>
        </row>
        <row r="3287">
          <cell r="A3287" t="str">
            <v>LHEVBGP7UN6K025 (RUBYPT25WLED757PSYMTOPC)</v>
          </cell>
          <cell r="B3287" t="str">
            <v>LHEVBGP7UN6K025(RUBYPT25WLED757PSYMTOPC)</v>
          </cell>
          <cell r="C3287" t="str">
            <v>HAVELLS</v>
          </cell>
          <cell r="D3287" t="str">
            <v>HAVELLS</v>
          </cell>
        </row>
        <row r="3288">
          <cell r="A3288" t="str">
            <v>LHEVBGP7UN6K035 (RUBYPT 35WLED 757PSYMTOPC)</v>
          </cell>
          <cell r="B3288" t="str">
            <v>LHEVBGP7UN6K035(RUBYPT 35WLED 757PSYMTOPC)</v>
          </cell>
          <cell r="C3288" t="str">
            <v>HAVELLS</v>
          </cell>
          <cell r="D3288" t="str">
            <v>HAVELLS</v>
          </cell>
        </row>
        <row r="3289">
          <cell r="A3289" t="str">
            <v>LHEVBGP5UN6K035 (RUBY PT35W LED 830 PSYMTOPC)</v>
          </cell>
          <cell r="B3289" t="str">
            <v>LHEVBGP5UN6K035(RUBY PT35W LED 830 PSYMTOPC)</v>
          </cell>
          <cell r="C3289" t="str">
            <v>HAVELLS</v>
          </cell>
          <cell r="D3289" t="str">
            <v>HAVELLS</v>
          </cell>
        </row>
        <row r="3290">
          <cell r="A3290" t="str">
            <v>LHESAQPBIN1W020 (Sparkle Pro Snoot Light LED 20W)</v>
          </cell>
          <cell r="B3290" t="str">
            <v>LHESAQPBIN1W020(Sparkle Pro Snoot Light LED 20W)</v>
          </cell>
          <cell r="C3290" t="str">
            <v>HAVELLS</v>
          </cell>
          <cell r="D3290" t="str">
            <v>HAVELLS</v>
          </cell>
        </row>
        <row r="3291">
          <cell r="A3291" t="str">
            <v>LHESAQPDIN2W030 (Sparkle Pro Snoot Light LED 30W)</v>
          </cell>
          <cell r="B3291" t="str">
            <v>LHESAQPDIN2W030(Sparkle Pro Snoot Light LED 30W)</v>
          </cell>
          <cell r="C3291" t="str">
            <v>HAVELLS</v>
          </cell>
          <cell r="D3291" t="str">
            <v>HAVELLS</v>
          </cell>
        </row>
        <row r="3292">
          <cell r="A3292" t="str">
            <v>LHEPCZN7P17W080 (FLAREULTRACA80WLED757PWBLTG)</v>
          </cell>
          <cell r="B3292" t="str">
            <v>LHEPCZN7P17W080(FLAREULTRACA80WLED757PWBLTG)</v>
          </cell>
          <cell r="C3292" t="str">
            <v>HAVELLS</v>
          </cell>
          <cell r="D3292" t="str">
            <v>HAVELLS</v>
          </cell>
        </row>
        <row r="3293">
          <cell r="A3293" t="str">
            <v>LHELAHN7PH7J150 (SaucergenxADVHBP150WLED857EPNBBORL)</v>
          </cell>
          <cell r="B3293" t="str">
            <v>LHELAHN7PH7J150(SaucergenxADVHBP150WLED857EPNBBORL)</v>
          </cell>
          <cell r="C3293" t="str">
            <v>HAVELLS</v>
          </cell>
          <cell r="D3293" t="str">
            <v>HAVELLS</v>
          </cell>
        </row>
        <row r="3294">
          <cell r="A3294" t="str">
            <v>LHELAHUNPH7J200 (SAUCERGENXADVMIDHBP200WLED757PNBBORL)</v>
          </cell>
          <cell r="B3294" t="str">
            <v>LHELAHUNPH7J200(SAUCERGENXADVMIDHBP200WLED757PNBBORL)</v>
          </cell>
          <cell r="C3294" t="str">
            <v>HAVELLS</v>
          </cell>
          <cell r="D3294" t="str">
            <v>HAVELLS</v>
          </cell>
        </row>
        <row r="3295">
          <cell r="A3295" t="str">
            <v>LHELAHUNPG7J200 (SAUCERGENXADVMIDHBP200WLED757PWBBORL)</v>
          </cell>
          <cell r="B3295" t="str">
            <v>LHELAHUNPG7J200(SAUCERGENXADVMIDHBP200WLED757PWBBORL)</v>
          </cell>
          <cell r="C3295" t="str">
            <v>HAVELLS</v>
          </cell>
          <cell r="D3295" t="str">
            <v>HAVELLS</v>
          </cell>
        </row>
        <row r="3296">
          <cell r="A3296" t="str">
            <v>LHELAHU7IH7J080 (SAUCERGENXADVMIDHBP80WLED757PSYMTOPC)</v>
          </cell>
          <cell r="B3296" t="str">
            <v>LHELAHU7IH7J080(SAUCERGENXADVMIDHBP80WLED757PSYMTOPC)</v>
          </cell>
          <cell r="C3296" t="str">
            <v>HAVELLS</v>
          </cell>
          <cell r="D3296" t="str">
            <v>HAVELLS</v>
          </cell>
        </row>
        <row r="3297">
          <cell r="A3297" t="str">
            <v>LHELAPU7PG7J150 (SAUCERGENXADVX2HBP150WLED757PWBBORL)</v>
          </cell>
          <cell r="B3297" t="str">
            <v>LHELAPU7PG7J150(SAUCERGENXADVX2HBP150WLED757PWBBORL)</v>
          </cell>
          <cell r="C3297" t="str">
            <v>HAVELLS</v>
          </cell>
          <cell r="D3297" t="str">
            <v>HAVELLS</v>
          </cell>
        </row>
        <row r="3298">
          <cell r="A3298" t="str">
            <v>LHELAQU71G6W120 (120W 5700K(WB) Endura Baybrite Saucer Highbay LED)</v>
          </cell>
          <cell r="B3298" t="str">
            <v>LHELAQU71G6W120(120W 5700K(WB) Endura Baybrite Saucer Highbay LED)</v>
          </cell>
          <cell r="C3298" t="str">
            <v>HAVELLS</v>
          </cell>
          <cell r="D3298" t="str">
            <v>HAVELLS</v>
          </cell>
        </row>
        <row r="3299">
          <cell r="A3299" t="str">
            <v>LHELANU7PG7E080 (BAYBRITEFLARE80WLED757PLTG)</v>
          </cell>
          <cell r="B3299" t="str">
            <v>LHELANU7PG7E080(BAYBRITEFLARE80WLED757PLTG)</v>
          </cell>
          <cell r="C3299" t="str">
            <v>HAVELLS</v>
          </cell>
          <cell r="D3299" t="str">
            <v>HAVELLS</v>
          </cell>
        </row>
        <row r="3300">
          <cell r="A3300" t="str">
            <v>LHELAAU7PG5J080 (BAYBRITEFLARE80WLED857PWBBOLTG)</v>
          </cell>
          <cell r="B3300" t="str">
            <v>LHELAAU7PG5J080(BAYBRITEFLARE80WLED857PWBBOLTG)</v>
          </cell>
          <cell r="C3300" t="str">
            <v>HAVELLS</v>
          </cell>
          <cell r="D3300" t="str">
            <v>HAVELLS</v>
          </cell>
        </row>
        <row r="3301">
          <cell r="A3301" t="str">
            <v>LHELAAU7PG7J120 (BAYBRITEFLAREHB120WLED757 APWBBOLTG)</v>
          </cell>
          <cell r="B3301" t="str">
            <v>LHELAAU7PG7J120(BAYBRITEFLAREHB120WLED757 APWBBOLTG)</v>
          </cell>
          <cell r="C3301" t="str">
            <v>HAVELLS</v>
          </cell>
          <cell r="D3301" t="str">
            <v>HAVELLS</v>
          </cell>
        </row>
        <row r="3302">
          <cell r="A3302" t="str">
            <v>LHELAAU7PG7S120 (BAYBRITEFLAREHB120WLED757PWBBOLTG)</v>
          </cell>
          <cell r="B3302" t="str">
            <v>LHELAAU7PG7S120(BAYBRITEFLAREHB120WLED757PWBBOLTG)</v>
          </cell>
          <cell r="C3302" t="str">
            <v>HAVELLS</v>
          </cell>
          <cell r="D3302" t="str">
            <v>HAVELLS</v>
          </cell>
        </row>
        <row r="3303">
          <cell r="A3303" t="str">
            <v>LHELAAU7PG7S070 (BAYBRITEFLAREHB70WLED857P WBBOLTG)</v>
          </cell>
          <cell r="B3303" t="str">
            <v>LHELAAU7PG7S070(BAYBRITEFLAREHB70WLED857P WBBOLTG)</v>
          </cell>
          <cell r="C3303" t="str">
            <v>HAVELLS</v>
          </cell>
          <cell r="D3303" t="str">
            <v>HAVELLS</v>
          </cell>
        </row>
        <row r="3304">
          <cell r="A3304" t="str">
            <v>LHELAA7PG5S080 (BAYBRITE FLARE HB 80W)</v>
          </cell>
          <cell r="B3304" t="str">
            <v>LHELAA7PG5S080(BAYBRITE FLARE HB 80W)</v>
          </cell>
          <cell r="C3304" t="str">
            <v>HAVELLS</v>
          </cell>
          <cell r="D3304" t="str">
            <v>HAVELLS</v>
          </cell>
        </row>
        <row r="3305">
          <cell r="A3305" t="str">
            <v>LHELAAU7PG7S080 (BAYBRITEFLARE HB80W LED857PWBBOLTG)</v>
          </cell>
          <cell r="B3305" t="str">
            <v>LHELAAU7PG7S080(BAYBRITEFLARE HB80W LED857PWBBOLTG)</v>
          </cell>
          <cell r="C3305" t="str">
            <v>HAVELLS</v>
          </cell>
          <cell r="D3305" t="str">
            <v>HAVELLS</v>
          </cell>
        </row>
        <row r="3306">
          <cell r="A3306" t="str">
            <v>LHEMACP7IN7W080 (BAYBRITE FLARE RPCA 80W LED 757 PLTG)</v>
          </cell>
          <cell r="B3306" t="str">
            <v>LHEMACP7IN7W080(BAYBRITE FLARE RPCA 80W LED 757 PLTG)</v>
          </cell>
          <cell r="C3306" t="str">
            <v>HAVELLS</v>
          </cell>
          <cell r="D3306" t="str">
            <v>HAVELLS</v>
          </cell>
        </row>
        <row r="3307">
          <cell r="A3307" t="str">
            <v>LHELANU7PG7E100 (BAY BRITE SAOCER RHBP+100W LED 75790 DTOLTG)</v>
          </cell>
          <cell r="B3307" t="str">
            <v>LHELANU7PG7E100(BAY BRITE SAOCER RHBP+100W LED 75790 DTOLTG)</v>
          </cell>
          <cell r="C3307" t="str">
            <v>HAVELLS</v>
          </cell>
          <cell r="D3307" t="str">
            <v>HAVELLS</v>
          </cell>
        </row>
        <row r="3308">
          <cell r="A3308" t="str">
            <v>LHELANU7JG7W120 (BAY BRITE SAOCER RHBP+120W LED 75790 DTOLTG)</v>
          </cell>
          <cell r="B3308" t="str">
            <v>LHELANU7JG7W120(BAY BRITE SAOCER RHBP+120W LED 75790 DTOLTG)</v>
          </cell>
          <cell r="C3308" t="str">
            <v>HAVELLS</v>
          </cell>
          <cell r="D3308" t="str">
            <v>HAVELLS</v>
          </cell>
        </row>
        <row r="3309">
          <cell r="A3309" t="str">
            <v>LHELANU7IG6J120 (BAY BRITE SAUCER HBP120 W LED 75790 DTOLTG)</v>
          </cell>
          <cell r="B3309" t="str">
            <v>LHELANU7IG6J120(BAY BRITE SAUCER HBP120 W LED 75790 DTOLTG)</v>
          </cell>
          <cell r="C3309" t="str">
            <v>HAVELLS</v>
          </cell>
          <cell r="D3309" t="str">
            <v>HAVELLS</v>
          </cell>
        </row>
        <row r="3310">
          <cell r="A3310" t="str">
            <v>LHELAQU7PG6W200 (BAYBRITESAUCERHBP200WLED757NBTOLTG)</v>
          </cell>
          <cell r="B3310" t="str">
            <v>LHELAQU7PG6W200(BAYBRITESAUCERHBP200WLED757NBTOLTG)</v>
          </cell>
          <cell r="C3310" t="str">
            <v>HAVELLS</v>
          </cell>
          <cell r="D3310" t="str">
            <v>HAVELLS</v>
          </cell>
        </row>
        <row r="3311">
          <cell r="A3311" t="str">
            <v>LHELAQU7PG6S200 (BAYBRITESAUCERHBP200WLED757PNBTOLTG)</v>
          </cell>
          <cell r="B3311" t="str">
            <v>LHELAQU7PG6S200(BAYBRITESAUCERHBP200WLED757PNBTOLTG)</v>
          </cell>
          <cell r="C3311" t="str">
            <v>HAVELLS</v>
          </cell>
          <cell r="D3311" t="str">
            <v>HAVELLS</v>
          </cell>
        </row>
        <row r="3312">
          <cell r="A3312" t="str">
            <v>LHELANU7IH6J080 (BAY BRITE SAUCER HBP 80W LED 75760 DTOLTG)</v>
          </cell>
          <cell r="B3312" t="str">
            <v>LHELANU7IH6J080(BAY BRITE SAUCER HBP 80W LED 75760 DTOLTG)</v>
          </cell>
          <cell r="C3312" t="str">
            <v>HAVELLS</v>
          </cell>
          <cell r="D3312" t="str">
            <v>HAVELLS</v>
          </cell>
        </row>
        <row r="3313">
          <cell r="A3313" t="str">
            <v>LHELANU7IG6J080 (BAY BRITE SAUCER HBP80 W LED 75790 DTOLTG)</v>
          </cell>
          <cell r="B3313" t="str">
            <v>LHELANU7IG6J080(BAY BRITE SAUCER HBP80 W LED 75790 DTOLTG)</v>
          </cell>
          <cell r="C3313" t="str">
            <v>HAVELLS</v>
          </cell>
          <cell r="D3313" t="str">
            <v>HAVELLS</v>
          </cell>
        </row>
        <row r="3314">
          <cell r="A3314" t="str">
            <v>LHELANU71G6J080 (BAY BRITE SAUCER HBP80 W LED 75790 DTOLTG 60 Deg)</v>
          </cell>
          <cell r="B3314" t="str">
            <v>LHELANU71G6J080(BAY BRITE SAUCER HBP80 W LED 75790 DTOLTG 60 Deg)</v>
          </cell>
          <cell r="C3314" t="str">
            <v>HAVELLS</v>
          </cell>
          <cell r="D3314" t="str">
            <v>HAVELLS</v>
          </cell>
        </row>
        <row r="3315">
          <cell r="A3315" t="str">
            <v>LHELANU7PG7J080 (BayBritesSaucer HBP80W LED75790DTOLTG)</v>
          </cell>
          <cell r="B3315" t="str">
            <v>LHELANU7PG7J080(BayBritesSaucer HBP80W LED75790DTOLTG)</v>
          </cell>
          <cell r="C3315" t="str">
            <v>HAVELLS</v>
          </cell>
          <cell r="D3315" t="str">
            <v>HAVELLS</v>
          </cell>
        </row>
        <row r="3316">
          <cell r="A3316" t="str">
            <v>LHEDDPP7PL5W042 (BOCR 2X1 R 42W LED 857SPCMS)</v>
          </cell>
          <cell r="B3316" t="str">
            <v>LHEDDPP7PL5W042(BOCR 2X1 R 42W LED 857SPCMS)</v>
          </cell>
          <cell r="C3316" t="str">
            <v>HAVELLS</v>
          </cell>
          <cell r="D3316" t="str">
            <v>HAVELLS</v>
          </cell>
        </row>
        <row r="3317">
          <cell r="A3317" t="str">
            <v>LHELAXU7PN7W080 (FLASHBAY 80W LED CONOPY LIGHT 5700K IP66)</v>
          </cell>
          <cell r="B3317" t="str">
            <v>LHELAXU7PN7W080(FLASHBAY 80W LED CONOPY LIGHT 5700K IP66)</v>
          </cell>
          <cell r="C3317" t="str">
            <v>HAVELLS</v>
          </cell>
          <cell r="D3317" t="str">
            <v>HAVELLS</v>
          </cell>
        </row>
        <row r="3318">
          <cell r="A3318" t="str">
            <v>LHLDDBEBB18R009 (HAVELLS ADORE 09W LED CDL B22)</v>
          </cell>
          <cell r="B3318" t="str">
            <v>LHLDDBEBB18R009(HAVELLS ADORE 09W LED CDL B22)</v>
          </cell>
          <cell r="C3318" t="str">
            <v>HAVELLS</v>
          </cell>
          <cell r="D3318" t="str">
            <v>HAVELLS</v>
          </cell>
        </row>
        <row r="3319">
          <cell r="A3319" t="str">
            <v>LHELABU7PH5W050 (ILIOSBAYHBP50WLED857SP60DTOPC)</v>
          </cell>
          <cell r="B3319" t="str">
            <v>LHELABU7PH5W050(ILIOSBAYHBP50WLED857SP60DTOPC)</v>
          </cell>
          <cell r="C3319" t="str">
            <v>HAVELLS</v>
          </cell>
          <cell r="D3319" t="str">
            <v>HAVELLS</v>
          </cell>
        </row>
        <row r="3320">
          <cell r="A3320" t="str">
            <v>LHELABU7PH5W070 (ILIOSBAYHBP70W LED857SP60DTOPC)</v>
          </cell>
          <cell r="B3320" t="str">
            <v>LHELABU7PH5W070(ILIOSBAYHBP70W LED857SP60DTOPC)</v>
          </cell>
          <cell r="C3320" t="str">
            <v>HAVELLS</v>
          </cell>
          <cell r="D3320" t="str">
            <v>HAVELLS</v>
          </cell>
        </row>
        <row r="3321">
          <cell r="A3321" t="str">
            <v>LHELABU7PG5J070 (ILIOSBAYLEHBP 70W LED 857SP 90DTOPC)</v>
          </cell>
          <cell r="B3321" t="str">
            <v>LHELABU7PG5J070(ILIOSBAYLEHBP 70W LED 857SP 90DTOPC)</v>
          </cell>
          <cell r="C3321" t="str">
            <v>HAVELLS</v>
          </cell>
          <cell r="D3321" t="str">
            <v>HAVELLS</v>
          </cell>
        </row>
        <row r="3322">
          <cell r="A3322" t="str">
            <v>LHELABU7PG6J050 (ILIOSBAYPLUSHBP 50WLED 857SP 90DTOPC)</v>
          </cell>
          <cell r="B3322" t="str">
            <v>LHELABU7PG6J050(ILIOSBAYPLUSHBP 50WLED 857SP 90DTOPC)</v>
          </cell>
          <cell r="C3322" t="str">
            <v>HAVELLS</v>
          </cell>
          <cell r="D3322" t="str">
            <v>HAVELLS</v>
          </cell>
        </row>
        <row r="3323">
          <cell r="A3323" t="str">
            <v>LHELABU7PG6J070 (ILIOS BAYPLUSHBP70W LED857SP90DTOPC)</v>
          </cell>
          <cell r="B3323" t="str">
            <v>LHELABU7PG6J070(ILIOS BAYPLUSHBP70W LED857SP90DTOPC)</v>
          </cell>
          <cell r="C3323" t="str">
            <v>HAVELLS</v>
          </cell>
          <cell r="D3323" t="str">
            <v>HAVELLS</v>
          </cell>
        </row>
        <row r="3324">
          <cell r="A3324" t="str">
            <v>LHELABU7PG6J080 (ILIOS BAY PLUS HBP 80W LED 857SP 90DTOPC)</v>
          </cell>
          <cell r="B3324" t="str">
            <v>LHELABU7PG6J080(ILIOS BAY PLUS HBP 80W LED 857SP 90DTOPC)</v>
          </cell>
          <cell r="C3324" t="str">
            <v>HAVELLS</v>
          </cell>
          <cell r="D3324" t="str">
            <v>HAVELLS</v>
          </cell>
        </row>
        <row r="3325">
          <cell r="A3325" t="str">
            <v>LHEBGSP6PZ1W024 (INTEGRA NEO DLR 24W LED 840S)</v>
          </cell>
          <cell r="B3325" t="str">
            <v>LHEBGSP6PZ1W024(INTEGRA NEO DLR 24W LED 840S)</v>
          </cell>
          <cell r="C3325" t="str">
            <v>HAVELLS</v>
          </cell>
          <cell r="D3325" t="str">
            <v>HAVELLS</v>
          </cell>
        </row>
        <row r="3326">
          <cell r="A3326" t="str">
            <v>LHEXACP7IN1W010 (LED DELIGHT NEO 10W BATTEN 6K- 2FT)</v>
          </cell>
          <cell r="B3326" t="str">
            <v>LHEXACP7IN1W010(LED DELIGHT NEO 10W BATTEN 6K- 2FT)</v>
          </cell>
          <cell r="C3326" t="str">
            <v>HAVELLS</v>
          </cell>
          <cell r="D3326" t="str">
            <v>HAVELLS</v>
          </cell>
        </row>
        <row r="3327">
          <cell r="A3327" t="str">
            <v>LHEMACP7IC7W070 (LED L.FIXT BAYBRITE FLARE 70W 5700K HP)</v>
          </cell>
          <cell r="B3327" t="str">
            <v>LHEMACP7IC7W070(LED L.FIXT BAYBRITE FLARE 70W 5700K HP)</v>
          </cell>
          <cell r="C3327" t="str">
            <v>HAVELLS</v>
          </cell>
          <cell r="D3327" t="str">
            <v>HAVELLS</v>
          </cell>
        </row>
        <row r="3328">
          <cell r="A3328" t="str">
            <v>LHEPCZU7IZ6W070 (LED L Fixt Baybrite Flare FL 70W 5700KH)</v>
          </cell>
          <cell r="B3328" t="str">
            <v>LHEPCZU7IZ6W070(LED L Fixt Baybrite Flare FL 70W 5700KH)</v>
          </cell>
          <cell r="C3328" t="str">
            <v>HAVELLS</v>
          </cell>
          <cell r="D3328" t="str">
            <v>HAVELLS</v>
          </cell>
        </row>
        <row r="3329">
          <cell r="A3329" t="str">
            <v>LHEMACP7ID7W070 (LED L FIXT BAYBRITE FLEARE 70W 5700K MP)</v>
          </cell>
          <cell r="B3329" t="str">
            <v>LHEMACP7ID7W070(LED L FIXT BAYBRITE FLEARE 70W 5700K MP)</v>
          </cell>
          <cell r="C3329" t="str">
            <v>HAVELLS</v>
          </cell>
          <cell r="D3329" t="str">
            <v>HAVELLS</v>
          </cell>
        </row>
        <row r="3330">
          <cell r="A3330" t="str">
            <v>LHELANU71G6J120 (LED LFIXT BAYBRITE SAUCER 120W WB WOPD)</v>
          </cell>
          <cell r="B3330" t="str">
            <v>LHELANU71G6J120(LED LFIXT BAYBRITE SAUCER 120W WB WOPD)</v>
          </cell>
          <cell r="C3330" t="str">
            <v>HAVELLS</v>
          </cell>
          <cell r="D3330" t="str">
            <v>HAVELLS</v>
          </cell>
        </row>
        <row r="3331">
          <cell r="A3331" t="str">
            <v>LHELAQU7PG6W180 (LED LFIXT BAYBRITE SAUCER 180W 5700K)</v>
          </cell>
          <cell r="B3331" t="str">
            <v>LHELAQU7PG6W180(LED LFIXT BAYBRITE SAUCER 180W 5700K)</v>
          </cell>
          <cell r="C3331" t="str">
            <v>HAVELLS</v>
          </cell>
          <cell r="D3331" t="str">
            <v>HAVELLS</v>
          </cell>
        </row>
        <row r="3332">
          <cell r="A3332" t="str">
            <v>LHETBCU7PA6S120 (LED L. FIXT SL VIALUX NEO 120W 757 EMC)</v>
          </cell>
          <cell r="B3332" t="str">
            <v>LHETBCU7PA6S120(LED L. FIXT SL VIALUX NEO 120W 757 EMC)</v>
          </cell>
          <cell r="C3332" t="str">
            <v>HAVELLS</v>
          </cell>
          <cell r="D3332" t="str">
            <v>HAVELLS</v>
          </cell>
        </row>
        <row r="3333">
          <cell r="A3333" t="str">
            <v>LHEDEDP7PA1W036 (MONDO 600 HEXP/S 36W LED 857 SPS WH)</v>
          </cell>
          <cell r="B3333" t="str">
            <v>LHEDEDP7PA1W036(MONDO 600 HEXP/S 36W LED 857 SPS WH)</v>
          </cell>
          <cell r="C3333" t="str">
            <v>HAVELLS</v>
          </cell>
          <cell r="D3333" t="str">
            <v>HAVELLS</v>
          </cell>
        </row>
        <row r="3334">
          <cell r="A3334" t="str">
            <v>LHELADU7PG7S200 (RADIOSOHB 200W LED 75790DBOPC)</v>
          </cell>
          <cell r="B3334" t="str">
            <v>LHELADU7PG7S200(RADIOSOHB 200W LED 75790DBOPC)</v>
          </cell>
          <cell r="C3334" t="str">
            <v>HAVELLS</v>
          </cell>
          <cell r="D3334" t="str">
            <v>HAVELLS</v>
          </cell>
        </row>
        <row r="3335">
          <cell r="A3335" t="str">
            <v>LHELAHUNNH7J200 (SAUCERGENXADVHBP200WLED757PNBBORL)</v>
          </cell>
          <cell r="B3335" t="str">
            <v>LHELAHUNNH7J200(SAUCERGENXADVHBP200WLED757PNBBORL)</v>
          </cell>
          <cell r="C3335" t="str">
            <v>HAVELLS</v>
          </cell>
          <cell r="D3335" t="str">
            <v>HAVELLS</v>
          </cell>
        </row>
        <row r="3336">
          <cell r="A3336" t="str">
            <v>LHELAHUNNG7J200 (SAUCER GENXADVHBP 200W LED 757PWBBORL)</v>
          </cell>
          <cell r="B3336" t="str">
            <v>LHELAHUNNG7J200(SAUCER GENXADVHBP 200W LED 757PWBBORL)</v>
          </cell>
          <cell r="C3336" t="str">
            <v>HAVELLS</v>
          </cell>
          <cell r="D3336" t="str">
            <v>HAVELLS</v>
          </cell>
        </row>
        <row r="3337">
          <cell r="A3337" t="str">
            <v>LHELAHUNUG7J150 (SAUCERGENXADVPROHBP150WLED857PWBBORL)</v>
          </cell>
          <cell r="B3337" t="str">
            <v>LHELAHUNUG7J150(SAUCERGENXADVPROHBP150WLED857PWBBORL)</v>
          </cell>
          <cell r="C3337" t="str">
            <v>HAVELLS</v>
          </cell>
          <cell r="D3337" t="str">
            <v>HAVELLS</v>
          </cell>
        </row>
        <row r="3338">
          <cell r="A3338" t="str">
            <v>LHELAEU7PG7J100 (SAUCERGEN XHBP100WLED757P90DBOLTG)</v>
          </cell>
          <cell r="B3338" t="str">
            <v>LHELAEU7PG7J100(SAUCERGEN XHBP100WLED757P90DBOLTG)</v>
          </cell>
          <cell r="C3338" t="str">
            <v>HAVELLS</v>
          </cell>
          <cell r="D3338" t="str">
            <v>HAVELLS</v>
          </cell>
        </row>
        <row r="3339">
          <cell r="A3339" t="str">
            <v>LHELAEU7PG7J120 (SAUCERGENXHBP 120W LED 757P 90DBOLTG)</v>
          </cell>
          <cell r="B3339" t="str">
            <v>LHELAEU7PG7J120(SAUCERGENXHBP 120W LED 757P 90DBOLTG)</v>
          </cell>
          <cell r="C3339" t="str">
            <v>HAVELLS</v>
          </cell>
          <cell r="D3339" t="str">
            <v>HAVELLS</v>
          </cell>
        </row>
        <row r="3340">
          <cell r="A3340" t="str">
            <v>LHELAHU7IG7J120 (SAUCERGENXHBP120WLED857PEWBBORL)</v>
          </cell>
          <cell r="B3340" t="str">
            <v>LHELAHU7IG7J120(SAUCERGENXHBP120WLED857PEWBBORL)</v>
          </cell>
          <cell r="C3340" t="str">
            <v>HAVELLS</v>
          </cell>
          <cell r="D3340" t="str">
            <v>HAVELLS</v>
          </cell>
        </row>
        <row r="3341">
          <cell r="A3341" t="str">
            <v>LHELAEU7IH7J150 (SAUCER GENX HBP 150W LED 857 PNBBORL)</v>
          </cell>
          <cell r="B3341" t="str">
            <v>LHELAEU7IH7J150(SAUCER GENX HBP 150W LED 857 PNBBORL)</v>
          </cell>
          <cell r="C3341" t="str">
            <v>HAVELLS</v>
          </cell>
          <cell r="D3341" t="str">
            <v>HAVELLS</v>
          </cell>
        </row>
        <row r="3342">
          <cell r="A3342" t="str">
            <v>LHELAEU7PG7J150 (SAUCER GENX HBP 150W LED 857PW BBOLTG)</v>
          </cell>
          <cell r="B3342" t="str">
            <v>LHELAEU7PG7J150(SAUCER GENX HBP 150W LED 857PW BBOLTG)</v>
          </cell>
          <cell r="C3342" t="str">
            <v>HAVELLS</v>
          </cell>
          <cell r="D3342" t="str">
            <v>HAVELLS</v>
          </cell>
        </row>
        <row r="3343">
          <cell r="A3343" t="str">
            <v>LHELAEU7PH7J200 (SAUCER GENX HBP 200W LED 857 PNBBORL)</v>
          </cell>
          <cell r="B3343" t="str">
            <v>LHELAEU7PH7J200(SAUCER GENX HBP 200W LED 857 PNBBORL)</v>
          </cell>
          <cell r="C3343" t="str">
            <v>HAVELLS</v>
          </cell>
          <cell r="D3343" t="str">
            <v>HAVELLS</v>
          </cell>
        </row>
        <row r="3344">
          <cell r="A3344" t="str">
            <v>LHELAEU7PG7J200 (SAUCER GENX HBP 200W LED 857 PWBBORL)</v>
          </cell>
          <cell r="B3344" t="str">
            <v>LHELAEU7PG7J200(SAUCER GENX HBP 200W LED 857 PWBBORL)</v>
          </cell>
          <cell r="C3344" t="str">
            <v>HAVELLS</v>
          </cell>
          <cell r="D3344" t="str">
            <v>HAVELLS</v>
          </cell>
        </row>
        <row r="3345">
          <cell r="A3345" t="str">
            <v>LHELAEU7PH7J080 (SAUCERGENXHBP80WLED757P60DBOLTG)</v>
          </cell>
          <cell r="B3345" t="str">
            <v>LHELAEU7PH7J080(SAUCERGENXHBP80WLED757P60DBOLTG)</v>
          </cell>
          <cell r="C3345" t="str">
            <v>HAVELLS</v>
          </cell>
          <cell r="D3345" t="str">
            <v>HAVELLS</v>
          </cell>
        </row>
        <row r="3346">
          <cell r="A3346" t="str">
            <v>LHELAEU7PG7J080 (SAUCER GENX HBP 80W LED 757P 90DBOLTG)</v>
          </cell>
          <cell r="B3346" t="str">
            <v>LHELAEU7PG7J080(SAUCER GENX HBP 80W LED 757P 90DBOLTG)</v>
          </cell>
          <cell r="C3346" t="str">
            <v>HAVELLS</v>
          </cell>
          <cell r="D3346" t="str">
            <v>HAVELLS</v>
          </cell>
        </row>
        <row r="3347">
          <cell r="A3347" t="str">
            <v>LHELAEU7PG6S120 (SAUCERGENXMIDHBP120W LED857PW BBOLTG)</v>
          </cell>
          <cell r="B3347" t="str">
            <v>LHELAEU7PG6S120(SAUCERGENXMIDHBP120W LED857PW BBOLTG)</v>
          </cell>
          <cell r="C3347" t="str">
            <v>HAVELLS</v>
          </cell>
          <cell r="D3347" t="str">
            <v>HAVELLS</v>
          </cell>
        </row>
        <row r="3348">
          <cell r="A3348" t="str">
            <v>LHELANU7PG7E120 (SAUCER NEO P 120W LED 75790 DTOLTG)</v>
          </cell>
          <cell r="B3348" t="str">
            <v>LHELANU7PG7E120(SAUCER NEO P 120W LED 75790 DTOLTG)</v>
          </cell>
          <cell r="C3348" t="str">
            <v>HAVELLS</v>
          </cell>
          <cell r="D3348" t="str">
            <v>HAVELLS</v>
          </cell>
        </row>
        <row r="3349">
          <cell r="A3349" t="str">
            <v>LHELANU7IG7E100 (SAUCERPLUSHBP100WLED757AWBTOLTG)</v>
          </cell>
          <cell r="B3349" t="str">
            <v>LHELANU7IG7E100(SAUCERPLUSHBP100WLED757AWBTOLTG)</v>
          </cell>
          <cell r="C3349" t="str">
            <v>HAVELLS</v>
          </cell>
          <cell r="D3349" t="str">
            <v>HAVELLS</v>
          </cell>
        </row>
        <row r="3350">
          <cell r="A3350" t="str">
            <v>LHELANU7IH6E150 (SAUCERPLUSHBP150WLED8576 0DTOLTG)</v>
          </cell>
          <cell r="B3350" t="str">
            <v>LHELANU7IH6E150(SAUCERPLUSHBP150WLED8576 0DTOLTG)</v>
          </cell>
          <cell r="C3350" t="str">
            <v>HAVELLS</v>
          </cell>
          <cell r="D3350" t="str">
            <v>HAVELLS</v>
          </cell>
        </row>
        <row r="3351">
          <cell r="A3351" t="str">
            <v>LHELANU7IG6E150 (SAUCER PLUS HBP150W LED 85790DTOLTG)</v>
          </cell>
          <cell r="B3351" t="str">
            <v>LHELANU7IG6E150(SAUCER PLUS HBP150W LED 85790DTOLTG)</v>
          </cell>
          <cell r="C3351" t="str">
            <v>HAVELLS</v>
          </cell>
          <cell r="D3351" t="str">
            <v>HAVELLS</v>
          </cell>
        </row>
        <row r="3352">
          <cell r="A3352" t="str">
            <v>LHEWAEP7PN1W036 (VENUS NEO HE 4X1 PLR 36W LED 857)</v>
          </cell>
          <cell r="B3352" t="str">
            <v>LHEWAEP7PN1W036(VENUS NEO HE 4X1 PLR 36W LED 857)</v>
          </cell>
          <cell r="C3352" t="str">
            <v>HAVELLS</v>
          </cell>
          <cell r="D3352" t="str">
            <v>HAVELLS</v>
          </cell>
        </row>
        <row r="3353">
          <cell r="A3353" t="str">
            <v>LHEWAFP7PW1W036 (ENDURA SLIMP PROPLUS 2x2PLR36WLED857)</v>
          </cell>
          <cell r="B3353" t="str">
            <v>LHEWAFP7PW1W036(ENDURA SLIMP PROPLUS 2x2PLR36WLED857)</v>
          </cell>
          <cell r="C3353" t="str">
            <v>HAVELLS</v>
          </cell>
          <cell r="D3353" t="str">
            <v>HAVELLS</v>
          </cell>
        </row>
        <row r="3354">
          <cell r="A3354" t="str">
            <v>LHECDIL7PP1W034 (ENDURASLIMPROPLUS4X1PLR28/34WLED857MOD)</v>
          </cell>
          <cell r="B3354" t="str">
            <v>LHECDIL7PP1W034(ENDURASLIMPROPLUS4X1PLR28/34WLED857MOD)</v>
          </cell>
          <cell r="C3354" t="str">
            <v>HAVELLS</v>
          </cell>
          <cell r="D3354" t="str">
            <v>HAVELLS</v>
          </cell>
        </row>
        <row r="3355">
          <cell r="A3355" t="str">
            <v>LHEWDRP7PK1W028 (LED L FIXT VENUS NEO 28W 857K PS)</v>
          </cell>
          <cell r="B3355" t="str">
            <v>LHEWDRP7PK1W028(LED L FIXT VENUS NEO 28W 857K PS)</v>
          </cell>
          <cell r="C3355" t="str">
            <v>HAVELLS</v>
          </cell>
          <cell r="D3355" t="str">
            <v>HAVELLS</v>
          </cell>
        </row>
        <row r="3356">
          <cell r="A3356" t="str">
            <v>LHEWBPP7NW1W034 (Venus Neo HE2x2 PLR18 42W LED857MOD)</v>
          </cell>
          <cell r="B3356" t="str">
            <v>LHEWBPP7NW1W034(Venus Neo HE2x2 PLR18 42W LED857MOD)</v>
          </cell>
          <cell r="C3356" t="str">
            <v>HAVELLS</v>
          </cell>
          <cell r="D3356" t="str">
            <v>HAVELLS</v>
          </cell>
        </row>
        <row r="3357">
          <cell r="A3357" t="str">
            <v>LHEDDQP7PW6W018 (BOCR1X1R18WLED857SPCMSSL)</v>
          </cell>
          <cell r="B3357" t="str">
            <v>LHEDDQP7PW6W018(BOCR1X1R18WLED857SPCMSSL)</v>
          </cell>
          <cell r="C3357" t="str">
            <v>HAVELLS</v>
          </cell>
          <cell r="D3357" t="str">
            <v>HAVELLS</v>
          </cell>
        </row>
        <row r="3358">
          <cell r="A3358" t="str">
            <v>LHEDDNP7PL5W034 (BOCR2X2R34WLED857SPCMS)</v>
          </cell>
          <cell r="B3358" t="str">
            <v>LHEDDNP7PL5W034(BOCR2X2R34WLED857SPCMS)</v>
          </cell>
          <cell r="C3358" t="str">
            <v>HAVELLS</v>
          </cell>
          <cell r="D3358" t="str">
            <v>HAVELLS</v>
          </cell>
        </row>
        <row r="3359">
          <cell r="A3359" t="str">
            <v>LHEDDNP7PL5W042 (BOCR2X2R 42WLED857SPCSS)</v>
          </cell>
          <cell r="B3359" t="str">
            <v>LHEDDNP7PL5W042(BOCR2X2R 42WLED857SPCSS)</v>
          </cell>
          <cell r="C3359" t="str">
            <v>HAVELLS</v>
          </cell>
          <cell r="D3359" t="str">
            <v>HAVELLS</v>
          </cell>
        </row>
        <row r="3360">
          <cell r="A3360" t="str">
            <v>LHEDDNP7PK5W060 (BOCR 2X2 R60 W LED 857 SPCMS)</v>
          </cell>
          <cell r="B3360" t="str">
            <v>LHEDDNP7PK5W060(BOCR 2X2 R60 W LED 857 SPCMS)</v>
          </cell>
          <cell r="C3360" t="str">
            <v>HAVELLS</v>
          </cell>
          <cell r="D3360" t="str">
            <v>HAVELLS</v>
          </cell>
        </row>
        <row r="3361">
          <cell r="A3361" t="str">
            <v>LHECEBL7PQ6W060 (BOCR2X2R60WLED857SPCMS580)</v>
          </cell>
          <cell r="B3361" t="str">
            <v>LHECEBL7PQ6W060(BOCR2X2R60WLED857SPCMS580)</v>
          </cell>
          <cell r="C3361" t="str">
            <v>HAVELLS</v>
          </cell>
          <cell r="D3361" t="str">
            <v>HAVELLS</v>
          </cell>
        </row>
        <row r="3362">
          <cell r="A3362" t="str">
            <v>LHEDDNP7PW6W060 (BOCR 2x2 R60W LED 857S PCMSSL)</v>
          </cell>
          <cell r="B3362" t="str">
            <v>LHEDDNP7PW6W060(BOCR 2x2 R60W LED 857S PCMSSL)</v>
          </cell>
          <cell r="C3362" t="str">
            <v>HAVELLS</v>
          </cell>
          <cell r="D3362" t="str">
            <v>HAVELLS</v>
          </cell>
        </row>
        <row r="3363">
          <cell r="A3363" t="str">
            <v>LHEDDNP7PL5W060 (BOCR2X2R60WLED857SPCSS)</v>
          </cell>
          <cell r="B3363" t="str">
            <v>LHEDDNP7PL5W060(BOCR2X2R60WLED857SPCSS)</v>
          </cell>
          <cell r="C3363" t="str">
            <v>HAVELLS</v>
          </cell>
          <cell r="D3363" t="str">
            <v>HAVELLS</v>
          </cell>
        </row>
        <row r="3364">
          <cell r="A3364" t="str">
            <v>LHEDDNP7PK5W080 (BOCR 2X2 R80 W LED 857 SPCMS)</v>
          </cell>
          <cell r="B3364" t="str">
            <v>LHEDDNP7PK5W080(BOCR 2X2 R80 W LED 857 SPCMS)</v>
          </cell>
          <cell r="C3364" t="str">
            <v>HAVELLS</v>
          </cell>
          <cell r="D3364" t="str">
            <v>HAVELLS</v>
          </cell>
        </row>
        <row r="3365">
          <cell r="A3365" t="str">
            <v>LHEDDZP7IL1E036 (LED L.FIXT PLANO REC 36W 857 2X2 PS)</v>
          </cell>
          <cell r="B3365" t="str">
            <v>LHEDDZP7IL1E036(LED L.FIXT PLANO REC 36W 857 2X2 PS)</v>
          </cell>
          <cell r="C3365" t="str">
            <v>HAVELLS</v>
          </cell>
          <cell r="D3365" t="str">
            <v>HAVELLS</v>
          </cell>
        </row>
        <row r="3366">
          <cell r="A3366" t="str">
            <v>LHEWBPP5NW1W034 (LED LFixt Venus Neo REC 2x2 34W 830 W/D)</v>
          </cell>
          <cell r="B3366" t="str">
            <v>LHEWBPP5NW1W034(LED LFixt Venus Neo REC 2x2 34W 830 W/D)</v>
          </cell>
          <cell r="C3366" t="str">
            <v>HAVELLS</v>
          </cell>
          <cell r="D3366" t="str">
            <v>HAVELLS</v>
          </cell>
        </row>
        <row r="3367">
          <cell r="A3367" t="str">
            <v>LHEWBPP7PL1W036 (LED L.FIXT VENUS NEO REC 36W 8652X2)</v>
          </cell>
          <cell r="B3367" t="str">
            <v>LHEWBPP7PL1W036(LED L.FIXT VENUS NEO REC 36W 8652X2)</v>
          </cell>
          <cell r="C3367" t="str">
            <v>HAVELLS</v>
          </cell>
          <cell r="D3367" t="str">
            <v>HAVELLS</v>
          </cell>
        </row>
        <row r="3368">
          <cell r="A3368" t="str">
            <v>LHEWEBP7PL1W020 (LED PANEL PLUTO NEO RACESS(600X300))</v>
          </cell>
          <cell r="B3368" t="str">
            <v>LHEWEBP7PL1W020(LED PANEL PLUTO NEO RACESS(600X300))</v>
          </cell>
          <cell r="C3368" t="str">
            <v>HAVELLS</v>
          </cell>
          <cell r="D3368" t="str">
            <v>HAVELLS</v>
          </cell>
        </row>
        <row r="3369">
          <cell r="A3369" t="str">
            <v>LHEDDZP7IL1E034 (PLANO 2X2 PLR 34W LED 857S)</v>
          </cell>
          <cell r="B3369" t="str">
            <v>LHEDDZP7IL1E034(PLANO 2X2 PLR 34W LED 857S)</v>
          </cell>
          <cell r="C3369" t="str">
            <v>HAVELLS</v>
          </cell>
          <cell r="D3369" t="str">
            <v>HAVELLS</v>
          </cell>
        </row>
        <row r="3370">
          <cell r="A3370" t="str">
            <v>Pluto Neo Recess Mounted 1X1 15W LED (Havells Pluto Neo Recess Mounted 1X1 15W LED Panel)</v>
          </cell>
          <cell r="B3370" t="str">
            <v>Pluto Neo Recess Mounted 1X1 15W LED(Havells Pluto Neo Recess Mounted 1X1 15W LED Panel)</v>
          </cell>
          <cell r="C3370" t="str">
            <v>HAVELLS</v>
          </cell>
          <cell r="D3370" t="str">
            <v>HAVELLS</v>
          </cell>
        </row>
        <row r="3371">
          <cell r="A3371" t="str">
            <v>LHEWEIP7IW1W028 (LED L FIXT PLUTO 28W 857 2X1 PS)</v>
          </cell>
          <cell r="B3371" t="str">
            <v>LHEWEIP7IW1W028(LED L FIXT PLUTO 28W 857 2X1 PS)</v>
          </cell>
          <cell r="C3371" t="str">
            <v>HAVELLS</v>
          </cell>
          <cell r="D3371" t="str">
            <v>HAVELLS</v>
          </cell>
        </row>
        <row r="3372">
          <cell r="A3372" t="str">
            <v>LHEWEJP7PW1W020 (LED LFIXT PLUTO REC 20W 857 2X1 PS)</v>
          </cell>
          <cell r="B3372" t="str">
            <v>LHEWEJP7PW1W020(LED LFIXT PLUTO REC 20W 857 2X1 PS)</v>
          </cell>
          <cell r="C3372" t="str">
            <v>HAVELLS</v>
          </cell>
          <cell r="D3372" t="str">
            <v>HAVELLS</v>
          </cell>
        </row>
        <row r="3373">
          <cell r="A3373" t="str">
            <v>LHEWEBP60L1W034 (LED L.FIXT PLUTO RECESS PANEL 34W 2X2 4W)</v>
          </cell>
          <cell r="B3373" t="str">
            <v>LHEWEBP60L1W034(LED L.FIXT PLUTO RECESS PANEL 34W 2X2 4W)</v>
          </cell>
          <cell r="C3373" t="str">
            <v>HAVELLS</v>
          </cell>
          <cell r="D3373" t="str">
            <v>HAVELLS</v>
          </cell>
        </row>
        <row r="3374">
          <cell r="A3374" t="str">
            <v>LHEWEJP7PW1W015 (PLUTO1X1PLR15WLED857S)</v>
          </cell>
          <cell r="B3374" t="str">
            <v>LHEWEJP7PW1W015(PLUTO1X1PLR15WLED857S)</v>
          </cell>
          <cell r="C3374" t="str">
            <v>HAVELLS</v>
          </cell>
          <cell r="D3374" t="str">
            <v>HAVELLS</v>
          </cell>
        </row>
        <row r="3375">
          <cell r="A3375" t="str">
            <v>LHEWEIP7PK1W015 (PLUTO SURFACE 1X1 PLS 15W LED 857S)</v>
          </cell>
          <cell r="B3375" t="str">
            <v>LHEWEIP7PK1W015(PLUTO SURFACE 1X1 PLS 15W LED 857S)</v>
          </cell>
          <cell r="C3375" t="str">
            <v>HAVELLS</v>
          </cell>
          <cell r="D3375" t="str">
            <v>HAVELLS</v>
          </cell>
        </row>
        <row r="3376">
          <cell r="A3376" t="str">
            <v>LHEWEIP7IW1W034 (PLUTO SURFACE 2X2PLS 34W LED857S)</v>
          </cell>
          <cell r="B3376" t="str">
            <v>LHEWEIP7IW1W034(PLUTO SURFACE 2X2PLS 34W LED857S)</v>
          </cell>
          <cell r="C3376" t="str">
            <v>HAVELLS</v>
          </cell>
          <cell r="D3376" t="str">
            <v>HAVELLS</v>
          </cell>
        </row>
        <row r="3377">
          <cell r="A3377" t="str">
            <v>LHEWEIP7IN1W042 (Pluto Surface LED Panel 4x1 42W)</v>
          </cell>
          <cell r="B3377" t="str">
            <v>LHEWEIP7IN1W042(Pluto Surface LED Panel 4x1 42W)</v>
          </cell>
          <cell r="C3377" t="str">
            <v>HAVELLS</v>
          </cell>
          <cell r="D3377" t="str">
            <v>HAVELLS</v>
          </cell>
        </row>
        <row r="3378">
          <cell r="A3378" t="str">
            <v>LHLDAUSADL8U002 (2W LED Astral 6k)</v>
          </cell>
          <cell r="B3378" t="str">
            <v>LHLDAUSADL8U002(2W LED Astral 6k)</v>
          </cell>
          <cell r="C3378" t="str">
            <v>HAVELLS</v>
          </cell>
          <cell r="D3378" t="str">
            <v>HAVELLS</v>
          </cell>
        </row>
        <row r="3379">
          <cell r="A3379" t="str">
            <v>LHEBADP7IZ1W006 (6W LED Octane Panel Light RD 6k)</v>
          </cell>
          <cell r="B3379" t="str">
            <v>LHEBADP7IZ1W006(6W LED Octane Panel Light RD 6k)</v>
          </cell>
          <cell r="C3379" t="str">
            <v>HAVELLS</v>
          </cell>
          <cell r="D3379" t="str">
            <v>HAVELLS</v>
          </cell>
        </row>
        <row r="3380">
          <cell r="A3380" t="str">
            <v>LHEBMD7IW1W006 (6W LED Sq Fazer Neo Panel Light)</v>
          </cell>
          <cell r="B3380" t="str">
            <v>LHEBMD7IW1W006(6W LED Sq Fazer Neo Panel Light)</v>
          </cell>
          <cell r="C3380" t="str">
            <v>HAVELLS</v>
          </cell>
          <cell r="D3380" t="str">
            <v>HAVELLS</v>
          </cell>
        </row>
        <row r="3381">
          <cell r="A3381" t="str">
            <v>LHEAABP7IN1W018 (ADJUST SURF/REC LED PANEL 18W SQ)</v>
          </cell>
          <cell r="B3381" t="str">
            <v>LHEAABP7IN1W018(ADJUST SURF/REC LED PANEL 18W SQ)</v>
          </cell>
          <cell r="C3381" t="str">
            <v>HAVELLS</v>
          </cell>
          <cell r="D3381" t="str">
            <v>HAVELLS</v>
          </cell>
        </row>
        <row r="3382">
          <cell r="A3382" t="str">
            <v>LHEAAVP7IL1W012 (COMET SURFACE LED PANEL ROUND 12W 6500K)</v>
          </cell>
          <cell r="B3382" t="str">
            <v>LHEAAVP7IL1W012(COMET SURFACE LED PANEL ROUND 12W 6500K)</v>
          </cell>
          <cell r="C3382" t="str">
            <v>HAVELLS</v>
          </cell>
          <cell r="D3382" t="str">
            <v>HAVELLS</v>
          </cell>
        </row>
        <row r="3383">
          <cell r="A3383" t="str">
            <v>LHEAAVP7IL1W018 (COMET SURFACE LED PANEL ROUND 18W 6500K)</v>
          </cell>
          <cell r="B3383" t="str">
            <v>LHEAAVP7IL1W018(COMET SURFACE LED PANEL ROUND 18W 6500K)</v>
          </cell>
          <cell r="C3383" t="str">
            <v>HAVELLS</v>
          </cell>
          <cell r="D3383" t="str">
            <v>HAVELLS</v>
          </cell>
        </row>
        <row r="3384">
          <cell r="A3384" t="str">
            <v>LHEAAWP5IL1W012 (COMET SURFACE LED PANEL SQUARE 3000K 12W)</v>
          </cell>
          <cell r="B3384" t="str">
            <v>LHEAAWP5IL1W012(COMET SURFACE LED PANEL SQUARE 3000K 12W)</v>
          </cell>
          <cell r="C3384" t="str">
            <v>HAVELLS</v>
          </cell>
          <cell r="D3384" t="str">
            <v>HAVELLS</v>
          </cell>
        </row>
        <row r="3385">
          <cell r="A3385" t="str">
            <v>LHELAFUNPN7J150 (GAZELLAHBP 150W LED 857 PBOTG_x000D_
)</v>
          </cell>
          <cell r="B3385" t="str">
            <v>LHELAFUNPN7J150(GAZELLAHBP 150W LED 857 PBOTG_x000D_
)</v>
          </cell>
          <cell r="C3385" t="str">
            <v>HAVELLS</v>
          </cell>
          <cell r="D3385" t="str">
            <v>HAVELLS</v>
          </cell>
        </row>
        <row r="3386">
          <cell r="A3386" t="str">
            <v>LHECEBL7PL6S042 (TOCR2X2R42WLED857SPCMSEXE)</v>
          </cell>
          <cell r="B3386" t="str">
            <v>LHECEBL7PL6S042(TOCR2X2R42WLED857SPCMSEXE)</v>
          </cell>
          <cell r="C3386" t="str">
            <v>HAVELLS</v>
          </cell>
          <cell r="D3386" t="str">
            <v>HAVELLS</v>
          </cell>
        </row>
        <row r="3387">
          <cell r="A3387" t="str">
            <v>LHECEBL7PW6S060 (TOCR2X2R60WLED857SPCMSEXE)</v>
          </cell>
          <cell r="B3387" t="str">
            <v>LHECEBL7PW6S060(TOCR2X2R60WLED857SPCMSEXE)</v>
          </cell>
          <cell r="C3387" t="str">
            <v>HAVELLS</v>
          </cell>
          <cell r="D3387" t="str">
            <v>HAVELLS</v>
          </cell>
        </row>
        <row r="3388">
          <cell r="A3388" t="str">
            <v>SSSSLX0136 (Solar Aio 20w 30WP 12.8V 14AH)</v>
          </cell>
          <cell r="B3388" t="str">
            <v>SSSSLX0136(Solar Aio 20w 30WP 12.8V 14AH)</v>
          </cell>
          <cell r="C3388" t="str">
            <v>HAVELLS</v>
          </cell>
          <cell r="D3388" t="str">
            <v>HAVELLS</v>
          </cell>
        </row>
        <row r="3389">
          <cell r="A3389" t="str">
            <v>SSSSLX0141 (SOLAR AIO 30W 50WP 12.8V 24AH)</v>
          </cell>
          <cell r="B3389" t="str">
            <v>SSSSLX0141(SOLAR AIO 30W 50WP 12.8V 24AH)</v>
          </cell>
          <cell r="C3389" t="str">
            <v>HAVELLS</v>
          </cell>
          <cell r="D3389" t="str">
            <v>HAVELLS</v>
          </cell>
        </row>
        <row r="3390">
          <cell r="A3390" t="str">
            <v>SSSSLG0201 (12.8V 60W 72L 90Wp 42Ah AIO SSL RF)</v>
          </cell>
          <cell r="B3390" t="str">
            <v>SSSSLG0201(12.8V 60W 72L 90Wp 42Ah AIO SSL RF)</v>
          </cell>
          <cell r="C3390" t="str">
            <v>HAVELLS</v>
          </cell>
          <cell r="D3390" t="str">
            <v>HAVELLS</v>
          </cell>
        </row>
        <row r="3391">
          <cell r="A3391" t="str">
            <v>SSSSLX1266 (ENVIRO 12.8V 60W AIO ASSM SSL HS)</v>
          </cell>
          <cell r="B3391" t="str">
            <v>SSSSLX1266(ENVIRO 12.8V 60W AIO ASSM SSL HS)</v>
          </cell>
          <cell r="C3391" t="str">
            <v>HAVELLS</v>
          </cell>
          <cell r="D3391" t="str">
            <v>HAVELLS</v>
          </cell>
        </row>
        <row r="3392">
          <cell r="A3392" t="str">
            <v>SSSSLX0134 (SOLAR AIO ALFA 100W 150Wp 25.6V 30Ah MIC)</v>
          </cell>
          <cell r="B3392" t="str">
            <v>SSSSLX0134(SOLAR AIO ALFA 100W 150Wp 25.6V 30Ah MIC)</v>
          </cell>
          <cell r="C3392" t="str">
            <v>HAVELLS</v>
          </cell>
          <cell r="D3392" t="str">
            <v>HAVELLS</v>
          </cell>
        </row>
        <row r="3393">
          <cell r="A3393" t="str">
            <v>LHSTAKU7CBAF024 (Solar AIO SL 24W MPPT 60WP 12.8V 30AH Street Light)</v>
          </cell>
          <cell r="B3393" t="str">
            <v>LHSTAKU7CBAF024(Solar AIO SL 24W MPPT 60WP 12.8V 30AH Street Light)</v>
          </cell>
          <cell r="C3393" t="str">
            <v>HAVELLS</v>
          </cell>
          <cell r="D3393" t="str">
            <v>HAVELLS</v>
          </cell>
        </row>
        <row r="3394">
          <cell r="A3394" t="str">
            <v>LHKOAEPFFN6K001 (SOLAR PANEL INTEGRATED LAMP HAL 1W5700K)</v>
          </cell>
          <cell r="B3394" t="str">
            <v>LHKOAEPFFN6K001(SOLAR PANEL INTEGRATED LAMP HAL 1W5700K)</v>
          </cell>
          <cell r="C3394" t="str">
            <v>HAVELLS</v>
          </cell>
          <cell r="D3394" t="str">
            <v>HAVELLS</v>
          </cell>
        </row>
        <row r="3395">
          <cell r="A3395" t="str">
            <v>LHKTBVU7FB6K020 (SOLAR PANEL INTEGRATED LAMP MAN 20W5700K)</v>
          </cell>
          <cell r="B3395" t="str">
            <v>LHKTBVU7FB6K020(SOLAR PANEL INTEGRATED LAMP MAN 20W5700K)</v>
          </cell>
          <cell r="C3395" t="str">
            <v>HAVELLS</v>
          </cell>
          <cell r="D3395" t="str">
            <v>HAVELLS</v>
          </cell>
        </row>
        <row r="3396">
          <cell r="A3396" t="str">
            <v>LHKNAWPFFN6K001 (SOLAR PANEL INTEGRATED LAMP URB 4W5700K)</v>
          </cell>
          <cell r="B3396" t="str">
            <v>LHKNAWPFFN6K001(SOLAR PANEL INTEGRATED LAMP URB 4W5700K)</v>
          </cell>
          <cell r="C3396" t="str">
            <v>HAVELLS</v>
          </cell>
          <cell r="D3396" t="str">
            <v>HAVELLS</v>
          </cell>
        </row>
        <row r="3397">
          <cell r="A3397" t="str">
            <v>LHETAXU7PA6W100 (ENDURACITYLINERNEOSL100WLED757SASYBOTG)</v>
          </cell>
          <cell r="B3397" t="str">
            <v>LHETAXU7PA6W100(ENDURACITYLINERNEOSL100WLED757SASYBOTG)</v>
          </cell>
          <cell r="C3397" t="str">
            <v>HAVELLS</v>
          </cell>
          <cell r="D3397" t="str">
            <v>HAVELLS</v>
          </cell>
        </row>
        <row r="3398">
          <cell r="A3398" t="str">
            <v>Enduracity Linerneo SL 90W LED 757PASYBOTG</v>
          </cell>
          <cell r="B3398" t="str">
            <v>Enduracity Linerneo SL 90W LED 757PASYBOTG</v>
          </cell>
          <cell r="C3398" t="str">
            <v>HAVELLS</v>
          </cell>
          <cell r="D3398" t="str">
            <v>HAVELLS</v>
          </cell>
        </row>
        <row r="3399">
          <cell r="A3399" t="str">
            <v>LHETAEU7PA7J150 (ENDURASUNBEAMSL150WLED757PASYTOPC)</v>
          </cell>
          <cell r="B3399" t="str">
            <v>LHETAEU7PA7J150(ENDURASUNBEAMSL150WLED757PASYTOPC)</v>
          </cell>
          <cell r="C3399" t="str">
            <v>HAVELLS</v>
          </cell>
          <cell r="D3399" t="str">
            <v>HAVELLS</v>
          </cell>
        </row>
        <row r="3400">
          <cell r="A3400" t="str">
            <v>LHETAEU7PA7K072 (ENDURASUNBEAMSL72WLED757SASYTOPC)</v>
          </cell>
          <cell r="B3400" t="str">
            <v>LHETAEU7PA7K072(ENDURASUNBEAMSL72WLED757SASYTOPC)</v>
          </cell>
          <cell r="C3400" t="str">
            <v>HAVELLS</v>
          </cell>
          <cell r="D3400" t="str">
            <v>HAVELLS</v>
          </cell>
        </row>
        <row r="3401">
          <cell r="A3401" t="str">
            <v>LHETACU7IA7J100 (ENDURASUNDOWNSL100WLED757PASYBOPC)</v>
          </cell>
          <cell r="B3401" t="str">
            <v>LHETACU7IA7J100(ENDURASUNDOWNSL100WLED757PASYBOPC)</v>
          </cell>
          <cell r="C3401" t="str">
            <v>HAVELLS</v>
          </cell>
          <cell r="D3401" t="str">
            <v>HAVELLS</v>
          </cell>
        </row>
        <row r="3402">
          <cell r="A3402" t="str">
            <v>LHETACN7PA7J120 (ENDURA SUNDOWN SL 120W LED 757 PASYBOPC)</v>
          </cell>
          <cell r="B3402" t="str">
            <v>LHETACN7PA7J120(ENDURA SUNDOWN SL 120W LED 757 PASYBOPC)</v>
          </cell>
          <cell r="C3402" t="str">
            <v>HAVELLS</v>
          </cell>
          <cell r="D3402" t="str">
            <v>HAVELLS</v>
          </cell>
        </row>
        <row r="3403">
          <cell r="A3403" t="str">
            <v>LHETAAU7PA7J045 (ELEKTRASL 45WLED 757SASYBOPC)</v>
          </cell>
          <cell r="B3403" t="str">
            <v>LHETAAU7PA7J045(ELEKTRASL 45WLED 757SASYBOPC)</v>
          </cell>
          <cell r="C3403" t="str">
            <v>HAVELLS</v>
          </cell>
          <cell r="D3403" t="str">
            <v>HAVELLS</v>
          </cell>
        </row>
        <row r="3404">
          <cell r="A3404" t="str">
            <v>LHDAXU7PA7J080 (ENDURACITYLINERNEOMPSL80WLED757PASYBOTG)</v>
          </cell>
          <cell r="B3404" t="str">
            <v>LHDAXU7PA7J080(ENDURACITYLINERNEOMPSL80WLED757PASYBOTG)</v>
          </cell>
          <cell r="C3404" t="str">
            <v>HAVELLS</v>
          </cell>
          <cell r="D3404" t="str">
            <v>HAVELLS</v>
          </cell>
        </row>
        <row r="3405">
          <cell r="A3405" t="str">
            <v>LHDAXU7IA7J025 (ENDURACITYLINERNEOMSL25W LED757PASYTOPC)</v>
          </cell>
          <cell r="B3405" t="str">
            <v>LHDAXU7IA7J025(ENDURACITYLINERNEOMSL25W LED757PASYTOPC)</v>
          </cell>
          <cell r="C3405" t="str">
            <v>HAVELLS</v>
          </cell>
          <cell r="D3405" t="str">
            <v>HAVELLS</v>
          </cell>
        </row>
        <row r="3406">
          <cell r="A3406" t="str">
            <v>LHETAXU7PA7W070 (ENDURA CITY LINERNEO NSL70W LED 757SASYBOTG)</v>
          </cell>
          <cell r="B3406" t="str">
            <v>LHETAXU7PA7W070(ENDURA CITY LINERNEO NSL70W LED 757SASYBOTG)</v>
          </cell>
          <cell r="C3406" t="str">
            <v>HAVELLS</v>
          </cell>
          <cell r="D3406" t="str">
            <v>HAVELLS</v>
          </cell>
        </row>
        <row r="3407">
          <cell r="A3407" t="str">
            <v>ENDURA CITY LINER NEO SL170 WLED757PASYBOTG</v>
          </cell>
          <cell r="B3407" t="str">
            <v>ENDURA CITY LINER NEO SL170 WLED757PASYBOTG</v>
          </cell>
          <cell r="C3407" t="str">
            <v>HAVELLS</v>
          </cell>
          <cell r="D3407" t="str">
            <v>HAVELLS</v>
          </cell>
        </row>
        <row r="3408">
          <cell r="A3408" t="str">
            <v>LHETAXU7PA7J060 (ENDURA CITYLINER NEO SL60W LED757PASYBOTGGEM)</v>
          </cell>
          <cell r="B3408" t="str">
            <v>LHETAXU7PA7J060(ENDURA CITYLINER NEO SL60W LED757PASYBOTGGEM)</v>
          </cell>
          <cell r="C3408" t="str">
            <v>HAVELLS</v>
          </cell>
          <cell r="D3408" t="str">
            <v>HAVELLS</v>
          </cell>
        </row>
        <row r="3409">
          <cell r="A3409" t="str">
            <v>LHETBXU7PN6J090 (ENDURACITYLINERNEOSL90WLED757SASYBOTG)</v>
          </cell>
          <cell r="B3409" t="str">
            <v>LHETBXU7PN6J090(ENDURACITYLINERNEOSL90WLED757SASYBOTG)</v>
          </cell>
          <cell r="C3409" t="str">
            <v>HAVELLS</v>
          </cell>
          <cell r="D3409" t="str">
            <v>HAVELLS</v>
          </cell>
        </row>
        <row r="3410">
          <cell r="A3410" t="str">
            <v>LHETAXU7UA7J045 (ENDURACITY LINERNEX GENSL 45W LED 757SASYBOPC)</v>
          </cell>
          <cell r="B3410" t="str">
            <v>LHETAXU7UA7J045(ENDURACITY LINERNEX GENSL 45W LED 757SASYBOPC)</v>
          </cell>
          <cell r="C3410" t="str">
            <v>HAVELLS</v>
          </cell>
          <cell r="D3410" t="str">
            <v>HAVELLS</v>
          </cell>
        </row>
        <row r="3411">
          <cell r="A3411" t="str">
            <v>LHETASU7PA6J100 (Endura Omni 100W LED Street Light 5700K)</v>
          </cell>
          <cell r="B3411" t="str">
            <v>LHETASU7PA6J100(Endura Omni 100W LED Street Light 5700K)</v>
          </cell>
          <cell r="C3411" t="str">
            <v>HAVELLS</v>
          </cell>
          <cell r="D3411" t="str">
            <v>HAVELLS</v>
          </cell>
        </row>
        <row r="3412">
          <cell r="A3412" t="str">
            <v>LHETASU7PA6J090 (Endura Omni 90W LED Street Light 5700K)</v>
          </cell>
          <cell r="B3412" t="str">
            <v>LHETASU7PA6J090(Endura Omni 90W LED Street Light 5700K)</v>
          </cell>
          <cell r="C3412" t="str">
            <v>HAVELLS</v>
          </cell>
          <cell r="D3412" t="str">
            <v>HAVELLS</v>
          </cell>
        </row>
        <row r="3413">
          <cell r="A3413" t="str">
            <v>LHETATU7PA7J080 (ENDURAOMNIPLUSNEOSL80WLED757SASYTOPC)</v>
          </cell>
          <cell r="B3413" t="str">
            <v>LHETATU7PA7J080(ENDURAOMNIPLUSNEOSL80WLED757SASYTOPC)</v>
          </cell>
          <cell r="C3413" t="str">
            <v>HAVELLS</v>
          </cell>
          <cell r="D3413" t="str">
            <v>HAVELLS</v>
          </cell>
        </row>
        <row r="3414">
          <cell r="A3414" t="str">
            <v>LHETATU7PA7J120 (Endura OMNI PlusSL120W LED757SASYTOPC)</v>
          </cell>
          <cell r="B3414" t="str">
            <v>LHETATU7PA7J120(Endura OMNI PlusSL120W LED757SASYTOPC)</v>
          </cell>
          <cell r="C3414" t="str">
            <v>HAVELLS</v>
          </cell>
          <cell r="D3414" t="str">
            <v>HAVELLS</v>
          </cell>
        </row>
        <row r="3415">
          <cell r="A3415" t="str">
            <v>LHETATU7PA7J045 (ENDURA OMNI PLUS SL 45W LED 757SASYTOPC)</v>
          </cell>
          <cell r="B3415" t="str">
            <v>LHETATU7PA7J045(ENDURA OMNI PLUS SL 45W LED 757SASYTOPC)</v>
          </cell>
          <cell r="C3415" t="str">
            <v>HAVELLS</v>
          </cell>
          <cell r="D3415" t="str">
            <v>HAVELLS</v>
          </cell>
        </row>
        <row r="3416">
          <cell r="A3416" t="str">
            <v>LHETATU7PA7J060 (Endura OMNI PlusSL60W LED757SASYTOPC)</v>
          </cell>
          <cell r="B3416" t="str">
            <v>LHETATU7PA7J060(Endura OMNI PlusSL60W LED757SASYTOPC)</v>
          </cell>
          <cell r="C3416" t="str">
            <v>HAVELLS</v>
          </cell>
          <cell r="D3416" t="str">
            <v>HAVELLS</v>
          </cell>
        </row>
        <row r="3417">
          <cell r="A3417" t="str">
            <v>LHETATU7PA7J072_x000D_
 (ENDURA OMNI PLUS SL 72W LED 757SASYTOPC_x000D_
)</v>
          </cell>
          <cell r="B3417" t="str">
            <v>LHETATU7PA7J072_x000D_
(ENDURA OMNI PLUS SL 72W LED 757SASYTOPC_x000D_
)</v>
          </cell>
          <cell r="C3417" t="str">
            <v>HAVELLS</v>
          </cell>
          <cell r="D3417" t="str">
            <v>HAVELLS</v>
          </cell>
        </row>
        <row r="3418">
          <cell r="A3418" t="str">
            <v>LHETATU7PA7J090 (ENDURA OMNI PLUSSL 90W LED 757SASYTOPC)</v>
          </cell>
          <cell r="B3418" t="str">
            <v>LHETATU7PA7J090(ENDURA OMNI PLUSSL 90W LED 757SASYTOPC)</v>
          </cell>
          <cell r="C3418" t="str">
            <v>HAVELLS</v>
          </cell>
          <cell r="D3418" t="str">
            <v>HAVELLS</v>
          </cell>
        </row>
        <row r="3419">
          <cell r="A3419" t="str">
            <v>LHETASU7PA6J120 (ENDURA OMNI T20W LED STREET LIGHT 5700K)</v>
          </cell>
          <cell r="B3419" t="str">
            <v>LHETASU7PA6J120(ENDURA OMNI T20W LED STREET LIGHT 5700K)</v>
          </cell>
          <cell r="C3419" t="str">
            <v>HAVELLS</v>
          </cell>
          <cell r="D3419" t="str">
            <v>HAVELLS</v>
          </cell>
        </row>
        <row r="3420">
          <cell r="A3420" t="str">
            <v>LHETBXU7PA6S025 (Endura Pearl 25W Road Light Fixt LED 5700K)</v>
          </cell>
          <cell r="B3420" t="str">
            <v>LHETBXU7PA6S025(Endura Pearl 25W Road Light Fixt LED 5700K)</v>
          </cell>
          <cell r="C3420" t="str">
            <v>HAVELLS</v>
          </cell>
          <cell r="D3420" t="str">
            <v>HAVELLS</v>
          </cell>
        </row>
        <row r="3421">
          <cell r="A3421" t="str">
            <v>LHDBXU7PA7S100 (ENDURAPEARLMAGPLUS SL100 WLED757PASYTOTG)</v>
          </cell>
          <cell r="B3421" t="str">
            <v>LHDBXU7PA7S100(ENDURAPEARLMAGPLUS SL100 WLED757PASYTOTG)</v>
          </cell>
          <cell r="C3421" t="str">
            <v>HAVELLS</v>
          </cell>
          <cell r="D3421" t="str">
            <v>HAVELLS</v>
          </cell>
        </row>
        <row r="3422">
          <cell r="A3422" t="str">
            <v>LHDBXU7PA7S045 (Endura Pearl Neo 45WLED757 Pasytopc)</v>
          </cell>
          <cell r="B3422" t="str">
            <v>LHDBXU7PA7S045(Endura Pearl Neo 45WLED757 Pasytopc)</v>
          </cell>
          <cell r="C3422" t="str">
            <v>HAVELLS</v>
          </cell>
          <cell r="D3422" t="str">
            <v>HAVELLS</v>
          </cell>
        </row>
        <row r="3423">
          <cell r="A3423" t="str">
            <v>LHETBXU7IA6J040 (ENDURA PEARL NEO SL40W LED 757PASYT0PC)</v>
          </cell>
          <cell r="B3423" t="str">
            <v>LHETBXU7IA6J040(ENDURA PEARL NEO SL40W LED 757PASYT0PC)</v>
          </cell>
          <cell r="C3423" t="str">
            <v>HAVELLS</v>
          </cell>
          <cell r="D3423" t="str">
            <v>HAVELLS</v>
          </cell>
        </row>
        <row r="3424">
          <cell r="A3424" t="str">
            <v>LHETBXU7IA7J060 (ENDURA PEARL NEO SL60W LED 757PASYT0PC_x000D_
)</v>
          </cell>
          <cell r="B3424" t="str">
            <v>LHETBXU7IA7J060(ENDURA PEARL NEO SL60W LED 757PASYT0PC_x000D_
)</v>
          </cell>
          <cell r="C3424" t="str">
            <v>HAVELLS</v>
          </cell>
          <cell r="D3424" t="str">
            <v>HAVELLS</v>
          </cell>
        </row>
        <row r="3425">
          <cell r="A3425" t="str">
            <v>LHDBXU7PA7J100 (ENDURA PEARL PLUS SL 100W LED 757PASYTOPC)</v>
          </cell>
          <cell r="B3425" t="str">
            <v>LHDBXU7PA7J100(ENDURA PEARL PLUS SL 100W LED 757PASYTOPC)</v>
          </cell>
          <cell r="C3425" t="str">
            <v>HAVELLS</v>
          </cell>
          <cell r="D3425" t="str">
            <v>HAVELLS</v>
          </cell>
        </row>
        <row r="3426">
          <cell r="A3426" t="str">
            <v>LHETBXUNPA7J100 (ENDURA PEARL PLUS SL 100W LED 757 PASYTOPCLC)</v>
          </cell>
          <cell r="B3426" t="str">
            <v>LHETBXUNPA7J100(ENDURA PEARL PLUS SL 100W LED 757 PASYTOPCLC)</v>
          </cell>
          <cell r="C3426" t="str">
            <v>HAVELLS</v>
          </cell>
          <cell r="D3426" t="str">
            <v>HAVELLS</v>
          </cell>
        </row>
        <row r="3427">
          <cell r="A3427" t="str">
            <v>LHDBXU7OA7J120 (ENDURA PEARL PLUS SL 120W LED 757PASYTOPC)</v>
          </cell>
          <cell r="B3427" t="str">
            <v>LHDBXU7OA7J120(ENDURA PEARL PLUS SL 120W LED 757PASYTOPC)</v>
          </cell>
          <cell r="C3427" t="str">
            <v>HAVELLS</v>
          </cell>
          <cell r="D3427" t="str">
            <v>HAVELLS</v>
          </cell>
        </row>
        <row r="3428">
          <cell r="A3428" t="str">
            <v>LHDBXU7NA7J150 (ENDURAPEARLPLUSSL150WLED757PASYTOPC)</v>
          </cell>
          <cell r="B3428" t="str">
            <v>LHDBXU7NA7J150(ENDURAPEARLPLUSSL150WLED757PASYTOPC)</v>
          </cell>
          <cell r="C3428" t="str">
            <v>HAVELLS</v>
          </cell>
          <cell r="D3428" t="str">
            <v>HAVELLS</v>
          </cell>
        </row>
        <row r="3429">
          <cell r="A3429" t="str">
            <v>LHETBXU7PA7S060 (ENDURA PEARL PLUSSL60WLED 757PASYTOPCLUD)</v>
          </cell>
          <cell r="B3429" t="str">
            <v>LHETBXU7PA7S060(ENDURA PEARL PLUSSL60WLED 757PASYTOPCLUD)</v>
          </cell>
          <cell r="C3429" t="str">
            <v>HAVELLS</v>
          </cell>
          <cell r="D3429" t="str">
            <v>HAVELLS</v>
          </cell>
        </row>
        <row r="3430">
          <cell r="A3430" t="str">
            <v>LHETBXU7PA7B060 (Endura Pearl Plus SL60W LED 757SASYTOPC)</v>
          </cell>
          <cell r="B3430" t="str">
            <v>LHETBXU7PA7B060(Endura Pearl Plus SL60W LED 757SASYTOPC)</v>
          </cell>
          <cell r="C3430" t="str">
            <v>HAVELLS</v>
          </cell>
          <cell r="D3430" t="str">
            <v>HAVELLS</v>
          </cell>
        </row>
        <row r="3431">
          <cell r="A3431" t="str">
            <v>LHETBXU7IA7J090 (ENDURA PEARL PLUS SL 90WLED 757PASY TOP CAST CC)</v>
          </cell>
          <cell r="B3431" t="str">
            <v>LHETBXU7IA7J090(ENDURA PEARL PLUS SL 90WLED 757PASY TOP CAST CC)</v>
          </cell>
          <cell r="C3431" t="str">
            <v>HAVELLS</v>
          </cell>
          <cell r="D3431" t="str">
            <v>HAVELLS</v>
          </cell>
        </row>
        <row r="3432">
          <cell r="A3432" t="str">
            <v>LHDBXU7IA7S090 (ENDURAPEARLPLUSSL90WLED757PASYTOPCASTHO)</v>
          </cell>
          <cell r="B3432" t="str">
            <v>LHDBXU7IA7S090(ENDURAPEARLPLUSSL90WLED757PASYTOPCASTHO)</v>
          </cell>
          <cell r="C3432" t="str">
            <v>HAVELLS</v>
          </cell>
          <cell r="D3432" t="str">
            <v>HAVELLS</v>
          </cell>
        </row>
        <row r="3433">
          <cell r="A3433" t="str">
            <v>LHDBXU7PA7E090 (ENDURA PEARL PLUS WSPD 90W)</v>
          </cell>
          <cell r="B3433" t="str">
            <v>LHDBXU7PA7E090(ENDURA PEARL PLUS WSPD 90W)</v>
          </cell>
          <cell r="C3433" t="str">
            <v>HAVELLS</v>
          </cell>
          <cell r="D3433" t="str">
            <v>HAVELLS</v>
          </cell>
        </row>
        <row r="3434">
          <cell r="A3434" t="str">
            <v>LHDBXU7PA7S025 (Endura Pearl SL25W LED757SASY TOPCMP)</v>
          </cell>
          <cell r="B3434" t="str">
            <v>LHDBXU7PA7S025(Endura Pearl SL25W LED757SASY TOPCMP)</v>
          </cell>
          <cell r="C3434" t="str">
            <v>HAVELLS</v>
          </cell>
          <cell r="D3434" t="str">
            <v>HAVELLS</v>
          </cell>
        </row>
        <row r="3435">
          <cell r="A3435" t="str">
            <v>LHDBXU7PA7J150 (ENDURA PLUSE NSL 150W LED 757 PASY BOTGFUL)</v>
          </cell>
          <cell r="B3435" t="str">
            <v>LHDBXU7PA7J150(ENDURA PLUSE NSL 150W LED 757 PASY BOTGFUL)</v>
          </cell>
          <cell r="C3435" t="str">
            <v>HAVELLS</v>
          </cell>
          <cell r="D3435" t="str">
            <v>HAVELLS</v>
          </cell>
        </row>
        <row r="3436">
          <cell r="A3436" t="str">
            <v>LHETAXU7PA6J150 (ENDURAPULSENSL150WLED757PASYBOTG)</v>
          </cell>
          <cell r="B3436" t="str">
            <v>LHETAXU7PA6J150(ENDURAPULSENSL150WLED757PASYBOTG)</v>
          </cell>
          <cell r="C3436" t="str">
            <v>HAVELLS</v>
          </cell>
          <cell r="D3436" t="str">
            <v>HAVELLS</v>
          </cell>
        </row>
        <row r="3437">
          <cell r="A3437" t="str">
            <v>LHETAEU7PA7K120 (ENDURASUNBEAMSL120WLED757SASYTOPC)</v>
          </cell>
          <cell r="B3437" t="str">
            <v>LHETAEU7PA7K120(ENDURASUNBEAMSL120WLED757SASYTOPC)</v>
          </cell>
          <cell r="C3437" t="str">
            <v>HAVELLS</v>
          </cell>
          <cell r="D3437" t="str">
            <v>HAVELLS</v>
          </cell>
        </row>
        <row r="3438">
          <cell r="A3438" t="str">
            <v>LHETAEU7PA7K070 (ENDURASUNBEAMSL70WLED757SASTOPC)</v>
          </cell>
          <cell r="B3438" t="str">
            <v>LHETAEU7PA7K070(ENDURASUNBEAMSL70WLED757SASTOPC)</v>
          </cell>
          <cell r="C3438" t="str">
            <v>HAVELLS</v>
          </cell>
          <cell r="D3438" t="str">
            <v>HAVELLS</v>
          </cell>
        </row>
        <row r="3439">
          <cell r="A3439" t="str">
            <v>LHETAEU7PA7K090 (ENDURA SUN BEAM SL90W LED 757SASYTOPC)</v>
          </cell>
          <cell r="B3439" t="str">
            <v>LHETAEU7PA7K090(ENDURA SUN BEAM SL90W LED 757SASYTOPC)</v>
          </cell>
          <cell r="C3439" t="str">
            <v>HAVELLS</v>
          </cell>
          <cell r="D3439" t="str">
            <v>HAVELLS</v>
          </cell>
        </row>
        <row r="3440">
          <cell r="A3440" t="str">
            <v>LHETACU7IA7J120 (ENDURASUNDOWNSL120WLED757PASYBOTG)</v>
          </cell>
          <cell r="B3440" t="str">
            <v>LHETACU7IA7J120(ENDURASUNDOWNSL120WLED757PASYBOTG)</v>
          </cell>
          <cell r="C3440" t="str">
            <v>HAVELLS</v>
          </cell>
          <cell r="D3440" t="str">
            <v>HAVELLS</v>
          </cell>
        </row>
        <row r="3441">
          <cell r="A3441" t="str">
            <v>LHETACU7IA7J025 (ENDURA SUN DOWN SL 25W LED 765PASYBOPCIHD)</v>
          </cell>
          <cell r="B3441" t="str">
            <v>LHETACU7IA7J025(ENDURA SUN DOWN SL 25W LED 765PASYBOPCIHD)</v>
          </cell>
          <cell r="C3441" t="str">
            <v>HAVELLS</v>
          </cell>
          <cell r="D3441" t="str">
            <v>HAVELLS</v>
          </cell>
        </row>
        <row r="3442">
          <cell r="A3442" t="str">
            <v>LED 180W (High Bay Light 180w)</v>
          </cell>
          <cell r="B3442" t="str">
            <v>LED 180W(High Bay Light 180w)</v>
          </cell>
          <cell r="C3442" t="str">
            <v>HAVELLS</v>
          </cell>
          <cell r="D3442" t="str">
            <v>HAVELLS</v>
          </cell>
        </row>
        <row r="3443">
          <cell r="A3443" t="str">
            <v>LHETBXU7PA7B070 (LED L.FiXT SL END PEARL 70W 5700K WSPD)</v>
          </cell>
          <cell r="B3443" t="str">
            <v>LHETBXU7PA7B070(LED L.FiXT SL END PEARL 70W 5700K WSPD)</v>
          </cell>
          <cell r="C3443" t="str">
            <v>HAVELLS</v>
          </cell>
          <cell r="D3443" t="str">
            <v>HAVELLS</v>
          </cell>
        </row>
        <row r="3444">
          <cell r="A3444" t="str">
            <v>LHEXACP7IN1W005 (LED Pride Plus NEO Batten 5W 6500K)</v>
          </cell>
          <cell r="B3444" t="str">
            <v>LHEXACP7IN1W005(LED Pride Plus NEO Batten 5W 6500K)</v>
          </cell>
          <cell r="C3444" t="str">
            <v>HAVELLS</v>
          </cell>
          <cell r="D3444" t="str">
            <v>HAVELLS</v>
          </cell>
        </row>
        <row r="3445">
          <cell r="A3445" t="str">
            <v>LHLDDCXCML8P018 (PHOTONULTRAE2.01213T8SSTL18WLED865SPC)</v>
          </cell>
          <cell r="B3445" t="str">
            <v>LHLDDCXCML8P018(PHOTONULTRAE2.01213T8SSTL18WLED865SPC)</v>
          </cell>
          <cell r="C3445" t="str">
            <v>HAVELLS</v>
          </cell>
          <cell r="D3445" t="str">
            <v>HAVELLS</v>
          </cell>
        </row>
        <row r="3446">
          <cell r="A3446" t="str">
            <v>LHLDBANAML83018 (PHOTONULTRAPLL1419TL18WLED865SPC)</v>
          </cell>
          <cell r="B3446" t="str">
            <v>LHLDBANAML83018(PHOTONULTRAPLL1419TL18WLED865SPC)</v>
          </cell>
          <cell r="C3446" t="str">
            <v>HAVELLS</v>
          </cell>
          <cell r="D3446" t="str">
            <v>HAVELLS</v>
          </cell>
        </row>
        <row r="3447">
          <cell r="A3447" t="str">
            <v>LHEAABP5IL1W018 (18w LED TRIM CLIPON ROUND LIGHT NW)</v>
          </cell>
          <cell r="B3447" t="str">
            <v>LHEAABP5IL1W018(18w LED TRIM CLIPON ROUND LIGHT NW)</v>
          </cell>
          <cell r="C3447" t="str">
            <v>HAVELLS</v>
          </cell>
          <cell r="D3447" t="str">
            <v>HAVELLS</v>
          </cell>
        </row>
        <row r="3448">
          <cell r="A3448" t="str">
            <v>LHEDAKP7IL1S020P (20W LED LUMILINE PLUS 865)</v>
          </cell>
          <cell r="B3448" t="str">
            <v>LHEDAKP7IL1S020P(20W LED LUMILINE PLUS 865)</v>
          </cell>
          <cell r="C3448" t="str">
            <v>HAVELLS</v>
          </cell>
          <cell r="D3448" t="str">
            <v>HAVELLS</v>
          </cell>
        </row>
        <row r="3449">
          <cell r="A3449" t="str">
            <v>LHLDDCXCML8P020 (20W LED Photon Ultra Tublar Lamp 865S)</v>
          </cell>
          <cell r="B3449" t="str">
            <v>LHLDDCXCML8P020(20W LED Photon Ultra Tublar Lamp 865S)</v>
          </cell>
          <cell r="C3449" t="str">
            <v>HAVELLS</v>
          </cell>
          <cell r="D3449" t="str">
            <v>HAVELLS</v>
          </cell>
        </row>
        <row r="3450">
          <cell r="A3450" t="str">
            <v>LHEYBYP7PE1W040 (CONSTA1144LP40WLED857SPMMAWH)</v>
          </cell>
          <cell r="B3450" t="str">
            <v>LHEYBYP7PE1W040(CONSTA1144LP40WLED857SPMMAWH)</v>
          </cell>
          <cell r="C3450" t="str">
            <v>HAVELLS</v>
          </cell>
          <cell r="D3450" t="str">
            <v>HAVELLS</v>
          </cell>
        </row>
        <row r="3451">
          <cell r="A3451" t="str">
            <v>LHLDDAXEUL8Z018 (CRYSTAL1213T8DSTL 18 WLED 865 S GLASS)</v>
          </cell>
          <cell r="B3451" t="str">
            <v>LHLDDAXEUL8Z018(CRYSTAL1213T8DSTL 18 WLED 865 S GLASS)</v>
          </cell>
          <cell r="C3451" t="str">
            <v>HAVELLS</v>
          </cell>
          <cell r="D3451" t="str">
            <v>HAVELLS</v>
          </cell>
        </row>
        <row r="3452">
          <cell r="A3452" t="str">
            <v>LHEDEEP6PL1W025 (DESTELLO50LP/S25WLED840SPMMAWH)</v>
          </cell>
          <cell r="B3452" t="str">
            <v>LHEDEEP6PL1W025(DESTELLO50LP/S25WLED840SPMMAWH)</v>
          </cell>
          <cell r="C3452" t="str">
            <v>HAVELLS</v>
          </cell>
          <cell r="D3452" t="str">
            <v>HAVELLS</v>
          </cell>
        </row>
        <row r="3453">
          <cell r="A3453" t="str">
            <v>LHEDEEP7PL1W025 (DESTELLO 50LP/S25W LED857 SPMMAWH)</v>
          </cell>
          <cell r="B3453" t="str">
            <v>LHEDEEP7PL1W025(DESTELLO 50LP/S25W LED857 SPMMAWH)</v>
          </cell>
          <cell r="C3453" t="str">
            <v>HAVELLS</v>
          </cell>
          <cell r="D3453" t="str">
            <v>HAVELLS</v>
          </cell>
        </row>
        <row r="3454">
          <cell r="A3454" t="str">
            <v>LHEDEEP7PL1W036 (DESTELLO50LP/S36WLED857SPMMAWH)</v>
          </cell>
          <cell r="B3454" t="str">
            <v>LHEDEEP7PL1W036(DESTELLO50LP/S36WLED857SPMMAWH)</v>
          </cell>
          <cell r="C3454" t="str">
            <v>HAVELLS</v>
          </cell>
          <cell r="D3454" t="str">
            <v>HAVELLS</v>
          </cell>
        </row>
        <row r="3455">
          <cell r="A3455" t="str">
            <v>LHECEFL6PL1W012 (DESTELLO 50 Rec 12w 570 840 WHT)</v>
          </cell>
          <cell r="B3455" t="str">
            <v>LHECEFL6PL1W012(DESTELLO 50 Rec 12w 570 840 WHT)</v>
          </cell>
          <cell r="C3455" t="str">
            <v>HAVELLS</v>
          </cell>
          <cell r="D3455" t="str">
            <v>HAVELLS</v>
          </cell>
        </row>
        <row r="3456">
          <cell r="A3456" t="str">
            <v>LHEDEEP7PL1W018 (Destello 50 Sus/Sur 18W 570857 WHT)</v>
          </cell>
          <cell r="B3456" t="str">
            <v>LHEDEEP7PL1W018(Destello 50 Sus/Sur 18W 570857 WHT)</v>
          </cell>
          <cell r="C3456" t="str">
            <v>HAVELLS</v>
          </cell>
          <cell r="D3456" t="str">
            <v>HAVELLS</v>
          </cell>
        </row>
        <row r="3457">
          <cell r="A3457" t="str">
            <v>LHEDEEP6PL1W050 (DESTELLO 50 SUS/SUR 50W 2260 840 WHT)</v>
          </cell>
          <cell r="B3457" t="str">
            <v>LHEDEEP6PL1W050(DESTELLO 50 SUS/SUR 50W 2260 840 WHT)</v>
          </cell>
          <cell r="C3457" t="str">
            <v>HAVELLS</v>
          </cell>
          <cell r="D3457" t="str">
            <v>HAVELLS</v>
          </cell>
        </row>
        <row r="3458">
          <cell r="A3458" t="str">
            <v>LHEDAFP6PL1W025 (DESTG250LP/S25WLED840SWH1130)</v>
          </cell>
          <cell r="B3458" t="str">
            <v>LHEDAFP6PL1W025(DESTG250LP/S25WLED840SWH1130)</v>
          </cell>
          <cell r="C3458" t="str">
            <v>HAVELLS</v>
          </cell>
          <cell r="D3458" t="str">
            <v>HAVELLS</v>
          </cell>
        </row>
        <row r="3459">
          <cell r="A3459" t="str">
            <v>LHEDAFP7PL1W025 (DESTG250LP/S25W LED857SWH1130)</v>
          </cell>
          <cell r="B3459" t="str">
            <v>LHEDAFP7PL1W025(DESTG250LP/S25W LED857SWH1130)</v>
          </cell>
          <cell r="C3459" t="str">
            <v>HAVELLS</v>
          </cell>
          <cell r="D3459" t="str">
            <v>HAVELLS</v>
          </cell>
        </row>
        <row r="3460">
          <cell r="A3460" t="str">
            <v>LHEDAFP7PL1W050 (DESTG250LP/S50W LED857SWH2260)</v>
          </cell>
          <cell r="B3460" t="str">
            <v>LHEDAFP7PL1W050(DESTG250LP/S50W LED857SWH2260)</v>
          </cell>
          <cell r="C3460" t="str">
            <v>HAVELLS</v>
          </cell>
          <cell r="D3460" t="str">
            <v>HAVELLS</v>
          </cell>
        </row>
        <row r="3461">
          <cell r="A3461" t="str">
            <v>LHEDADP7PN1S040 (DURABS40WLED865SPCSS)</v>
          </cell>
          <cell r="B3461" t="str">
            <v>LHEDADP7PN1S040(DURABS40WLED865SPCSS)</v>
          </cell>
          <cell r="C3461" t="str">
            <v>HAVELLS</v>
          </cell>
          <cell r="D3461" t="str">
            <v>HAVELLS</v>
          </cell>
        </row>
        <row r="3462">
          <cell r="A3462" t="str">
            <v>LHEYAFP7PG1J020 (ENDURALINEARNEOBS20WLED865SPSCSS)</v>
          </cell>
          <cell r="B3462" t="str">
            <v>LHEYAFP7PG1J020(ENDURALINEARNEOBS20WLED865SPSCSS)</v>
          </cell>
          <cell r="C3462" t="str">
            <v>HAVELLS</v>
          </cell>
          <cell r="D3462" t="str">
            <v>HAVELLS</v>
          </cell>
        </row>
        <row r="3463">
          <cell r="A3463" t="str">
            <v>LHEXBTP7IN1W005 (Havells LED DELITE 5W Delite NEO)</v>
          </cell>
          <cell r="B3463" t="str">
            <v>LHEXBTP7IN1W005(Havells LED DELITE 5W Delite NEO)</v>
          </cell>
          <cell r="C3463" t="str">
            <v>HAVELLS</v>
          </cell>
          <cell r="D3463" t="str">
            <v>HAVELLS</v>
          </cell>
        </row>
        <row r="3464">
          <cell r="A3464" t="str">
            <v>LHEXBQP5IN1W018 (Havells Lumiline 18W LED Batten)</v>
          </cell>
          <cell r="B3464" t="str">
            <v>LHEXBQP5IN1W018(Havells Lumiline 18W LED Batten)</v>
          </cell>
          <cell r="C3464" t="str">
            <v>HAVELLS</v>
          </cell>
          <cell r="D3464" t="str">
            <v>HAVELLS</v>
          </cell>
        </row>
        <row r="3465">
          <cell r="A3465" t="str">
            <v>LHFPCZBFP46J120 (JET L FIXT STOUT SUR/SUS 40W 857 1200)</v>
          </cell>
          <cell r="B3465" t="str">
            <v>LHFPCZBFP46J120(JET L FIXT STOUT SUR/SUS 40W 857 1200)</v>
          </cell>
          <cell r="C3465" t="str">
            <v>HAVELLS</v>
          </cell>
          <cell r="D3465" t="str">
            <v>HAVELLS</v>
          </cell>
        </row>
        <row r="3466">
          <cell r="A3466" t="str">
            <v>LSSLOX0347 (Joining KIT for Destello 50P/S/DI)</v>
          </cell>
          <cell r="B3466" t="str">
            <v>LSSLOX0347(Joining KIT for Destello 50P/S/DI)</v>
          </cell>
          <cell r="C3466" t="str">
            <v>HAVELLS</v>
          </cell>
          <cell r="D3466" t="str">
            <v>HAVELLS</v>
          </cell>
        </row>
        <row r="3467">
          <cell r="A3467" t="str">
            <v>Pride 20W 6K (LED ELITE Pride Plus Neo 20W 6K)</v>
          </cell>
          <cell r="B3467" t="str">
            <v>Pride 20W 6K(LED ELITE Pride Plus Neo 20W 6K)</v>
          </cell>
          <cell r="C3467" t="str">
            <v>HAVELLS</v>
          </cell>
          <cell r="D3467" t="str">
            <v>HAVELLS</v>
          </cell>
        </row>
        <row r="3468">
          <cell r="A3468" t="str">
            <v>LHEWEBP7IN1W010 (LED L FIXT ENDURA LINEAR NEO SUR 10W 857)</v>
          </cell>
          <cell r="B3468" t="str">
            <v>LHEWEBP7IN1W010(LED L FIXT ENDURA LINEAR NEO SUR 10W 857)</v>
          </cell>
          <cell r="C3468" t="str">
            <v>HAVELLS</v>
          </cell>
          <cell r="D3468" t="str">
            <v>HAVELLS</v>
          </cell>
        </row>
        <row r="3469">
          <cell r="A3469" t="str">
            <v>LHEWEBP7IN1W020 (LED L FIXT ENDURA LINEAR NEO SUR 20W 857)</v>
          </cell>
          <cell r="B3469" t="str">
            <v>LHEWEBP7IN1W020(LED L FIXT ENDURA LINEAR NEO SUR 20W 857)</v>
          </cell>
          <cell r="C3469" t="str">
            <v>HAVELLS</v>
          </cell>
          <cell r="D3469" t="str">
            <v>HAVELLS</v>
          </cell>
        </row>
        <row r="3470">
          <cell r="A3470" t="str">
            <v>LHEXBQP7IN1W018 (LED L FIXT LUMILINE SUR 18W 865)</v>
          </cell>
          <cell r="B3470" t="str">
            <v>LHEXBQP7IN1W018(LED L FIXT LUMILINE SUR 18W 865)</v>
          </cell>
          <cell r="C3470" t="str">
            <v>HAVELLS</v>
          </cell>
          <cell r="D3470" t="str">
            <v>HAVELLS</v>
          </cell>
        </row>
        <row r="3471">
          <cell r="A3471" t="str">
            <v>LHEXBQP7IN1W020 (LED L FIXT LUMILINE SUR 20W 865)</v>
          </cell>
          <cell r="B3471" t="str">
            <v>LHEXBQP7IN1W020(LED L FIXT LUMILINE SUR 20W 865)</v>
          </cell>
          <cell r="C3471" t="str">
            <v>HAVELLS</v>
          </cell>
          <cell r="D3471" t="str">
            <v>HAVELLS</v>
          </cell>
        </row>
        <row r="3472">
          <cell r="A3472" t="str">
            <v>LHEYBYP7OE1W040 (LED L FIXT STOUT SUR/SUS 40W 857 1200)</v>
          </cell>
          <cell r="B3472" t="str">
            <v>LHEYBYP7OE1W040(LED L FIXT STOUT SUR/SUS 40W 857 1200)</v>
          </cell>
          <cell r="C3472" t="str">
            <v>HAVELLS</v>
          </cell>
          <cell r="D3472" t="str">
            <v>HAVELLS</v>
          </cell>
        </row>
        <row r="3473">
          <cell r="A3473" t="str">
            <v>Trim 3W JB (LED Trim 3W Junction BOX 3K)</v>
          </cell>
          <cell r="B3473" t="str">
            <v>Trim 3W JB(LED Trim 3W Junction BOX 3K)</v>
          </cell>
          <cell r="C3473" t="str">
            <v>HAVELLS</v>
          </cell>
          <cell r="D3473" t="str">
            <v>HAVELLS</v>
          </cell>
        </row>
        <row r="3474">
          <cell r="A3474" t="str">
            <v>LHLDCKXCML8Z018 (LED Tube 18W 2.0 Photon Ultra T8)</v>
          </cell>
          <cell r="B3474" t="str">
            <v>LHLDCKXCML8Z018(LED Tube 18W 2.0 Photon Ultra T8)</v>
          </cell>
          <cell r="C3474" t="str">
            <v>HAVELLS</v>
          </cell>
          <cell r="D3474" t="str">
            <v>HAVELLS</v>
          </cell>
        </row>
        <row r="3475">
          <cell r="A3475" t="str">
            <v>LT8-20 (LED TUBE LT8-20)</v>
          </cell>
          <cell r="B3475" t="str">
            <v>LT8-20(LED TUBE LT8-20)</v>
          </cell>
          <cell r="C3475" t="str">
            <v>HAVELLS</v>
          </cell>
          <cell r="D3475" t="str">
            <v>HAVELLS</v>
          </cell>
        </row>
        <row r="3476">
          <cell r="A3476" t="str">
            <v>LHLDDCXCML8Z010 (LED TUBE PHOTONULTRA 10W 15G13 6.5K-EESL)</v>
          </cell>
          <cell r="B3476" t="str">
            <v>LHLDDCXCML8Z010(LED TUBE PHOTONULTRA 10W 15G13 6.5K-EESL)</v>
          </cell>
          <cell r="C3476" t="str">
            <v>HAVELLS</v>
          </cell>
          <cell r="D3476" t="str">
            <v>HAVELLS</v>
          </cell>
        </row>
        <row r="3477">
          <cell r="A3477" t="str">
            <v>LHLDDBXEUL7Z020 (LED TUBE T8 TITANIA PRO 20W G13 865 1M2)</v>
          </cell>
          <cell r="B3477" t="str">
            <v>LHLDDBXEUL7Z020(LED TUBE T8 TITANIA PRO 20W G13 865 1M2)</v>
          </cell>
          <cell r="C3477" t="str">
            <v>HAVELLS</v>
          </cell>
          <cell r="D3477" t="str">
            <v>HAVELLS</v>
          </cell>
        </row>
        <row r="3478">
          <cell r="A3478" t="str">
            <v>LHEDAAP7PW1S020 (LUMILINE+ BS20W LED 865SPCSS)</v>
          </cell>
          <cell r="B3478" t="str">
            <v>LHEDAAP7PW1S020(LUMILINE+ BS20W LED 865SPCSS)</v>
          </cell>
          <cell r="C3478" t="str">
            <v>HAVELLS</v>
          </cell>
          <cell r="D3478" t="str">
            <v>HAVELLS</v>
          </cell>
        </row>
        <row r="3479">
          <cell r="A3479" t="str">
            <v>LHEXBQP7IN1W009 (Lumiline LED 9 W 865)</v>
          </cell>
          <cell r="B3479" t="str">
            <v>LHEXBQP7IN1W009(Lumiline LED 9 W 865)</v>
          </cell>
          <cell r="C3479" t="str">
            <v>HAVELLS</v>
          </cell>
          <cell r="D3479" t="str">
            <v>HAVELLS</v>
          </cell>
        </row>
        <row r="3480">
          <cell r="A3480" t="str">
            <v>LHEDAAP7PW1W010 (Lumiline Plus 10W LED 6500K)</v>
          </cell>
          <cell r="B3480" t="str">
            <v>LHEDAAP7PW1W010(Lumiline Plus 10W LED 6500K)</v>
          </cell>
          <cell r="C3480" t="str">
            <v>HAVELLS</v>
          </cell>
          <cell r="D3480" t="str">
            <v>HAVELLS</v>
          </cell>
        </row>
        <row r="3481">
          <cell r="A3481" t="str">
            <v>LHEDAAP7PW1W020 (Lumiline Plus 20W LED 6500K)</v>
          </cell>
          <cell r="B3481" t="str">
            <v>LHEDAAP7PW1W020(Lumiline Plus 20W LED 6500K)</v>
          </cell>
          <cell r="C3481" t="str">
            <v>HAVELLS</v>
          </cell>
          <cell r="D3481" t="str">
            <v>HAVELLS</v>
          </cell>
        </row>
        <row r="3482">
          <cell r="A3482" t="str">
            <v>LHEDAAP7PW1W024 (Lumiline Plus 24W LED 6500K)</v>
          </cell>
          <cell r="B3482" t="str">
            <v>LHEDAAP7PW1W024(Lumiline Plus 24W LED 6500K)</v>
          </cell>
          <cell r="C3482" t="str">
            <v>HAVELLS</v>
          </cell>
          <cell r="D3482" t="str">
            <v>HAVELLS</v>
          </cell>
        </row>
        <row r="3483">
          <cell r="A3483" t="str">
            <v>LHEDAAP7PW1W018 (LUMILINE PLUSBS18W LED 865SPCSS)</v>
          </cell>
          <cell r="B3483" t="str">
            <v>LHEDAAP7PW1W018(LUMILINE PLUSBS18W LED 865SPCSS)</v>
          </cell>
          <cell r="C3483" t="str">
            <v>HAVELLS</v>
          </cell>
          <cell r="D3483" t="str">
            <v>HAVELLS</v>
          </cell>
        </row>
        <row r="3484">
          <cell r="A3484" t="str">
            <v>LHEDAAP7IL1J036P (LUMILINE PLUS BS 36W LED 865SPCSSIND)</v>
          </cell>
          <cell r="B3484" t="str">
            <v>LHEDAAP7IL1J036P(LUMILINE PLUS BS 36W LED 865SPCSSIND)</v>
          </cell>
          <cell r="C3484" t="str">
            <v>HAVELLS</v>
          </cell>
          <cell r="D3484" t="str">
            <v>HAVELLS</v>
          </cell>
        </row>
        <row r="3485">
          <cell r="A3485" t="str">
            <v>LHEDAAP7IW1W036P (LUMILINE PLUSXS36W LED865SPCWH)</v>
          </cell>
          <cell r="B3485" t="str">
            <v>LHEDAAP7IW1W036P(LUMILINE PLUSXS36W LED865SPCWH)</v>
          </cell>
          <cell r="C3485" t="str">
            <v>HAVELLS</v>
          </cell>
          <cell r="D3485" t="str">
            <v>HAVELLS</v>
          </cell>
        </row>
        <row r="3486">
          <cell r="A3486" t="str">
            <v>LHEKABF7PZ7W040 (MAGNUMGRANDGOLD40WLED857SPC)</v>
          </cell>
          <cell r="B3486" t="str">
            <v>LHEKABF7PZ7W040(MAGNUMGRANDGOLD40WLED857SPC)</v>
          </cell>
          <cell r="C3486" t="str">
            <v>HAVELLS</v>
          </cell>
          <cell r="D3486" t="str">
            <v>HAVELLS</v>
          </cell>
        </row>
        <row r="3487">
          <cell r="A3487" t="str">
            <v>LHEKAWF7PZ7J036 (MAGNUMGRANDNEOIP6636WLED857SPC)</v>
          </cell>
          <cell r="B3487" t="str">
            <v>LHEKAWF7PZ7J036(MAGNUMGRANDNEOIP6636WLED857SPC)</v>
          </cell>
          <cell r="C3487" t="str">
            <v>HAVELLS</v>
          </cell>
          <cell r="D3487" t="str">
            <v>HAVELLS</v>
          </cell>
        </row>
        <row r="3488">
          <cell r="A3488" t="str">
            <v>LHFKAWN1TC6J018 (MAGNUMRETROILS1X18PC 18W LED)</v>
          </cell>
          <cell r="B3488" t="str">
            <v>LHFKAWN1TC6J018(MAGNUMRETROILS1X18PC 18W LED)</v>
          </cell>
          <cell r="C3488" t="str">
            <v>HAVELLS</v>
          </cell>
          <cell r="D3488" t="str">
            <v>HAVELLS</v>
          </cell>
        </row>
        <row r="3489">
          <cell r="A3489" t="str">
            <v>LHLDCLXNZL8X018 (Photon Ultra 1213T8SSTL 18W LED865 SEOUL)</v>
          </cell>
          <cell r="B3489" t="str">
            <v>LHLDCLXNZL8X018(Photon Ultra 1213T8SSTL 18W LED865 SEOUL)</v>
          </cell>
          <cell r="C3489" t="str">
            <v>HAVELLS</v>
          </cell>
          <cell r="D3489" t="str">
            <v>HAVELLS</v>
          </cell>
        </row>
        <row r="3490">
          <cell r="A3490" t="str">
            <v>LHLDCLXNUL8X018 (Photon Ultra 1213T8SSTL 18W LED865SPC)</v>
          </cell>
          <cell r="B3490" t="str">
            <v>LHLDCLXNUL8X018(Photon Ultra 1213T8SSTL 18W LED865SPC)</v>
          </cell>
          <cell r="C3490" t="str">
            <v>HAVELLS</v>
          </cell>
          <cell r="D3490" t="str">
            <v>HAVELLS</v>
          </cell>
        </row>
        <row r="3491">
          <cell r="A3491" t="str">
            <v>LHLDEJNEUL7Z018 (PHOTON ULTRA 18W LED PL 865 HAVELLS MAKE)</v>
          </cell>
          <cell r="B3491" t="str">
            <v>LHLDEJNEUL7Z018(PHOTON ULTRA 18W LED PL 865 HAVELLS MAKE)</v>
          </cell>
          <cell r="C3491" t="str">
            <v>HAVELLS</v>
          </cell>
          <cell r="D3491" t="str">
            <v>HAVELLS</v>
          </cell>
        </row>
        <row r="3492">
          <cell r="A3492" t="str">
            <v>LHLDDBXCML8X018 (PHOTON ULTRA LED 4FT TUBE 18W)</v>
          </cell>
          <cell r="B3492" t="str">
            <v>LHLDDBXCML8X018(PHOTON ULTRA LED 4FT TUBE 18W)</v>
          </cell>
          <cell r="C3492" t="str">
            <v>HAVELLS</v>
          </cell>
          <cell r="D3492" t="str">
            <v>HAVELLS</v>
          </cell>
        </row>
        <row r="3493">
          <cell r="A3493" t="str">
            <v>LHLDDCXCML8Z018 (PHOTONULTRA LED 4FT TUBE 18W 15G13 6.5K-EESL)</v>
          </cell>
          <cell r="B3493" t="str">
            <v>LHLDDCXCML8Z018(PHOTONULTRA LED 4FT TUBE 18W 15G13 6.5K-EESL)</v>
          </cell>
          <cell r="C3493" t="str">
            <v>HAVELLS</v>
          </cell>
          <cell r="D3493" t="str">
            <v>HAVELLS</v>
          </cell>
        </row>
        <row r="3494">
          <cell r="A3494" t="str">
            <v>LHLDCLXNUL8X020 (PHOTON ULTRA LED TUBE 20W)</v>
          </cell>
          <cell r="B3494" t="str">
            <v>LHLDCLXNUL8X020(PHOTON ULTRA LED TUBE 20W)</v>
          </cell>
          <cell r="C3494" t="str">
            <v>HAVELLS</v>
          </cell>
          <cell r="D3494" t="str">
            <v>HAVELLS</v>
          </cell>
        </row>
        <row r="3495">
          <cell r="A3495" t="str">
            <v>LHLDCLXNUL8X010 (PHOTON ULTRA LED TUBE LIGHT 10W)</v>
          </cell>
          <cell r="B3495" t="str">
            <v>LHLDCLXNUL8X010(PHOTON ULTRA LED TUBE LIGHT 10W)</v>
          </cell>
          <cell r="C3495" t="str">
            <v>HAVELLS</v>
          </cell>
          <cell r="D3495" t="str">
            <v>HAVELLS</v>
          </cell>
        </row>
        <row r="3496">
          <cell r="A3496" t="str">
            <v>LHLDEJNEML84018 (PHOTON ULTRA PLL419 TL 18WLED865SPC)</v>
          </cell>
          <cell r="B3496" t="str">
            <v>LHLDEJNEML84018(PHOTON ULTRA PLL419 TL 18WLED865SPC)</v>
          </cell>
          <cell r="C3496" t="str">
            <v>HAVELLS</v>
          </cell>
          <cell r="D3496" t="str">
            <v>HAVELLS</v>
          </cell>
        </row>
        <row r="3497">
          <cell r="A3497" t="str">
            <v>LHLDEJNEML8Z009 (Photon Ultra PL-L Ultra Bright LED PL-L 09W 865 419)</v>
          </cell>
          <cell r="B3497" t="str">
            <v>LHLDEJNEML8Z009(Photon Ultra PL-L Ultra Bright LED PL-L 09W 865 419)</v>
          </cell>
          <cell r="C3497" t="str">
            <v>HAVELLS</v>
          </cell>
          <cell r="D3497" t="str">
            <v>HAVELLS</v>
          </cell>
        </row>
        <row r="3498">
          <cell r="A3498" t="str">
            <v>LHFYBWP1TB1W020 (REGAL BATTENT 8 UPTO 1X22WDSBSWH)</v>
          </cell>
          <cell r="B3498" t="str">
            <v>LHFYBWP1TB1W020(REGAL BATTENT 8 UPTO 1X22WDSBSWH)</v>
          </cell>
          <cell r="C3498" t="str">
            <v>HAVELLS</v>
          </cell>
          <cell r="D3498" t="str">
            <v>HAVELLS</v>
          </cell>
        </row>
        <row r="3499">
          <cell r="A3499" t="str">
            <v>LHFYBYN1NG1W022 (REGALBATTENT8UPTO1X22WSSBSWHNW)</v>
          </cell>
          <cell r="B3499" t="str">
            <v>LHFYBYN1NG1W022(REGALBATTENT8UPTO1X22WSSBSWHNW)</v>
          </cell>
          <cell r="C3499" t="str">
            <v>HAVELLS</v>
          </cell>
          <cell r="D3499" t="str">
            <v>HAVELLS</v>
          </cell>
        </row>
        <row r="3500">
          <cell r="A3500" t="str">
            <v>LHFYBYG2IN1W020 (REGALBATTENT8UPTO2X22WSSBSWH)</v>
          </cell>
          <cell r="B3500" t="str">
            <v>LHFYBYG2IN1W020(REGALBATTENT8UPTO2X22WSSBSWH)</v>
          </cell>
          <cell r="C3500" t="str">
            <v>HAVELLS</v>
          </cell>
          <cell r="D3500" t="str">
            <v>HAVELLS</v>
          </cell>
        </row>
        <row r="3501">
          <cell r="A3501" t="str">
            <v>LHFYBYN2NG1W022 (REGALBATTENT8UPTO2X22WSSBSWHNW)</v>
          </cell>
          <cell r="B3501" t="str">
            <v>LHFYBYN2NG1W022(REGALBATTENT8UPTO2X22WSSBSWHNW)</v>
          </cell>
          <cell r="C3501" t="str">
            <v>HAVELLS</v>
          </cell>
          <cell r="D3501" t="str">
            <v>HAVELLS</v>
          </cell>
        </row>
        <row r="3502">
          <cell r="A3502" t="str">
            <v>LHEYBYP7PE1E040 (STOUTPLUS1200BS40WLED857SPCWH)</v>
          </cell>
          <cell r="B3502" t="str">
            <v>LHEYBYP7PE1E040(STOUTPLUS1200BS40WLED857SPCWH)</v>
          </cell>
          <cell r="C3502" t="str">
            <v>HAVELLS</v>
          </cell>
          <cell r="D3502" t="str">
            <v>HAVELLS</v>
          </cell>
        </row>
        <row r="3503">
          <cell r="A3503" t="str">
            <v>LHEYBYP7PE1E020 (STOUT PLUS 600 BS 20W LED 857 SPC WH)</v>
          </cell>
          <cell r="B3503" t="str">
            <v>LHEYBYP7PE1E020(STOUT PLUS 600 BS 20W LED 857 SPC WH)</v>
          </cell>
          <cell r="C3503" t="str">
            <v>HAVELLS</v>
          </cell>
          <cell r="D3503" t="str">
            <v>HAVELLS</v>
          </cell>
        </row>
        <row r="3504">
          <cell r="A3504" t="str">
            <v>LHEYP70E1W040 (STOUT T8 BATTEN LED 40W)</v>
          </cell>
          <cell r="B3504" t="str">
            <v>LHEYP70E1W040(STOUT T8 BATTEN LED 40W)</v>
          </cell>
          <cell r="C3504" t="str">
            <v>HAVELLS</v>
          </cell>
          <cell r="D3504" t="str">
            <v>HAVELLS</v>
          </cell>
        </row>
        <row r="3505">
          <cell r="A3505" t="str">
            <v>LHEMAAP7PD7J035 (STUPE WGP35W LED757SSYMTOPC GRY)</v>
          </cell>
          <cell r="B3505" t="str">
            <v>LHEMAAP7PD7J035(STUPE WGP35W LED757SSYMTOPC GRY)</v>
          </cell>
          <cell r="C3505" t="str">
            <v>HAVELLS</v>
          </cell>
          <cell r="D3505" t="str">
            <v>HAVELLS</v>
          </cell>
        </row>
        <row r="3506">
          <cell r="A3506" t="str">
            <v>LHLDCLX4L8Z020 (TITANIANEO1213T8SSTL20WLED865SPC)</v>
          </cell>
          <cell r="B3506" t="str">
            <v>LHLDCLX4L8Z020(TITANIANEO1213T8SSTL20WLED865SPC)</v>
          </cell>
          <cell r="C3506" t="str">
            <v>HAVELLS</v>
          </cell>
          <cell r="D3506" t="str">
            <v>HAVELLS</v>
          </cell>
        </row>
        <row r="3507">
          <cell r="A3507" t="str">
            <v>LHLDCNVENL8Z018 (Titania Sleek New T5 LED Tubelight ( Double Side Connection) 18W 865 1148mm)</v>
          </cell>
          <cell r="B3507" t="str">
            <v>LHLDCNVENL8Z018(Titania Sleek New T5 LED Tubelight( Double Side Connection) 18W 865 1148mm)</v>
          </cell>
          <cell r="C3507" t="str">
            <v>HAVELLS</v>
          </cell>
          <cell r="D3507" t="str">
            <v>HAVELLS</v>
          </cell>
        </row>
        <row r="3508">
          <cell r="A3508" t="str">
            <v>LHECAAL6PN1W025 (TZLR25W LED840SPSWH1195SA)</v>
          </cell>
          <cell r="B3508" t="str">
            <v>LHECAAL6PN1W025(TZLR25W LED840SPSWH1195SA)</v>
          </cell>
          <cell r="C3508" t="str">
            <v>HAVELLS</v>
          </cell>
          <cell r="D3508" t="str">
            <v>HAVELLS</v>
          </cell>
        </row>
        <row r="3509">
          <cell r="A3509" t="str">
            <v>LHEBAPPFIG1W015 (UNECOAD JDLR 15W LED 857 S24)</v>
          </cell>
          <cell r="B3509" t="str">
            <v>LHEBAPPFIG1W015(UNECOAD JDLR 15W LED 857 S24)</v>
          </cell>
          <cell r="C3509" t="str">
            <v>HAVELLS</v>
          </cell>
          <cell r="D3509" t="str">
            <v>HAVELLS</v>
          </cell>
        </row>
        <row r="3510">
          <cell r="A3510" t="str">
            <v>LHEWAEP7IW1W028 (VENUS NEO HE 2X2R 28W LED 865 PIRSENSOR)</v>
          </cell>
          <cell r="B3510" t="str">
            <v>LHEWAEP7IW1W028(VENUS NEO HE 2X2R 28W LED 865 PIRSENSOR)</v>
          </cell>
          <cell r="C3510" t="str">
            <v>HAVELLS</v>
          </cell>
          <cell r="D3510" t="str">
            <v>HAVELLS</v>
          </cell>
        </row>
        <row r="3511">
          <cell r="A3511" t="str">
            <v>CS101 (10A 1 WAY SWITCH (HAVELLS))</v>
          </cell>
          <cell r="B3511" t="str">
            <v>CS101(10A 1 WAY SWITCH (HAVELLS))</v>
          </cell>
          <cell r="C3511" t="str">
            <v>HAVELLS</v>
          </cell>
          <cell r="D3511" t="str">
            <v>HAVELLS</v>
          </cell>
        </row>
        <row r="3512">
          <cell r="A3512" t="str">
            <v>CS102 (10A 2WAY SWITCH (HAVELLS))</v>
          </cell>
          <cell r="B3512" t="str">
            <v>CS102(10A 2WAY SWITCH (HAVELLS))</v>
          </cell>
          <cell r="C3512" t="str">
            <v>HAVELLS</v>
          </cell>
          <cell r="D3512" t="str">
            <v>HAVELLS</v>
          </cell>
        </row>
        <row r="3513">
          <cell r="A3513" t="str">
            <v>CS012 (12M PLATE)</v>
          </cell>
          <cell r="B3513" t="str">
            <v>CS012(12M PLATE)</v>
          </cell>
          <cell r="C3513" t="str">
            <v>HAVELLS</v>
          </cell>
          <cell r="D3513" t="str">
            <v>HAVELLS</v>
          </cell>
        </row>
        <row r="3514">
          <cell r="A3514" t="str">
            <v>LHEBHEP6IZ1W012 (12W LED SQUARE SLIM PANEL LIGHT- NW)</v>
          </cell>
          <cell r="B3514" t="str">
            <v>LHEBHEP6IZ1W012(12W LED SQUARE SLIM PANEL LIGHT- NW)</v>
          </cell>
          <cell r="C3514" t="str">
            <v>HAVELLS</v>
          </cell>
          <cell r="D3514" t="str">
            <v>HAVELLS</v>
          </cell>
        </row>
        <row r="3515">
          <cell r="A3515" t="str">
            <v>LHEAABPIL1W012 (12W RD LED TRIM Clip ON)</v>
          </cell>
          <cell r="B3515" t="str">
            <v>LHEAABPIL1W012(12W RD LED TRIM Clip ON)</v>
          </cell>
          <cell r="C3515" t="str">
            <v>HAVELLS</v>
          </cell>
          <cell r="D3515" t="str">
            <v>HAVELLS</v>
          </cell>
        </row>
        <row r="3516">
          <cell r="A3516" t="str">
            <v>CS220 (16A SOCKET)</v>
          </cell>
          <cell r="B3516" t="str">
            <v>CS220(16A SOCKET)</v>
          </cell>
          <cell r="C3516" t="str">
            <v>HAVELLS</v>
          </cell>
          <cell r="D3516" t="str">
            <v>HAVELLS</v>
          </cell>
        </row>
        <row r="3517">
          <cell r="A3517" t="str">
            <v>CS080 (16A SWITCH W/I)</v>
          </cell>
          <cell r="B3517" t="str">
            <v>CS080(16A SWITCH W/I)</v>
          </cell>
          <cell r="C3517" t="str">
            <v>HAVELLS</v>
          </cell>
          <cell r="D3517" t="str">
            <v>HAVELLS</v>
          </cell>
        </row>
        <row r="3518">
          <cell r="A3518" t="str">
            <v>Clipon 18W Rd (18W LED Rd Trim Clipon Panel Light_x000D_
)</v>
          </cell>
          <cell r="B3518" t="str">
            <v>Clipon 18W Rd(18W LED Rd Trim Clipon Panel Light_x000D_
)</v>
          </cell>
          <cell r="C3518" t="str">
            <v>HAVELLS</v>
          </cell>
          <cell r="D3518" t="str">
            <v>HAVELLS</v>
          </cell>
        </row>
        <row r="3519">
          <cell r="A3519" t="str">
            <v>Clipon 18W Sq (18W LED Sq Trim Clipon Panel Light_x000D_
)</v>
          </cell>
          <cell r="B3519" t="str">
            <v>Clipon 18W Sq(18W LED Sq Trim Clipon Panel Light_x000D_
)</v>
          </cell>
          <cell r="C3519" t="str">
            <v>HAVELLS</v>
          </cell>
          <cell r="D3519" t="str">
            <v>HAVELLS</v>
          </cell>
        </row>
        <row r="3520">
          <cell r="A3520" t="str">
            <v>LHFGAANNTN1W000 (1MTR3PHASETRACKTSWHT)</v>
          </cell>
          <cell r="B3520" t="str">
            <v>LHFGAANNTN1W000(1MTR3PHASETRACKTSWHT)</v>
          </cell>
          <cell r="C3520" t="str">
            <v>HAVELLS</v>
          </cell>
          <cell r="D3520" t="str">
            <v>HAVELLS</v>
          </cell>
        </row>
        <row r="3521">
          <cell r="A3521" t="str">
            <v>LSSLOW0400 (1 Mtr Track LSSLOW0400)</v>
          </cell>
          <cell r="B3521" t="str">
            <v>LSSLOW0400(1 Mtr Track LSSLOW0400)</v>
          </cell>
          <cell r="C3521" t="str">
            <v>HAVELLS</v>
          </cell>
          <cell r="D3521" t="str">
            <v>HAVELLS</v>
          </cell>
        </row>
        <row r="3522">
          <cell r="A3522" t="str">
            <v>IHSRTE4200 (200A TPN REW MAIN SWITCH "HAVELLS")</v>
          </cell>
          <cell r="B3522" t="str">
            <v>IHSRTE4200(200A TPN REW MAIN SWITCH "HAVELLS")</v>
          </cell>
          <cell r="C3522" t="str">
            <v>HAVELLS</v>
          </cell>
          <cell r="D3522" t="str">
            <v>HAVELLS</v>
          </cell>
        </row>
        <row r="3523">
          <cell r="A3523" t="str">
            <v xml:space="preserve">20Mtrs Highmast + 16 nos of 500w LHEPBJU7PJ7J500 JETA Valour FL 500w LED 757 MODNBLTG + 16 Nos LSSLOGO0139 Assembled CG box Valour 500wp with Accessories and Installation _x000D_
</v>
          </cell>
          <cell r="B3523" t="str">
            <v xml:space="preserve">20Mtrs Highmast + 16 nos of 500w LHEPBJU7PJ7J500 JETA Valour FL 500w LED 757 MODNBLTG + 16 Nos LSSLOGO0139 Assembled CG box Valour 500wp with Accessories and Installation _x000D_
</v>
          </cell>
          <cell r="C3523" t="str">
            <v>HAVELLS</v>
          </cell>
          <cell r="D3523" t="str">
            <v>HAVELLS</v>
          </cell>
        </row>
        <row r="3524">
          <cell r="A3524" t="str">
            <v>LHEHCPP5IN1W018 (24W LED Strip Light)</v>
          </cell>
          <cell r="B3524" t="str">
            <v>LHEHCPP5IN1W018(24W LED Strip Light)</v>
          </cell>
          <cell r="C3524" t="str">
            <v>HAVELLS</v>
          </cell>
          <cell r="D3524" t="str">
            <v>HAVELLS</v>
          </cell>
        </row>
        <row r="3525">
          <cell r="A3525" t="str">
            <v>LHEAAAP6PL1K025 (25W LED Cylindro Pro Surface)</v>
          </cell>
          <cell r="B3525" t="str">
            <v>LHEAAAP6PL1K025(25W LED Cylindro Pro Surface)</v>
          </cell>
          <cell r="C3525" t="str">
            <v>HAVELLS</v>
          </cell>
          <cell r="D3525" t="str">
            <v>HAVELLS</v>
          </cell>
        </row>
        <row r="3526">
          <cell r="A3526" t="str">
            <v>CS002 (2M PLATE)</v>
          </cell>
          <cell r="B3526" t="str">
            <v>CS002(2M PLATE)</v>
          </cell>
          <cell r="C3526" t="str">
            <v>HAVELLS</v>
          </cell>
          <cell r="D3526" t="str">
            <v>HAVELLS</v>
          </cell>
        </row>
        <row r="3527">
          <cell r="A3527" t="str">
            <v>LHFGABNNTN1W000 (2MTR3PHASETRACKTSWHT)</v>
          </cell>
          <cell r="B3527" t="str">
            <v>LHFGABNNTN1W000(2MTR3PHASETRACKTSWHT)</v>
          </cell>
          <cell r="C3527" t="str">
            <v>HAVELLS</v>
          </cell>
          <cell r="D3527" t="str">
            <v>HAVELLS</v>
          </cell>
        </row>
        <row r="3528">
          <cell r="A3528" t="str">
            <v>LHFGABN2TN1K000 (2MTR3PHASETRACKTSWHT Accessories)</v>
          </cell>
          <cell r="B3528" t="str">
            <v>LHFGABN2TN1K000(2MTR3PHASETRACKTSWHT Accessories)</v>
          </cell>
          <cell r="C3528" t="str">
            <v>HAVELLS</v>
          </cell>
          <cell r="D3528" t="str">
            <v>HAVELLS</v>
          </cell>
        </row>
        <row r="3529">
          <cell r="A3529" t="str">
            <v>CS165 (32A DP SWITCH W/I (HAVELLS))</v>
          </cell>
          <cell r="B3529" t="str">
            <v>CS165(32A DP SWITCH W/I (HAVELLS))</v>
          </cell>
          <cell r="C3529" t="str">
            <v>HAVELLS</v>
          </cell>
          <cell r="D3529" t="str">
            <v>HAVELLS</v>
          </cell>
        </row>
        <row r="3530">
          <cell r="A3530" t="str">
            <v>CS003 (3M PLATE)</v>
          </cell>
          <cell r="B3530" t="str">
            <v>CS003(3M PLATE)</v>
          </cell>
          <cell r="C3530" t="str">
            <v>HAVELLS</v>
          </cell>
          <cell r="D3530" t="str">
            <v>HAVELLS</v>
          </cell>
        </row>
        <row r="3531">
          <cell r="A3531" t="str">
            <v>HX73345E19 (4 Core X6Sq.mm CU.AR Havelles Cable)</v>
          </cell>
          <cell r="B3531" t="str">
            <v>HX73345E19(4 Core X6Sq.mm CU.AR Havelles Cable)</v>
          </cell>
          <cell r="C3531" t="str">
            <v>HAVELLS</v>
          </cell>
          <cell r="D3531" t="str">
            <v>HAVELLS</v>
          </cell>
        </row>
        <row r="3532">
          <cell r="A3532" t="str">
            <v>CS004 (4M PLATE (HAVELLS))</v>
          </cell>
          <cell r="B3532" t="str">
            <v>CS004(4M PLATE (HAVELLS))</v>
          </cell>
          <cell r="C3532" t="str">
            <v>HAVELLS</v>
          </cell>
          <cell r="D3532" t="str">
            <v>HAVELLS</v>
          </cell>
        </row>
        <row r="3533">
          <cell r="A3533" t="str">
            <v>LHDBXU7PA7E060 (60W LED Endura Pearl Street Light)</v>
          </cell>
          <cell r="B3533" t="str">
            <v>LHDBXU7PA7E060(60W LED Endura Pearl Street Light)</v>
          </cell>
          <cell r="C3533" t="str">
            <v>HAVELLS</v>
          </cell>
          <cell r="D3533" t="str">
            <v>HAVELLS</v>
          </cell>
        </row>
        <row r="3534">
          <cell r="A3534" t="str">
            <v>CS210 (6A 3PIN SOCKET (HAVELLS))</v>
          </cell>
          <cell r="B3534" t="str">
            <v>CS210(6A 3PIN SOCKET (HAVELLS))</v>
          </cell>
          <cell r="C3534" t="str">
            <v>HAVELLS</v>
          </cell>
          <cell r="D3534" t="str">
            <v>HAVELLS</v>
          </cell>
        </row>
        <row r="3535">
          <cell r="A3535" t="str">
            <v>CS100 (6A BELL SWITCH W/I 2M)</v>
          </cell>
          <cell r="B3535" t="str">
            <v>CS100(6A BELL SWITCH W/I 2M)</v>
          </cell>
          <cell r="C3535" t="str">
            <v>HAVELLS</v>
          </cell>
          <cell r="D3535" t="str">
            <v>HAVELLS</v>
          </cell>
        </row>
        <row r="3536">
          <cell r="A3536" t="str">
            <v>CS006 (6M PLATE)</v>
          </cell>
          <cell r="B3536" t="str">
            <v>CS006(6M PLATE)</v>
          </cell>
          <cell r="C3536" t="str">
            <v>HAVELLS</v>
          </cell>
          <cell r="D3536" t="str">
            <v>HAVELLS</v>
          </cell>
        </row>
        <row r="3537">
          <cell r="A3537" t="str">
            <v>CS008 (8M PLATE HOR)</v>
          </cell>
          <cell r="B3537" t="str">
            <v>CS008(8M PLATE HOR)</v>
          </cell>
          <cell r="C3537" t="str">
            <v>HAVELLS</v>
          </cell>
          <cell r="D3537" t="str">
            <v>HAVELLS</v>
          </cell>
        </row>
        <row r="3538">
          <cell r="A3538" t="str">
            <v>9 MTRS STREET LIGHT POLE SOLAR PURPOSE</v>
          </cell>
          <cell r="B3538" t="str">
            <v>9 MTRS STREET LIGHT POLE SOLAR PURPOSE</v>
          </cell>
          <cell r="C3538" t="str">
            <v>HAVELLS</v>
          </cell>
          <cell r="D3538" t="str">
            <v>HAVELLS</v>
          </cell>
        </row>
        <row r="3539">
          <cell r="A3539" t="str">
            <v>LED Lamp Adore (Adore LED 10 W)</v>
          </cell>
          <cell r="B3539" t="str">
            <v>LED Lamp Adore(Adore LED 10 W)</v>
          </cell>
          <cell r="C3539" t="str">
            <v>HAVELLS</v>
          </cell>
          <cell r="D3539" t="str">
            <v>HAVELLS</v>
          </cell>
        </row>
        <row r="3540">
          <cell r="A3540" t="str">
            <v>LHLDEUHB4L8R005 (Adore LED 5 W)</v>
          </cell>
          <cell r="B3540" t="str">
            <v>LHLDEUHB4L8R005(Adore LED 5 W)</v>
          </cell>
          <cell r="C3540" t="str">
            <v>HAVELLS</v>
          </cell>
          <cell r="D3540" t="str">
            <v>HAVELLS</v>
          </cell>
        </row>
        <row r="3541">
          <cell r="A3541" t="str">
            <v>ACAPFCWL04 (ATHENA 4M LED Night Lamp Plate)</v>
          </cell>
          <cell r="B3541" t="str">
            <v>ACAPFCWL04(ATHENA 4M LED Night Lamp Plate)</v>
          </cell>
          <cell r="C3541" t="str">
            <v>HAVELLS</v>
          </cell>
          <cell r="D3541" t="str">
            <v>HAVELLS</v>
          </cell>
        </row>
        <row r="3542">
          <cell r="A3542" t="str">
            <v>CS400 (BLANK PLATE)</v>
          </cell>
          <cell r="B3542" t="str">
            <v>CS400(BLANK PLATE)</v>
          </cell>
          <cell r="C3542" t="str">
            <v>HAVELLS</v>
          </cell>
          <cell r="D3542" t="str">
            <v>HAVELLS</v>
          </cell>
        </row>
        <row r="3543">
          <cell r="A3543" t="str">
            <v>LHEOANPJPK6K025 (CLIOWLS25WLED830PSYMTOTG)</v>
          </cell>
          <cell r="B3543" t="str">
            <v>LHEOANPJPK6K025(CLIOWLS25WLED830PSYMTOTG)</v>
          </cell>
          <cell r="C3543" t="str">
            <v>HAVELLS</v>
          </cell>
          <cell r="D3543" t="str">
            <v>HAVELLS</v>
          </cell>
        </row>
        <row r="3544">
          <cell r="A3544" t="str">
            <v>LHEEGEPBIE1W009 (Crysta COB LED Swivel 9W)</v>
          </cell>
          <cell r="B3544" t="str">
            <v>LHEEGEPBIE1W009(Crysta COB LED Swivel 9W)</v>
          </cell>
          <cell r="C3544" t="str">
            <v>HAVELLS</v>
          </cell>
          <cell r="D3544" t="str">
            <v>HAVELLS</v>
          </cell>
        </row>
        <row r="3545">
          <cell r="A3545" t="str">
            <v>LHEIAAP6PN1K015 (Cylindro PROPENDTDLP 15W LED)</v>
          </cell>
          <cell r="B3545" t="str">
            <v>LHEIAAP6PN1K015(Cylindro PROPENDTDLP 15W LED)</v>
          </cell>
          <cell r="C3545" t="str">
            <v>HAVELLS</v>
          </cell>
          <cell r="D3545" t="str">
            <v>HAVELLS</v>
          </cell>
        </row>
        <row r="3546">
          <cell r="A3546" t="str">
            <v>LHEEAWPBIH1W015 (CYLIN DROTSS15W 830S38DWHT)</v>
          </cell>
          <cell r="B3546" t="str">
            <v>LHEEAWPBIH1W015(CYLIN DROTSS15W 830S38DWHT)</v>
          </cell>
          <cell r="C3546" t="str">
            <v>HAVELLS</v>
          </cell>
          <cell r="D3546" t="str">
            <v>HAVELLS</v>
          </cell>
        </row>
        <row r="3547">
          <cell r="A3547" t="str">
            <v>1150-500-1500 (Dalidrives 900mA)</v>
          </cell>
          <cell r="B3547" t="str">
            <v>1150-500-1500(Dalidrives 900mA)</v>
          </cell>
          <cell r="C3547" t="str">
            <v>HAVELLS</v>
          </cell>
          <cell r="D3547" t="str">
            <v>HAVELLS</v>
          </cell>
        </row>
        <row r="3548">
          <cell r="A3548" t="str">
            <v>LHETAXU7IA7J070 (Enduracity Linerneo SL 70W LED 757PASYBOTG)</v>
          </cell>
          <cell r="B3548" t="str">
            <v>LHETAXU7IA7J070(Enduracity Linerneo SL 70W LED 757PASYBOTG)</v>
          </cell>
          <cell r="C3548" t="str">
            <v>HAVELLS</v>
          </cell>
          <cell r="D3548" t="str">
            <v>HAVELLS</v>
          </cell>
        </row>
        <row r="3549">
          <cell r="A3549" t="str">
            <v>LHELAWUDPC5K050 (Endura Highbrite Baylight 50W LED COB 5K)</v>
          </cell>
          <cell r="B3549" t="str">
            <v>LHELAWUDPC5K050(Endura Highbrite Baylight 50W LED COB 5K)</v>
          </cell>
          <cell r="C3549" t="str">
            <v>HAVELLS</v>
          </cell>
          <cell r="D3549" t="str">
            <v>HAVELLS</v>
          </cell>
        </row>
        <row r="3550">
          <cell r="A3550" t="str">
            <v>LHEAAXP7PL1W018 (ENDURA NEOHE SURFACED LS18W LED 857S)</v>
          </cell>
          <cell r="B3550" t="str">
            <v>LHEAAXP7PL1W018(ENDURA NEOHE SURFACED LS18W LED 857S)</v>
          </cell>
          <cell r="C3550" t="str">
            <v>HAVELLS</v>
          </cell>
          <cell r="D3550" t="str">
            <v>HAVELLS</v>
          </cell>
        </row>
        <row r="3551">
          <cell r="A3551" t="str">
            <v>LHEAAXP7PL1W021 (ENDURA NEOHE SURFACEDLS21W LED 857S)</v>
          </cell>
          <cell r="B3551" t="str">
            <v>LHEAAXP7PL1W021(ENDURA NEOHE SURFACEDLS21W LED 857S)</v>
          </cell>
          <cell r="C3551" t="str">
            <v>HAVELLS</v>
          </cell>
          <cell r="D3551" t="str">
            <v>HAVELLS</v>
          </cell>
        </row>
        <row r="3552">
          <cell r="A3552" t="str">
            <v>LHDBXU7PA7S150 (ENDURAPEARLMAGPLUSSL150WLED757PASYTOTG)</v>
          </cell>
          <cell r="B3552" t="str">
            <v>LHDBXU7PA7S150(ENDURAPEARLMAGPLUSSL150WLED757PASYTOTG)</v>
          </cell>
          <cell r="C3552" t="str">
            <v>HAVELLS</v>
          </cell>
          <cell r="D3552" t="str">
            <v>HAVELLS</v>
          </cell>
        </row>
        <row r="3553">
          <cell r="A3553" t="str">
            <v>LHETBXU7PA7B080 (ENDURAPEARLPLUSSL80WLED757SASYTOPC)</v>
          </cell>
          <cell r="B3553" t="str">
            <v>LHETBXU7PA7B080(ENDURAPEARLPLUSSL80WLED757SASYTOPC)</v>
          </cell>
          <cell r="C3553" t="str">
            <v>HAVELLS</v>
          </cell>
          <cell r="D3553" t="str">
            <v>HAVELLS</v>
          </cell>
        </row>
        <row r="3554">
          <cell r="A3554" t="str">
            <v>CS385 (FAN REGULATOR 2M)</v>
          </cell>
          <cell r="B3554" t="str">
            <v>CS385(FAN REGULATOR 2M)</v>
          </cell>
          <cell r="C3554" t="str">
            <v>HAVELLS</v>
          </cell>
          <cell r="D3554" t="str">
            <v>HAVELLS</v>
          </cell>
        </row>
        <row r="3555">
          <cell r="A3555" t="str">
            <v>FAN Blue (Fan Stealth Air Indigo Blue  1250mm)</v>
          </cell>
          <cell r="B3555" t="str">
            <v>FAN Blue(Fan Stealth Air Indigo Blue 1250mm)</v>
          </cell>
          <cell r="C3555" t="str">
            <v>HAVELLS</v>
          </cell>
          <cell r="D3555" t="str">
            <v>HAVELLS</v>
          </cell>
        </row>
        <row r="3556">
          <cell r="A3556" t="str">
            <v>Stealth Cruise 1320mm (Fan Stealth Cruise 1320 mm Indigo Blue)</v>
          </cell>
          <cell r="B3556" t="str">
            <v>Stealth Cruise 1320mm(Fan Stealth Cruise 1320 mm Indigo Blue)</v>
          </cell>
          <cell r="C3556" t="str">
            <v>HAVELLS</v>
          </cell>
          <cell r="D3556" t="str">
            <v>HAVELLS</v>
          </cell>
        </row>
        <row r="3557">
          <cell r="A3557" t="str">
            <v>LYEEBZPDPE1W025 (FIOTS 25W 840S45DWHT)</v>
          </cell>
          <cell r="B3557" t="str">
            <v>LYEEBZPDPE1W025(FIOTS 25W 840S45DWHT)</v>
          </cell>
          <cell r="C3557" t="str">
            <v>HAVELLS</v>
          </cell>
          <cell r="D3557" t="str">
            <v>HAVELLS</v>
          </cell>
        </row>
        <row r="3558">
          <cell r="A3558" t="str">
            <v>H 32A SPN (H 32A SPN 'C' MCB)</v>
          </cell>
          <cell r="B3558" t="str">
            <v>H 32A SPN(H 32A SPN 'C' MCB)</v>
          </cell>
          <cell r="C3558" t="str">
            <v>HAVELLS</v>
          </cell>
          <cell r="D3558" t="str">
            <v>HAVELLS</v>
          </cell>
        </row>
        <row r="3559">
          <cell r="A3559" t="str">
            <v>GHRACAOE190 (Havells Cooler Fresco - I 180W 24 Ltr)</v>
          </cell>
          <cell r="B3559" t="str">
            <v>GHRACAOE190(Havells Cooler Fresco - I 180W 24 Ltr)</v>
          </cell>
          <cell r="C3559" t="str">
            <v>HAVELLS</v>
          </cell>
          <cell r="D3559" t="str">
            <v>HAVELLS</v>
          </cell>
        </row>
        <row r="3560">
          <cell r="A3560" t="str">
            <v>LHLDEUHBML8R007 (Havells LED ADORE LAMP 7W E27 6K)</v>
          </cell>
          <cell r="B3560" t="str">
            <v>LHLDEUHBML8R007(Havells LED ADORE LAMP 7W E27 6K)</v>
          </cell>
          <cell r="C3560" t="str">
            <v>HAVELLS</v>
          </cell>
          <cell r="D3560" t="str">
            <v>HAVELLS</v>
          </cell>
        </row>
        <row r="3561">
          <cell r="A3561" t="str">
            <v>LHEBKHPBIE1W010 (Havells LED COB Fixed 10 3 K)</v>
          </cell>
          <cell r="B3561" t="str">
            <v>LHEBKHPBIE1W010(Havells LED COB Fixed 10 3 K)</v>
          </cell>
          <cell r="C3561" t="str">
            <v>HAVELLS</v>
          </cell>
          <cell r="D3561" t="str">
            <v>HAVELLS</v>
          </cell>
        </row>
        <row r="3562">
          <cell r="A3562" t="str">
            <v>LHEEGEPDIE1W006 (Havells LED Crysta COB 6W 4K)</v>
          </cell>
          <cell r="B3562" t="str">
            <v>LHEEGEPDIE1W006(Havells LED Crysta COB 6W 4K)</v>
          </cell>
          <cell r="C3562" t="str">
            <v>HAVELLS</v>
          </cell>
          <cell r="D3562" t="str">
            <v>HAVELLS</v>
          </cell>
        </row>
        <row r="3563">
          <cell r="A3563" t="str">
            <v>LHEEGEPBIE1W006 (Havells LED Crysta COB Swivel 6W 3K)</v>
          </cell>
          <cell r="B3563" t="str">
            <v>LHEEGEPBIE1W006(Havells LED Crysta COB Swivel 6W 3K)</v>
          </cell>
          <cell r="C3563" t="str">
            <v>HAVELLS</v>
          </cell>
          <cell r="D3563" t="str">
            <v>HAVELLS</v>
          </cell>
        </row>
        <row r="3564">
          <cell r="A3564" t="str">
            <v>LHEEGEPBIE1W003 (Havells LED Crysta COB Swivel Spotlight 3W 3K)</v>
          </cell>
          <cell r="B3564" t="str">
            <v>LHEEGEPBIE1W003(Havells LED Crysta COB Swivel Spotlight 3W 3K)</v>
          </cell>
          <cell r="C3564" t="str">
            <v>HAVELLS</v>
          </cell>
          <cell r="D3564" t="str">
            <v>HAVELLS</v>
          </cell>
        </row>
        <row r="3565">
          <cell r="A3565" t="str">
            <v>NICOLA 600MM (HAVELLS NICOLA 600MM (B COPPER))</v>
          </cell>
          <cell r="B3565" t="str">
            <v>NICOLA 600MM(HAVELLS NICOLA 600MM(B COPPER))</v>
          </cell>
          <cell r="C3565" t="str">
            <v>HAVELLS</v>
          </cell>
          <cell r="D3565" t="str">
            <v>HAVELLS</v>
          </cell>
        </row>
        <row r="3566">
          <cell r="A3566" t="str">
            <v>LHEBGSP5PZ1W010 (INTEGRANEODLR 10WLED 830S)</v>
          </cell>
          <cell r="B3566" t="str">
            <v>LHEBGSP5PZ1W010(INTEGRANEODLR 10WLED 830S)</v>
          </cell>
          <cell r="C3566" t="str">
            <v>HAVELLS</v>
          </cell>
          <cell r="D3566" t="str">
            <v>HAVELLS</v>
          </cell>
        </row>
        <row r="3567">
          <cell r="A3567" t="str">
            <v>LSSLOX0731 (JKITDESTG250P/S)</v>
          </cell>
          <cell r="B3567" t="str">
            <v>LSSLOX0731(JKITDESTG250P/S)</v>
          </cell>
          <cell r="C3567" t="str">
            <v>HAVELLS</v>
          </cell>
          <cell r="D3567" t="str">
            <v>HAVELLS</v>
          </cell>
        </row>
        <row r="3568">
          <cell r="A3568" t="str">
            <v>LHLDEUEBML8R007 (LED Adore 7W B22 CDL 3STAR Lamp)</v>
          </cell>
          <cell r="B3568" t="str">
            <v>LHLDEUEBML8R007(LED Adore 7W B22 CDL 3STAR Lamp)</v>
          </cell>
          <cell r="C3568" t="str">
            <v>HAVELLS</v>
          </cell>
          <cell r="D3568" t="str">
            <v>HAVELLS</v>
          </cell>
        </row>
        <row r="3569">
          <cell r="A3569" t="str">
            <v>LHEBJNP7IN1W010 (LED.LFIXT Endura DL Neo 10W 6K)</v>
          </cell>
          <cell r="B3569" t="str">
            <v>LHEBJNP7IN1W010(LED.LFIXT Endura DL Neo 10W 6K)</v>
          </cell>
          <cell r="C3569" t="str">
            <v>HAVELLS</v>
          </cell>
          <cell r="D3569" t="str">
            <v>HAVELLS</v>
          </cell>
        </row>
        <row r="3570">
          <cell r="A3570" t="str">
            <v>LHEYACP7IN1W010 (LED PRIDE PLUS NEO BATTEN 10W 6500K)</v>
          </cell>
          <cell r="B3570" t="str">
            <v>LHEYACP7IN1W010(LED PRIDE PLUS NEO BATTEN 10W 6500K)</v>
          </cell>
          <cell r="C3570" t="str">
            <v>HAVELLS</v>
          </cell>
          <cell r="D3570" t="str">
            <v>HAVELLS</v>
          </cell>
        </row>
        <row r="3571">
          <cell r="A3571" t="str">
            <v>LSSLOW0313 (L.SPARE ASSEM POW COATED FRAME595X595X1)</v>
          </cell>
          <cell r="B3571" t="str">
            <v>LSSLOW0313(L.SPARE ASSEM POW COATED FRAME595X595X1)</v>
          </cell>
          <cell r="C3571" t="str">
            <v>HAVELLS</v>
          </cell>
          <cell r="D3571" t="str">
            <v>HAVELLS</v>
          </cell>
        </row>
        <row r="3572">
          <cell r="A3572" t="str">
            <v>LSSCRX2599 (LSpare Draco 850 DALI DT6 Dimmable)</v>
          </cell>
          <cell r="B3572" t="str">
            <v>LSSCRX2599(LSpare Draco 850 DALI DT6 Dimmable)</v>
          </cell>
          <cell r="C3572" t="str">
            <v>HAVELLS</v>
          </cell>
          <cell r="D3572" t="str">
            <v>HAVELLS</v>
          </cell>
        </row>
        <row r="3573">
          <cell r="A3573" t="str">
            <v>LHEOAPPBPK6K009 (LYCUSSPS9WLED830PSYMBOTG)</v>
          </cell>
          <cell r="B3573" t="str">
            <v>LHEOAPPBPK6K009(LYCUSSPS9WLED830PSYMBOTG)</v>
          </cell>
          <cell r="C3573" t="str">
            <v>HAVELLS</v>
          </cell>
          <cell r="D3573" t="str">
            <v>HAVELLS</v>
          </cell>
        </row>
        <row r="3574">
          <cell r="A3574" t="str">
            <v>ACSBA002 (Microwave Surface Mount Sensor Wh)</v>
          </cell>
          <cell r="B3574" t="str">
            <v>ACSBA002(Microwave Surface Mount Sensor Wh)</v>
          </cell>
          <cell r="C3574" t="str">
            <v>HAVELLS</v>
          </cell>
          <cell r="D3574" t="str">
            <v>HAVELLS</v>
          </cell>
        </row>
        <row r="3575">
          <cell r="A3575" t="str">
            <v>LSSLOX0348 (MONDOMOUNTINGKIT)</v>
          </cell>
          <cell r="B3575" t="str">
            <v>LSSLOX0348(MONDOMOUNTINGKIT)</v>
          </cell>
          <cell r="C3575" t="str">
            <v>HAVELLS</v>
          </cell>
          <cell r="D3575" t="str">
            <v>HAVELLS</v>
          </cell>
        </row>
        <row r="3576">
          <cell r="A3576" t="str">
            <v>LSSLOG0004 (Mounting Frame for Endura Baybrite 80W/P)</v>
          </cell>
          <cell r="B3576" t="str">
            <v>LSSLOG0004(Mounting Frame for Endura Baybrite 80W/P)</v>
          </cell>
          <cell r="C3576" t="str">
            <v>HAVELLS</v>
          </cell>
          <cell r="D3576" t="str">
            <v>HAVELLS</v>
          </cell>
        </row>
        <row r="3577">
          <cell r="A3577" t="str">
            <v>LHEDDZP7PL1W034 (Plano Surface2x2 PLS34W LED857S)</v>
          </cell>
          <cell r="B3577" t="str">
            <v>LHEDDZP7PL1W034(Plano Surface2x2 PLS34W LED857S)</v>
          </cell>
          <cell r="C3577" t="str">
            <v>HAVELLS</v>
          </cell>
          <cell r="D3577" t="str">
            <v>HAVELLS</v>
          </cell>
        </row>
        <row r="3578">
          <cell r="A3578" t="str">
            <v>LHEDEAP7PL1W042 (PLANOSURFACE4X1PLS42WLED857S)</v>
          </cell>
          <cell r="B3578" t="str">
            <v>LHEDEAP7PL1W042(PLANOSURFACE4X1PLS42WLED857S)</v>
          </cell>
          <cell r="C3578" t="str">
            <v>HAVELLS</v>
          </cell>
          <cell r="D3578" t="str">
            <v>HAVELLS</v>
          </cell>
        </row>
        <row r="3579">
          <cell r="A3579" t="str">
            <v>LHEWEIP6PN1W042 (PLUTOSURFACE2X2PLS42WLED 840S)</v>
          </cell>
          <cell r="B3579" t="str">
            <v>LHEWEIP6PN1W042(PLUTOSURFACE2X2PLS42WLED 840S)</v>
          </cell>
          <cell r="C3579" t="str">
            <v>HAVELLS</v>
          </cell>
          <cell r="D3579" t="str">
            <v>HAVELLS</v>
          </cell>
        </row>
        <row r="3580">
          <cell r="A3580" t="str">
            <v>LHFYBYPNIA1W022 (REGAL BATTENT 8UPT 01X22WSS BSWH)</v>
          </cell>
          <cell r="B3580" t="str">
            <v>LHFYBYPNIA1W022(REGAL BATTENT 8UPT 01X22WSS BSWH)</v>
          </cell>
          <cell r="C3580" t="str">
            <v>HAVELLS</v>
          </cell>
          <cell r="D3580" t="str">
            <v>HAVELLS</v>
          </cell>
        </row>
        <row r="3581">
          <cell r="A3581" t="str">
            <v>LHELANU7PH7E200 (SAUCERNEOP200WLED75760DT OLTG)</v>
          </cell>
          <cell r="B3581" t="str">
            <v>LHELANU7PH7E200(SAUCERNEOP200WLED75760DT OLTG)</v>
          </cell>
          <cell r="C3581" t="str">
            <v>HAVELLS</v>
          </cell>
          <cell r="D3581" t="str">
            <v>HAVELLS</v>
          </cell>
        </row>
        <row r="3582">
          <cell r="A3582" t="str">
            <v>LHELANU7IG7E120 (SAUCERPLUSHBP120WLED757AWBTOLTG)</v>
          </cell>
          <cell r="B3582" t="str">
            <v>LHELANU7IG7E120(SAUCERPLUSHBP120WLED757AWBTOLTG)</v>
          </cell>
          <cell r="C3582" t="str">
            <v>HAVELLS</v>
          </cell>
          <cell r="D3582" t="str">
            <v>HAVELLS</v>
          </cell>
        </row>
        <row r="3583">
          <cell r="A3583" t="str">
            <v>H 10A (SP'B' MCB H 10A)</v>
          </cell>
          <cell r="B3583" t="str">
            <v>H 10A(SP'B' MCB H 10A)</v>
          </cell>
          <cell r="C3583" t="str">
            <v>HAVELLS</v>
          </cell>
          <cell r="D3583" t="str">
            <v>HAVELLS</v>
          </cell>
        </row>
        <row r="3584">
          <cell r="A3584" t="str">
            <v>H 16A (SP'B' MCB H 16A)</v>
          </cell>
          <cell r="B3584" t="str">
            <v>H 16A(SP'B' MCB H 16A)</v>
          </cell>
          <cell r="C3584" t="str">
            <v>HAVELLS</v>
          </cell>
          <cell r="D3584" t="str">
            <v>HAVELLS</v>
          </cell>
        </row>
        <row r="3585">
          <cell r="A3585" t="str">
            <v>H 20A (SP'B' MCB H 20A)</v>
          </cell>
          <cell r="B3585" t="str">
            <v>H 20A(SP'B' MCB H 20A)</v>
          </cell>
          <cell r="C3585" t="str">
            <v>HAVELLS</v>
          </cell>
          <cell r="D3585" t="str">
            <v>HAVELLS</v>
          </cell>
        </row>
        <row r="3586">
          <cell r="A3586" t="str">
            <v>Street Light Collar (Street Light Pole Collar and Reducer for 3" and 2")</v>
          </cell>
          <cell r="B3586" t="str">
            <v>Street Light Collar(Street Light Pole Collar and Reducer for 3" and 2")</v>
          </cell>
          <cell r="C3586" t="str">
            <v>HAVELLS</v>
          </cell>
          <cell r="D3586" t="str">
            <v>HAVELLS</v>
          </cell>
        </row>
        <row r="3587">
          <cell r="A3587" t="str">
            <v>Installation (Towards Supply and installation of LED light fittings and sensors)</v>
          </cell>
          <cell r="B3587" t="str">
            <v>Installation(Towards Supply and installation of LED light fittings and sensors)</v>
          </cell>
          <cell r="C3587" t="str">
            <v>HAVELLS</v>
          </cell>
          <cell r="D3587" t="str">
            <v>HAVELLS</v>
          </cell>
        </row>
        <row r="3588">
          <cell r="A3588" t="str">
            <v>H 32A (TPN'C' MCB)</v>
          </cell>
          <cell r="B3588" t="str">
            <v>H 32A(TPN'C' MCB)</v>
          </cell>
          <cell r="C3588" t="str">
            <v>HAVELLS</v>
          </cell>
          <cell r="D3588" t="str">
            <v>HAVELLS</v>
          </cell>
        </row>
        <row r="3589">
          <cell r="A3589" t="str">
            <v>CS330 (TV SOCKET)</v>
          </cell>
          <cell r="B3589" t="str">
            <v>CS330(TV SOCKET)</v>
          </cell>
          <cell r="C3589" t="str">
            <v>HAVELLS</v>
          </cell>
          <cell r="D3589" t="str">
            <v>HAVELLS</v>
          </cell>
        </row>
        <row r="3590">
          <cell r="A3590" t="str">
            <v>CSXW002 (USB CHARGER 2.1A)</v>
          </cell>
          <cell r="B3590" t="str">
            <v>CSXW002(USB CHARGER 2.1A)</v>
          </cell>
          <cell r="C3590" t="str">
            <v>HAVELLS</v>
          </cell>
          <cell r="D3590" t="str">
            <v>HAVELLS</v>
          </cell>
        </row>
        <row r="3591">
          <cell r="A3591" t="str">
            <v>Solid Aluminum (10/12mm Dia and 1000mm Solid Aluminum Blunt 2000mm (with Base))</v>
          </cell>
          <cell r="B3591" t="str">
            <v>Solid Aluminum(10/12mm Dia and 1000mm Solid Aluminum Blunt 2000mm(with Base))</v>
          </cell>
          <cell r="C3591" t="str">
            <v>JEF</v>
          </cell>
          <cell r="D3591" t="str">
            <v>JEF</v>
          </cell>
        </row>
        <row r="3592">
          <cell r="A3592" t="str">
            <v>14.2MM&amp;17.2MM CLAMP (14.2MM&amp; 17.2MM GUN METAL CLAMP)</v>
          </cell>
          <cell r="B3592" t="str">
            <v>14.2MM&amp;17.2MM CLAMP(14.2MM&amp; 17.2MM GUN METAL CLAMP)</v>
          </cell>
          <cell r="C3592" t="str">
            <v>JEF</v>
          </cell>
          <cell r="D3592" t="str">
            <v>JEF</v>
          </cell>
        </row>
        <row r="3593">
          <cell r="A3593" t="str">
            <v>Jef Earthing 17.2 3mtr (17.2 Dia 100 Micron 3 Mtr Rod + 2 Bags of Jef Eco Solex Moisture boosting backfill compound + U Clamp)</v>
          </cell>
          <cell r="B3593" t="str">
            <v>Jef Earthing 17.2 3mtr(17.2 Dia 100 Micron 3 Mtr Rod + 2 Bags of Jef Eco Solex Moisture boosting backfill compound + U Clamp)</v>
          </cell>
          <cell r="C3593" t="str">
            <v>JEF</v>
          </cell>
          <cell r="D3593" t="str">
            <v>JEF</v>
          </cell>
        </row>
        <row r="3594">
          <cell r="A3594" t="str">
            <v>Earthing Set with Cover (17.2 Dia 100 Micron Rod+25 KG Eco Solex Backfill+Uclamp+HDPE Chamber Cover)</v>
          </cell>
          <cell r="B3594" t="str">
            <v>Earthing Set with Cover(17.2 Dia 100 Micron Rod+25 KG Eco Solex Backfill+Uclamp+HDPE Chamber Cover)</v>
          </cell>
          <cell r="C3594" t="str">
            <v>JEF</v>
          </cell>
          <cell r="D3594" t="str">
            <v>JEF</v>
          </cell>
        </row>
        <row r="3595">
          <cell r="A3595" t="str">
            <v xml:space="preserve">17.2 mm 3 mtr Rod_x000D_
</v>
          </cell>
          <cell r="B3595" t="str">
            <v xml:space="preserve">17.2 mm 3 mtr Rod_x000D_
</v>
          </cell>
          <cell r="C3595" t="str">
            <v>JEF</v>
          </cell>
          <cell r="D3595" t="str">
            <v>JEF</v>
          </cell>
        </row>
        <row r="3596">
          <cell r="A3596" t="str">
            <v>Jef Earthing 25 Dia (25 Dia 100 Micron 3 Mtr Rod+ Loresco Powerfill Carbon based backfill compound 50 Pound +SS U clamp+HDPE Chamber Cover)</v>
          </cell>
          <cell r="B3596" t="str">
            <v>Jef Earthing 25 Dia(25 Dia 100 Micron 3 Mtr Rod+ Loresco Powerfill Carbon based backfill compound 50 Pound +SS U clamp+HDPE Chamber Cover)</v>
          </cell>
          <cell r="C3596" t="str">
            <v>JEF</v>
          </cell>
          <cell r="D3596" t="str">
            <v>JEF</v>
          </cell>
        </row>
        <row r="3597">
          <cell r="A3597" t="str">
            <v>Earthing 25mm Dia (25 Dia 100 Micron Rod+25 KG Eco Solex Backfill+Uclamp+HDPE Chamber Cover)</v>
          </cell>
          <cell r="B3597" t="str">
            <v>Earthing 25mm Dia(25 Dia 100 Micron Rod+25 KG Eco Solex Backfill+Uclamp+HDPE Chamber Cover)</v>
          </cell>
          <cell r="C3597" t="str">
            <v>JEF</v>
          </cell>
          <cell r="D3597" t="str">
            <v>JEF</v>
          </cell>
        </row>
        <row r="3598">
          <cell r="A3598" t="str">
            <v>Standard Mast (4.5Mtr High Mast with 1.8mtr of 34mm GI Inner Pipe)</v>
          </cell>
          <cell r="B3598" t="str">
            <v>Standard Mast(4.5Mtr High Mast with 1.8mtr of 34mm GI Inner Pipe)</v>
          </cell>
          <cell r="C3598" t="str">
            <v>JEF</v>
          </cell>
          <cell r="D3598" t="str">
            <v>JEF</v>
          </cell>
        </row>
        <row r="3599">
          <cell r="A3599" t="str">
            <v>DW18_x000D_
 (50X6mm Cu Strip_x000D_
)</v>
          </cell>
          <cell r="B3599" t="str">
            <v>DW18_x000D_
(50X6mm Cu Strip_x000D_
)</v>
          </cell>
          <cell r="C3599" t="str">
            <v>JEF</v>
          </cell>
          <cell r="D3599" t="str">
            <v>JEF</v>
          </cell>
        </row>
        <row r="3600">
          <cell r="A3600" t="str">
            <v>DW8_x000D_
 (50x6mm GI Strip with an Average Coating Thickness of 70 microns _x000D_
)</v>
          </cell>
          <cell r="B3600" t="str">
            <v>DW8_x000D_
(50x6mm GI Strip with an Average Coating Thickness of 70 microns _x000D_
)</v>
          </cell>
          <cell r="C3600" t="str">
            <v>JEF</v>
          </cell>
          <cell r="D3600" t="str">
            <v>JEF</v>
          </cell>
        </row>
        <row r="3601">
          <cell r="A3601" t="str">
            <v>DW9_x000D_
 (75x10mm GI Strip with an Average Coating Thickness of 70 microns _x000D_
)</v>
          </cell>
          <cell r="B3601" t="str">
            <v>DW9_x000D_
(75x10mm GI Strip with an Average Coating Thickness of 70 microns _x000D_
)</v>
          </cell>
          <cell r="C3601" t="str">
            <v>JEF</v>
          </cell>
          <cell r="D3601" t="str">
            <v>JEF</v>
          </cell>
        </row>
        <row r="3602">
          <cell r="A3602" t="str">
            <v>Spl Aluminium (8/10mm Dia Spl Aluminium Conductor)</v>
          </cell>
          <cell r="B3602" t="str">
            <v>Spl Aluminium(8/10mm Dia Spl Aluminium Conductor)</v>
          </cell>
          <cell r="C3602" t="str">
            <v>JEF</v>
          </cell>
          <cell r="D3602" t="str">
            <v>JEF</v>
          </cell>
        </row>
        <row r="3603">
          <cell r="A3603" t="str">
            <v>Flash L (Active Lightning Rod (Flash L))</v>
          </cell>
          <cell r="B3603" t="str">
            <v>Flash L(Active Lightning Rod(Flash L))</v>
          </cell>
          <cell r="C3603" t="str">
            <v>JEF</v>
          </cell>
          <cell r="D3603" t="str">
            <v>JEF</v>
          </cell>
        </row>
        <row r="3604">
          <cell r="A3604" t="str">
            <v>Air Terminal Holder (Air Terminal Holder with Base)</v>
          </cell>
          <cell r="B3604" t="str">
            <v>Air Terminal Holder(Air Terminal Holder with Base)</v>
          </cell>
          <cell r="C3604" t="str">
            <v>JEF</v>
          </cell>
          <cell r="D3604" t="str">
            <v>JEF</v>
          </cell>
        </row>
        <row r="3605">
          <cell r="A3605" t="str">
            <v>Straight Splicers (Aluminium Straight Splicers)</v>
          </cell>
          <cell r="B3605" t="str">
            <v>Straight Splicers(Aluminium Straight Splicers)</v>
          </cell>
          <cell r="C3605" t="str">
            <v>JEF</v>
          </cell>
          <cell r="D3605" t="str">
            <v>JEF</v>
          </cell>
        </row>
        <row r="3606">
          <cell r="A3606" t="str">
            <v>Base Plate (AT Base Plate on Roof Sheet JICL03A)</v>
          </cell>
          <cell r="B3606" t="str">
            <v>Base Plate(AT Base Plate on Roof Sheet JICL03A)</v>
          </cell>
          <cell r="C3606" t="str">
            <v>JEF</v>
          </cell>
          <cell r="D3606" t="str">
            <v>JEF</v>
          </cell>
        </row>
        <row r="3607">
          <cell r="A3607" t="str">
            <v>JIAT03.JIM04_x000D_
 (AT-Copper Tube Commercial Grade of dia 25mm, 1mm Thick 1.15 mtr long with Spike and base MAST 34mm Dia 3 mtr Long Cold Galvanised for RCC roof _x000D_
)</v>
          </cell>
          <cell r="B3607" t="str">
            <v>JIAT03.JIM04_x000D_
(AT-Copper Tube Commercial Grade of dia 25mm, 1mm Thick 1.15 mtr long with Spike and base MAST 34mm Dia 3 mtr Long Cold Galvanised for RCC roof _x000D_
)</v>
          </cell>
          <cell r="C3607" t="str">
            <v>JEF</v>
          </cell>
          <cell r="D3607" t="str">
            <v>JEF</v>
          </cell>
        </row>
        <row r="3608">
          <cell r="A3608" t="str">
            <v>Holding Clamp (Conductor Holding Clamp Suitable for Aluminium Cond)</v>
          </cell>
          <cell r="B3608" t="str">
            <v>Holding Clamp(Conductor Holding Clamp Suitable for Aluminium Cond)</v>
          </cell>
          <cell r="C3608" t="str">
            <v>JEF</v>
          </cell>
          <cell r="D3608" t="str">
            <v>JEF</v>
          </cell>
        </row>
        <row r="3609">
          <cell r="A3609" t="str">
            <v>Straightening Machine (Conductor Straightening Machine)</v>
          </cell>
          <cell r="B3609" t="str">
            <v>Straightening Machine(Conductor Straightening Machine)</v>
          </cell>
          <cell r="C3609" t="str">
            <v>JEF</v>
          </cell>
          <cell r="D3609" t="str">
            <v>JEF</v>
          </cell>
        </row>
        <row r="3610">
          <cell r="A3610" t="str">
            <v>Splicers for Aluminium (Cross Splicers for Aluminium Conductor)</v>
          </cell>
          <cell r="B3610" t="str">
            <v>Splicers for Aluminium(Cross Splicers for Aluminium Conductor)</v>
          </cell>
          <cell r="C3610" t="str">
            <v>JEF</v>
          </cell>
          <cell r="D3610" t="str">
            <v>JEF</v>
          </cell>
        </row>
        <row r="3611">
          <cell r="A3611" t="str">
            <v>TL01 (Down-Conductor with A Test Link Box)</v>
          </cell>
          <cell r="B3611" t="str">
            <v>TL01(Down-Conductor with A Test Link Box)</v>
          </cell>
          <cell r="C3611" t="str">
            <v>JEF</v>
          </cell>
          <cell r="D3611" t="str">
            <v>JEF</v>
          </cell>
        </row>
        <row r="3612">
          <cell r="A3612" t="str">
            <v>Jef BFC Sets (Earthing BFC set 3mtr Rod Carbon Compound 25 Kg with Tincoated Clamp)</v>
          </cell>
          <cell r="B3612" t="str">
            <v>Jef BFC Sets(Earthing BFC set 3mtr Rod Carbon Compound 25 Kg with Tincoated Clamp)</v>
          </cell>
          <cell r="C3612" t="str">
            <v>JEF</v>
          </cell>
          <cell r="D3612" t="str">
            <v>JEF</v>
          </cell>
        </row>
        <row r="3613">
          <cell r="A3613" t="str">
            <v>Jef Earthing (Earthing sets 14.2 mm dia, 1500 mm long with 250 Micron copper coated on outer surface with 30 kgs of carbon based Ground Enhancement backfill compound + suitable SS Earth termination clamp)</v>
          </cell>
          <cell r="B3613" t="str">
            <v>Jef Earthing(Earthing sets 14.2 mm dia, 1500 mm long with 250 Micron copper coated on outer surface with 30 kgs of carbon based Ground Enhancement backfill compound + suitable SS Earth termination clamp)</v>
          </cell>
          <cell r="C3613" t="str">
            <v>JEF</v>
          </cell>
          <cell r="D3613" t="str">
            <v>JEF</v>
          </cell>
        </row>
        <row r="3614">
          <cell r="A3614" t="str">
            <v>Earthing 1.2 Mtr (Earthing Solution 1.2 Rod &amp; Bag of Spl Cmpd &amp; Accesrs)</v>
          </cell>
          <cell r="B3614" t="str">
            <v>Earthing 1.2 Mtr(Earthing Solution 1.2 Rod &amp; Bag of Spl Cmpd &amp; Accesrs)</v>
          </cell>
          <cell r="C3614" t="str">
            <v>JEF</v>
          </cell>
          <cell r="D3614" t="str">
            <v>JEF</v>
          </cell>
        </row>
        <row r="3615">
          <cell r="A3615" t="str">
            <v>Earthing 2 Mtrs (Earthing Solution  2M Rod &amp; Bag of Spl Cmpd &amp; Accesrs)</v>
          </cell>
          <cell r="B3615" t="str">
            <v>Earthing 2 Mtrs(Earthing Solution 2M Rod &amp; Bag of Spl Cmpd &amp; Accesrs)</v>
          </cell>
          <cell r="C3615" t="str">
            <v>JEF</v>
          </cell>
          <cell r="D3615" t="str">
            <v>JEF</v>
          </cell>
        </row>
        <row r="3616">
          <cell r="A3616" t="str">
            <v>JEF ECOSOLX Earth Set (Earthing Solution With 3Mtrs Rod 100m &amp; Bag 20 KG and Clamp)</v>
          </cell>
          <cell r="B3616" t="str">
            <v>JEF ECOSOLX Earth Set(Earthing Solution With 3Mtrs Rod 100m &amp; Bag 20 KG and Clamp)</v>
          </cell>
          <cell r="C3616" t="str">
            <v>JEF</v>
          </cell>
          <cell r="D3616" t="str">
            <v>JEF</v>
          </cell>
        </row>
        <row r="3617">
          <cell r="A3617" t="str">
            <v>Earthing 3 Mtr (Earthing Solution With 3Mtrs Rod &amp; Bag of Special Compund &amp; Accessories)</v>
          </cell>
          <cell r="B3617" t="str">
            <v>Earthing 3 Mtr(Earthing Solution With 3Mtrs Rod &amp; Bag of Special Compund &amp; Accessories)</v>
          </cell>
          <cell r="C3617" t="str">
            <v>JEF</v>
          </cell>
          <cell r="D3617" t="str">
            <v>JEF</v>
          </cell>
        </row>
        <row r="3618">
          <cell r="A3618" t="str">
            <v>Rod 1.2 Mtr (ECO Friendly Earthing Rod 1.2 Mtrs)</v>
          </cell>
          <cell r="B3618" t="str">
            <v>Rod 1.2 Mtr(ECO Friendly Earthing Rod 1.2 Mtrs)</v>
          </cell>
          <cell r="C3618" t="str">
            <v>JEF</v>
          </cell>
          <cell r="D3618" t="str">
            <v>JEF</v>
          </cell>
        </row>
        <row r="3619">
          <cell r="A3619" t="str">
            <v>2 Mtr Rod (ECO Friendly Earthing Rod 2 Mtrs)</v>
          </cell>
          <cell r="B3619" t="str">
            <v>2 Mtr Rod(ECO Friendly Earthing Rod 2 Mtrs)</v>
          </cell>
          <cell r="C3619" t="str">
            <v>JEF</v>
          </cell>
          <cell r="D3619" t="str">
            <v>JEF</v>
          </cell>
        </row>
        <row r="3620">
          <cell r="A3620" t="str">
            <v>Nimbus CPT-L (Electrical Goods Nimbus CPT-L)</v>
          </cell>
          <cell r="B3620" t="str">
            <v>Nimbus CPT-L(Electrical Goods Nimbus CPT-L)</v>
          </cell>
          <cell r="C3620" t="str">
            <v>JEF</v>
          </cell>
          <cell r="D3620" t="str">
            <v>JEF</v>
          </cell>
        </row>
        <row r="3621">
          <cell r="A3621" t="str">
            <v>Mounting Structure (Special). (Electricals Goods Mounting Structure (Special).)</v>
          </cell>
          <cell r="B3621" t="str">
            <v>Mounting Structure(Special).(Electricals Goods Mounting Structure(Special).)</v>
          </cell>
          <cell r="C3621" t="str">
            <v>JEF</v>
          </cell>
          <cell r="D3621" t="str">
            <v>JEF</v>
          </cell>
        </row>
        <row r="3622">
          <cell r="A3622" t="str">
            <v>Rod 14.2 3 Mtr (Electrode CU Coated Steel Rods 14.2mmx3000mm)</v>
          </cell>
          <cell r="B3622" t="str">
            <v>Rod 14.2 3 Mtr(Electrode CU Coated Steel Rods 14.2mmx3000mm)</v>
          </cell>
          <cell r="C3622" t="str">
            <v>JEF</v>
          </cell>
          <cell r="D3622" t="str">
            <v>JEF</v>
          </cell>
        </row>
        <row r="3623">
          <cell r="A3623" t="str">
            <v>ESEAT Arrestor (ESEAT Lightning Arrestor Level IV H@5m 107 Radius)</v>
          </cell>
          <cell r="B3623" t="str">
            <v>ESEAT Arrestor(ESEAT Lightning Arrestor Level IV H@5m 107 Radius)</v>
          </cell>
          <cell r="C3623" t="str">
            <v>JEF</v>
          </cell>
          <cell r="D3623" t="str">
            <v>JEF</v>
          </cell>
        </row>
        <row r="3624">
          <cell r="A3624" t="str">
            <v>Gi Pipe with Accessories for ESE of Lighting Arrest</v>
          </cell>
          <cell r="B3624" t="str">
            <v>Gi Pipe with Accessories for ESE of Lighting Arrest</v>
          </cell>
          <cell r="C3624" t="str">
            <v>JEF</v>
          </cell>
          <cell r="D3624" t="str">
            <v>JEF</v>
          </cell>
        </row>
        <row r="3625">
          <cell r="A3625" t="str">
            <v>GI Saddles (GI Saddles for 25x6)</v>
          </cell>
          <cell r="B3625" t="str">
            <v>GI Saddles(GI Saddles for 25x6)</v>
          </cell>
          <cell r="C3625" t="str">
            <v>JEF</v>
          </cell>
          <cell r="D3625" t="str">
            <v>JEF</v>
          </cell>
        </row>
        <row r="3626">
          <cell r="A3626" t="str">
            <v>Guy Wire Kit for Standard Mast on RCC Roof Mounting</v>
          </cell>
          <cell r="B3626" t="str">
            <v>Guy Wire Kit for Standard Mast on RCC Roof Mounting</v>
          </cell>
          <cell r="C3626" t="str">
            <v>JEF</v>
          </cell>
          <cell r="D3626" t="str">
            <v>JEF</v>
          </cell>
        </row>
        <row r="3627">
          <cell r="A3627" t="str">
            <v>CHEMBER COVER (HEAVY DUTY POLY PLASTIC CHEMBER COVER for Earth PIt)</v>
          </cell>
          <cell r="B3627" t="str">
            <v>CHEMBER COVER(HEAVY DUTY POLY PLASTIC CHEMBER COVER for Earth PIt)</v>
          </cell>
          <cell r="C3627" t="str">
            <v>JEF</v>
          </cell>
          <cell r="D3627" t="str">
            <v>JEF</v>
          </cell>
        </row>
        <row r="3628">
          <cell r="A3628" t="str">
            <v>Earthing (Installation Charges)</v>
          </cell>
          <cell r="B3628" t="str">
            <v>Earthing(Installation Charges)</v>
          </cell>
          <cell r="C3628" t="str">
            <v>JEF</v>
          </cell>
          <cell r="D3628" t="str">
            <v>JEF</v>
          </cell>
        </row>
        <row r="3629">
          <cell r="A3629" t="str">
            <v>25-MM Clamp (Jef 25MM Clamp)</v>
          </cell>
          <cell r="B3629" t="str">
            <v>25-MM Clamp(Jef 25MM Clamp)</v>
          </cell>
          <cell r="C3629" t="str">
            <v>JEF</v>
          </cell>
          <cell r="D3629" t="str">
            <v>JEF</v>
          </cell>
        </row>
        <row r="3630">
          <cell r="A3630" t="str">
            <v>Aluminium Flat (Jef-Aluminum Flat)</v>
          </cell>
          <cell r="B3630" t="str">
            <v>Aluminium Flat(Jef-Aluminum Flat)</v>
          </cell>
          <cell r="C3630" t="str">
            <v>JEF</v>
          </cell>
          <cell r="D3630" t="str">
            <v>JEF</v>
          </cell>
        </row>
        <row r="3631">
          <cell r="A3631" t="str">
            <v xml:space="preserve">Jef Carbon 25 KG (Jef Eco Safe Carbon Compound 25 KG)_x000D_
</v>
          </cell>
          <cell r="B3631" t="str">
            <v xml:space="preserve">Jef Carbon 25 KG(Jef Eco Safe Carbon Compound 25 KG)_x000D_
</v>
          </cell>
          <cell r="C3631" t="str">
            <v>JEF</v>
          </cell>
          <cell r="D3631" t="str">
            <v>JEF</v>
          </cell>
        </row>
        <row r="3632">
          <cell r="A3632" t="str">
            <v>R17.E06.A06. (Jef Earth Electrode Cu Bonded Steel Rod 17.2mm dia x 3000mm-( 250 Microns )Jef Eco_x000D_
Safe carbon based backfill compound - 50 Pounds17.2 / 14.2 OD SS clamp_x000D_
)</v>
          </cell>
          <cell r="B3632" t="str">
            <v>R17.E06.A06.(Jef Earth Electrode Cu Bonded Steel Rod 17.2mm dia x 3000mm-( 250 Microns )Jef Eco_x000D_
Safe carbon based backfill compound - 50 Pounds17.2 / 14.2 OD SS clamp_x000D_
)</v>
          </cell>
          <cell r="C3632" t="str">
            <v>JEF</v>
          </cell>
          <cell r="D3632" t="str">
            <v>JEF</v>
          </cell>
        </row>
        <row r="3633">
          <cell r="A3633" t="str">
            <v>Jef Earthing 3000mm (Jef Earth Electrode Cu Bonded Steel Rod 17.2mm dia x 3000mm-( 250 Microns ) ; Jef Eco Safe carbon based backfill compound - 50 Pounds ; 17..2 / 14.2 OD SS U clamp)</v>
          </cell>
          <cell r="B3633" t="str">
            <v>Jef Earthing 3000mm(Jef Earth Electrode Cu Bonded Steel Rod 17.2mm dia x 3000mm-( 250 Microns ) ; Jef Eco Safe carbon based backfill compound - 50 Pounds ; 17..2 / 14.2 OD SS U clamp)</v>
          </cell>
          <cell r="C3633" t="str">
            <v>JEF</v>
          </cell>
          <cell r="D3633" t="str">
            <v>JEF</v>
          </cell>
        </row>
        <row r="3634">
          <cell r="A3634" t="str">
            <v>R17.X03.SS02 (Jef Earth Electrode Cu Bonded Steel Rod 17.2mm dia x 3000mm-(250 Microns) jef ECO Solx moisture Boosting Backfill Compund 25 KG 17.2 OD SS Clamp Both Side _x000D_
)</v>
          </cell>
          <cell r="B3634" t="str">
            <v>R17.X03.SS02(Jef Earth Electrode Cu Bonded Steel Rod 17.2mm dia x 3000mm-(250 Microns) jef ECO Solx moisture Boosting Backfill Compund 25 KG 17.2 OD SS Clamp Both Side _x000D_
)</v>
          </cell>
          <cell r="C3634" t="str">
            <v>JEF</v>
          </cell>
          <cell r="D3634" t="str">
            <v>JEF</v>
          </cell>
        </row>
        <row r="3635">
          <cell r="A3635" t="str">
            <v>R74 (Jef Earth Electrode Cu Bonded Steel Rods)</v>
          </cell>
          <cell r="B3635" t="str">
            <v>R74(Jef Earth Electrode Cu Bonded Steel Rods)</v>
          </cell>
          <cell r="C3635" t="str">
            <v>JEF</v>
          </cell>
          <cell r="D3635" t="str">
            <v>JEF</v>
          </cell>
        </row>
        <row r="3636">
          <cell r="A3636" t="str">
            <v>Jef Earthing  1220mm (Jef Earth Electrode Cu Bonded Steel Rods14.2mm dia x 1220mm - (100 Microns) as per IEC 60364/62561 ; Jef Eco Safe Carbon based backfill compound - 10Kg ; 17..2 / 14.2 OD SS U clamp)</v>
          </cell>
          <cell r="B3636" t="str">
            <v>Jef Earthing 1220mm(Jef Earth Electrode Cu Bonded Steel Rods14.2mm dia x 1220mm -(100 Microns) as per IEC 60364/62561 ; Jef Eco Safe Carbon based backfill compound - 10Kg ; 17..2 / 14.2 OD SS U clamp)</v>
          </cell>
          <cell r="C3636" t="str">
            <v>JEF</v>
          </cell>
          <cell r="D3636" t="str">
            <v>JEF</v>
          </cell>
        </row>
        <row r="3637">
          <cell r="A3637" t="str">
            <v>Jef 3 Mtr 250 Micron (JEF Earth Electrode Cu Bonded Steel Rods 17.2mm Dia x 3000 mm – ( 250 microns ) JEF Eco Solx boosting based backfill compound – 25 Kgs + 17.2 / 14.2 OD SS U Clamp + Eco Friendly rust proof heavy duty weather proof polyethylene earth pit chamber with dimensions 254 mm dia top, 330 mm dia bottom &amp; 260 mm height – JEF MODEL – R17 – X03 + A06 + CB1)</v>
          </cell>
          <cell r="B3637" t="str">
            <v>Jef 3 Mtr 250 Micron(JEF Earth Electrode Cu Bonded Steel Rods 17.2mm Dia x 3000 mm – ( 250 microns ) JEF Eco Solx boosting based backfill compound – 25 Kgs + 17.2 / 14.2 OD SS U Clamp + Eco Friendly rust proof heavy duty weather proof polyethylene earth pit chamber with dimensions 254 mm dia top, 330 mm dia bottom &amp; 260 mm height – JEF MODEL – R17 – X03 + A06 + CB1)</v>
          </cell>
          <cell r="C3637" t="str">
            <v>JEF</v>
          </cell>
          <cell r="D3637" t="str">
            <v>JEF</v>
          </cell>
        </row>
        <row r="3638">
          <cell r="A3638" t="str">
            <v>Jef Carbon 23 KG (Jef Eco Safe Carbon Compound 23 KG)</v>
          </cell>
          <cell r="B3638" t="str">
            <v>Jef Carbon 23 KG(Jef Eco Safe Carbon Compound 23 KG)</v>
          </cell>
          <cell r="C3638" t="str">
            <v>JEF</v>
          </cell>
          <cell r="D3638" t="str">
            <v>JEF</v>
          </cell>
        </row>
        <row r="3639">
          <cell r="A3639" t="str">
            <v>Jef Eco Safe Tripolar Earththing (Jef Eco Safe Tripolar Earththing set, Comprising of 3 Nos. of 17.2 mm dia 250 Micron 3 mtr length electrode along with 2 Nos, of tripolar clamp.)</v>
          </cell>
          <cell r="B3639" t="str">
            <v>Jef Eco Safe Tripolar Earththing(Jef Eco Safe Tripolar Earththing set, Comprising of 3 Nos. of 17.2 mm dia 250 Micron 3 mtr length electrode along with 2 Nos, of tripolar clamp.)</v>
          </cell>
          <cell r="C3639" t="str">
            <v>JEF</v>
          </cell>
          <cell r="D3639" t="str">
            <v>JEF</v>
          </cell>
        </row>
        <row r="3640">
          <cell r="A3640" t="str">
            <v>Lighting Event Counter (JTS Electromechanical Lighting event counter with enclosure)</v>
          </cell>
          <cell r="B3640" t="str">
            <v>Lighting Event Counter(JTS Electromechanical Lighting event counter with enclosure)</v>
          </cell>
          <cell r="C3640" t="str">
            <v>JEF</v>
          </cell>
          <cell r="D3640" t="str">
            <v>JEF</v>
          </cell>
        </row>
        <row r="3641">
          <cell r="A3641" t="str">
            <v>JTS (JTS Electromechanical Lighting event counter without enclosure)</v>
          </cell>
          <cell r="B3641" t="str">
            <v>JTS(JTS Electromechanical Lighting event counter without enclosure)</v>
          </cell>
          <cell r="C3641" t="str">
            <v>JEF</v>
          </cell>
          <cell r="D3641" t="str">
            <v>JEF</v>
          </cell>
        </row>
        <row r="3642">
          <cell r="A3642" t="str">
            <v>Mast Mounting 8 Mtr High (Lightning Arrestor Mast Suitable for Mounting on roof 8 mtr High)</v>
          </cell>
          <cell r="B3642" t="str">
            <v>Mast Mounting 8 Mtr High(Lightning Arrestor Mast Suitable for Mounting on roof 8 mtr High)</v>
          </cell>
          <cell r="C3642" t="str">
            <v>JEF</v>
          </cell>
          <cell r="D3642" t="str">
            <v>JEF</v>
          </cell>
        </row>
        <row r="3643">
          <cell r="A3643" t="str">
            <v>Lightning Counter (Lightning Counter with IP- 65 Encl)</v>
          </cell>
          <cell r="B3643" t="str">
            <v>Lightning Counter(Lightning Counter with IP- 65 Encl)</v>
          </cell>
          <cell r="C3643" t="str">
            <v>JEF</v>
          </cell>
          <cell r="D3643" t="str">
            <v>JEF</v>
          </cell>
        </row>
        <row r="3644">
          <cell r="A3644" t="str">
            <v>LIGHTNING (LIGHTNING PROTECTION)</v>
          </cell>
          <cell r="B3644" t="str">
            <v>LIGHTNING(LIGHTNING PROTECTION)</v>
          </cell>
          <cell r="C3644" t="str">
            <v>JEF</v>
          </cell>
          <cell r="D3644" t="str">
            <v>JEF</v>
          </cell>
        </row>
        <row r="3645">
          <cell r="A3645" t="str">
            <v>Jef Corbon 10 KG (Powerfill Chemical Corbon Compound 10 KGs)</v>
          </cell>
          <cell r="B3645" t="str">
            <v>Jef Corbon 10 KG(Powerfill Chemical Corbon Compound 10 KGs)</v>
          </cell>
          <cell r="C3645" t="str">
            <v>JEF</v>
          </cell>
          <cell r="D3645" t="str">
            <v>JEF</v>
          </cell>
        </row>
        <row r="3646">
          <cell r="A3646" t="str">
            <v>Jef Carbon (Powerfill Chemical Corbon Compound 25KGs)</v>
          </cell>
          <cell r="B3646" t="str">
            <v>Jef Carbon(Powerfill Chemical Corbon Compound 25KGs)</v>
          </cell>
          <cell r="C3646" t="str">
            <v>JEF</v>
          </cell>
          <cell r="D3646" t="str">
            <v>JEF</v>
          </cell>
        </row>
        <row r="3647">
          <cell r="A3647" t="str">
            <v>Air Terminal Mounting (Standing Seam Clamp for Conductor Fixing)</v>
          </cell>
          <cell r="B3647" t="str">
            <v>Air Terminal Mounting(Standing Seam Clamp for Conductor Fixing)</v>
          </cell>
          <cell r="C3647" t="str">
            <v>JEF</v>
          </cell>
          <cell r="D3647" t="str">
            <v>JEF</v>
          </cell>
        </row>
        <row r="3648">
          <cell r="A3648" t="str">
            <v>DW6_x000D_
 (Supply of 25x3mm GI Strip with an average Coating Thickness of 70 microns _x000D_
)</v>
          </cell>
          <cell r="B3648" t="str">
            <v>DW6_x000D_
(Supply of 25x3mm GI Strip with an average Coating Thickness of 70 microns _x000D_
)</v>
          </cell>
          <cell r="C3648" t="str">
            <v>JEF</v>
          </cell>
          <cell r="D3648" t="str">
            <v>JEF</v>
          </cell>
        </row>
        <row r="3649">
          <cell r="A3649" t="str">
            <v>DW1_x000D_
 (Supply of 25X6mm GI Strip with an Average Coating thickness of 70 micron _x000D_
)</v>
          </cell>
          <cell r="B3649" t="str">
            <v>DW1_x000D_
(Supply of 25X6mm GI Strip with an Average Coating thickness of 70 micron _x000D_
)</v>
          </cell>
          <cell r="C3649" t="str">
            <v>JEF</v>
          </cell>
          <cell r="D3649" t="str">
            <v>JEF</v>
          </cell>
        </row>
        <row r="3650">
          <cell r="A3650" t="str">
            <v>DW15_x000D_
 (Supply of 8SWG GI Wire _x000D_
)</v>
          </cell>
          <cell r="B3650" t="str">
            <v>DW15_x000D_
(Supply of 8SWG GI Wire _x000D_
)</v>
          </cell>
          <cell r="C3650" t="str">
            <v>JEF</v>
          </cell>
          <cell r="D3650" t="str">
            <v>JEF</v>
          </cell>
        </row>
        <row r="3651">
          <cell r="A3651" t="str">
            <v>JICL26 (Supply of Copper Spike with Mounting Bracket)</v>
          </cell>
          <cell r="B3651" t="str">
            <v>JICL26(Supply of Copper Spike with Mounting Bracket)</v>
          </cell>
          <cell r="C3651" t="str">
            <v>JEF</v>
          </cell>
          <cell r="D3651" t="str">
            <v>JEF</v>
          </cell>
        </row>
        <row r="3652">
          <cell r="A3652" t="str">
            <v>ESEAT Flash -L (Supply of Early Steamer emission Air Terminal (ESEAT) The ESEAT has corrosion resistant stainless steel body capable of working in hazardous atmosphere. The air terminal is nonradioactive and required no special licensing. The unit is fully autonomous ( no battery, no external power supply is required) collects energy from the ambient electric field. The average gain in triggering time obtained during the lab test for the offered model is 60 us. ESEAT model: JEF FLASH-l (kindly refer catalogue for radius of protection) JEF Make of Type SE3))</v>
          </cell>
          <cell r="B3652" t="str">
            <v>ESEAT Flash -L(Supply of Early Steamer emission Air Terminal (ESEAT) The ESEAT has corrosion resistant stainless steel body capable of working in hazardous atmosphere. The air terminal is nonradioactive and required no special licensing. The unit is fully autonomous ( no battery, no external power supply is required) collects energy from the ambient electric field. The average gain in triggering time obtained during the lab test for the offered model is 60 us. ESEAT model: JEF FLASH-l (kindly refer catalogue for radius of protection) JEF Make of Type SE3))</v>
          </cell>
          <cell r="C3652" t="str">
            <v>JEF</v>
          </cell>
          <cell r="D3652" t="str">
            <v>JEF</v>
          </cell>
        </row>
        <row r="3653">
          <cell r="A3653" t="str">
            <v>Earthing Pit (Testing Charges)</v>
          </cell>
          <cell r="B3653" t="str">
            <v>Earthing Pit(Testing Charges)</v>
          </cell>
          <cell r="C3653" t="str">
            <v>JEF</v>
          </cell>
          <cell r="D3653" t="str">
            <v>JEF</v>
          </cell>
        </row>
        <row r="3654">
          <cell r="A3654" t="str">
            <v>Test Link Box with En (Test link box with enclosure)</v>
          </cell>
          <cell r="B3654" t="str">
            <v>Test Link Box with En(Test link box with enclosure)</v>
          </cell>
          <cell r="C3654" t="str">
            <v>JEF</v>
          </cell>
          <cell r="D3654" t="str">
            <v>JEF</v>
          </cell>
        </row>
        <row r="3655">
          <cell r="A3655" t="str">
            <v>Testlink GI Without Enclosure</v>
          </cell>
          <cell r="B3655" t="str">
            <v>Testlink GI Without Enclosure</v>
          </cell>
          <cell r="C3655" t="str">
            <v>JEF</v>
          </cell>
          <cell r="D3655" t="str">
            <v>JEF</v>
          </cell>
        </row>
        <row r="3656">
          <cell r="A3656" t="str">
            <v>Test Link TL07 (Test Link - SS for Flat to Flat for 25x6mm GI Strip ( JEF Make of TypeTL07))</v>
          </cell>
          <cell r="B3656" t="str">
            <v>Test Link TL07(Test Link - SS for Flat to Flat for 25x6mm GI Strip( JEF Make of TypeTL07))</v>
          </cell>
          <cell r="C3656" t="str">
            <v>JEF</v>
          </cell>
          <cell r="D3656" t="str">
            <v>JEF</v>
          </cell>
        </row>
        <row r="3657">
          <cell r="A3657" t="str">
            <v>TL06 (Test Link-SS for Round to Flat Conductor 25x6 mm)</v>
          </cell>
          <cell r="B3657" t="str">
            <v>TL06(Test Link-SS for Round to Flat Conductor 25x6 mm)</v>
          </cell>
          <cell r="C3657" t="str">
            <v>JEF</v>
          </cell>
          <cell r="D3657" t="str">
            <v>JEF</v>
          </cell>
        </row>
        <row r="3658">
          <cell r="A3658" t="str">
            <v>TL06.IPTLB_x000D_
 (Test Link -SS for Round to Flat Conductor for 8 -10 mm OD &amp; 25x6mm IP 65 Enclosure Box for the Test Link _x000D_
)</v>
          </cell>
          <cell r="B3658" t="str">
            <v>TL06.IPTLB_x000D_
(Test Link -SS for Round to Flat Conductor for 8 -10 mm OD &amp; 25x6mm IP 65 Enclosure Box for the Test Link _x000D_
)</v>
          </cell>
          <cell r="C3658" t="str">
            <v>JEF</v>
          </cell>
          <cell r="D3658" t="str">
            <v>JEF</v>
          </cell>
        </row>
        <row r="3659">
          <cell r="A3659" t="str">
            <v>Tet Link-SS (Test Link-SS for Round to Flat Condutor)</v>
          </cell>
          <cell r="B3659" t="str">
            <v>Tet Link-SS(Test Link-SS for Round to Flat Condutor)</v>
          </cell>
          <cell r="C3659" t="str">
            <v>JEF</v>
          </cell>
          <cell r="D3659" t="str">
            <v>JEF</v>
          </cell>
        </row>
        <row r="3660">
          <cell r="A3660" t="str">
            <v>TL04 (TEST LINK - SS WITH ENCLOSURE)</v>
          </cell>
          <cell r="B3660" t="str">
            <v>TL04(TEST LINK - SS WITH ENCLOSURE)</v>
          </cell>
          <cell r="C3660" t="str">
            <v>JEF</v>
          </cell>
          <cell r="D3660" t="str">
            <v>JEF</v>
          </cell>
        </row>
        <row r="3661">
          <cell r="A3661" t="str">
            <v>Test Link (Test Link - TL03)</v>
          </cell>
          <cell r="B3661" t="str">
            <v>Test Link(Test Link - TL03)</v>
          </cell>
          <cell r="C3661" t="str">
            <v>JEF</v>
          </cell>
          <cell r="D3661" t="str">
            <v>JEF</v>
          </cell>
        </row>
        <row r="3662">
          <cell r="A3662" t="str">
            <v>T Splicers (T Splicers for Aluminium Conductor)</v>
          </cell>
          <cell r="B3662" t="str">
            <v>T Splicers(T Splicers for Aluminium Conductor)</v>
          </cell>
          <cell r="C3662" t="str">
            <v>JEF</v>
          </cell>
          <cell r="D3662" t="str">
            <v>JEF</v>
          </cell>
        </row>
        <row r="3663">
          <cell r="A3663" t="str">
            <v>KI00241_x000D_
 ("HBE 10,TEH( PG 16), PMB+ DC"_x000D_
)</v>
          </cell>
          <cell r="B3663" t="str">
            <v>KI00241_x000D_
("HBE 10,TEH( PG 16), PMB+ DC"_x000D_
)</v>
          </cell>
          <cell r="C3663" t="str">
            <v>LAPP</v>
          </cell>
          <cell r="D3663" t="str">
            <v>Lapp-Ace Group</v>
          </cell>
        </row>
        <row r="3664">
          <cell r="A3664" t="str">
            <v>KI00244_x000D_
 ("H-BE 6 ,TEH (PG 16), PMB +DC."_x000D_
)</v>
          </cell>
          <cell r="B3664" t="str">
            <v>KI00244("H-BE 6 ,TEH (PG 16), PMB +DC.")</v>
          </cell>
          <cell r="C3664" t="str">
            <v>LAPP</v>
          </cell>
          <cell r="D3664" t="str">
            <v>Lapp-Ace Group</v>
          </cell>
        </row>
        <row r="3665">
          <cell r="A3665" t="str">
            <v>61800910 (SILVYN KLICK-GP PG 29 GY)</v>
          </cell>
          <cell r="B3665" t="str">
            <v>61800910(SILVYN KLICK-GP PG 29 GY)</v>
          </cell>
          <cell r="C3665" t="str">
            <v>LAPP</v>
          </cell>
          <cell r="D3665" t="str">
            <v>Lapp-Ace Group</v>
          </cell>
        </row>
        <row r="3666">
          <cell r="A3666" t="str">
            <v>61800930 (SILVYN KLICK-GP PG 48 GY)</v>
          </cell>
          <cell r="B3666" t="str">
            <v>61800930(SILVYN KLICK-GP PG 48 GY)</v>
          </cell>
          <cell r="C3666" t="str">
            <v>LAPP</v>
          </cell>
          <cell r="D3666" t="str">
            <v>Lapp-Ace Group</v>
          </cell>
        </row>
        <row r="3667">
          <cell r="A3667" t="str">
            <v>61746950 (SILVYN RILL PA6 11/12x15,8 GY)</v>
          </cell>
          <cell r="B3667" t="str">
            <v>61746950(SILVYN RILL PA6 11/12x15,8 GY)</v>
          </cell>
          <cell r="C3667" t="str">
            <v>LAPP</v>
          </cell>
          <cell r="D3667" t="str">
            <v>Lapp-Ace Group</v>
          </cell>
        </row>
        <row r="3668">
          <cell r="A3668" t="str">
            <v>61746980 (SILVYN RILL PA6 29/29x34,5 GY)</v>
          </cell>
          <cell r="B3668" t="str">
            <v>61746980(SILVYN RILL PA6 29/29x34,5 GY)</v>
          </cell>
          <cell r="C3668" t="str">
            <v>LAPP</v>
          </cell>
          <cell r="D3668" t="str">
            <v>Lapp-Ace Group</v>
          </cell>
        </row>
        <row r="3669">
          <cell r="A3669" t="str">
            <v>61747000 (SILVYN RILL PA6 48/48x54,5 GY)</v>
          </cell>
          <cell r="B3669" t="str">
            <v>61747000(SILVYN RILL PA6 48/48x54,5 GY)</v>
          </cell>
          <cell r="C3669" t="str">
            <v>LAPP</v>
          </cell>
          <cell r="D3669" t="str">
            <v>Lapp-Ace Group</v>
          </cell>
        </row>
        <row r="3670">
          <cell r="A3670" t="str">
            <v>53019060 (SKINTOP GMP-GL PG 29 RAL 7001 SGY)</v>
          </cell>
          <cell r="B3670" t="str">
            <v>53019060(SKINTOP GMP-GL PG 29 RAL 7001 SGY)</v>
          </cell>
          <cell r="C3670" t="str">
            <v>LAPP</v>
          </cell>
          <cell r="D3670" t="str">
            <v>Lapp-Ace Group</v>
          </cell>
        </row>
        <row r="3671">
          <cell r="A3671" t="str">
            <v>53019090 (SKINTOP GMP-GL PG 48 RAL 7001 SGY)</v>
          </cell>
          <cell r="B3671" t="str">
            <v>53019090(SKINTOP GMP-GL PG 48 RAL 7001 SGY)</v>
          </cell>
          <cell r="C3671" t="str">
            <v>LAPP</v>
          </cell>
          <cell r="D3671" t="str">
            <v>Lapp-Ace Group</v>
          </cell>
        </row>
        <row r="3672">
          <cell r="A3672" t="str">
            <v>0034410 (UNITRONIC LiYCY  10x0,25)</v>
          </cell>
          <cell r="B3672" t="str">
            <v>0034410(UNITRONIC LiYCY  10x0,25)</v>
          </cell>
          <cell r="C3672" t="str">
            <v>LAPP</v>
          </cell>
          <cell r="D3672" t="str">
            <v>Lapp-Ace Group</v>
          </cell>
        </row>
        <row r="3673">
          <cell r="A3673" t="str">
            <v>0034404 (UNITRONIC LiYCY  4x0,25)</v>
          </cell>
          <cell r="B3673" t="str">
            <v>0034404(UNITRONIC LiYCY  4x0,25)</v>
          </cell>
          <cell r="C3673" t="str">
            <v>LAPP</v>
          </cell>
          <cell r="D3673" t="str">
            <v>Lapp-Ace Group</v>
          </cell>
        </row>
        <row r="3674">
          <cell r="A3674" t="str">
            <v>0028310 (UNITRONIC LiYY  10x0,25)</v>
          </cell>
          <cell r="B3674" t="str">
            <v>0028310(UNITRONIC LiYY  10x0,25)</v>
          </cell>
          <cell r="C3674" t="str">
            <v>LAPP</v>
          </cell>
          <cell r="D3674" t="str">
            <v>Lapp-Ace Group</v>
          </cell>
        </row>
        <row r="3675">
          <cell r="A3675" t="str">
            <v>0028325 (UNITRONIC LiYY 25x0,25)</v>
          </cell>
          <cell r="B3675" t="str">
            <v>0028325(UNITRONIC LiYY 25x0,25)</v>
          </cell>
          <cell r="C3675" t="str">
            <v>LAPP</v>
          </cell>
          <cell r="D3675" t="str">
            <v>Lapp-Ace Group</v>
          </cell>
        </row>
        <row r="3676">
          <cell r="A3676" t="str">
            <v>0028350 (UNITRONIC LiYY 50x0,25)</v>
          </cell>
          <cell r="B3676" t="str">
            <v>0028350(UNITRONIC LiYY 50x0,25)</v>
          </cell>
          <cell r="C3676" t="str">
            <v>LAPP</v>
          </cell>
          <cell r="D3676" t="str">
            <v>Lapp-Ace Group</v>
          </cell>
        </row>
        <row r="3677">
          <cell r="A3677" t="str">
            <v>00101224 (ÖLFLEX CLASSIC 100 3X0.5)</v>
          </cell>
          <cell r="B3677" t="str">
            <v>00101224(ÖLFLEX CLASSIC 100 3X0.5)</v>
          </cell>
          <cell r="C3677" t="str">
            <v>LAPP</v>
          </cell>
          <cell r="D3677" t="str">
            <v>Lapp-Ace Group</v>
          </cell>
        </row>
        <row r="3678">
          <cell r="A3678" t="str">
            <v>0026131 (ÖLFLEX FD CLASSIC 810 3G1)</v>
          </cell>
          <cell r="B3678" t="str">
            <v>0026131(ÖLFLEX FD CLASSIC 810 3G1)</v>
          </cell>
          <cell r="C3678" t="str">
            <v>LAPP</v>
          </cell>
          <cell r="D3678" t="str">
            <v>Lapp-Ace Group</v>
          </cell>
        </row>
        <row r="3679">
          <cell r="A3679" t="str">
            <v>0026171 (ÖLFLEX FD CLASSIC 810 4G2,5")</v>
          </cell>
          <cell r="B3679" t="str">
            <v>0026171(ÖLFLEX FD CLASSIC 810 4G2,5")</v>
          </cell>
          <cell r="C3679" t="str">
            <v>LAPP</v>
          </cell>
          <cell r="D3679" t="str">
            <v>Lapp-Ace Group</v>
          </cell>
        </row>
        <row r="3680">
          <cell r="A3680" t="str">
            <v>0026134 (ÖLFLEX FD CLASSIC 810 7G1)</v>
          </cell>
          <cell r="B3680" t="str">
            <v>0026134(ÖLFLEX FD CLASSIC 810 7G1)</v>
          </cell>
          <cell r="C3680" t="str">
            <v>LAPP</v>
          </cell>
          <cell r="D3680" t="str">
            <v>Lapp-Ace Group</v>
          </cell>
        </row>
        <row r="3681">
          <cell r="A3681" t="str">
            <v>38007034 (ÖLFLEX® 100 I  2 x 0.50)</v>
          </cell>
          <cell r="B3681" t="str">
            <v>38007034(ÖLFLEX® 100 I  2 x 0.50)</v>
          </cell>
          <cell r="C3681" t="str">
            <v>LAPP</v>
          </cell>
          <cell r="D3681" t="str">
            <v>Lapp-Ace Group</v>
          </cell>
        </row>
        <row r="3682">
          <cell r="A3682" t="str">
            <v>38007053 (ÖLFLEX® 100 I  2 x 1.00)</v>
          </cell>
          <cell r="B3682" t="str">
            <v>38007053(ÖLFLEX® 100 I  2 x 1.00)</v>
          </cell>
          <cell r="C3682" t="str">
            <v>LAPP</v>
          </cell>
          <cell r="D3682" t="str">
            <v>Lapp-Ace Group</v>
          </cell>
        </row>
        <row r="3683">
          <cell r="A3683" t="str">
            <v>38007043 (ÖLFLEX® 100 I  3 G 0.75)</v>
          </cell>
          <cell r="B3683" t="str">
            <v>38007043(ÖLFLEX® 100 I  3 G 0.75)</v>
          </cell>
          <cell r="C3683" t="str">
            <v>LAPP</v>
          </cell>
          <cell r="D3683" t="str">
            <v>Lapp-Ace Group</v>
          </cell>
        </row>
        <row r="3684">
          <cell r="A3684" t="str">
            <v>38007065 (ÖLFLEX® 100 I  3 G 1.50)</v>
          </cell>
          <cell r="B3684" t="str">
            <v>38007065(ÖLFLEX® 100 I  3 G 1.50)</v>
          </cell>
          <cell r="C3684" t="str">
            <v>LAPP</v>
          </cell>
          <cell r="D3684" t="str">
            <v>Lapp-Ace Group</v>
          </cell>
        </row>
        <row r="3685">
          <cell r="A3685" t="str">
            <v>11197521 (Ölflex® 110  2 x 0.5 mm²)</v>
          </cell>
          <cell r="B3685" t="str">
            <v>11197521(Ölflex® 110  2 x 0.5 mm²)</v>
          </cell>
          <cell r="C3685" t="str">
            <v>LAPP</v>
          </cell>
          <cell r="D3685" t="str">
            <v>Lapp-Ace Group</v>
          </cell>
        </row>
        <row r="3686">
          <cell r="A3686" t="str">
            <v>11190031 (Ölflex® 110  3 G 0.5 mm²)</v>
          </cell>
          <cell r="B3686" t="str">
            <v>11190031(Ölflex® 110  3 G 0.5 mm²)</v>
          </cell>
          <cell r="C3686" t="str">
            <v>LAPP</v>
          </cell>
          <cell r="D3686" t="str">
            <v>Lapp-Ace Group</v>
          </cell>
        </row>
        <row r="3687">
          <cell r="A3687" t="str">
            <v>11191041 (Ölflex® 110  4 G 0.75 mm²)</v>
          </cell>
          <cell r="B3687" t="str">
            <v>11191041(Ölflex® 110  4 G 0.75 mm²)</v>
          </cell>
          <cell r="C3687" t="str">
            <v>LAPP</v>
          </cell>
          <cell r="D3687" t="str">
            <v>Lapp-Ace Group</v>
          </cell>
        </row>
        <row r="3688">
          <cell r="A3688" t="str">
            <v>11196141 (Ölflex® 110 4G10)</v>
          </cell>
          <cell r="B3688" t="str">
            <v>11196141(Ölflex® 110 4G10)</v>
          </cell>
          <cell r="C3688" t="str">
            <v>LAPP</v>
          </cell>
          <cell r="D3688" t="str">
            <v>Lapp-Ace Group</v>
          </cell>
        </row>
        <row r="3689">
          <cell r="A3689" t="str">
            <v>11195041 (Ölflex® 110  4 G 4.0 Mm²)</v>
          </cell>
          <cell r="B3689" t="str">
            <v>11195041(Ölflex® 110  4 G 4.0 Mm²)</v>
          </cell>
          <cell r="C3689" t="str">
            <v>LAPP</v>
          </cell>
          <cell r="D3689" t="str">
            <v>Lapp-Ace Group</v>
          </cell>
        </row>
        <row r="3690">
          <cell r="A3690" t="str">
            <v>11198041 (Ölflex® 110  4 x 0.75 mm²)</v>
          </cell>
          <cell r="B3690" t="str">
            <v>11198041(Ölflex® 110  4 x 0.75 mm²)</v>
          </cell>
          <cell r="C3690" t="str">
            <v>LAPP</v>
          </cell>
          <cell r="D3690" t="str">
            <v>Lapp-Ace Group</v>
          </cell>
        </row>
        <row r="3691">
          <cell r="A3691" t="str">
            <v>4520016U (ÖLFLEX® UNIPLUS 1X16 BK)</v>
          </cell>
          <cell r="B3691" t="str">
            <v>4520016U(ÖLFLEX® UNIPLUS 1X16 BK)</v>
          </cell>
          <cell r="C3691" t="str">
            <v>LAPP</v>
          </cell>
          <cell r="D3691" t="str">
            <v>Lapp-Ace Group</v>
          </cell>
        </row>
        <row r="3692">
          <cell r="A3692" t="str">
            <v>4520006U (ÖLFLEX® UNIPLUS 1X16 GNYE)</v>
          </cell>
          <cell r="B3692" t="str">
            <v>4520006U(ÖLFLEX® UNIPLUS 1X16 GNYE)</v>
          </cell>
          <cell r="C3692" t="str">
            <v>LAPP</v>
          </cell>
          <cell r="D3692" t="str">
            <v>Lapp-Ace Group</v>
          </cell>
        </row>
        <row r="3693">
          <cell r="A3693" t="str">
            <v>82382310790 (0LAPP®1P1 RT Y3 OS Y2 SWA YC2_x000D_
 UVAR 05 GY 40)</v>
          </cell>
          <cell r="B3693" t="str">
            <v>82382310790(0LAPP®1P1 RT Y3 OS Y2 SWA YC2_x000D_
 UVAR 05 GY 40)</v>
          </cell>
          <cell r="C3693" t="str">
            <v>LAPP</v>
          </cell>
          <cell r="D3693" t="str">
            <v>Lapp-Against Customer PO</v>
          </cell>
        </row>
        <row r="3694">
          <cell r="A3694" t="str">
            <v>22260582 (AB-C3- 5,0PUR-C-1L-S)</v>
          </cell>
          <cell r="B3694" t="str">
            <v>22260582(AB-C3- 5,0PUR-C-1L-S)</v>
          </cell>
          <cell r="C3694" t="str">
            <v>LAPP</v>
          </cell>
          <cell r="D3694" t="str">
            <v>Lapp-Against Customer PO</v>
          </cell>
        </row>
        <row r="3695">
          <cell r="A3695" t="str">
            <v>22260201 (AB-C3-5,0PUR-M8FA)</v>
          </cell>
          <cell r="B3695" t="str">
            <v>22260201(AB-C3-5,0PUR-M8FA)</v>
          </cell>
          <cell r="C3695" t="str">
            <v>LAPP</v>
          </cell>
          <cell r="D3695" t="str">
            <v>Lapp-Against Customer PO</v>
          </cell>
        </row>
        <row r="3696">
          <cell r="A3696" t="str">
            <v>22260828 (AB-C4-20,0PUR-M12FA)</v>
          </cell>
          <cell r="B3696" t="str">
            <v>22260828(AB-C4-20,0PUR-M12FA)</v>
          </cell>
          <cell r="C3696" t="str">
            <v>LAPP</v>
          </cell>
          <cell r="D3696" t="str">
            <v>Lapp-Against Customer PO</v>
          </cell>
        </row>
        <row r="3697">
          <cell r="A3697" t="str">
            <v>22260325 (AB-C4-5,0PUR-M12FA)</v>
          </cell>
          <cell r="B3697" t="str">
            <v>22260325(AB-C4-5,0PUR-M12FA)</v>
          </cell>
          <cell r="C3697" t="str">
            <v>LAPP</v>
          </cell>
          <cell r="D3697" t="str">
            <v>Lapp-Against Customer PO</v>
          </cell>
        </row>
        <row r="3698">
          <cell r="A3698" t="str">
            <v>22260418 (AB-C5-10,0PUR-M12FA)</v>
          </cell>
          <cell r="B3698" t="str">
            <v>22260418(AB-C5-10,0PUR-M12FA)</v>
          </cell>
          <cell r="C3698" t="str">
            <v>LAPP</v>
          </cell>
          <cell r="D3698" t="str">
            <v>Lapp-Against Customer PO</v>
          </cell>
        </row>
        <row r="3699">
          <cell r="A3699" t="str">
            <v>22260765 (AB-C5-M12T-2XM12FS DN)</v>
          </cell>
          <cell r="B3699" t="str">
            <v>22260765(AB-C5-M12T-2XM12FS DN)</v>
          </cell>
          <cell r="C3699" t="str">
            <v>LAPP</v>
          </cell>
          <cell r="D3699" t="str">
            <v>Lapp-Against Customer PO</v>
          </cell>
        </row>
        <row r="3700">
          <cell r="A3700" t="str">
            <v>22260782 (AB-PC4-5,0PUR-M12FS)</v>
          </cell>
          <cell r="B3700" t="str">
            <v>22260782(AB-PC4-5,0PUR-M12FS)</v>
          </cell>
          <cell r="C3700" t="str">
            <v>LAPP</v>
          </cell>
          <cell r="D3700" t="str">
            <v>Lapp-Against Customer PO</v>
          </cell>
        </row>
        <row r="3701">
          <cell r="A3701" t="str">
            <v>63204385 (CABLE LUGS KB25-16R DIN 46234)</v>
          </cell>
          <cell r="B3701" t="str">
            <v>63204385(CABLE LUGS KB25-16R DIN 46234)</v>
          </cell>
          <cell r="C3701" t="str">
            <v>LAPP</v>
          </cell>
          <cell r="D3701" t="str">
            <v>Lapp-Against Customer PO</v>
          </cell>
        </row>
        <row r="3702">
          <cell r="A3702" t="str">
            <v>63204145 (CABLE LUGS KB2,5-8R DIN 46234)</v>
          </cell>
          <cell r="B3702" t="str">
            <v>63204145(CABLE LUGS KB2,5-8R DIN 46234)</v>
          </cell>
          <cell r="C3702" t="str">
            <v>LAPP</v>
          </cell>
          <cell r="D3702" t="str">
            <v>Lapp-Against Customer PO</v>
          </cell>
        </row>
        <row r="3703">
          <cell r="A3703" t="str">
            <v>63204185 (CABLE LUGS KB6-5R DIN 46234)</v>
          </cell>
          <cell r="B3703" t="str">
            <v>63204185(CABLE LUGS KB6-5R DIN 46234)</v>
          </cell>
          <cell r="C3703" t="str">
            <v>LAPP</v>
          </cell>
          <cell r="D3703" t="str">
            <v>Lapp-Against Customer PO</v>
          </cell>
        </row>
        <row r="3704">
          <cell r="A3704" t="str">
            <v>8100640 (CABLE TIE 200 X 4.8 BK)</v>
          </cell>
          <cell r="B3704" t="str">
            <v>8100640(CABLE TIE 200 X 4.8 BK)</v>
          </cell>
          <cell r="C3704" t="str">
            <v>LAPP</v>
          </cell>
          <cell r="D3704" t="str">
            <v>Lapp-Against Customer PO</v>
          </cell>
        </row>
        <row r="3705">
          <cell r="A3705" t="str">
            <v>8100642 (CABLE TIE 300 X 4.8 BK)</v>
          </cell>
          <cell r="B3705" t="str">
            <v>8100642(CABLE TIE 300 X 4.8 BK)</v>
          </cell>
          <cell r="C3705" t="str">
            <v>LAPP</v>
          </cell>
          <cell r="D3705" t="str">
            <v>Lapp-Against Customer PO</v>
          </cell>
        </row>
        <row r="3706">
          <cell r="A3706" t="str">
            <v>61831003 (Cable Tie Basic Tie 160x2.6 NAT)</v>
          </cell>
          <cell r="B3706" t="str">
            <v>61831003(Cable Tie Basic Tie 160x2.6 NAT)</v>
          </cell>
          <cell r="C3706" t="str">
            <v>LAPP</v>
          </cell>
          <cell r="D3706" t="str">
            <v>Lapp-Against Customer PO</v>
          </cell>
        </row>
        <row r="3707">
          <cell r="A3707" t="str">
            <v>61831004 (Cable Tie Basic Tie 200x2.6 NAT)</v>
          </cell>
          <cell r="B3707" t="str">
            <v>61831004(Cable Tie Basic Tie 200x2.6 NAT)</v>
          </cell>
          <cell r="C3707" t="str">
            <v>LAPP</v>
          </cell>
          <cell r="D3707" t="str">
            <v>Lapp-Against Customer PO</v>
          </cell>
        </row>
        <row r="3708">
          <cell r="A3708" t="str">
            <v>61831007 (Cable Tie Basic Tie 290x3.5 NAT)</v>
          </cell>
          <cell r="B3708" t="str">
            <v>61831007(Cable Tie Basic Tie 290x3.5 NAT)</v>
          </cell>
          <cell r="C3708" t="str">
            <v>LAPP</v>
          </cell>
          <cell r="D3708" t="str">
            <v>Lapp-Against Customer PO</v>
          </cell>
        </row>
        <row r="3709">
          <cell r="A3709" t="str">
            <v>61831001 (Cable Tie Basic Tie 98x2.5 NAT)</v>
          </cell>
          <cell r="B3709" t="str">
            <v>61831001(Cable Tie Basic Tie 98x2.5 NAT)</v>
          </cell>
          <cell r="C3709" t="str">
            <v>LAPP</v>
          </cell>
          <cell r="D3709" t="str">
            <v>Lapp-Against Customer PO</v>
          </cell>
        </row>
        <row r="3710">
          <cell r="A3710" t="str">
            <v>2170005 (Coaxial - RG-213 /U)</v>
          </cell>
          <cell r="B3710" t="str">
            <v>2170005(Coaxial - RG-213 /U)</v>
          </cell>
          <cell r="C3710" t="str">
            <v>LAPP</v>
          </cell>
          <cell r="D3710" t="str">
            <v>Lapp-Against Customer PO</v>
          </cell>
        </row>
        <row r="3711">
          <cell r="A3711" t="str">
            <v>2170007 (Coaxial - RG-223 /U)</v>
          </cell>
          <cell r="B3711" t="str">
            <v>2170007(Coaxial - RG-223 /U)</v>
          </cell>
          <cell r="C3711" t="str">
            <v>LAPP</v>
          </cell>
          <cell r="D3711" t="str">
            <v>Lapp-Against Customer PO</v>
          </cell>
        </row>
        <row r="3712">
          <cell r="A3712" t="str">
            <v>117162 (CU/PVC INSU/SHT. HV INDL.1100V CABLE (MS) 2CX1.5)</v>
          </cell>
          <cell r="B3712" t="str">
            <v>117162(CU/PVC INSU/SHT. HV INDL.1100V CABLE (MS) 2CX1.5)</v>
          </cell>
          <cell r="C3712" t="str">
            <v>LAPP</v>
          </cell>
          <cell r="D3712" t="str">
            <v>Lapp-Against Customer PO</v>
          </cell>
        </row>
        <row r="3713">
          <cell r="A3713" t="str">
            <v>61795941 (DIE HOLDER V 1316 INNER)</v>
          </cell>
          <cell r="B3713" t="str">
            <v>61795941(DIE HOLDER V 1316 INNER)</v>
          </cell>
          <cell r="C3713" t="str">
            <v>LAPP</v>
          </cell>
          <cell r="D3713" t="str">
            <v>Lapp-Against Customer PO</v>
          </cell>
        </row>
        <row r="3714">
          <cell r="A3714" t="str">
            <v>61795942 (DIE HOLDER V 1318 OUTER)</v>
          </cell>
          <cell r="B3714" t="str">
            <v>61795942(DIE HOLDER V 1318 OUTER)</v>
          </cell>
          <cell r="C3714" t="str">
            <v>LAPP</v>
          </cell>
          <cell r="D3714" t="str">
            <v>Lapp-Against Customer PO</v>
          </cell>
        </row>
        <row r="3715">
          <cell r="A3715" t="str">
            <v>61802042 (DIN ASSORTMENT BOX III END SLEEVE)</v>
          </cell>
          <cell r="B3715" t="str">
            <v>61802042(DIN ASSORTMENT BOX III END SLEEVE)</v>
          </cell>
          <cell r="C3715" t="str">
            <v>LAPP</v>
          </cell>
          <cell r="D3715" t="str">
            <v>Lapp-Against Customer PO</v>
          </cell>
        </row>
        <row r="3716">
          <cell r="A3716" t="str">
            <v>21700601 (ED-IE-AX-6A-B-20-FC)</v>
          </cell>
          <cell r="B3716" t="str">
            <v>21700601(ED-IE-AX-6A-B-20-FC)</v>
          </cell>
          <cell r="C3716" t="str">
            <v>LAPP</v>
          </cell>
          <cell r="D3716" t="str">
            <v>Lapp-Against Customer PO</v>
          </cell>
        </row>
        <row r="3717">
          <cell r="A3717" t="str">
            <v>21700616 (ED-IE-AX-6A-B-20-FD-FC)</v>
          </cell>
          <cell r="B3717" t="str">
            <v>21700616(ED-IE-AX-6A-B-20-FD-FC)</v>
          </cell>
          <cell r="C3717" t="str">
            <v>LAPP</v>
          </cell>
          <cell r="D3717" t="str">
            <v>Lapp-Against Customer PO</v>
          </cell>
        </row>
        <row r="3718">
          <cell r="A3718" t="str">
            <v>21700647 (ED-IE-AX-M12D-5-PN-67-FC)</v>
          </cell>
          <cell r="B3718" t="str">
            <v>21700647(ED-IE-AX-M12D-5-PN-67-FC)</v>
          </cell>
          <cell r="C3718" t="str">
            <v>LAPP</v>
          </cell>
          <cell r="D3718" t="str">
            <v>Lapp-Against Customer PO</v>
          </cell>
        </row>
        <row r="3719">
          <cell r="A3719" t="str">
            <v>21700651 (ED-IE-AXS-5-PN-20-FC)</v>
          </cell>
          <cell r="B3719" t="str">
            <v>21700651(ED-IE-AXS-5-PN-20-FC)</v>
          </cell>
          <cell r="C3719" t="str">
            <v>LAPP</v>
          </cell>
          <cell r="D3719" t="str">
            <v>Lapp-Against Customer PO</v>
          </cell>
        </row>
        <row r="3720">
          <cell r="A3720" t="str">
            <v>21700501 (ED-PB-90-PG-FC)</v>
          </cell>
          <cell r="B3720" t="str">
            <v>21700501(ED-PB-90-PG-FC)</v>
          </cell>
          <cell r="C3720" t="str">
            <v>LAPP</v>
          </cell>
          <cell r="D3720" t="str">
            <v>Lapp-Against Customer PO</v>
          </cell>
        </row>
        <row r="3721">
          <cell r="A3721" t="str">
            <v>61801630 (END SLEEVE AHI DIN N 0,75/8GY)</v>
          </cell>
          <cell r="B3721" t="str">
            <v>61801630(END SLEEVE AHI DIN N 0,75/8GY)</v>
          </cell>
          <cell r="C3721" t="str">
            <v>LAPP</v>
          </cell>
          <cell r="D3721" t="str">
            <v>Lapp-Against Customer PO</v>
          </cell>
        </row>
        <row r="3722">
          <cell r="A3722" t="str">
            <v>61801820 (END SLEEVES AHI DIN L 6/18 YE)</v>
          </cell>
          <cell r="B3722" t="str">
            <v>61801820(END SLEEVES AHI DIN L 6/18 YE)</v>
          </cell>
          <cell r="C3722" t="str">
            <v>LAPP</v>
          </cell>
          <cell r="D3722" t="str">
            <v>Lapp-Against Customer PO</v>
          </cell>
        </row>
        <row r="3723">
          <cell r="A3723" t="str">
            <v>61721990 (END SLEEVES AHI L 16/18 GN)</v>
          </cell>
          <cell r="B3723" t="str">
            <v>61721990(END SLEEVES AHI L 16/18 GN)</v>
          </cell>
          <cell r="C3723" t="str">
            <v>LAPP</v>
          </cell>
          <cell r="D3723" t="str">
            <v>Lapp-Against Customer PO</v>
          </cell>
        </row>
        <row r="3724">
          <cell r="A3724" t="str">
            <v>61721868 (END SLEEVES AHI N 0,34/ 6 TQ)</v>
          </cell>
          <cell r="B3724" t="str">
            <v>61721868(END SLEEVES AHI N 0,34/ 6 TQ)</v>
          </cell>
          <cell r="C3724" t="str">
            <v>LAPP</v>
          </cell>
          <cell r="D3724" t="str">
            <v>Lapp-Against Customer PO</v>
          </cell>
        </row>
        <row r="3725">
          <cell r="A3725" t="str">
            <v>10103900 (EPIC® H-B 24 AD-LB)</v>
          </cell>
          <cell r="B3725" t="str">
            <v>10103900(EPIC® H-B 24 AD-LB)</v>
          </cell>
          <cell r="C3725" t="str">
            <v>LAPP</v>
          </cell>
          <cell r="D3725" t="str">
            <v>Lapp-Against Customer PO</v>
          </cell>
        </row>
        <row r="3726">
          <cell r="A3726" t="str">
            <v>2170296 (ETHERLINE H CAT. 5e 4X2X24/1AWG)</v>
          </cell>
          <cell r="B3726" t="str">
            <v>2170296(ETHERLINE H CAT. 5e 4X2X24/1AWG)</v>
          </cell>
          <cell r="C3726" t="str">
            <v>LAPP</v>
          </cell>
          <cell r="D3726" t="str">
            <v>Lapp-Against Customer PO</v>
          </cell>
        </row>
        <row r="3727">
          <cell r="A3727" t="str">
            <v>82382310615 (ETHERLINE Y UL/CSA CAT.5e 2x2x22/1AWG)</v>
          </cell>
          <cell r="B3727" t="str">
            <v>82382310615(ETHERLINE Y UL/CSA CAT.5e 2x2x22/1AWG)</v>
          </cell>
          <cell r="C3727" t="str">
            <v>LAPP</v>
          </cell>
          <cell r="D3727" t="str">
            <v>Lapp-Against Customer PO</v>
          </cell>
        </row>
        <row r="3728">
          <cell r="A3728" t="str">
            <v>2170466 (ETHERLINE® Cat. 6A H)</v>
          </cell>
          <cell r="B3728" t="str">
            <v>2170466(ETHERLINE® Cat. 6A H)</v>
          </cell>
          <cell r="C3728" t="str">
            <v>LAPP</v>
          </cell>
          <cell r="D3728" t="str">
            <v>Lapp-Against Customer PO</v>
          </cell>
        </row>
        <row r="3729">
          <cell r="A3729" t="str">
            <v>2170465 (ETHERLINE® Cat. 6A P)</v>
          </cell>
          <cell r="B3729" t="str">
            <v>2170465(ETHERLINE® Cat. 6A P)</v>
          </cell>
          <cell r="C3729" t="str">
            <v>LAPP</v>
          </cell>
          <cell r="D3729" t="str">
            <v>Lapp-Against Customer PO</v>
          </cell>
        </row>
        <row r="3730">
          <cell r="A3730" t="str">
            <v>2170934 (ETHERLINE® Cat.7 FLEX 4x2x26/7)</v>
          </cell>
          <cell r="B3730" t="str">
            <v>2170934(ETHERLINE® Cat.7 FLEX 4x2x26/7)</v>
          </cell>
          <cell r="C3730" t="str">
            <v>LAPP</v>
          </cell>
          <cell r="D3730" t="str">
            <v>Lapp-Against Customer PO</v>
          </cell>
        </row>
        <row r="3731">
          <cell r="A3731" t="str">
            <v>2170484 (ETHERLINE® FD P CAT.6A 4X2X24/7AWG)</v>
          </cell>
          <cell r="B3731" t="str">
            <v>2170484(ETHERLINE® FD P CAT.6A 4X2X24/7AWG)</v>
          </cell>
          <cell r="C3731" t="str">
            <v>LAPP</v>
          </cell>
          <cell r="D3731" t="str">
            <v>Lapp-Against Customer PO</v>
          </cell>
        </row>
        <row r="3732">
          <cell r="A3732" t="str">
            <v>2170299 (ETHERLINE® H FLEX CAT.5e 4X2XAWG26/7)</v>
          </cell>
          <cell r="B3732" t="str">
            <v>2170299(ETHERLINE® H FLEX CAT.5e 4X2XAWG26/7)</v>
          </cell>
          <cell r="C3732" t="str">
            <v>LAPP</v>
          </cell>
          <cell r="D3732" t="str">
            <v>Lapp-Against Customer PO</v>
          </cell>
        </row>
        <row r="3733">
          <cell r="A3733" t="str">
            <v>24441316 (ETHERLINE® LAN Cat.6A 0,25 BK)</v>
          </cell>
          <cell r="B3733" t="str">
            <v>24441316(ETHERLINE® LAN Cat.6A 0,25 BK)</v>
          </cell>
          <cell r="C3733" t="str">
            <v>LAPP</v>
          </cell>
          <cell r="D3733" t="str">
            <v>Lapp-Against Customer PO</v>
          </cell>
        </row>
        <row r="3734">
          <cell r="A3734" t="str">
            <v>24441317 (ETHERLINE® LAN Cat.6A 0,5 BK)</v>
          </cell>
          <cell r="B3734" t="str">
            <v>24441317(ETHERLINE® LAN Cat.6A 0,5 BK)</v>
          </cell>
          <cell r="C3734" t="str">
            <v>LAPP</v>
          </cell>
          <cell r="D3734" t="str">
            <v>Lapp-Against Customer PO</v>
          </cell>
        </row>
        <row r="3735">
          <cell r="A3735" t="str">
            <v>24441324 (ETHERLINE® LAN Cat.6A 10,0 BK)</v>
          </cell>
          <cell r="B3735" t="str">
            <v>24441324(ETHERLINE® LAN Cat.6A 10,0 BK)</v>
          </cell>
          <cell r="C3735" t="str">
            <v>LAPP</v>
          </cell>
          <cell r="D3735" t="str">
            <v>Lapp-Against Customer PO</v>
          </cell>
        </row>
        <row r="3736">
          <cell r="A3736" t="str">
            <v>24441322 (ETHERLINE® LAN Cat.6A 5,0 BK)</v>
          </cell>
          <cell r="B3736" t="str">
            <v>24441322(ETHERLINE® LAN Cat.6A 5,0 BK)</v>
          </cell>
          <cell r="C3736" t="str">
            <v>LAPP</v>
          </cell>
          <cell r="D3736" t="str">
            <v>Lapp-Against Customer PO</v>
          </cell>
        </row>
        <row r="3737">
          <cell r="A3737" t="str">
            <v>24441243 (ETHERLINE® LAN Cat.6A RJ45 2,0 BK)</v>
          </cell>
          <cell r="B3737" t="str">
            <v>24441243(ETHERLINE® LAN Cat.6A RJ45 2,0 BK)</v>
          </cell>
          <cell r="C3737" t="str">
            <v>LAPP</v>
          </cell>
          <cell r="D3737" t="str">
            <v>Lapp-Against Customer PO</v>
          </cell>
        </row>
        <row r="3738">
          <cell r="A3738" t="str">
            <v>2170433 (ETHERLINE® P EC FD Cat.5e)</v>
          </cell>
          <cell r="B3738" t="str">
            <v>2170433(ETHERLINE® P EC FD Cat.5e)</v>
          </cell>
          <cell r="C3738" t="str">
            <v>LAPP</v>
          </cell>
          <cell r="D3738" t="str">
            <v>Lapp-Against Customer PO</v>
          </cell>
        </row>
        <row r="3739">
          <cell r="A3739" t="str">
            <v>2170284 (ETHERLINE® P FLEX CAT5E 2X2XAWG26)</v>
          </cell>
          <cell r="B3739" t="str">
            <v>2170284(ETHERLINE® P FLEX CAT5E 2X2XAWG26)</v>
          </cell>
          <cell r="C3739" t="str">
            <v>LAPP</v>
          </cell>
          <cell r="D3739" t="str">
            <v>Lapp-Against Customer PO</v>
          </cell>
        </row>
        <row r="3740">
          <cell r="A3740" t="str">
            <v>2170300 (ETHERLINE® P Flex CAT.5e 4X2XAWG26/7)</v>
          </cell>
          <cell r="B3740" t="str">
            <v>2170300(ETHERLINE® P Flex CAT.5e 4X2XAWG26/7)</v>
          </cell>
          <cell r="C3740" t="str">
            <v>LAPP</v>
          </cell>
          <cell r="D3740" t="str">
            <v>Lapp-Against Customer PO</v>
          </cell>
        </row>
        <row r="3741">
          <cell r="A3741" t="str">
            <v>2170456 (ETHERLINE® ROBUST FR Cat.7 FLEX)</v>
          </cell>
          <cell r="B3741" t="str">
            <v>2170456(ETHERLINE® ROBUST FR Cat.7 FLEX)</v>
          </cell>
          <cell r="C3741" t="str">
            <v>LAPP</v>
          </cell>
          <cell r="D3741" t="str">
            <v>Lapp-Against Customer PO</v>
          </cell>
        </row>
        <row r="3742">
          <cell r="A3742" t="str">
            <v>63105230 (FORK CABLE LUGS L-RC 6F)</v>
          </cell>
          <cell r="B3742" t="str">
            <v>63105230(FORK CABLE LUGS L-RC 6F)</v>
          </cell>
          <cell r="C3742" t="str">
            <v>LAPP</v>
          </cell>
          <cell r="D3742" t="str">
            <v>Lapp-Against Customer PO</v>
          </cell>
        </row>
        <row r="3743">
          <cell r="A3743" t="str">
            <v>LMTLN06 (FUOCO MAGNETIC LENS Type Track Light 6W)</v>
          </cell>
          <cell r="B3743" t="str">
            <v>LMTLN06(FUOCO MAGNETIC LENS Type Track Light 6W)</v>
          </cell>
          <cell r="C3743" t="str">
            <v>LAPP</v>
          </cell>
          <cell r="D3743" t="str">
            <v>Lapp-Against Customer PO</v>
          </cell>
        </row>
        <row r="3744">
          <cell r="A3744" t="str">
            <v>LMTSP10 (FUOCO MAGNETIC SPOT TRACK LIGHT 10W)</v>
          </cell>
          <cell r="B3744" t="str">
            <v>LMTSP10(FUOCO MAGNETIC SPOT TRACK LIGHT 10W)</v>
          </cell>
          <cell r="C3744" t="str">
            <v>LAPP</v>
          </cell>
          <cell r="D3744" t="str">
            <v>Lapp-Against Customer PO</v>
          </cell>
        </row>
        <row r="3745">
          <cell r="A3745" t="str">
            <v>1600251 (H05RN-F 2X1)</v>
          </cell>
          <cell r="B3745" t="str">
            <v>1600251(H05RN-F 2X1)</v>
          </cell>
          <cell r="C3745" t="str">
            <v>LAPP</v>
          </cell>
          <cell r="D3745" t="str">
            <v>Lapp-Against Customer PO</v>
          </cell>
        </row>
        <row r="3746">
          <cell r="A3746" t="str">
            <v>1600154 (H07RN-F 12G2,5)</v>
          </cell>
          <cell r="B3746" t="str">
            <v>1600154(H07RN-F 12G2,5)</v>
          </cell>
          <cell r="C3746" t="str">
            <v>LAPP</v>
          </cell>
          <cell r="D3746" t="str">
            <v>Lapp-Against Customer PO</v>
          </cell>
        </row>
        <row r="3747">
          <cell r="A3747" t="str">
            <v>16001053 (H07RN-F 4G2,5)</v>
          </cell>
          <cell r="B3747" t="str">
            <v>16001053(H07RN-F 4G2,5)</v>
          </cell>
          <cell r="C3747" t="str">
            <v>LAPP</v>
          </cell>
          <cell r="D3747" t="str">
            <v>Lapp-Against Customer PO</v>
          </cell>
        </row>
        <row r="3748">
          <cell r="A3748" t="str">
            <v>16001073 (H07RN-F 4G6)</v>
          </cell>
          <cell r="B3748" t="str">
            <v>16001073(H07RN-F 4G6)</v>
          </cell>
          <cell r="C3748" t="str">
            <v>LAPP</v>
          </cell>
          <cell r="D3748" t="str">
            <v>Lapp-Against Customer PO</v>
          </cell>
        </row>
        <row r="3749">
          <cell r="A3749" t="str">
            <v>16001093 (H07RN-F 5G10)</v>
          </cell>
          <cell r="B3749" t="str">
            <v>16001093(H07RN-F 5G10)</v>
          </cell>
          <cell r="C3749" t="str">
            <v>LAPP</v>
          </cell>
          <cell r="D3749" t="str">
            <v>Lapp-Against Customer PO</v>
          </cell>
        </row>
        <row r="3750">
          <cell r="A3750" t="str">
            <v>16001313 (H07RN-F 5G6)</v>
          </cell>
          <cell r="B3750" t="str">
            <v>16001313(H07RN-F 5G6)</v>
          </cell>
          <cell r="C3750" t="str">
            <v>LAPP</v>
          </cell>
          <cell r="D3750" t="str">
            <v>Lapp-Against Customer PO</v>
          </cell>
        </row>
        <row r="3751">
          <cell r="A3751" t="str">
            <v>4533031 (H07RN-F, ENHANCED VERSION 3G2,5 B)</v>
          </cell>
          <cell r="B3751" t="str">
            <v>4533031(H07RN-F, ENHANCED VERSION 3G2,5 B)</v>
          </cell>
          <cell r="C3751" t="str">
            <v>LAPP</v>
          </cell>
          <cell r="D3751" t="str">
            <v>Lapp-Against Customer PO</v>
          </cell>
        </row>
        <row r="3752">
          <cell r="A3752" t="str">
            <v>4533033 (H07RN-F, ENHANCED VERSION 3G4)</v>
          </cell>
          <cell r="B3752" t="str">
            <v>4533033(H07RN-F, ENHANCED VERSION 3G4)</v>
          </cell>
          <cell r="C3752" t="str">
            <v>LAPP</v>
          </cell>
          <cell r="D3752" t="str">
            <v>Lapp-Against Customer PO</v>
          </cell>
        </row>
        <row r="3753">
          <cell r="A3753" t="str">
            <v>4520013 (H07V-K 1X4 BK)</v>
          </cell>
          <cell r="B3753" t="str">
            <v>4520013(H07V-K 1X4 BK)</v>
          </cell>
          <cell r="C3753" t="str">
            <v>LAPP</v>
          </cell>
          <cell r="D3753" t="str">
            <v>Lapp-Against Customer PO</v>
          </cell>
        </row>
        <row r="3754">
          <cell r="A3754" t="str">
            <v>4724085 (H07Z1-K 1x16 BK)</v>
          </cell>
          <cell r="B3754" t="str">
            <v>4724085(H07Z1-K 1x16 BK)</v>
          </cell>
          <cell r="C3754" t="str">
            <v>LAPP</v>
          </cell>
          <cell r="D3754" t="str">
            <v>Lapp-Against Customer PO</v>
          </cell>
        </row>
        <row r="3755">
          <cell r="A3755" t="str">
            <v>4724089 (H07Z1-K 1x16 GNYE)</v>
          </cell>
          <cell r="B3755" t="str">
            <v>4724089(H07Z1-K 1x16 GNYE)</v>
          </cell>
          <cell r="C3755" t="str">
            <v>LAPP</v>
          </cell>
          <cell r="D3755" t="str">
            <v>Lapp-Against Customer PO</v>
          </cell>
        </row>
        <row r="3756">
          <cell r="A3756" t="str">
            <v>4724079 (H07Z1-K 1x6 GNYE)</v>
          </cell>
          <cell r="B3756" t="str">
            <v>4724079(H07Z1-K 1x6 GNYE)</v>
          </cell>
          <cell r="C3756" t="str">
            <v>LAPP</v>
          </cell>
          <cell r="D3756" t="str">
            <v>Lapp-Against Customer PO</v>
          </cell>
        </row>
        <row r="3757">
          <cell r="A3757" t="str">
            <v>4726015 (H07Z-K 90°C 1X10 BK)</v>
          </cell>
          <cell r="B3757" t="str">
            <v>4726015(H07Z-K 90°C 1X10 BK)</v>
          </cell>
          <cell r="C3757" t="str">
            <v>LAPP</v>
          </cell>
          <cell r="D3757" t="str">
            <v>Lapp-Against Customer PO</v>
          </cell>
        </row>
        <row r="3758">
          <cell r="A3758" t="str">
            <v>4726018 (H07Z-K 90°C 1X35 BK)</v>
          </cell>
          <cell r="B3758" t="str">
            <v>4726018(H07Z-K 90°C 1X35 BK)</v>
          </cell>
          <cell r="C3758" t="str">
            <v>LAPP</v>
          </cell>
          <cell r="D3758" t="str">
            <v>Lapp-Against Customer PO</v>
          </cell>
        </row>
        <row r="3759">
          <cell r="A3759" t="str">
            <v>4726033 (H07Z-K 90°C 1X4 BN)</v>
          </cell>
          <cell r="B3759" t="str">
            <v>4726033(H07Z-K 90°C 1X4 BN)</v>
          </cell>
          <cell r="C3759" t="str">
            <v>LAPP</v>
          </cell>
          <cell r="D3759" t="str">
            <v>Lapp-Against Customer PO</v>
          </cell>
        </row>
        <row r="3760">
          <cell r="A3760" t="str">
            <v>4726003 (H07Z-K 90°C 1X4 GNYE)</v>
          </cell>
          <cell r="B3760" t="str">
            <v>4726003(H07Z-K 90°C 1X4 GNYE)</v>
          </cell>
          <cell r="C3760" t="str">
            <v>LAPP</v>
          </cell>
          <cell r="D3760" t="str">
            <v>Lapp-Against Customer PO</v>
          </cell>
        </row>
        <row r="3761">
          <cell r="A3761" t="str">
            <v>4727011 (H07Z-K 90°C 1x70 BK)</v>
          </cell>
          <cell r="B3761" t="str">
            <v>4727011(H07Z-K 90°C 1x70 BK)</v>
          </cell>
          <cell r="C3761" t="str">
            <v>LAPP</v>
          </cell>
          <cell r="D3761" t="str">
            <v>Lapp-Against Customer PO</v>
          </cell>
        </row>
        <row r="3762">
          <cell r="A3762" t="str">
            <v>10423000 (H-A 3 TGV 11 N.GEW. HOOD)</v>
          </cell>
          <cell r="B3762" t="str">
            <v>10423000(H-A 3 TGV 11 N.GEW. HOOD)</v>
          </cell>
          <cell r="C3762" t="str">
            <v>LAPP</v>
          </cell>
          <cell r="D3762" t="str">
            <v>Lapp-Against Customer PO</v>
          </cell>
        </row>
        <row r="3763">
          <cell r="A3763" t="str">
            <v>19426000 (H-A 3 TGV M20 N.GEW. HOOD)</v>
          </cell>
          <cell r="B3763" t="str">
            <v>19426000(H-A 3 TGV M20 N.GEW. HOOD)</v>
          </cell>
          <cell r="C3763" t="str">
            <v>LAPP</v>
          </cell>
          <cell r="D3763" t="str">
            <v>Lapp-Against Customer PO</v>
          </cell>
        </row>
        <row r="3764">
          <cell r="A3764" t="str">
            <v>10401200 (H-BE 16 BF FEMALE INSERT W. CLAMP SPRING)</v>
          </cell>
          <cell r="B3764" t="str">
            <v>10401200(H-BE 16 BF FEMALE INSERT W. CLAMP SPRING)</v>
          </cell>
          <cell r="C3764" t="str">
            <v>LAPP</v>
          </cell>
          <cell r="D3764" t="str">
            <v>Lapp-Against Customer PO</v>
          </cell>
        </row>
        <row r="3765">
          <cell r="A3765" t="str">
            <v>10400200 (H-BE 16 SF MALE INSERT W. CLAMP SPRING)</v>
          </cell>
          <cell r="B3765" t="str">
            <v>10400200(H-BE 16 SF MALE INSERT W. CLAMP SPRING)</v>
          </cell>
          <cell r="C3765" t="str">
            <v>LAPP</v>
          </cell>
          <cell r="D3765" t="str">
            <v>Lapp-Against Customer PO</v>
          </cell>
        </row>
        <row r="3766">
          <cell r="A3766" t="str">
            <v>10401300 (H-BE 24 BF INSERT FEMALE W. CLAMP SPRING)</v>
          </cell>
          <cell r="B3766" t="str">
            <v>10401300(H-BE 24 BF INSERT FEMALE W. CLAMP SPRING)</v>
          </cell>
          <cell r="C3766" t="str">
            <v>LAPP</v>
          </cell>
          <cell r="D3766" t="str">
            <v>Lapp-Against Customer PO</v>
          </cell>
        </row>
        <row r="3767">
          <cell r="A3767" t="str">
            <v>10400300 (H-BE 24 SF MALE INSERT W. CLAMP SPRING)</v>
          </cell>
          <cell r="B3767" t="str">
            <v>10400300(H-BE 24 SF MALE INSERT W. CLAMP SPRING)</v>
          </cell>
          <cell r="C3767" t="str">
            <v>LAPP</v>
          </cell>
          <cell r="D3767" t="str">
            <v>Lapp-Against Customer PO</v>
          </cell>
        </row>
        <row r="3768">
          <cell r="A3768" t="str">
            <v>28320702 (HITRONICR PCF DUPLEX FD FRNC-PUR)</v>
          </cell>
          <cell r="B3768" t="str">
            <v>28320702(HITRONICR PCF DUPLEX FD FRNC-PUR)</v>
          </cell>
          <cell r="C3768" t="str">
            <v>LAPP</v>
          </cell>
          <cell r="D3768" t="str">
            <v>Lapp-Against Customer PO</v>
          </cell>
        </row>
        <row r="3769">
          <cell r="A3769" t="str">
            <v>27900108 (HITRONIC® HQW3000 8G 62,5/125 OM1)</v>
          </cell>
          <cell r="B3769" t="str">
            <v>27900108(HITRONIC® HQW3000 8G 62,5/125 OM1)</v>
          </cell>
          <cell r="C3769" t="str">
            <v>LAPP</v>
          </cell>
          <cell r="D3769" t="str">
            <v>Lapp-Against Customer PO</v>
          </cell>
        </row>
        <row r="3770">
          <cell r="A3770" t="str">
            <v>2172362 (IE-6A-RJ45-0,5-P-4-26-7-RJ45)</v>
          </cell>
          <cell r="B3770" t="str">
            <v>2172362(IE-6A-RJ45-0,5-P-4-26-7-RJ45)</v>
          </cell>
          <cell r="C3770" t="str">
            <v>LAPP</v>
          </cell>
          <cell r="D3770" t="str">
            <v>Lapp-Against Customer PO</v>
          </cell>
        </row>
        <row r="3771">
          <cell r="A3771" t="str">
            <v>2172363 (IE-6A-RJ45-1-P-4-26-7-RJ45)</v>
          </cell>
          <cell r="B3771" t="str">
            <v>2172363(IE-6A-RJ45-1-P-4-26-7-RJ45)</v>
          </cell>
          <cell r="C3771" t="str">
            <v>LAPP</v>
          </cell>
          <cell r="D3771" t="str">
            <v>Lapp-Against Customer PO</v>
          </cell>
        </row>
        <row r="3772">
          <cell r="A3772" t="str">
            <v>0162052 (KN5-022L-CY NiCr/Ni KCA 2x0,22 IEC)</v>
          </cell>
          <cell r="B3772" t="str">
            <v>0162052(KN5-022L-CY NiCr/Ni KCA 2x0,22 IEC)</v>
          </cell>
          <cell r="C3772" t="str">
            <v>LAPP</v>
          </cell>
          <cell r="D3772" t="str">
            <v>Lapp-Against Customer PO</v>
          </cell>
        </row>
        <row r="3773">
          <cell r="A3773" t="str">
            <v>61742822_x000D_
 (LABEL HOLDER KMK 2_x000D_
)</v>
          </cell>
          <cell r="B3773" t="str">
            <v>61742822_x000D_
(LABEL HOLDER KMK 2_x000D_
)</v>
          </cell>
          <cell r="C3773" t="str">
            <v>LAPP</v>
          </cell>
          <cell r="D3773" t="str">
            <v>Lapp-Against Customer PO</v>
          </cell>
        </row>
        <row r="3774">
          <cell r="A3774" t="str">
            <v>61742826_x000D_
 (LABEL HOLDER KMK 4_x000D_
)</v>
          </cell>
          <cell r="B3774" t="str">
            <v>61742826_x000D_
(LABEL HOLDER KMK 4_x000D_
)</v>
          </cell>
          <cell r="C3774" t="str">
            <v>LAPP</v>
          </cell>
          <cell r="D3774" t="str">
            <v>Lapp-Against Customer PO</v>
          </cell>
        </row>
        <row r="3775">
          <cell r="A3775" t="str">
            <v>383301766H (LAPP 20X0.34mm ABC PE FRLSZH GREY 500V 10)</v>
          </cell>
          <cell r="B3775" t="str">
            <v>383301766H(LAPP 20X0.34mm ABC PE FRLSZH GREY 500V 10)</v>
          </cell>
          <cell r="C3775" t="str">
            <v>LAPP</v>
          </cell>
          <cell r="D3775" t="str">
            <v>Lapp-Against Customer PO</v>
          </cell>
        </row>
        <row r="3776">
          <cell r="A3776" t="str">
            <v>382306244 (LAPP KABEL® 3G1.5 FY ROHS 1 GY)</v>
          </cell>
          <cell r="B3776" t="str">
            <v>382306244(LAPP KABEL® 3G1.5 FY ROHS 1 GY)</v>
          </cell>
          <cell r="C3776" t="str">
            <v>LAPP</v>
          </cell>
          <cell r="D3776" t="str">
            <v>Lapp-Against Customer PO</v>
          </cell>
        </row>
        <row r="3777">
          <cell r="A3777" t="str">
            <v>383300114 (LAPP KABEL® UTP CAT6 4x2x24 AWG/1 CI)</v>
          </cell>
          <cell r="B3777" t="str">
            <v>383300114(LAPP KABEL® UTP CAT6 4x2x24 AWG/1 CI)</v>
          </cell>
          <cell r="C3777" t="str">
            <v>LAPP</v>
          </cell>
          <cell r="D3777" t="str">
            <v>Lapp-Against Customer PO</v>
          </cell>
        </row>
        <row r="3778">
          <cell r="A3778" t="str">
            <v>382308113 (LAPPR 110 2X0.5 BU/BN F Y Y 05 GY)</v>
          </cell>
          <cell r="B3778" t="str">
            <v>382308113(LAPPR 110 2X0.5 BU/BN F Y Y 05 GY)</v>
          </cell>
          <cell r="C3778" t="str">
            <v>LAPP</v>
          </cell>
          <cell r="D3778" t="str">
            <v>Lapp-Against Customer PO</v>
          </cell>
        </row>
        <row r="3779">
          <cell r="A3779" t="str">
            <v>82382311666 (LAPP®10T1 R Y3 ISOS Y2SWA YC2 UVAR05)</v>
          </cell>
          <cell r="B3779" t="str">
            <v>82382311666(LAPP®10T1 R Y3 ISOS Y2SWA YC2 UVAR05)</v>
          </cell>
          <cell r="C3779" t="str">
            <v>LAPP</v>
          </cell>
          <cell r="D3779" t="str">
            <v>Lapp-Against Customer PO</v>
          </cell>
        </row>
        <row r="3780">
          <cell r="A3780" t="str">
            <v>82383302803H (LAPP® 10x0.34 Sqmm F HDPE HX 500 VOLTS)</v>
          </cell>
          <cell r="B3780" t="str">
            <v>82383302803H(LAPP® 10x0.34 Sqmm F HDPE HX 500 VOLTS)</v>
          </cell>
          <cell r="C3780" t="str">
            <v>LAPP</v>
          </cell>
          <cell r="D3780" t="str">
            <v>Lapp-Against Customer PO</v>
          </cell>
        </row>
        <row r="3781">
          <cell r="A3781" t="str">
            <v>82383302841 H (LAPP®19CX1.5+1GX1.5SQMM RT_x000D_
 Y OS Y2 SWA Y)</v>
          </cell>
          <cell r="B3781" t="str">
            <v>82383302841 H(LAPP®19CX1.5+1GX1.5SQMM RT_x000D_
 Y OS Y2 SWA Y)</v>
          </cell>
          <cell r="C3781" t="str">
            <v>LAPP</v>
          </cell>
          <cell r="D3781" t="str">
            <v>Lapp-Against Customer PO</v>
          </cell>
        </row>
        <row r="3782">
          <cell r="A3782" t="str">
            <v>382309752 (LAPP® 1px1.5 ft Y Os Y S Y 05 Bk)</v>
          </cell>
          <cell r="B3782" t="str">
            <v>382309752(LAPP® 1px1.5 ft Y Os Y S Y 05 Bk)</v>
          </cell>
          <cell r="C3782" t="str">
            <v>LAPP</v>
          </cell>
          <cell r="D3782" t="str">
            <v>Lapp-Against Customer PO</v>
          </cell>
        </row>
        <row r="3783">
          <cell r="A3783" t="str">
            <v>82382311664 (LAPP®1T1R Y3 OS Y2 SWA YC2 UVAR 05OG)</v>
          </cell>
          <cell r="B3783" t="str">
            <v>82382311664(LAPP®1T1R Y3 OS Y2 SWA YC2 UVAR 05OG)</v>
          </cell>
          <cell r="C3783" t="str">
            <v>LAPP</v>
          </cell>
          <cell r="D3783" t="str">
            <v>Lapp-Against Customer PO</v>
          </cell>
        </row>
        <row r="3784">
          <cell r="A3784" t="str">
            <v>82383302952H (LAPP® 1X120 SQMM FT SIL FGB 1100 VOLTS)</v>
          </cell>
          <cell r="B3784" t="str">
            <v>82383302952H(LAPP® 1X120 SQMM FT SIL FGB 1100 VOLTS)</v>
          </cell>
          <cell r="C3784" t="str">
            <v>LAPP</v>
          </cell>
          <cell r="D3784" t="str">
            <v>Lapp-Against Customer PO</v>
          </cell>
        </row>
        <row r="3785">
          <cell r="A3785" t="str">
            <v>82383302951H (LAPP® 1X185 SQMM FT SIL FGB 1100 VOLTS)</v>
          </cell>
          <cell r="B3785" t="str">
            <v>82383302951H(LAPP® 1X185 SQMM FT SIL FGB 1100 VOLTS)</v>
          </cell>
          <cell r="C3785" t="str">
            <v>LAPP</v>
          </cell>
          <cell r="D3785" t="str">
            <v>Lapp-Against Customer PO</v>
          </cell>
        </row>
        <row r="3786">
          <cell r="A3786" t="str">
            <v>382309753 (LAPP® 2PX1.5 FT Y ISOS Y S Y 05 BK)</v>
          </cell>
          <cell r="B3786" t="str">
            <v>382309753(LAPP® 2PX1.5 FT Y ISOS Y S Y 05 BK)</v>
          </cell>
          <cell r="C3786" t="str">
            <v>LAPP</v>
          </cell>
          <cell r="D3786" t="str">
            <v>Lapp-Against Customer PO</v>
          </cell>
        </row>
        <row r="3787">
          <cell r="A3787" t="str">
            <v>382309029 (LAPP® 2X1.5 R2XOSY2SWAYC 2 UVARAT 1BK)</v>
          </cell>
          <cell r="B3787" t="str">
            <v>382309029(LAPP® 2X1.5 R2XOSY2SWAYC 2 UVARAT 1BK)</v>
          </cell>
          <cell r="C3787" t="str">
            <v>LAPP</v>
          </cell>
          <cell r="D3787" t="str">
            <v>Lapp-Against Customer PO</v>
          </cell>
        </row>
        <row r="3788">
          <cell r="A3788" t="str">
            <v>82382311056 (LAPP®2x1.5 RT 2X OS  YC2 SWA YC2 UVAR AT)</v>
          </cell>
          <cell r="B3788" t="str">
            <v>82382311056(LAPP®2x1.5 RT 2X OS  YC2 SWA YC2 UVAR AT)</v>
          </cell>
          <cell r="C3788" t="str">
            <v>LAPP</v>
          </cell>
          <cell r="D3788" t="str">
            <v>Lapp-Against Customer PO</v>
          </cell>
        </row>
        <row r="3789">
          <cell r="A3789" t="str">
            <v>382309099 (LAPP® 3G1.5 R 2X Y2 S YC2 1 BK 10)</v>
          </cell>
          <cell r="B3789" t="str">
            <v>382309099(LAPP® 3G1.5 R 2X Y2 S YC2 1 BK 10)</v>
          </cell>
          <cell r="C3789" t="str">
            <v>LAPP</v>
          </cell>
          <cell r="D3789" t="str">
            <v>Lapp-Against Customer PO</v>
          </cell>
        </row>
        <row r="3790">
          <cell r="A3790" t="str">
            <v>382309030 (LAPP® 3G2.5 R2XY2SWAYC2 UVARAT 1 BK)</v>
          </cell>
          <cell r="B3790" t="str">
            <v>382309030(LAPP® 3G2.5 R2XY2SWAYC2 UVARAT 1 BK)</v>
          </cell>
          <cell r="C3790" t="str">
            <v>LAPP</v>
          </cell>
          <cell r="D3790" t="str">
            <v>Lapp-Against Customer PO</v>
          </cell>
        </row>
        <row r="3791">
          <cell r="A3791" t="str">
            <v>382309149 (LAPP®  3G2.5 R Y3 Y2 SWA YC2 1 BK 10)</v>
          </cell>
          <cell r="B3791" t="str">
            <v>382309149(LAPP®  3G2.5 R Y3 Y2 SWA YC2 1 BK 10)</v>
          </cell>
          <cell r="C3791" t="str">
            <v>LAPP</v>
          </cell>
          <cell r="D3791" t="str">
            <v>Lapp-Against Customer PO</v>
          </cell>
        </row>
        <row r="3792">
          <cell r="A3792" t="str">
            <v>383302125H (LAPP®3X0.5SQMM FT EPR OS CSP_x000D_
300/500 V 10/202306001032-1_x000D_)</v>
          </cell>
          <cell r="B3792" t="str">
            <v>383302125H(LAPP®3X0.5SQMM FT EPR OS CSP_x000D_
300/500 V 10/202306001032-1_x000D_)</v>
          </cell>
          <cell r="C3792" t="str">
            <v>LAPP</v>
          </cell>
          <cell r="D3792" t="str">
            <v>Lapp-Against Customer PO</v>
          </cell>
        </row>
        <row r="3793">
          <cell r="A3793" t="str">
            <v>382309408 (LAPP®3x1.5 R 2X  Y2 SWA  YC2  1 BK)</v>
          </cell>
          <cell r="B3793" t="str">
            <v>382309408(LAPP®3x1.5 R 2X  Y2 SWA  YC2  1 BK)</v>
          </cell>
          <cell r="C3793" t="str">
            <v>LAPP</v>
          </cell>
          <cell r="D3793" t="str">
            <v>Lapp-Against Customer PO</v>
          </cell>
        </row>
        <row r="3794">
          <cell r="A3794" t="str">
            <v>82382310791 (LAPP®3x1.5 RT Y3 OS Y2 SWA_x000D_
 YC2 UV 1 GY 10)</v>
          </cell>
          <cell r="B3794" t="str">
            <v>82382310791(LAPP®3x1.5 RT Y3 OS Y2 SWA_x000D_
 YC2 UV 1 GY 10)</v>
          </cell>
          <cell r="C3794" t="str">
            <v>LAPP</v>
          </cell>
          <cell r="D3794" t="str">
            <v>Lapp-Against Customer PO</v>
          </cell>
        </row>
        <row r="3795">
          <cell r="A3795" t="str">
            <v>383302131H (LAPP®3x1.5SQMM FT EPR CSP CSP_x000D_
0.6/1KV 150/202306001032-16)</v>
          </cell>
          <cell r="B3795" t="str">
            <v>383302131H(LAPP®3x1.5SQMM FT EPR CSP CSP_x000D_
0.6/1KV 150/202306001032-16)</v>
          </cell>
          <cell r="C3795" t="str">
            <v>LAPP</v>
          </cell>
          <cell r="D3795" t="str">
            <v>Lapp-Against Customer PO</v>
          </cell>
        </row>
        <row r="3796">
          <cell r="A3796" t="str">
            <v>383302134H (LAPP®3x1.5SQMM FT EPR CSP CSP_x000D_
0.6/1KV 40/202306001032-5_x000D_
)</v>
          </cell>
          <cell r="B3796" t="str">
            <v>383302134H(LAPP®3x1.5SQMM FT EPR CSP CSP_x000D_
0.6/1KV 40/202306001032-5_x000D_
)</v>
          </cell>
          <cell r="C3796" t="str">
            <v>LAPP</v>
          </cell>
          <cell r="D3796" t="str">
            <v>Lapp-Against Customer PO</v>
          </cell>
        </row>
        <row r="3797">
          <cell r="A3797" t="str">
            <v>383302135H (LAPP®3X2.5SQMM FT EPR CSP CSP_x000D_
0.6/1KV 50/202306001032-6)</v>
          </cell>
          <cell r="B3797" t="str">
            <v>383302135H(LAPP®3X2.5SQMM FT EPR CSP CSP_x000D_
0.6/1KV 50/202306001032-6)</v>
          </cell>
          <cell r="C3797" t="str">
            <v>LAPP</v>
          </cell>
          <cell r="D3797" t="str">
            <v>Lapp-Against Customer PO</v>
          </cell>
        </row>
        <row r="3798">
          <cell r="A3798" t="str">
            <v>383302136H (LAPP®3X2.5SQMM FT EPR CSP SWA_x000D_
CSP 0.6/1K 60/202306001032-7_x000D_)</v>
          </cell>
          <cell r="B3798" t="str">
            <v>383302136H(LAPP®3X2.5SQMM FT EPR CSP SWA_x000D_
CSP 0.6/1K 60/202306001032-7_x000D_)</v>
          </cell>
          <cell r="C3798" t="str">
            <v>LAPP</v>
          </cell>
          <cell r="D3798" t="str">
            <v>Lapp-Against Customer PO</v>
          </cell>
        </row>
        <row r="3799">
          <cell r="A3799" t="str">
            <v>382307533 (LAPP®  3X2X0.5 F Y C Y 05 BLUE 10)</v>
          </cell>
          <cell r="B3799" t="str">
            <v>382307533(LAPP®  3X2X0.5 F Y C Y 05 BLUE 10)</v>
          </cell>
          <cell r="C3799" t="str">
            <v>LAPP</v>
          </cell>
          <cell r="D3799" t="str">
            <v>Lapp-Against Customer PO</v>
          </cell>
        </row>
        <row r="3800">
          <cell r="A3800" t="str">
            <v>383302138H (LAPP®3X4SQMM FT EPR CSP CSP_x000D_
0.6/1KV 80/202306001032-9_x000D_)</v>
          </cell>
          <cell r="B3800" t="str">
            <v>383302138H(LAPP®3X4SQMM FT EPR CSP CSP_x000D_
0.6/1KV 80/202306001032-9_x000D_)</v>
          </cell>
          <cell r="C3800" t="str">
            <v>LAPP</v>
          </cell>
          <cell r="D3800" t="str">
            <v>Lapp-Against Customer PO</v>
          </cell>
        </row>
        <row r="3801">
          <cell r="A3801" t="str">
            <v>383302126H (LAPP®3x6SQMM FT EPR CSP CSP_x000D_
0.6/1KV 90/202306001032-10)</v>
          </cell>
          <cell r="B3801" t="str">
            <v>383302126H(LAPP®3x6SQMM FT EPR CSP CSP_x000D_
0.6/1KV 90/202306001032-10)</v>
          </cell>
          <cell r="C3801" t="str">
            <v>LAPP</v>
          </cell>
          <cell r="D3801" t="str">
            <v>Lapp-Against Customer PO</v>
          </cell>
        </row>
        <row r="3802">
          <cell r="A3802" t="str">
            <v>383302128H (LAPP®4CX2.5SQMM FT EPR CSP CSP_x000D_
0.6/1KV 120/202306001032-13_x000D_)</v>
          </cell>
          <cell r="B3802" t="str">
            <v>383302128H(LAPP®4CX2.5SQMM FT EPR CSP CSP_x000D_
0.6/1KV 120/202306001032-13_x000D_)</v>
          </cell>
          <cell r="C3802" t="str">
            <v>LAPP</v>
          </cell>
          <cell r="D3802" t="str">
            <v>Lapp-Against Customer PO</v>
          </cell>
        </row>
        <row r="3803">
          <cell r="A3803" t="str">
            <v>383302129H (LAPP®4CX2.5SQMM FT EPR CSP SWA_x000D_
CSP 0.6/1 130/202306001032-14)</v>
          </cell>
          <cell r="B3803" t="str">
            <v>383302129H(LAPP®4CX2.5SQMM FT EPR CSP SWA_x000D_
CSP 0.6/1 130/202306001032-14)</v>
          </cell>
          <cell r="C3803" t="str">
            <v>LAPP</v>
          </cell>
          <cell r="D3803" t="str">
            <v>Lapp-Against Customer PO</v>
          </cell>
        </row>
        <row r="3804">
          <cell r="A3804" t="str">
            <v>383302142H (LAPP®4G185SQMM RI2X C XHF SWA FGT XHF 10/202308001420-1)</v>
          </cell>
          <cell r="B3804" t="str">
            <v>383302142H(LAPP®4G185SQMM RI2X C XHF SWA FGT XHF 10/202308001420-1)</v>
          </cell>
          <cell r="C3804" t="str">
            <v>LAPP</v>
          </cell>
          <cell r="D3804" t="str">
            <v>Lapp-Against Customer PO</v>
          </cell>
        </row>
        <row r="3805">
          <cell r="A3805" t="str">
            <v>82382310792 (LAPP®4P1RT Y3 ISOS Y2 SWA_x000D_
 YC2 UVAR 05 GY 50)</v>
          </cell>
          <cell r="B3805" t="str">
            <v>82382310792(LAPP®4P1RT Y3 ISOS Y2 SWA_x000D_
 YC2 UVAR 05 GY 50)</v>
          </cell>
          <cell r="C3805" t="str">
            <v>LAPP</v>
          </cell>
          <cell r="D3805" t="str">
            <v>Lapp-Against Customer PO</v>
          </cell>
        </row>
        <row r="3806">
          <cell r="A3806" t="str">
            <v>383302133H (LAPP®4X240SQMM RI 2X XHF SWA FGT_x000D_
XHF 0.6 30/202306001032-4)</v>
          </cell>
          <cell r="B3806" t="str">
            <v>383302133H(LAPP®4X240SQMM RI 2X XHF SWA FGT_x000D_
XHF 0.6 30/202306001032-4)</v>
          </cell>
          <cell r="C3806" t="str">
            <v>LAPP</v>
          </cell>
          <cell r="D3806" t="str">
            <v>Lapp-Against Customer PO</v>
          </cell>
        </row>
        <row r="3807">
          <cell r="A3807" t="str">
            <v>383302132H (LAPP®4X25SQMM RI 2X XHF SWA FGT_x000D_
XHF 0.6 20/202306001032-3_x000D_)</v>
          </cell>
          <cell r="B3807" t="str">
            <v>383302132H(LAPP®4X25SQMM RI 2X XHF SWA FGT_x000D_
XHF 0.6 20/202306001032-3_x000D_)</v>
          </cell>
          <cell r="C3807" t="str">
            <v>LAPP</v>
          </cell>
          <cell r="D3807" t="str">
            <v>Lapp-Against Customer PO</v>
          </cell>
        </row>
        <row r="3808">
          <cell r="A3808" t="str">
            <v>383302127H (LAPP®4X4SQMM FT EPR CSP CSP_x000D_
0.6/1KV 110/202306001032-12)</v>
          </cell>
          <cell r="B3808" t="str">
            <v>383302127H(LAPP®4X4SQMM FT EPR CSP CSP_x000D_
0.6/1KV 110/202306001032-12)</v>
          </cell>
          <cell r="C3808" t="str">
            <v>LAPP</v>
          </cell>
          <cell r="D3808" t="str">
            <v>Lapp-Against Customer PO</v>
          </cell>
        </row>
        <row r="3809">
          <cell r="A3809" t="str">
            <v>82382311665 (LAPP®5T1 RY3 ISOS Y2 SWA YC2 UVAR05OG)</v>
          </cell>
          <cell r="B3809" t="str">
            <v>82382311665(LAPP®5T1 RY3 ISOS Y2 SWA YC2 UVAR05OG)</v>
          </cell>
          <cell r="C3809" t="str">
            <v>LAPP</v>
          </cell>
          <cell r="D3809" t="str">
            <v>Lapp-Against Customer PO</v>
          </cell>
        </row>
        <row r="3810">
          <cell r="A3810" t="str">
            <v>383302124H (LAPP®5x10SQMM FT EPR CSP CSP_x000D_
0.6/1KV 100/202306001032-11)</v>
          </cell>
          <cell r="B3810" t="str">
            <v>383302124H(LAPP®5x10SQMM FT EPR CSP CSP_x000D_
0.6/1KV 100/202306001032-11)</v>
          </cell>
          <cell r="C3810" t="str">
            <v>LAPP</v>
          </cell>
          <cell r="D3810" t="str">
            <v>Lapp-Against Customer PO</v>
          </cell>
        </row>
        <row r="3811">
          <cell r="A3811" t="str">
            <v>383302137H (LAPP®5X2.5SQMM FT EPR CSP SWA_x000D_
CSP 0.6/1K 70/202306001032-8_x000D_)</v>
          </cell>
          <cell r="B3811" t="str">
            <v>383302137H(LAPP®5X2.5SQMM FT EPR CSP SWA_x000D_
CSP 0.6/1K 70/202306001032-8_x000D_)</v>
          </cell>
          <cell r="C3811" t="str">
            <v>LAPP</v>
          </cell>
          <cell r="D3811" t="str">
            <v>Lapp-Against Customer PO</v>
          </cell>
        </row>
        <row r="3812">
          <cell r="A3812" t="str">
            <v>82383302840 H (LAPP®7CX1.5+1GX1.5SQMM RT_x000D_
 Y OS Y2 SWA YC)</v>
          </cell>
          <cell r="B3812" t="str">
            <v>82383302840 H(LAPP®7CX1.5+1GX1.5SQMM RT_x000D_
 Y OS Y2 SWA YC)</v>
          </cell>
          <cell r="C3812" t="str">
            <v>LAPP</v>
          </cell>
          <cell r="D3812" t="str">
            <v>Lapp-Against Customer PO</v>
          </cell>
        </row>
        <row r="3813">
          <cell r="A3813" t="str">
            <v>82382310730 (LAPP® 7x10 F Y Y UV AR 1 BK 30)</v>
          </cell>
          <cell r="B3813" t="str">
            <v>82382310730(LAPP® 7x10 F Y Y UV AR 1 BK 30)</v>
          </cell>
          <cell r="C3813" t="str">
            <v>LAPP</v>
          </cell>
          <cell r="D3813" t="str">
            <v>Lapp-Against Customer PO</v>
          </cell>
        </row>
        <row r="3814">
          <cell r="A3814" t="str">
            <v>82382310728 (LAPP® 7x4 F Y Y UV AR 1 BK 10)</v>
          </cell>
          <cell r="B3814" t="str">
            <v>82382310728(LAPP® 7x4 F Y Y UV AR 1 BK 10)</v>
          </cell>
          <cell r="C3814" t="str">
            <v>LAPP</v>
          </cell>
          <cell r="D3814" t="str">
            <v>Lapp-Against Customer PO</v>
          </cell>
        </row>
        <row r="3815">
          <cell r="A3815" t="str">
            <v>82382310729 (LAPP® 7x6 F Y Y UV AR 1 BK 20)</v>
          </cell>
          <cell r="B3815" t="str">
            <v>82382310729(LAPP® 7x6 F Y Y UV AR 1 BK 20)</v>
          </cell>
          <cell r="C3815" t="str">
            <v>LAPP</v>
          </cell>
          <cell r="D3815" t="str">
            <v>Lapp-Against Customer PO</v>
          </cell>
        </row>
        <row r="3816">
          <cell r="A3816" t="str">
            <v>383300950H (LAPP®  8F SM UT ARM PE OFC BK)</v>
          </cell>
          <cell r="B3816" t="str">
            <v>383300950H(LAPP®  8F SM UT ARM PE OFC BK)</v>
          </cell>
          <cell r="C3816" t="str">
            <v>LAPP</v>
          </cell>
          <cell r="D3816" t="str">
            <v>Lapp-Against Customer PO</v>
          </cell>
        </row>
        <row r="3817">
          <cell r="A3817" t="str">
            <v>383302130H (LAPP®8X1.5SQMM FT EPR OS CSP CSP_x000D_
0.6/1KV 140/202306001032-15)</v>
          </cell>
          <cell r="B3817" t="str">
            <v>383302130H(LAPP®8X1.5SQMM FT EPR OS CSP CSP_x000D_
0.6/1KV 140/202306001032-15)</v>
          </cell>
          <cell r="C3817" t="str">
            <v>LAPP</v>
          </cell>
          <cell r="D3817" t="str">
            <v>Lapp-Against Customer PO</v>
          </cell>
        </row>
        <row r="3818">
          <cell r="A3818" t="str">
            <v>383301140H (LAPP®CAT6AS/FTPLAN5004x2x23AWG/1GY)</v>
          </cell>
          <cell r="B3818" t="str">
            <v>383301140H(LAPP®CAT6AS/FTPLAN5004x2x23AWG/1GY)</v>
          </cell>
          <cell r="C3818" t="str">
            <v>LAPP</v>
          </cell>
          <cell r="D3818" t="str">
            <v>Lapp-Against Customer PO</v>
          </cell>
        </row>
        <row r="3819">
          <cell r="A3819" t="str">
            <v>82382311660 (LAPP® POWER 1100V YA FRLSH 10X1.5 HR W)</v>
          </cell>
          <cell r="B3819" t="str">
            <v>82382311660(LAPP® POWER 1100V YA FRLSH 10X1.5 HR W)</v>
          </cell>
          <cell r="C3819" t="str">
            <v>LAPP</v>
          </cell>
          <cell r="D3819" t="str">
            <v>Lapp-Against Customer PO</v>
          </cell>
        </row>
        <row r="3820">
          <cell r="A3820" t="str">
            <v>82382311661 (LAPP® POWER 1100V YA FRLSH 14X1.5 HR W)</v>
          </cell>
          <cell r="B3820" t="str">
            <v>82382311661(LAPP® POWER 1100V YA FRLSH 14X1.5 HR W)</v>
          </cell>
          <cell r="C3820" t="str">
            <v>LAPP</v>
          </cell>
          <cell r="D3820" t="str">
            <v>Lapp-Against Customer PO</v>
          </cell>
        </row>
        <row r="3821">
          <cell r="A3821" t="str">
            <v>82382311662 (LAPP® POWER 1100V YA FRLSH 19X1.5 HR W)</v>
          </cell>
          <cell r="B3821" t="str">
            <v>82382311662(LAPP® POWER 1100V YA FRLSH 19X1.5 HR W)</v>
          </cell>
          <cell r="C3821" t="str">
            <v>LAPP</v>
          </cell>
          <cell r="D3821" t="str">
            <v>Lapp-Against Customer PO</v>
          </cell>
        </row>
        <row r="3822">
          <cell r="A3822" t="str">
            <v>82382311663 (LAPP® POWER 1100V YA FRLSH 24X1.5 HR W)</v>
          </cell>
          <cell r="B3822" t="str">
            <v>82382311663(LAPP® POWER 1100V YA FRLSH 24X1.5 HR W)</v>
          </cell>
          <cell r="C3822" t="str">
            <v>LAPP</v>
          </cell>
          <cell r="D3822" t="str">
            <v>Lapp-Against Customer PO</v>
          </cell>
        </row>
        <row r="3823">
          <cell r="A3823" t="str">
            <v>82382311656 (LAPP® POWER 1100V YA FRLSH 37X1.5 HR W)</v>
          </cell>
          <cell r="B3823" t="str">
            <v>82382311656(LAPP® POWER 1100V YA FRLSH 37X1.5 HR W)</v>
          </cell>
          <cell r="C3823" t="str">
            <v>LAPP</v>
          </cell>
          <cell r="D3823" t="str">
            <v>Lapp-Against Customer PO</v>
          </cell>
        </row>
        <row r="3824">
          <cell r="A3824" t="str">
            <v>82382311657 (LAPP® POWER 1100V YA FRLSH 3X1.5 HR W)</v>
          </cell>
          <cell r="B3824" t="str">
            <v>82382311657(LAPP® POWER 1100V YA FRLSH 3X1.5 HR W)</v>
          </cell>
          <cell r="C3824" t="str">
            <v>LAPP</v>
          </cell>
          <cell r="D3824" t="str">
            <v>Lapp-Against Customer PO</v>
          </cell>
        </row>
        <row r="3825">
          <cell r="A3825" t="str">
            <v>82382311658 (LAPP® POWER 1100V YA FRLSH 5X1.5 HR W)</v>
          </cell>
          <cell r="B3825" t="str">
            <v>82382311658(LAPP® POWER 1100V YA FRLSH 5X1.5 HR W)</v>
          </cell>
          <cell r="C3825" t="str">
            <v>LAPP</v>
          </cell>
          <cell r="D3825" t="str">
            <v>Lapp-Against Customer PO</v>
          </cell>
        </row>
        <row r="3826">
          <cell r="A3826" t="str">
            <v>82382311659 (LAPP® POWER 1100V YA FRLSH 7X1.5 HR W)</v>
          </cell>
          <cell r="B3826" t="str">
            <v>82382311659(LAPP® POWER 1100V YA FRLSH 7X1.5 HR W)</v>
          </cell>
          <cell r="C3826" t="str">
            <v>LAPP</v>
          </cell>
          <cell r="D3826" t="str">
            <v>Lapp-Against Customer PO</v>
          </cell>
        </row>
        <row r="3827">
          <cell r="A3827" t="str">
            <v>4125003S (LiY 1x0,14 BN)</v>
          </cell>
          <cell r="B3827" t="str">
            <v>4125003S(LiY 1x0,14 BN)</v>
          </cell>
          <cell r="C3827" t="str">
            <v>LAPP</v>
          </cell>
          <cell r="D3827" t="str">
            <v>Lapp-Against Customer PO</v>
          </cell>
        </row>
        <row r="3828">
          <cell r="A3828" t="str">
            <v>4125006S (LiY 1x0,14 GN)</v>
          </cell>
          <cell r="B3828" t="str">
            <v>4125006S(LiY 1x0,14 GN)</v>
          </cell>
          <cell r="C3828" t="str">
            <v>LAPP</v>
          </cell>
          <cell r="D3828" t="str">
            <v>Lapp-Against Customer PO</v>
          </cell>
        </row>
        <row r="3829">
          <cell r="A3829" t="str">
            <v>4125106S (LiY 1x0,14 GY)</v>
          </cell>
          <cell r="B3829" t="str">
            <v>4125106S(LiY 1x0,14 GY)</v>
          </cell>
          <cell r="C3829" t="str">
            <v>LAPP</v>
          </cell>
          <cell r="D3829" t="str">
            <v>Lapp-Against Customer PO</v>
          </cell>
        </row>
        <row r="3830">
          <cell r="A3830" t="str">
            <v>4125104S (LiY 1x0,14 RD_x000D_
)</v>
          </cell>
          <cell r="B3830" t="str">
            <v>4125104S(LiY 1x0,14 RD_x000D_
)</v>
          </cell>
          <cell r="C3830" t="str">
            <v>LAPP</v>
          </cell>
          <cell r="D3830" t="str">
            <v>Lapp-Against Customer PO</v>
          </cell>
        </row>
        <row r="3831">
          <cell r="A3831" t="str">
            <v>4125105S (LiY 1x0,14 WH)</v>
          </cell>
          <cell r="B3831" t="str">
            <v>4125105S(LiY 1x0,14 WH)</v>
          </cell>
          <cell r="C3831" t="str">
            <v>LAPP</v>
          </cell>
          <cell r="D3831" t="str">
            <v>Lapp-Against Customer PO</v>
          </cell>
        </row>
        <row r="3832">
          <cell r="A3832" t="str">
            <v>4125005S (LiY 1x0,14 YE)</v>
          </cell>
          <cell r="B3832" t="str">
            <v>4125005S(LiY 1x0,14 YE)</v>
          </cell>
          <cell r="C3832" t="str">
            <v>LAPP</v>
          </cell>
          <cell r="D3832" t="str">
            <v>Lapp-Against Customer PO</v>
          </cell>
        </row>
        <row r="3833">
          <cell r="A3833" t="str">
            <v>4126001S_x000D_
 (LiY 1x0,25 BK)</v>
          </cell>
          <cell r="B3833" t="str">
            <v>4126001S_x000D_
(LiY 1x0,25 BK)</v>
          </cell>
          <cell r="C3833" t="str">
            <v>LAPP</v>
          </cell>
          <cell r="D3833" t="str">
            <v>Lapp-Against Customer PO</v>
          </cell>
        </row>
        <row r="3834">
          <cell r="A3834" t="str">
            <v>4126003S_x000D_
 (LiY 1x0,25 BN_x000D_
)</v>
          </cell>
          <cell r="B3834" t="str">
            <v>4126003S_x000D_
(LiY 1x0,25 BN_x000D_
)</v>
          </cell>
          <cell r="C3834" t="str">
            <v>LAPP</v>
          </cell>
          <cell r="D3834" t="str">
            <v>Lapp-Against Customer PO</v>
          </cell>
        </row>
        <row r="3835">
          <cell r="A3835" t="str">
            <v>4126006S_x000D_
 (LiY 1x0,25 GN_x000D_
)</v>
          </cell>
          <cell r="B3835" t="str">
            <v>4126006S_x000D_
(LiY 1x0,25 GN_x000D_
)</v>
          </cell>
          <cell r="C3835" t="str">
            <v>LAPP</v>
          </cell>
          <cell r="D3835" t="str">
            <v>Lapp-Against Customer PO</v>
          </cell>
        </row>
        <row r="3836">
          <cell r="A3836" t="str">
            <v>4126000S (LIY 1X0.25 GNYE)</v>
          </cell>
          <cell r="B3836" t="str">
            <v>4126000S(LIY 1X0.25 GNYE)</v>
          </cell>
          <cell r="C3836" t="str">
            <v>LAPP</v>
          </cell>
          <cell r="D3836" t="str">
            <v>Lapp-Against Customer PO</v>
          </cell>
        </row>
        <row r="3837">
          <cell r="A3837" t="str">
            <v>4126106S (LiY 1x0,25 GY)</v>
          </cell>
          <cell r="B3837" t="str">
            <v>4126106S(LiY 1x0,25 GY)</v>
          </cell>
          <cell r="C3837" t="str">
            <v>LAPP</v>
          </cell>
          <cell r="D3837" t="str">
            <v>Lapp-Against Customer PO</v>
          </cell>
        </row>
        <row r="3838">
          <cell r="A3838" t="str">
            <v>4126009S_x000D_
 (LiY 1x0,25 OG_x000D_
)</v>
          </cell>
          <cell r="B3838" t="str">
            <v>4126009S_x000D_
(LiY 1x0,25 OG_x000D_
)</v>
          </cell>
          <cell r="C3838" t="str">
            <v>LAPP</v>
          </cell>
          <cell r="D3838" t="str">
            <v>Lapp-Against Customer PO</v>
          </cell>
        </row>
        <row r="3839">
          <cell r="A3839" t="str">
            <v>4126008S (LiY 1x0,25 PK)</v>
          </cell>
          <cell r="B3839" t="str">
            <v>4126008S(LiY 1x0,25 PK)</v>
          </cell>
          <cell r="C3839" t="str">
            <v>LAPP</v>
          </cell>
          <cell r="D3839" t="str">
            <v>Lapp-Against Customer PO</v>
          </cell>
        </row>
        <row r="3840">
          <cell r="A3840" t="str">
            <v>4126104S_x000D_
 (LiY 1x0,25 RD)</v>
          </cell>
          <cell r="B3840" t="str">
            <v>4126104S_x000D_
(LiY 1x0,25 RD)</v>
          </cell>
          <cell r="C3840" t="str">
            <v>LAPP</v>
          </cell>
          <cell r="D3840" t="str">
            <v>Lapp-Against Customer PO</v>
          </cell>
        </row>
        <row r="3841">
          <cell r="A3841" t="str">
            <v>4126007S_x000D_
 (LiY 1x0,25 VT_x000D_
)</v>
          </cell>
          <cell r="B3841" t="str">
            <v>4126007S_x000D_
(LiY 1x0,25 VT_x000D_
)</v>
          </cell>
          <cell r="C3841" t="str">
            <v>LAPP</v>
          </cell>
          <cell r="D3841" t="str">
            <v>Lapp-Against Customer PO</v>
          </cell>
        </row>
        <row r="3842">
          <cell r="A3842" t="str">
            <v>4126105S_x000D_
 (LiY 1x0,25 WH_x000D_
)</v>
          </cell>
          <cell r="B3842" t="str">
            <v>4126105S_x000D_
(LiY 1x0,25 WH_x000D_
)</v>
          </cell>
          <cell r="C3842" t="str">
            <v>LAPP</v>
          </cell>
          <cell r="D3842" t="str">
            <v>Lapp-Against Customer PO</v>
          </cell>
        </row>
        <row r="3843">
          <cell r="A3843" t="str">
            <v>4126005S_x000D_
 (LiY 1x0,25 YE_x000D_
)</v>
          </cell>
          <cell r="B3843" t="str">
            <v>4126005S_x000D_
(LiY 1x0,25 YE_x000D_
)</v>
          </cell>
          <cell r="C3843" t="str">
            <v>LAPP</v>
          </cell>
          <cell r="D3843" t="str">
            <v>Lapp-Against Customer PO</v>
          </cell>
        </row>
        <row r="3844">
          <cell r="A3844" t="str">
            <v>4530102 (LiYCY 1x0,25)</v>
          </cell>
          <cell r="B3844" t="str">
            <v>4530102(LiYCY 1x0,25)</v>
          </cell>
          <cell r="C3844" t="str">
            <v>LAPP</v>
          </cell>
          <cell r="D3844" t="str">
            <v>Lapp-Against Customer PO</v>
          </cell>
        </row>
        <row r="3845">
          <cell r="A3845" t="str">
            <v>82383302891H (Lpp®16p0.25sq.mm f y yc2 300/500 volts/202505000193-1)</v>
          </cell>
          <cell r="B3845" t="str">
            <v>82383302891H(Lpp®16p0.25sq.mm f y yc2 300/500 volts/202505000193-1)</v>
          </cell>
          <cell r="C3845" t="str">
            <v>LAPP</v>
          </cell>
          <cell r="D3845" t="str">
            <v>Lapp-Against Customer PO</v>
          </cell>
        </row>
        <row r="3846">
          <cell r="A3846" t="str">
            <v>8238068661 (L&amp;T Con. Equip. Ltd. Hydraulics Works)</v>
          </cell>
          <cell r="B3846" t="str">
            <v>8238068661(L&amp;T Con. Equip. Ltd. Hydraulics Works)</v>
          </cell>
          <cell r="C3846" t="str">
            <v>LAPP</v>
          </cell>
          <cell r="D3846" t="str">
            <v>Lapp-Against Customer PO</v>
          </cell>
        </row>
        <row r="3847">
          <cell r="A3847" t="str">
            <v>4180403 (Multi-Standard SC 1 1X0,5 BN)</v>
          </cell>
          <cell r="B3847" t="str">
            <v>4180403(Multi-Standard SC 1 1X0,5 BN)</v>
          </cell>
          <cell r="C3847" t="str">
            <v>LAPP</v>
          </cell>
          <cell r="D3847" t="str">
            <v>Lapp-Against Customer PO</v>
          </cell>
        </row>
        <row r="3848">
          <cell r="A3848" t="str">
            <v>4180406 (Multi-Standard SC 1 1X0,5 GY)</v>
          </cell>
          <cell r="B3848" t="str">
            <v>4180406(Multi-Standard SC 1 1X0,5 GY)</v>
          </cell>
          <cell r="C3848" t="str">
            <v>LAPP</v>
          </cell>
          <cell r="D3848" t="str">
            <v>Lapp-Against Customer PO</v>
          </cell>
        </row>
        <row r="3849">
          <cell r="A3849" t="str">
            <v>4180407 (Multi-Standard SC 1 1X0,5 VT)</v>
          </cell>
          <cell r="B3849" t="str">
            <v>4180407(Multi-Standard SC 1 1X0,5 VT)</v>
          </cell>
          <cell r="C3849" t="str">
            <v>LAPP</v>
          </cell>
          <cell r="D3849" t="str">
            <v>Lapp-Against Customer PO</v>
          </cell>
        </row>
        <row r="3850">
          <cell r="A3850" t="str">
            <v>4180410 (Multi-Standard SC 1 1X0,5 YE)</v>
          </cell>
          <cell r="B3850" t="str">
            <v>4180410(Multi-Standard SC 1 1X0,5 YE)</v>
          </cell>
          <cell r="C3850" t="str">
            <v>LAPP</v>
          </cell>
          <cell r="D3850" t="str">
            <v>Lapp-Against Customer PO</v>
          </cell>
        </row>
        <row r="3851">
          <cell r="A3851" t="str">
            <v>4160111 (Multi-Standard SC 2.1 1X0,5 GN)</v>
          </cell>
          <cell r="B3851" t="str">
            <v>4160111(Multi-Standard SC 2.1 1X0,5 GN)</v>
          </cell>
          <cell r="C3851" t="str">
            <v>LAPP</v>
          </cell>
          <cell r="D3851" t="str">
            <v>Lapp-Against Customer PO</v>
          </cell>
        </row>
        <row r="3852">
          <cell r="A3852" t="str">
            <v>4160108 (Multi-Standard SC 2.1 1X0,5 PK)</v>
          </cell>
          <cell r="B3852" t="str">
            <v>4160108(Multi-Standard SC 2.1 1X0,5 PK)</v>
          </cell>
          <cell r="C3852" t="str">
            <v>LAPP</v>
          </cell>
          <cell r="D3852" t="str">
            <v>Lapp-Against Customer PO</v>
          </cell>
        </row>
        <row r="3853">
          <cell r="A3853" t="str">
            <v>4160107 (Multi-Standard SC 2.1 1X0,5 VT)</v>
          </cell>
          <cell r="B3853" t="str">
            <v>4160107(Multi-Standard SC 2.1 1X0,5 VT)</v>
          </cell>
          <cell r="C3853" t="str">
            <v>LAPP</v>
          </cell>
          <cell r="D3853" t="str">
            <v>Lapp-Against Customer PO</v>
          </cell>
        </row>
        <row r="3854">
          <cell r="A3854" t="str">
            <v>4160207 (Multi-Standard SC 2.1 1X0,75 VT)</v>
          </cell>
          <cell r="B3854" t="str">
            <v>4160207(Multi-Standard SC 2.1 1X0,75 VT)</v>
          </cell>
          <cell r="C3854" t="str">
            <v>LAPP</v>
          </cell>
          <cell r="D3854" t="str">
            <v>Lapp-Against Customer PO</v>
          </cell>
        </row>
        <row r="3855">
          <cell r="A3855" t="str">
            <v>4160210 (Multi-Standard SC 2.1 1X0,75 YE)</v>
          </cell>
          <cell r="B3855" t="str">
            <v>4160210(Multi-Standard SC 2.1 1X0,75 YE)</v>
          </cell>
          <cell r="C3855" t="str">
            <v>LAPP</v>
          </cell>
          <cell r="D3855" t="str">
            <v>Lapp-Against Customer PO</v>
          </cell>
        </row>
        <row r="3856">
          <cell r="A3856" t="str">
            <v>4160814 (Multi-Standard SC 2.1 1X10 DBU)</v>
          </cell>
          <cell r="B3856" t="str">
            <v>4160814(Multi-Standard SC 2.1 1X10 DBU)</v>
          </cell>
          <cell r="C3856" t="str">
            <v>LAPP</v>
          </cell>
          <cell r="D3856" t="str">
            <v>Lapp-Against Customer PO</v>
          </cell>
        </row>
        <row r="3857">
          <cell r="A3857" t="str">
            <v>4160809_x000D_
 (Multi-Standard SC 2.1 1X10 OG_x000D_
)</v>
          </cell>
          <cell r="B3857" t="str">
            <v>4160809_x000D_
(Multi-Standard SC 2.1 1X10 OG_x000D_
)</v>
          </cell>
          <cell r="C3857" t="str">
            <v>LAPP</v>
          </cell>
          <cell r="D3857" t="str">
            <v>Lapp-Against Customer PO</v>
          </cell>
        </row>
        <row r="3858">
          <cell r="A3858" t="str">
            <v>4160810 (Multi-Standard SC 2.1 1X10 YE)</v>
          </cell>
          <cell r="B3858" t="str">
            <v>4160810(Multi-Standard SC 2.1 1X10 YE)</v>
          </cell>
          <cell r="C3858" t="str">
            <v>LAPP</v>
          </cell>
          <cell r="D3858" t="str">
            <v>Lapp-Against Customer PO</v>
          </cell>
        </row>
        <row r="3859">
          <cell r="A3859" t="str">
            <v>4161003 (Multi-Standard SC 2.1 1X25 BN)</v>
          </cell>
          <cell r="B3859" t="str">
            <v>4161003(Multi-Standard SC 2.1 1X25 BN)</v>
          </cell>
          <cell r="C3859" t="str">
            <v>LAPP</v>
          </cell>
          <cell r="D3859" t="str">
            <v>Lapp-Against Customer PO</v>
          </cell>
        </row>
        <row r="3860">
          <cell r="A3860" t="str">
            <v>4161006 (Multi-Standard SC 2.1 1X25 GY)</v>
          </cell>
          <cell r="B3860" t="str">
            <v>4161006(Multi-Standard SC 2.1 1X25 GY)</v>
          </cell>
          <cell r="C3860" t="str">
            <v>LAPP</v>
          </cell>
          <cell r="D3860" t="str">
            <v>Lapp-Against Customer PO</v>
          </cell>
        </row>
        <row r="3861">
          <cell r="A3861" t="str">
            <v>4160509 (Multi-Standard SC 2.1 1X2,5 OG)</v>
          </cell>
          <cell r="B3861" t="str">
            <v>4160509(Multi-Standard SC 2.1 1X2,5 OG)</v>
          </cell>
          <cell r="C3861" t="str">
            <v>LAPP</v>
          </cell>
          <cell r="D3861" t="str">
            <v>Lapp-Against Customer PO</v>
          </cell>
        </row>
        <row r="3862">
          <cell r="A3862" t="str">
            <v>4160510 (Multi-Standard SC 2.1 1X2,5 YE)</v>
          </cell>
          <cell r="B3862" t="str">
            <v>4160510(Multi-Standard SC 2.1 1X2,5 YE)</v>
          </cell>
          <cell r="C3862" t="str">
            <v>LAPP</v>
          </cell>
          <cell r="D3862" t="str">
            <v>Lapp-Against Customer PO</v>
          </cell>
        </row>
        <row r="3863">
          <cell r="A3863" t="str">
            <v>4161102 (Multi-Standard SC 2.1 1X35 BU)</v>
          </cell>
          <cell r="B3863" t="str">
            <v>4161102(Multi-Standard SC 2.1 1X35 BU)</v>
          </cell>
          <cell r="C3863" t="str">
            <v>LAPP</v>
          </cell>
          <cell r="D3863" t="str">
            <v>Lapp-Against Customer PO</v>
          </cell>
        </row>
        <row r="3864">
          <cell r="A3864" t="str">
            <v>4161100 (Multi-Standard SC 2.1 1X35 GNYE)</v>
          </cell>
          <cell r="B3864" t="str">
            <v>4161100(Multi-Standard SC 2.1 1X35 GNYE)</v>
          </cell>
          <cell r="C3864" t="str">
            <v>LAPP</v>
          </cell>
          <cell r="D3864" t="str">
            <v>Lapp-Against Customer PO</v>
          </cell>
        </row>
        <row r="3865">
          <cell r="A3865" t="str">
            <v>4161104 (Multi-Standard SC 2.1 1X35 RD)</v>
          </cell>
          <cell r="B3865" t="str">
            <v>4161104(Multi-Standard SC 2.1 1X35 RD)</v>
          </cell>
          <cell r="C3865" t="str">
            <v>LAPP</v>
          </cell>
          <cell r="D3865" t="str">
            <v>Lapp-Against Customer PO</v>
          </cell>
        </row>
        <row r="3866">
          <cell r="A3866" t="str">
            <v>4160614 (Multi-Standard SC 2.1 1X4 DBU)</v>
          </cell>
          <cell r="B3866" t="str">
            <v>4160614(Multi-Standard SC 2.1 1X4 DBU)</v>
          </cell>
          <cell r="C3866" t="str">
            <v>LAPP</v>
          </cell>
          <cell r="D3866" t="str">
            <v>Lapp-Against Customer PO</v>
          </cell>
        </row>
        <row r="3867">
          <cell r="A3867" t="str">
            <v>4160609 (Multi-Standard SC 2.1 1X4 OG)</v>
          </cell>
          <cell r="B3867" t="str">
            <v>4160609(Multi-Standard SC 2.1 1X4 OG)</v>
          </cell>
          <cell r="C3867" t="str">
            <v>LAPP</v>
          </cell>
          <cell r="D3867" t="str">
            <v>Lapp-Against Customer PO</v>
          </cell>
        </row>
        <row r="3868">
          <cell r="A3868" t="str">
            <v>4160709 (Multi-Standard SC 2.1 1X6 OG)</v>
          </cell>
          <cell r="B3868" t="str">
            <v>4160709(Multi-Standard SC 2.1 1X6 OG)</v>
          </cell>
          <cell r="C3868" t="str">
            <v>LAPP</v>
          </cell>
          <cell r="D3868" t="str">
            <v>Lapp-Against Customer PO</v>
          </cell>
        </row>
        <row r="3869">
          <cell r="A3869" t="str">
            <v>4160710 (Multi-Standard SC 2.1 1X6 YE)</v>
          </cell>
          <cell r="B3869" t="str">
            <v>4160710(Multi-Standard SC 2.1 1X6 YE)</v>
          </cell>
          <cell r="C3869" t="str">
            <v>LAPP</v>
          </cell>
          <cell r="D3869" t="str">
            <v>Lapp-Against Customer PO</v>
          </cell>
        </row>
        <row r="3870">
          <cell r="A3870" t="str">
            <v>4150101 (Multi-Standard SC 2.2 1X0,5 BK)</v>
          </cell>
          <cell r="B3870" t="str">
            <v>4150101(Multi-Standard SC 2.2 1X0,5 BK)</v>
          </cell>
          <cell r="C3870" t="str">
            <v>LAPP</v>
          </cell>
          <cell r="D3870" t="str">
            <v>Lapp-Against Customer PO</v>
          </cell>
        </row>
        <row r="3871">
          <cell r="A3871" t="str">
            <v>4150103 (Multi-Standard SC 2.2 1X0,5 BN)</v>
          </cell>
          <cell r="B3871" t="str">
            <v>4150103(Multi-Standard SC 2.2 1X0,5 BN)</v>
          </cell>
          <cell r="C3871" t="str">
            <v>LAPP</v>
          </cell>
          <cell r="D3871" t="str">
            <v>Lapp-Against Customer PO</v>
          </cell>
        </row>
        <row r="3872">
          <cell r="A3872" t="str">
            <v>4150102 (Multi-Standard SC 2.2 1X0,5 BU)</v>
          </cell>
          <cell r="B3872" t="str">
            <v>4150102(Multi-Standard SC 2.2 1X0,5 BU)</v>
          </cell>
          <cell r="C3872" t="str">
            <v>LAPP</v>
          </cell>
          <cell r="D3872" t="str">
            <v>Lapp-Against Customer PO</v>
          </cell>
        </row>
        <row r="3873">
          <cell r="A3873" t="str">
            <v>4150114 (Multi-Standard SC 2.2 1X0,5 DBU)</v>
          </cell>
          <cell r="B3873" t="str">
            <v>4150114(Multi-Standard SC 2.2 1X0,5 DBU)</v>
          </cell>
          <cell r="C3873" t="str">
            <v>LAPP</v>
          </cell>
          <cell r="D3873" t="str">
            <v>Lapp-Against Customer PO</v>
          </cell>
        </row>
        <row r="3874">
          <cell r="A3874" t="str">
            <v>4150104 (Multi-Standard SC 2.2 1X0,5 RD)</v>
          </cell>
          <cell r="B3874" t="str">
            <v>4150104(Multi-Standard SC 2.2 1X0,5 RD)</v>
          </cell>
          <cell r="C3874" t="str">
            <v>LAPP</v>
          </cell>
          <cell r="D3874" t="str">
            <v>Lapp-Against Customer PO</v>
          </cell>
        </row>
        <row r="3875">
          <cell r="A3875" t="str">
            <v>4150105 (Multi-Standard SC 2.2 1X0,5 WH)</v>
          </cell>
          <cell r="B3875" t="str">
            <v>4150105(Multi-Standard SC 2.2 1X0,5 WH)</v>
          </cell>
          <cell r="C3875" t="str">
            <v>LAPP</v>
          </cell>
          <cell r="D3875" t="str">
            <v>Lapp-Against Customer PO</v>
          </cell>
        </row>
        <row r="3876">
          <cell r="A3876" t="str">
            <v>4151000 (Multi-Standard SC 2.2 1X25 GNYE)</v>
          </cell>
          <cell r="B3876" t="str">
            <v>4151000(Multi-Standard SC 2.2 1X25 GNYE)</v>
          </cell>
          <cell r="C3876" t="str">
            <v>LAPP</v>
          </cell>
          <cell r="D3876" t="str">
            <v>Lapp-Against Customer PO</v>
          </cell>
        </row>
        <row r="3877">
          <cell r="A3877" t="str">
            <v>1600516 (NSSHÖU-J 3G1,5)</v>
          </cell>
          <cell r="B3877" t="str">
            <v>1600516(NSSHÖU-J 3G1,5)</v>
          </cell>
          <cell r="C3877" t="str">
            <v>LAPP</v>
          </cell>
          <cell r="D3877" t="str">
            <v>Lapp-Against Customer PO</v>
          </cell>
        </row>
        <row r="3878">
          <cell r="A3878" t="str">
            <v>15500243 (NYY-J 4X25 rm NCC)</v>
          </cell>
          <cell r="B3878" t="str">
            <v>15500243(NYY-J 4X25 rm NCC)</v>
          </cell>
          <cell r="C3878" t="str">
            <v>LAPP</v>
          </cell>
          <cell r="D3878" t="str">
            <v>Lapp-Against Customer PO</v>
          </cell>
        </row>
        <row r="3879">
          <cell r="A3879" t="str">
            <v>380161435 (OLFLEX 100 I SY 4G 10 UVAR GY)</v>
          </cell>
          <cell r="B3879" t="str">
            <v>380161435(OLFLEX 100 I SY 4G 10 UVAR GY)</v>
          </cell>
          <cell r="C3879" t="str">
            <v>LAPP</v>
          </cell>
          <cell r="D3879" t="str">
            <v>Lapp-Against Customer PO</v>
          </cell>
        </row>
        <row r="3880">
          <cell r="A3880" t="str">
            <v>382030203 (Olflex Fire MC 2x1.5 0.6/1RD)</v>
          </cell>
          <cell r="B3880" t="str">
            <v>382030203(Olflex Fire MC 2x1.5 0.6/1RD)</v>
          </cell>
          <cell r="C3880" t="str">
            <v>LAPP</v>
          </cell>
          <cell r="D3880" t="str">
            <v>Lapp-Against Customer PO</v>
          </cell>
        </row>
        <row r="3881">
          <cell r="A3881" t="str">
            <v>8220004090 (Olflex INFRA FR-LSH 1x6 GNYE)</v>
          </cell>
          <cell r="B3881" t="str">
            <v>8220004090(Olflex INFRA FR-LSH 1x6 GNYE)</v>
          </cell>
          <cell r="C3881" t="str">
            <v>LAPP</v>
          </cell>
          <cell r="D3881" t="str">
            <v>Lapp-Against Customer PO</v>
          </cell>
        </row>
        <row r="3882">
          <cell r="A3882" t="str">
            <v>4521001U (OLFLEX UNIPLUS 1X25 GNYE)</v>
          </cell>
          <cell r="B3882" t="str">
            <v>4521001U(OLFLEX UNIPLUS 1X25 GNYE)</v>
          </cell>
          <cell r="C3882" t="str">
            <v>LAPP</v>
          </cell>
          <cell r="D3882" t="str">
            <v>Lapp-Against Customer PO</v>
          </cell>
        </row>
        <row r="3883">
          <cell r="A3883" t="str">
            <v>4521014U (OLFLEX UNIPLUS 1X70 BK)</v>
          </cell>
          <cell r="B3883" t="str">
            <v>4521014U(OLFLEX UNIPLUS 1X70 BK)</v>
          </cell>
          <cell r="C3883" t="str">
            <v>LAPP</v>
          </cell>
          <cell r="D3883" t="str">
            <v>Lapp-Against Customer PO</v>
          </cell>
        </row>
        <row r="3884">
          <cell r="A3884" t="str">
            <v>820120004637 (OLFLEX®  POWER 1100V 2XA FRLSH 2X2.5 W 140)</v>
          </cell>
          <cell r="B3884" t="str">
            <v>820120004637(OLFLEX® POWER 1100V 2XA FRLSH 2X2.5 W 140)</v>
          </cell>
          <cell r="C3884" t="str">
            <v>LAPP</v>
          </cell>
          <cell r="D3884" t="str">
            <v>Lapp-Against Customer PO</v>
          </cell>
        </row>
        <row r="3885">
          <cell r="A3885" t="str">
            <v>820120004638 (OLFLEX®  POWER 1100V 2XA FRLSH 3X2.5 W 150)</v>
          </cell>
          <cell r="B3885" t="str">
            <v>820120004638(OLFLEX® POWER 1100V 2XA FRLSH 3X2.5 W 150)</v>
          </cell>
          <cell r="C3885" t="str">
            <v>LAPP</v>
          </cell>
          <cell r="D3885" t="str">
            <v>Lapp-Against Customer PO</v>
          </cell>
        </row>
        <row r="3886">
          <cell r="A3886" t="str">
            <v>820120004639 (OLFLEX®  POWER 1100V 2XA FRLSH 4X2.5 W 160)</v>
          </cell>
          <cell r="B3886" t="str">
            <v>820120004639(OLFLEX® POWER 1100V 2XA FRLSH 4X2.5 W 160)</v>
          </cell>
          <cell r="C3886" t="str">
            <v>LAPP</v>
          </cell>
          <cell r="D3886" t="str">
            <v>Lapp-Against Customer PO</v>
          </cell>
        </row>
        <row r="3887">
          <cell r="A3887" t="str">
            <v>820120004403 (OLFLEX®  POWER AL 1100V 2XA FRLSH 2X10 W 10)</v>
          </cell>
          <cell r="B3887" t="str">
            <v>820120004403(OLFLEX® POWER AL 1100V 2XA FRLSH 2X10 W 10)</v>
          </cell>
          <cell r="C3887" t="str">
            <v>LAPP</v>
          </cell>
          <cell r="D3887" t="str">
            <v>Lapp-Against Customer PO</v>
          </cell>
        </row>
        <row r="3888">
          <cell r="A3888" t="str">
            <v>820120004419 (OLFLEX®  POWER AL 1100V 2XA FRLSH 2X10 W 20)</v>
          </cell>
          <cell r="B3888" t="str">
            <v>820120004419(OLFLEX® POWER AL 1100V 2XA FRLSH 2X10 W 20)</v>
          </cell>
          <cell r="C3888" t="str">
            <v>LAPP</v>
          </cell>
          <cell r="D3888" t="str">
            <v>Lapp-Against Customer PO</v>
          </cell>
        </row>
        <row r="3889">
          <cell r="A3889" t="str">
            <v>820120004493 (OLFLEX®  POWER AL 1100V 2XA FRLSH 3.5X120 120)</v>
          </cell>
          <cell r="B3889" t="str">
            <v>820120004493(OLFLEX® POWER AL 1100V 2XA FRLSH 3.5X120 120)</v>
          </cell>
          <cell r="C3889" t="str">
            <v>LAPP</v>
          </cell>
          <cell r="D3889" t="str">
            <v>Lapp-Against Customer PO</v>
          </cell>
        </row>
        <row r="3890">
          <cell r="A3890" t="str">
            <v>820120004496 (OLFLEX®  POWER AL 1100V 2XA FRLSH 3.5X240 130)</v>
          </cell>
          <cell r="B3890" t="str">
            <v>820120004496(OLFLEX® POWER AL 1100V 2XA FRLSH 3.5X240 130)</v>
          </cell>
          <cell r="C3890" t="str">
            <v>LAPP</v>
          </cell>
          <cell r="D3890" t="str">
            <v>Lapp-Against Customer PO</v>
          </cell>
        </row>
        <row r="3891">
          <cell r="A3891" t="str">
            <v>820120004490 (OLFLEX®  POWER AL 1100V 2XA FRLSH 3.5X50F 100)</v>
          </cell>
          <cell r="B3891" t="str">
            <v>820120004490(OLFLEX® POWER AL 1100V 2XA FRLSH 3.5X50F 100)</v>
          </cell>
          <cell r="C3891" t="str">
            <v>LAPP</v>
          </cell>
          <cell r="D3891" t="str">
            <v>Lapp-Against Customer PO</v>
          </cell>
        </row>
        <row r="3892">
          <cell r="A3892" t="str">
            <v>820120004492 (OLFLEX®  POWER AL 1100V 2XA FRLSH 3.5X95 110)</v>
          </cell>
          <cell r="B3892" t="str">
            <v>820120004492(OLFLEX® POWER AL 1100V 2XA FRLSH 3.5X95 110)</v>
          </cell>
          <cell r="C3892" t="str">
            <v>LAPP</v>
          </cell>
          <cell r="D3892" t="str">
            <v>Lapp-Against Customer PO</v>
          </cell>
        </row>
        <row r="3893">
          <cell r="A3893" t="str">
            <v>820120004480 (OLFLEX®  POWER AL 1100V 2XA FRLSH 3X120 F 90)</v>
          </cell>
          <cell r="B3893" t="str">
            <v>820120004480(OLFLEX® POWER AL 1100V 2XA FRLSH 3X120 F 90)</v>
          </cell>
          <cell r="C3893" t="str">
            <v>LAPP</v>
          </cell>
          <cell r="D3893" t="str">
            <v>Lapp-Against Customer PO</v>
          </cell>
        </row>
        <row r="3894">
          <cell r="A3894" t="str">
            <v>820120004474 (OLFLEX®  POWER AL 1100V 2XA FRLSH 3X16 F50)</v>
          </cell>
          <cell r="B3894" t="str">
            <v>820120004474(OLFLEX® POWER AL 1100V 2XA FRLSH 3X16 F50)</v>
          </cell>
          <cell r="C3894" t="str">
            <v>LAPP</v>
          </cell>
          <cell r="D3894" t="str">
            <v>Lapp-Against Customer PO</v>
          </cell>
        </row>
        <row r="3895">
          <cell r="A3895" t="str">
            <v>820120004475 (OLFLEX®  POWER AL 1100V 2XA FRLSH 3X25 F 60)</v>
          </cell>
          <cell r="B3895" t="str">
            <v>820120004475(OLFLEX® POWER AL 1100V 2XA FRLSH 3X25 F 60)</v>
          </cell>
          <cell r="C3895" t="str">
            <v>LAPP</v>
          </cell>
          <cell r="D3895" t="str">
            <v>Lapp-Against Customer PO</v>
          </cell>
        </row>
        <row r="3896">
          <cell r="A3896" t="str">
            <v>820120004477 (OLFLEX®  POWER AL 1100V 2XA FRLSH 3X50 F 70)</v>
          </cell>
          <cell r="B3896" t="str">
            <v>820120004477(OLFLEX® POWER AL 1100V 2XA FRLSH 3X50 F 70)</v>
          </cell>
          <cell r="C3896" t="str">
            <v>LAPP</v>
          </cell>
          <cell r="D3896" t="str">
            <v>Lapp-Against Customer PO</v>
          </cell>
        </row>
        <row r="3897">
          <cell r="A3897" t="str">
            <v>820120004478 (OLFLEX®  POWER AL 1100V 2XA FRLSH 3X70 F 80)</v>
          </cell>
          <cell r="B3897" t="str">
            <v>820120004478(OLFLEX® POWER AL 1100V 2XA FRLSH 3X70 F 80)</v>
          </cell>
          <cell r="C3897" t="str">
            <v>LAPP</v>
          </cell>
          <cell r="D3897" t="str">
            <v>Lapp-Against Customer PO</v>
          </cell>
        </row>
        <row r="3898">
          <cell r="A3898" t="str">
            <v>820120004446 (OLFLEX®  POWER AL 1100V 2XA FRLSH 4X10 W 30)</v>
          </cell>
          <cell r="B3898" t="str">
            <v>820120004446(OLFLEX® POWER AL 1100V 2XA FRLSH 4X10 W 30)</v>
          </cell>
          <cell r="C3898" t="str">
            <v>LAPP</v>
          </cell>
          <cell r="D3898" t="str">
            <v>Lapp-Against Customer PO</v>
          </cell>
        </row>
        <row r="3899">
          <cell r="A3899" t="str">
            <v>820120004447 (OLFLEX®  POWER AL 1100V 2XA FRLSH 4X16 W 40)</v>
          </cell>
          <cell r="B3899" t="str">
            <v>820120004447(OLFLEX® POWER AL 1100V 2XA FRLSH 4X16 W 40)</v>
          </cell>
          <cell r="C3899" t="str">
            <v>LAPP</v>
          </cell>
          <cell r="D3899" t="str">
            <v>Lapp-Against Customer PO</v>
          </cell>
        </row>
        <row r="3900">
          <cell r="A3900" t="str">
            <v>82010140500 (OLFLEX® UNIPLUS HFFR XZ 1x2.5 YE/GN)</v>
          </cell>
          <cell r="B3900" t="str">
            <v>82010140500(OLFLEX® UNIPLUS HFFR XZ 1x2.5 YE/GN)</v>
          </cell>
          <cell r="C3900" t="str">
            <v>LAPP</v>
          </cell>
          <cell r="D3900" t="str">
            <v>Lapp-Against Customer PO</v>
          </cell>
        </row>
        <row r="3901">
          <cell r="A3901" t="str">
            <v>280923 (P5-160/EA/SVB/HI10)</v>
          </cell>
          <cell r="B3901" t="str">
            <v>280923(P5-160/EA/SVB/HI10)</v>
          </cell>
          <cell r="C3901" t="str">
            <v>LAPP</v>
          </cell>
          <cell r="D3901" t="str">
            <v>Lapp-Against Customer PO</v>
          </cell>
        </row>
        <row r="3902">
          <cell r="A3902" t="str">
            <v>61600010 (PLASTIC COIL KW3 NR)</v>
          </cell>
          <cell r="B3902" t="str">
            <v>61600010(PLASTIC COIL KW3 NR)</v>
          </cell>
          <cell r="C3902" t="str">
            <v>LAPP</v>
          </cell>
          <cell r="D3902" t="str">
            <v>Lapp-Against Customer PO</v>
          </cell>
        </row>
        <row r="3903">
          <cell r="A3903" t="str">
            <v>29441099 (POF ADAPTER HFBR4515 BL SIMPLEX /4PC)</v>
          </cell>
          <cell r="B3903" t="str">
            <v>29441099(POF ADAPTER HFBR4515 BL SIMPLEX /4PC)</v>
          </cell>
          <cell r="C3903" t="str">
            <v>LAPP</v>
          </cell>
          <cell r="D3903" t="str">
            <v>Lapp-Against Customer PO</v>
          </cell>
        </row>
        <row r="3904">
          <cell r="A3904" t="str">
            <v>29150099 (POF CONNECTOR F05 SIMPLEX /4PC)</v>
          </cell>
          <cell r="B3904" t="str">
            <v>29150099(POF CONNECTOR F05 SIMPLEX /4PC)</v>
          </cell>
          <cell r="C3904" t="str">
            <v>LAPP</v>
          </cell>
          <cell r="D3904" t="str">
            <v>Lapp-Against Customer PO</v>
          </cell>
        </row>
        <row r="3905">
          <cell r="A3905" t="str">
            <v>29140099 (POF CONNECTOR HFBR4501 GY SIMPLEX /4PC)</v>
          </cell>
          <cell r="B3905" t="str">
            <v>29140099(POF CONNECTOR HFBR4501 GY SIMPLEX /4PC)</v>
          </cell>
          <cell r="C3905" t="str">
            <v>LAPP</v>
          </cell>
          <cell r="D3905" t="str">
            <v>Lapp-Against Customer PO</v>
          </cell>
        </row>
        <row r="3906">
          <cell r="A3906" t="str">
            <v>29146099 (POF CONNECTOR HFBR4531 BK SIMPLEX /4PC)</v>
          </cell>
          <cell r="B3906" t="str">
            <v>29146099(POF CONNECTOR HFBR4531 BK SIMPLEX /4PC)</v>
          </cell>
          <cell r="C3906" t="str">
            <v>LAPP</v>
          </cell>
          <cell r="D3906" t="str">
            <v>Lapp-Against Customer PO</v>
          </cell>
        </row>
        <row r="3907">
          <cell r="A3907" t="str">
            <v>29125099 (POF CONNECTOR ST (BFOC) CRIMP 2.2 /4PC)</v>
          </cell>
          <cell r="B3907" t="str">
            <v>29125099(POF CONNECTOR ST (BFOC) CRIMP 2.2 /4PC)</v>
          </cell>
          <cell r="C3907" t="str">
            <v>LAPP</v>
          </cell>
          <cell r="D3907" t="str">
            <v>Lapp-Against Customer PO</v>
          </cell>
        </row>
        <row r="3908">
          <cell r="A3908" t="str">
            <v>61796043 (PRESSING DIES 13B26 SYSTEM 1300)</v>
          </cell>
          <cell r="B3908" t="str">
            <v>61796043(PRESSING DIES 13B26 SYSTEM 1300)</v>
          </cell>
          <cell r="C3908" t="str">
            <v>LAPP</v>
          </cell>
          <cell r="D3908" t="str">
            <v>Lapp-Against Customer PO</v>
          </cell>
        </row>
        <row r="3909">
          <cell r="A3909" t="str">
            <v>61795925 (PRESSING PLIERS V 1311)</v>
          </cell>
          <cell r="B3909" t="str">
            <v>61795925(PRESSING PLIERS V 1311)</v>
          </cell>
          <cell r="C3909" t="str">
            <v>LAPP</v>
          </cell>
          <cell r="D3909" t="str">
            <v>Lapp-Against Customer PO</v>
          </cell>
        </row>
        <row r="3910">
          <cell r="A3910" t="str">
            <v>63104070 (RING CABLE LUGS L-RA 5_x000D_
)</v>
          </cell>
          <cell r="B3910" t="str">
            <v>63104070(RING CABLE LUGS L-RA 5_x000D_
)</v>
          </cell>
          <cell r="C3910" t="str">
            <v>LAPP</v>
          </cell>
          <cell r="D3910" t="str">
            <v>Lapp-Against Customer PO</v>
          </cell>
        </row>
        <row r="3911">
          <cell r="A3911" t="str">
            <v>63104180 (RING CABLE LUGS L-RB 5)</v>
          </cell>
          <cell r="B3911" t="str">
            <v>63104180(RING CABLE LUGS L-RB 5)</v>
          </cell>
          <cell r="C3911" t="str">
            <v>LAPP</v>
          </cell>
          <cell r="D3911" t="str">
            <v>Lapp-Against Customer PO</v>
          </cell>
        </row>
        <row r="3912">
          <cell r="A3912" t="str">
            <v>63104350_x000D_
 (RING CABLE LUGS L-RC 5_x000D_
)</v>
          </cell>
          <cell r="B3912" t="str">
            <v>63104350_x000D_
(RING CABLE LUGS L-RC 5_x000D_
)</v>
          </cell>
          <cell r="C3912" t="str">
            <v>LAPP</v>
          </cell>
          <cell r="D3912" t="str">
            <v>Lapp-Against Customer PO</v>
          </cell>
        </row>
        <row r="3913">
          <cell r="A3913" t="str">
            <v>63104370 (RING CABLE LUGS L-RC 8)</v>
          </cell>
          <cell r="B3913" t="str">
            <v>63104370(RING CABLE LUGS L-RC 8)</v>
          </cell>
          <cell r="C3913" t="str">
            <v>LAPP</v>
          </cell>
          <cell r="D3913" t="str">
            <v>Lapp-Against Customer PO</v>
          </cell>
        </row>
        <row r="3914">
          <cell r="A3914" t="str">
            <v>61742416 (Shrink tube PROTECT 3.2/1.6 GN/YE)</v>
          </cell>
          <cell r="B3914" t="str">
            <v>61742416(Shrink tube PROTECT 3.2/1.6 GN/YE)</v>
          </cell>
          <cell r="C3914" t="str">
            <v>LAPP</v>
          </cell>
          <cell r="D3914" t="str">
            <v>Lapp-Against Customer PO</v>
          </cell>
        </row>
        <row r="3915">
          <cell r="A3915" t="str">
            <v>61742430 (Shrink tube PROTECT Box 12.7/6.4 BK)</v>
          </cell>
          <cell r="B3915" t="str">
            <v>61742430(Shrink tube PROTECT Box 12.7/6.4 BK)</v>
          </cell>
          <cell r="C3915" t="str">
            <v>LAPP</v>
          </cell>
          <cell r="D3915" t="str">
            <v>Lapp-Against Customer PO</v>
          </cell>
        </row>
        <row r="3916">
          <cell r="A3916" t="str">
            <v>61742433 (Shrink tube PROTECT Box25.4/12.7 BK)</v>
          </cell>
          <cell r="B3916" t="str">
            <v>61742433(Shrink tube PROTECT Box25.4/12.7 BK)</v>
          </cell>
          <cell r="C3916" t="str">
            <v>LAPP</v>
          </cell>
          <cell r="D3916" t="str">
            <v>Lapp-Against Customer PO</v>
          </cell>
        </row>
        <row r="3917">
          <cell r="A3917" t="str">
            <v>61742452 (Shrink tube PROTECT-C 12,0/4,0 BK)</v>
          </cell>
          <cell r="B3917" t="str">
            <v>61742452(Shrink tube PROTECT-C 12,0/4,0 BK)</v>
          </cell>
          <cell r="C3917" t="str">
            <v>LAPP</v>
          </cell>
          <cell r="D3917" t="str">
            <v>Lapp-Against Customer PO</v>
          </cell>
        </row>
        <row r="3918">
          <cell r="A3918" t="str">
            <v>0050001 (SILFLEX SiF 1X1 BK)</v>
          </cell>
          <cell r="B3918" t="str">
            <v>0050001(SILFLEX SiF 1X1 BK)</v>
          </cell>
          <cell r="C3918" t="str">
            <v>LAPP</v>
          </cell>
          <cell r="D3918" t="str">
            <v>Lapp-Against Customer PO</v>
          </cell>
        </row>
        <row r="3919">
          <cell r="A3919" t="str">
            <v>61800880 (SILVYN KLICK-GP PG 11 GY)</v>
          </cell>
          <cell r="B3919" t="str">
            <v>61800880(SILVYN KLICK-GP PG 11 GY)</v>
          </cell>
          <cell r="C3919" t="str">
            <v>LAPP</v>
          </cell>
          <cell r="D3919" t="str">
            <v>Lapp-Against Customer PO</v>
          </cell>
        </row>
        <row r="3920">
          <cell r="A3920" t="str">
            <v>61800890 (SILVYN KLICK-GP PG 16 GY)</v>
          </cell>
          <cell r="B3920" t="str">
            <v>61800890(SILVYN KLICK-GP PG 16 GY)</v>
          </cell>
          <cell r="C3920" t="str">
            <v>LAPP</v>
          </cell>
          <cell r="D3920" t="str">
            <v>Lapp-Against Customer PO</v>
          </cell>
        </row>
        <row r="3921">
          <cell r="A3921" t="str">
            <v>61800870 (SILVYN KLICK-GP PG 9 GY)</v>
          </cell>
          <cell r="B3921" t="str">
            <v>61800870(SILVYN KLICK-GP PG 9 GY)</v>
          </cell>
          <cell r="C3921" t="str">
            <v>LAPP</v>
          </cell>
          <cell r="D3921" t="str">
            <v>Lapp-Against Customer PO</v>
          </cell>
        </row>
        <row r="3922">
          <cell r="A3922" t="str">
            <v>61713210_x000D_
 (SILVYN SI 7x9 SGY_x000D_
)</v>
          </cell>
          <cell r="B3922" t="str">
            <v>61713210_x000D_
(SILVYN SI 7x9 SGY_x000D_
)</v>
          </cell>
          <cell r="C3922" t="str">
            <v>LAPP</v>
          </cell>
          <cell r="D3922" t="str">
            <v>Lapp-Against Customer PO</v>
          </cell>
        </row>
        <row r="3923">
          <cell r="A3923" t="str">
            <v>61802170 (SILVYN® AS 56 / 51x56)</v>
          </cell>
          <cell r="B3923" t="str">
            <v>61802170(SILVYN® AS 56 / 51x56)</v>
          </cell>
          <cell r="C3923" t="str">
            <v>LAPP</v>
          </cell>
          <cell r="D3923" t="str">
            <v>Lapp-Against Customer PO</v>
          </cell>
        </row>
        <row r="3924">
          <cell r="A3924" t="str">
            <v>61721260 (SILVYN® BRAID PA6 NW 06 4,0-10,0 / 20M)</v>
          </cell>
          <cell r="B3924" t="str">
            <v>61721260(SILVYN® BRAID PA6 NW 06 4,0-10,0 / 20M)</v>
          </cell>
          <cell r="C3924" t="str">
            <v>LAPP</v>
          </cell>
          <cell r="D3924" t="str">
            <v>Lapp-Against Customer PO</v>
          </cell>
        </row>
        <row r="3925">
          <cell r="A3925" t="str">
            <v>61803818 (SILVYN® COMPACT PG 16 NPB)</v>
          </cell>
          <cell r="B3925" t="str">
            <v>61803818(SILVYN® COMPACT PG 16 NPB)</v>
          </cell>
          <cell r="C3925" t="str">
            <v>LAPP</v>
          </cell>
          <cell r="D3925" t="str">
            <v>Lapp-Against Customer PO</v>
          </cell>
        </row>
        <row r="3926">
          <cell r="A3926" t="str">
            <v>61803819 (SILVYN® COMPACT PG 21 NPB)</v>
          </cell>
          <cell r="B3926" t="str">
            <v>61803819(SILVYN® COMPACT PG 21 NPB)</v>
          </cell>
          <cell r="C3926" t="str">
            <v>LAPP</v>
          </cell>
          <cell r="D3926" t="str">
            <v>Lapp-Against Customer PO</v>
          </cell>
        </row>
        <row r="3927">
          <cell r="A3927" t="str">
            <v>55506945 (SILVYN® FCL 28 BK)</v>
          </cell>
          <cell r="B3927" t="str">
            <v>55506945(SILVYN® FCL 28 BK)</v>
          </cell>
          <cell r="C3927" t="str">
            <v>LAPP</v>
          </cell>
          <cell r="D3927" t="str">
            <v>Lapp-Against Customer PO</v>
          </cell>
        </row>
        <row r="3928">
          <cell r="A3928" t="str">
            <v>55506955 (SILVYN® FCL 34 BK)</v>
          </cell>
          <cell r="B3928" t="str">
            <v>55506955(SILVYN® FCL 34 BK)</v>
          </cell>
          <cell r="C3928" t="str">
            <v>LAPP</v>
          </cell>
          <cell r="D3928" t="str">
            <v>Lapp-Against Customer PO</v>
          </cell>
        </row>
        <row r="3929">
          <cell r="A3929" t="str">
            <v>55506965 (SILVYN® FCL 42 BK)</v>
          </cell>
          <cell r="B3929" t="str">
            <v>55506965(SILVYN® FCL 42 BK)</v>
          </cell>
          <cell r="C3929" t="str">
            <v>LAPP</v>
          </cell>
          <cell r="D3929" t="str">
            <v>Lapp-Against Customer PO</v>
          </cell>
        </row>
        <row r="3930">
          <cell r="A3930" t="str">
            <v>61801130 (SILVYN® KLICK GPZ PG 9 GY)</v>
          </cell>
          <cell r="B3930" t="str">
            <v>61801130(SILVYN® KLICK GPZ PG 9 GY)</v>
          </cell>
          <cell r="C3930" t="str">
            <v>LAPP</v>
          </cell>
          <cell r="D3930" t="str">
            <v>Lapp-Against Customer PO</v>
          </cell>
        </row>
        <row r="3931">
          <cell r="A3931" t="str">
            <v>55501035 (SILVYN® KLICK M16X1,5/2 BK)</v>
          </cell>
          <cell r="B3931" t="str">
            <v>55501035(SILVYN® KLICK M16X1,5/2 BK)</v>
          </cell>
          <cell r="C3931" t="str">
            <v>LAPP</v>
          </cell>
          <cell r="D3931" t="str">
            <v>Lapp-Against Customer PO</v>
          </cell>
        </row>
        <row r="3932">
          <cell r="A3932" t="str">
            <v>55501045 (SILVYN® KLICK M20X1,5/1 BK)</v>
          </cell>
          <cell r="B3932" t="str">
            <v>55501045(SILVYN® KLICK M20X1,5/1 BK)</v>
          </cell>
          <cell r="C3932" t="str">
            <v>LAPP</v>
          </cell>
          <cell r="D3932" t="str">
            <v>Lapp-Against Customer PO</v>
          </cell>
        </row>
        <row r="3933">
          <cell r="A3933" t="str">
            <v>55501075 (SILVYN® KLICK M32X1,5/3 BK)</v>
          </cell>
          <cell r="B3933" t="str">
            <v>55501075(SILVYN® KLICK M32X1,5/3 BK)</v>
          </cell>
          <cell r="C3933" t="str">
            <v>LAPP</v>
          </cell>
          <cell r="D3933" t="str">
            <v>Lapp-Against Customer PO</v>
          </cell>
        </row>
        <row r="3934">
          <cell r="A3934" t="str">
            <v>55502447 (SILVYN® MPC M32/2 GY)</v>
          </cell>
          <cell r="B3934" t="str">
            <v>55502447(SILVYN® MPC M32/2 GY)</v>
          </cell>
          <cell r="C3934" t="str">
            <v>LAPP</v>
          </cell>
          <cell r="D3934" t="str">
            <v>Lapp-Against Customer PO</v>
          </cell>
        </row>
        <row r="3935">
          <cell r="A3935" t="str">
            <v>61747130 (SILVYN® RILL PA6 LL 11/12x15,8 GY)</v>
          </cell>
          <cell r="B3935" t="str">
            <v>61747130(SILVYN® RILL PA6 LL 11/12x15,8 GY)</v>
          </cell>
          <cell r="C3935" t="str">
            <v>LAPP</v>
          </cell>
          <cell r="D3935" t="str">
            <v>Lapp-Against Customer PO</v>
          </cell>
        </row>
        <row r="3936">
          <cell r="A3936" t="str">
            <v>52005900 (SILVYN® USK PG 48 SGY)</v>
          </cell>
          <cell r="B3936" t="str">
            <v>52005900(SILVYN® USK PG 48 SGY)</v>
          </cell>
          <cell r="C3936" t="str">
            <v>LAPP</v>
          </cell>
          <cell r="D3936" t="str">
            <v>Lapp-Against Customer PO</v>
          </cell>
        </row>
        <row r="3937">
          <cell r="A3937" t="str">
            <v>52100328 (SKINDICHT A-PG/M13,5/16x1,5 HIGH)</v>
          </cell>
          <cell r="B3937" t="str">
            <v>52100328(SKINDICHT A-PG/M13,5/16x1,5 HIGH)</v>
          </cell>
          <cell r="C3937" t="str">
            <v>LAPP</v>
          </cell>
          <cell r="D3937" t="str">
            <v>Lapp-Against Customer PO</v>
          </cell>
        </row>
        <row r="3938">
          <cell r="A3938" t="str">
            <v>52100320 (SKINDICHT A-PG/M 7/12x1,5 HIGH)</v>
          </cell>
          <cell r="B3938" t="str">
            <v>52100320(SKINDICHT A-PG/M 7/12x1,5 HIGH)</v>
          </cell>
          <cell r="C3938" t="str">
            <v>LAPP</v>
          </cell>
          <cell r="D3938" t="str">
            <v>Lapp-Against Customer PO</v>
          </cell>
        </row>
        <row r="3939">
          <cell r="A3939" t="str">
            <v>52100324 (SKINDICHT A-PG/M9/20 x1,5 HIGH)</v>
          </cell>
          <cell r="B3939" t="str">
            <v>52100324(SKINDICHT A-PG/M9/20 x1,5 HIGH)</v>
          </cell>
          <cell r="C3939" t="str">
            <v>LAPP</v>
          </cell>
          <cell r="D3939" t="str">
            <v>Lapp-Against Customer PO</v>
          </cell>
        </row>
        <row r="3940">
          <cell r="A3940" t="str">
            <v>52006100 (SKINDICHT BLK-GL-M 12x1,5 RAL 7035 LGY)</v>
          </cell>
          <cell r="B3940" t="str">
            <v>52006100(SKINDICHT BLK-GL-M 12x1,5 RAL 7035 LGY)</v>
          </cell>
          <cell r="C3940" t="str">
            <v>LAPP</v>
          </cell>
          <cell r="D3940" t="str">
            <v>Lapp-Against Customer PO</v>
          </cell>
        </row>
        <row r="3941">
          <cell r="A3941" t="str">
            <v>52006113_x000D_
 (SKINDICHT BLK-GL-M 16X1,5 RAL 9005 BK_x000D_
)</v>
          </cell>
          <cell r="B3941" t="str">
            <v>52006113_x000D_
(SKINDICHT BLK-GL-M 16X1,5 RAL 9005 BK_x000D_
)</v>
          </cell>
          <cell r="C3941" t="str">
            <v>LAPP</v>
          </cell>
          <cell r="D3941" t="str">
            <v>Lapp-Against Customer PO</v>
          </cell>
        </row>
        <row r="3942">
          <cell r="A3942" t="str">
            <v>52006123_x000D_
 (SKINDICHT BLK-GL-M 20X1,5 RAL 9005 BK_x000D_
)</v>
          </cell>
          <cell r="B3942" t="str">
            <v>52006123_x000D_
(SKINDICHT BLK-GL-M 20X1,5 RAL 9005 BK_x000D_
)</v>
          </cell>
          <cell r="C3942" t="str">
            <v>LAPP</v>
          </cell>
          <cell r="D3942" t="str">
            <v>Lapp-Against Customer PO</v>
          </cell>
        </row>
        <row r="3943">
          <cell r="A3943" t="str">
            <v>52006133_x000D_
 (SKINDICHT BLK-GL-M 25X1,5 RAL 9005 BK_x000D_
)</v>
          </cell>
          <cell r="B3943" t="str">
            <v>52006133_x000D_
(SKINDICHT BLK-GL-M 25X1,5 RAL 9005 BK_x000D_
)</v>
          </cell>
          <cell r="C3943" t="str">
            <v>LAPP</v>
          </cell>
          <cell r="D3943" t="str">
            <v>Lapp-Against Customer PO</v>
          </cell>
        </row>
        <row r="3944">
          <cell r="A3944" t="str">
            <v>52006160 (SKINDICHT BLK-GL-M 50x1,5 RAL 7035 LGY)</v>
          </cell>
          <cell r="B3944" t="str">
            <v>52006160(SKINDICHT BLK-GL-M 50x1,5 RAL 7035 LGY)</v>
          </cell>
          <cell r="C3944" t="str">
            <v>LAPP</v>
          </cell>
          <cell r="D3944" t="str">
            <v>Lapp-Against Customer PO</v>
          </cell>
        </row>
        <row r="3945">
          <cell r="A3945" t="str">
            <v>52024850 (SKINDICHT BLK-GL PG11 RAL 7035 LGY)</v>
          </cell>
          <cell r="B3945" t="str">
            <v>52024850(SKINDICHT BLK-GL PG11 RAL 7035 LGY)</v>
          </cell>
          <cell r="C3945" t="str">
            <v>LAPP</v>
          </cell>
          <cell r="D3945" t="str">
            <v>Lapp-Against Customer PO</v>
          </cell>
        </row>
        <row r="3946">
          <cell r="A3946" t="str">
            <v>52024853 (SKINDICHT BLK-GL PG21 RAL 7035 LGY_x000D_
)</v>
          </cell>
          <cell r="B3946" t="str">
            <v>52024853(SKINDICHT BLK-GL PG21 RAL 7035 LGY_x000D_
)</v>
          </cell>
          <cell r="C3946" t="str">
            <v>LAPP</v>
          </cell>
          <cell r="D3946" t="str">
            <v>Lapp-Against Customer PO</v>
          </cell>
        </row>
        <row r="3947">
          <cell r="A3947" t="str">
            <v>52024854 (SKINDICHT BLK-GL PG29 RAL 7035 LGY_x000D_
)</v>
          </cell>
          <cell r="B3947" t="str">
            <v>52024854(SKINDICHT BLK-GL PG29 RAL 7035 LGY_x000D_
)</v>
          </cell>
          <cell r="C3947" t="str">
            <v>LAPP</v>
          </cell>
          <cell r="D3947" t="str">
            <v>Lapp-Against Customer PO</v>
          </cell>
        </row>
        <row r="3948">
          <cell r="A3948" t="str">
            <v>52024855 (SKINDICHT BLK-GL PG36 RAL 7035 LGY)</v>
          </cell>
          <cell r="B3948" t="str">
            <v>52024855(SKINDICHT BLK-GL PG36 RAL 7035 LGY)</v>
          </cell>
          <cell r="C3948" t="str">
            <v>LAPP</v>
          </cell>
          <cell r="D3948" t="str">
            <v>Lapp-Against Customer PO</v>
          </cell>
        </row>
        <row r="3949">
          <cell r="A3949" t="str">
            <v>52006640 (SKINDICHT BLK-M 32x1,5 RAL 7035 LGY)</v>
          </cell>
          <cell r="B3949" t="str">
            <v>52006640(SKINDICHT BLK-M 32x1,5 RAL 7035 LGY)</v>
          </cell>
          <cell r="C3949" t="str">
            <v>LAPP</v>
          </cell>
          <cell r="D3949" t="str">
            <v>Lapp-Against Customer PO</v>
          </cell>
        </row>
        <row r="3950">
          <cell r="A3950" t="str">
            <v>52006650 (SKINDICHT BLK-M 40x1,5 RAL 7035 LGY)</v>
          </cell>
          <cell r="B3950" t="str">
            <v>52006650(SKINDICHT BLK-M 40x1,5 RAL 7035 LGY)</v>
          </cell>
          <cell r="C3950" t="str">
            <v>LAPP</v>
          </cell>
          <cell r="D3950" t="str">
            <v>Lapp-Against Customer PO</v>
          </cell>
        </row>
        <row r="3951">
          <cell r="A3951" t="str">
            <v>52103145 (SKINDICHT BL-M 32X1,5 +O-RING)</v>
          </cell>
          <cell r="B3951" t="str">
            <v>52103145(SKINDICHT BL-M 32X1,5 +O-RING)</v>
          </cell>
          <cell r="C3951" t="str">
            <v>LAPP</v>
          </cell>
          <cell r="D3951" t="str">
            <v>Lapp-Against Customer PO</v>
          </cell>
        </row>
        <row r="3952">
          <cell r="A3952" t="str">
            <v>52032540 (SKINDICHT CN PG 13,5)</v>
          </cell>
          <cell r="B3952" t="str">
            <v>52032540(SKINDICHT CN PG 13,5)</v>
          </cell>
          <cell r="C3952" t="str">
            <v>LAPP</v>
          </cell>
          <cell r="D3952" t="str">
            <v>Lapp-Against Customer PO</v>
          </cell>
        </row>
        <row r="3953">
          <cell r="A3953" t="str">
            <v>52100302 (SKINDICHT EKU-M 20x1,5/25x1,5 LGY)</v>
          </cell>
          <cell r="B3953" t="str">
            <v>52100302(SKINDICHT EKU-M 20x1,5/25x1,5 LGY)</v>
          </cell>
          <cell r="C3953" t="str">
            <v>LAPP</v>
          </cell>
          <cell r="D3953" t="str">
            <v>Lapp-Against Customer PO</v>
          </cell>
        </row>
        <row r="3954">
          <cell r="A3954" t="str">
            <v>52000160_x000D_
 (SKINDICHT GMK PG 21 RAL 7035 LGY_x000D_
)</v>
          </cell>
          <cell r="B3954" t="str">
            <v>52000160_x000D_
(SKINDICHT GMK PG 21 RAL 7035 LGY_x000D_
)</v>
          </cell>
          <cell r="C3954" t="str">
            <v>LAPP</v>
          </cell>
          <cell r="D3954" t="str">
            <v>Lapp-Against Customer PO</v>
          </cell>
        </row>
        <row r="3955">
          <cell r="A3955" t="str">
            <v>52000170 (SKINDICHT GMK PG 29 RAL 7035 LGY_x000D_
)</v>
          </cell>
          <cell r="B3955" t="str">
            <v>52000170(SKINDICHT GMK PG 29 RAL 7035 LGY_x000D_
)</v>
          </cell>
          <cell r="C3955" t="str">
            <v>LAPP</v>
          </cell>
          <cell r="D3955" t="str">
            <v>Lapp-Against Customer PO</v>
          </cell>
        </row>
        <row r="3956">
          <cell r="A3956" t="str">
            <v>52000180 (SKINDICHT GMK PG 36 RAL 7035 LGY)</v>
          </cell>
          <cell r="B3956" t="str">
            <v>52000180(SKINDICHT GMK PG 36 RAL 7035 LGY)</v>
          </cell>
          <cell r="C3956" t="str">
            <v>LAPP</v>
          </cell>
          <cell r="D3956" t="str">
            <v>Lapp-Against Customer PO</v>
          </cell>
        </row>
        <row r="3957">
          <cell r="A3957" t="str">
            <v>51730080 (SKINDICHT KUS PG 16/13,5)</v>
          </cell>
          <cell r="B3957" t="str">
            <v>51730080(SKINDICHT KUS PG 16/13,5)</v>
          </cell>
          <cell r="C3957" t="str">
            <v>LAPP</v>
          </cell>
          <cell r="D3957" t="str">
            <v>Lapp-Against Customer PO</v>
          </cell>
        </row>
        <row r="3958">
          <cell r="A3958" t="str">
            <v>52104454 (SKINDICHT ME-M 20x1,5/25x1,5)</v>
          </cell>
          <cell r="B3958" t="str">
            <v>52104454(SKINDICHT ME-M 20x1,5/25x1,5)</v>
          </cell>
          <cell r="C3958" t="str">
            <v>LAPP</v>
          </cell>
          <cell r="D3958" t="str">
            <v>Lapp-Against Customer PO</v>
          </cell>
        </row>
        <row r="3959">
          <cell r="A3959" t="str">
            <v>52104456 (SKINDICHT ME-M 25x1,5/32x1,5)</v>
          </cell>
          <cell r="B3959" t="str">
            <v>52104456(SKINDICHT ME-M 25x1,5/32x1,5)</v>
          </cell>
          <cell r="C3959" t="str">
            <v>LAPP</v>
          </cell>
          <cell r="D3959" t="str">
            <v>Lapp-Against Customer PO</v>
          </cell>
        </row>
        <row r="3960">
          <cell r="A3960" t="str">
            <v>52104458 (SKINDICHT ME-M 32x1,5/40x1,5)</v>
          </cell>
          <cell r="B3960" t="str">
            <v>52104458(SKINDICHT ME-M 32x1,5/40x1,5)</v>
          </cell>
          <cell r="C3960" t="str">
            <v>LAPP</v>
          </cell>
          <cell r="D3960" t="str">
            <v>Lapp-Against Customer PO</v>
          </cell>
        </row>
        <row r="3961">
          <cell r="A3961" t="str">
            <v>52004030 (SKINDICHT ME PG 11/16)</v>
          </cell>
          <cell r="B3961" t="str">
            <v>52004030(SKINDICHT ME PG 11/16)</v>
          </cell>
          <cell r="C3961" t="str">
            <v>LAPP</v>
          </cell>
          <cell r="D3961" t="str">
            <v>Lapp-Against Customer PO</v>
          </cell>
        </row>
        <row r="3962">
          <cell r="A3962" t="str">
            <v>52004040 (SKINDICHT ME PG 11/21)</v>
          </cell>
          <cell r="B3962" t="str">
            <v>52004040(SKINDICHT ME PG 11/21)</v>
          </cell>
          <cell r="C3962" t="str">
            <v>LAPP</v>
          </cell>
          <cell r="D3962" t="str">
            <v>Lapp-Against Customer PO</v>
          </cell>
        </row>
        <row r="3963">
          <cell r="A3963" t="str">
            <v>52101979 (SKINDICHT MR-M 6kt. 75x1,5/63x1,5+O-Ring)</v>
          </cell>
          <cell r="B3963" t="str">
            <v>52101979(SKINDICHT MR-M 6kt. 75x1,5/63x1,5+O-Ring)</v>
          </cell>
          <cell r="C3963" t="str">
            <v>LAPP</v>
          </cell>
          <cell r="D3963" t="str">
            <v>Lapp-Against Customer PO</v>
          </cell>
        </row>
        <row r="3964">
          <cell r="A3964" t="str">
            <v>52101965 (SKINDICHT MR-M hex. 16x1,5/12x1,5+O-RING)</v>
          </cell>
          <cell r="B3964" t="str">
            <v>52101965(SKINDICHT MR-M hex. 16x1,5/12x1,5+O-RING)</v>
          </cell>
          <cell r="C3964" t="str">
            <v>LAPP</v>
          </cell>
          <cell r="D3964" t="str">
            <v>Lapp-Against Customer PO</v>
          </cell>
        </row>
        <row r="3965">
          <cell r="A3965" t="str">
            <v>52107810 (SKINDICHT RWV-M 16x1,5)</v>
          </cell>
          <cell r="B3965" t="str">
            <v>52107810(SKINDICHT RWV-M 16x1,5)</v>
          </cell>
          <cell r="C3965" t="str">
            <v>LAPP</v>
          </cell>
          <cell r="D3965" t="str">
            <v>Lapp-Against Customer PO</v>
          </cell>
        </row>
        <row r="3966">
          <cell r="A3966" t="str">
            <v>52107811 (SKINDICHT RWV-M 16x1,5 o. E+D)</v>
          </cell>
          <cell r="B3966" t="str">
            <v>52107811(SKINDICHT RWV-M 16x1,5 o. E+D)</v>
          </cell>
          <cell r="C3966" t="str">
            <v>LAPP</v>
          </cell>
          <cell r="D3966" t="str">
            <v>Lapp-Against Customer PO</v>
          </cell>
        </row>
        <row r="3967">
          <cell r="A3967" t="str">
            <v>52107050 (SKINDICHT SHVE-M 32x1,5/29/22/17)</v>
          </cell>
          <cell r="B3967" t="str">
            <v>52107050(SKINDICHT SHVE-M 32x1,5/29/22/17)</v>
          </cell>
          <cell r="C3967" t="str">
            <v>LAPP</v>
          </cell>
          <cell r="D3967" t="str">
            <v>Lapp-Against Customer PO</v>
          </cell>
        </row>
        <row r="3968">
          <cell r="A3968" t="str">
            <v>52107070 (SKINDICHT SHVE-M 32x1,5/29/24/19)</v>
          </cell>
          <cell r="B3968" t="str">
            <v>52107070(SKINDICHT SHVE-M 32x1,5/29/24/19)</v>
          </cell>
          <cell r="C3968" t="str">
            <v>LAPP</v>
          </cell>
          <cell r="D3968" t="str">
            <v>Lapp-Against Customer PO</v>
          </cell>
        </row>
        <row r="3969">
          <cell r="A3969" t="str">
            <v>52103350 (SKINDICHT SM-PE-M 40x1,5 counter nut)</v>
          </cell>
          <cell r="B3969" t="str">
            <v>52103350(SKINDICHT SM-PE-M 40x1,5 counter nut)</v>
          </cell>
          <cell r="C3969" t="str">
            <v>LAPP</v>
          </cell>
          <cell r="D3969" t="str">
            <v>Lapp-Against Customer PO</v>
          </cell>
        </row>
        <row r="3970">
          <cell r="A3970" t="str">
            <v>52003490 (SKINDICHT SM PG 7 counter nut)</v>
          </cell>
          <cell r="B3970" t="str">
            <v>52003490(SKINDICHT SM PG 7 counter nut)</v>
          </cell>
          <cell r="C3970" t="str">
            <v>LAPP</v>
          </cell>
          <cell r="D3970" t="str">
            <v>Lapp-Against Customer PO</v>
          </cell>
        </row>
        <row r="3971">
          <cell r="A3971" t="str">
            <v>52104400 (SKINDICHT ZS-M 25x1,5/21)</v>
          </cell>
          <cell r="B3971" t="str">
            <v>52104400(SKINDICHT ZS-M 25x1,5/21)</v>
          </cell>
          <cell r="C3971" t="str">
            <v>LAPP</v>
          </cell>
          <cell r="D3971" t="str">
            <v>Lapp-Against Customer PO</v>
          </cell>
        </row>
        <row r="3972">
          <cell r="A3972" t="str">
            <v>61610013 (SKINMATIC DMG 5-25Nm)</v>
          </cell>
          <cell r="B3972" t="str">
            <v>61610013(SKINMATIC DMG 5-25Nm)</v>
          </cell>
          <cell r="C3972" t="str">
            <v>LAPP</v>
          </cell>
          <cell r="D3972" t="str">
            <v>Lapp-Against Customer PO</v>
          </cell>
        </row>
        <row r="3973">
          <cell r="A3973" t="str">
            <v>61791273 (SKINMATIC MH-Set)</v>
          </cell>
          <cell r="B3973" t="str">
            <v>61791273(SKINMATIC MH-Set)</v>
          </cell>
          <cell r="C3973" t="str">
            <v>LAPP</v>
          </cell>
          <cell r="D3973" t="str">
            <v>Lapp-Against Customer PO</v>
          </cell>
        </row>
        <row r="3974">
          <cell r="A3974" t="str">
            <v>61610000 (SKINMATIC QUICK SET 1)</v>
          </cell>
          <cell r="B3974" t="str">
            <v>61610000(SKINMATIC QUICK SET 1)</v>
          </cell>
          <cell r="C3974" t="str">
            <v>LAPP</v>
          </cell>
          <cell r="D3974" t="str">
            <v>Lapp-Against Customer PO</v>
          </cell>
        </row>
        <row r="3975">
          <cell r="A3975" t="str">
            <v>61791260 (SKINMATIC RZ)</v>
          </cell>
          <cell r="B3975" t="str">
            <v>61791260(SKINMATIC RZ)</v>
          </cell>
          <cell r="C3975" t="str">
            <v>LAPP</v>
          </cell>
          <cell r="D3975" t="str">
            <v>Lapp-Against Customer PO</v>
          </cell>
        </row>
        <row r="3976">
          <cell r="A3976" t="str">
            <v>53613250 (SKINTOP DIX 13250_x000D_
)</v>
          </cell>
          <cell r="B3976" t="str">
            <v>53613250(SKINTOP DIX 13250_x000D_
)</v>
          </cell>
          <cell r="C3976" t="str">
            <v>LAPP</v>
          </cell>
          <cell r="D3976" t="str">
            <v>Lapp-Against Customer PO</v>
          </cell>
        </row>
        <row r="3977">
          <cell r="A3977" t="str">
            <v>53119000 (SKINTOP GMP-GL-M 12x1,5 RAL 7001 SGY)</v>
          </cell>
          <cell r="B3977" t="str">
            <v>53119000(SKINTOP GMP-GL-M 12x1,5 RAL 7001 SGY)</v>
          </cell>
          <cell r="C3977" t="str">
            <v>LAPP</v>
          </cell>
          <cell r="D3977" t="str">
            <v>Lapp-Against Customer PO</v>
          </cell>
        </row>
        <row r="3978">
          <cell r="A3978" t="str">
            <v>53119003 (SKINTOP GMP-GL-M 12x1,5 RAL 7035 LGY)</v>
          </cell>
          <cell r="B3978" t="str">
            <v>53119003(SKINTOP GMP-GL-M 12x1,5 RAL 7035 LGY)</v>
          </cell>
          <cell r="C3978" t="str">
            <v>LAPP</v>
          </cell>
          <cell r="D3978" t="str">
            <v>Lapp-Against Customer PO</v>
          </cell>
        </row>
        <row r="3979">
          <cell r="A3979" t="str">
            <v>53119013 (SKINTOP GMP-GL-M 16x1,5 RAL 7035 LGY)</v>
          </cell>
          <cell r="B3979" t="str">
            <v>53119013(SKINTOP GMP-GL-M 16x1,5 RAL 7035 LGY)</v>
          </cell>
          <cell r="C3979" t="str">
            <v>LAPP</v>
          </cell>
          <cell r="D3979" t="str">
            <v>Lapp-Against Customer PO</v>
          </cell>
        </row>
        <row r="3980">
          <cell r="A3980" t="str">
            <v>53119023 (SKINTOP GMP-GL-M 20x1,5 RAL 7035 LGY)</v>
          </cell>
          <cell r="B3980" t="str">
            <v>53119023(SKINTOP GMP-GL-M 20x1,5 RAL 7035 LGY)</v>
          </cell>
          <cell r="C3980" t="str">
            <v>LAPP</v>
          </cell>
          <cell r="D3980" t="str">
            <v>Lapp-Against Customer PO</v>
          </cell>
        </row>
        <row r="3981">
          <cell r="A3981" t="str">
            <v>53119030 (SKINTOP GMP-GL-M 25x1,5 RAL 7001 SGY)</v>
          </cell>
          <cell r="B3981" t="str">
            <v>53119030(SKINTOP GMP-GL-M 25x1,5 RAL 7001 SGY)</v>
          </cell>
          <cell r="C3981" t="str">
            <v>LAPP</v>
          </cell>
          <cell r="D3981" t="str">
            <v>Lapp-Against Customer PO</v>
          </cell>
        </row>
        <row r="3982">
          <cell r="A3982" t="str">
            <v>53119033 (SKINTOP GMP-GL-M 25x1,5 RAL 7035 LGY)</v>
          </cell>
          <cell r="B3982" t="str">
            <v>53119033(SKINTOP GMP-GL-M 25x1,5 RAL 7035 LGY)</v>
          </cell>
          <cell r="C3982" t="str">
            <v>LAPP</v>
          </cell>
          <cell r="D3982" t="str">
            <v>Lapp-Against Customer PO</v>
          </cell>
        </row>
        <row r="3983">
          <cell r="A3983" t="str">
            <v>53119040 (SKINTOP GMP-GL-M 32x1,5 RAL 7001 SGY)</v>
          </cell>
          <cell r="B3983" t="str">
            <v>53119040(SKINTOP GMP-GL-M 32x1,5 RAL 7001 SGY)</v>
          </cell>
          <cell r="C3983" t="str">
            <v>LAPP</v>
          </cell>
          <cell r="D3983" t="str">
            <v>Lapp-Against Customer PO</v>
          </cell>
        </row>
        <row r="3984">
          <cell r="A3984" t="str">
            <v>53119043 (SKINTOP GMP-GL-M 32x1,5 RAL 7035 LGY)</v>
          </cell>
          <cell r="B3984" t="str">
            <v>53119043(SKINTOP GMP-GL-M 32x1,5 RAL 7035 LGY)</v>
          </cell>
          <cell r="C3984" t="str">
            <v>LAPP</v>
          </cell>
          <cell r="D3984" t="str">
            <v>Lapp-Against Customer PO</v>
          </cell>
        </row>
        <row r="3985">
          <cell r="A3985" t="str">
            <v>53119050 (SKINTOP GMP-GL-M 40x1,5 RAL 7001 SGY)</v>
          </cell>
          <cell r="B3985" t="str">
            <v>53119050(SKINTOP GMP-GL-M 40x1,5 RAL 7001 SGY)</v>
          </cell>
          <cell r="C3985" t="str">
            <v>LAPP</v>
          </cell>
          <cell r="D3985" t="str">
            <v>Lapp-Against Customer PO</v>
          </cell>
        </row>
        <row r="3986">
          <cell r="A3986" t="str">
            <v>53119053 (SKINTOP GMP-GL-M 40x1,5 RAL 7035 LGY)</v>
          </cell>
          <cell r="B3986" t="str">
            <v>53119053(SKINTOP GMP-GL-M 40x1,5 RAL 7035 LGY)</v>
          </cell>
          <cell r="C3986" t="str">
            <v>LAPP</v>
          </cell>
          <cell r="D3986" t="str">
            <v>Lapp-Against Customer PO</v>
          </cell>
        </row>
        <row r="3987">
          <cell r="A3987" t="str">
            <v>53119060 (SKINTOP GMP-GL-M 50x1,5 RAL 7001 SGY)</v>
          </cell>
          <cell r="B3987" t="str">
            <v>53119060(SKINTOP GMP-GL-M 50x1,5 RAL 7001 SGY)</v>
          </cell>
          <cell r="C3987" t="str">
            <v>LAPP</v>
          </cell>
          <cell r="D3987" t="str">
            <v>Lapp-Against Customer PO</v>
          </cell>
        </row>
        <row r="3988">
          <cell r="A3988" t="str">
            <v>53119063 (SKINTOP GMP-GL-M 50x1,5 RAL 7035 LGY)</v>
          </cell>
          <cell r="B3988" t="str">
            <v>53119063(SKINTOP GMP-GL-M 50x1,5 RAL 7035 LGY)</v>
          </cell>
          <cell r="C3988" t="str">
            <v>LAPP</v>
          </cell>
          <cell r="D3988" t="str">
            <v>Lapp-Against Customer PO</v>
          </cell>
        </row>
        <row r="3989">
          <cell r="A3989" t="str">
            <v>53119070 (SKINTOP GMP-GL-M 63x1,5 RAL 7001 m. Bun)</v>
          </cell>
          <cell r="B3989" t="str">
            <v>53119070(SKINTOP GMP-GL-M 63x1,5 RAL 7001 m. Bun)</v>
          </cell>
          <cell r="C3989" t="str">
            <v>LAPP</v>
          </cell>
          <cell r="D3989" t="str">
            <v>Lapp-Against Customer PO</v>
          </cell>
        </row>
        <row r="3990">
          <cell r="A3990" t="str">
            <v>53119073 (SKINTOP GMP-GL-M 63x1,5 RAL 7035 LGY)</v>
          </cell>
          <cell r="B3990" t="str">
            <v>53119073(SKINTOP GMP-GL-M 63x1,5 RAL 7035 LGY)</v>
          </cell>
          <cell r="C3990" t="str">
            <v>LAPP</v>
          </cell>
          <cell r="D3990" t="str">
            <v>Lapp-Against Customer PO</v>
          </cell>
        </row>
        <row r="3991">
          <cell r="A3991" t="str">
            <v>53019000 (SKINTOP GMP-GL PG 7 RAL 7001 SGY)</v>
          </cell>
          <cell r="B3991" t="str">
            <v>53019000(SKINTOP GMP-GL PG 7 RAL 7001 SGY)</v>
          </cell>
          <cell r="C3991" t="str">
            <v>LAPP</v>
          </cell>
          <cell r="D3991" t="str">
            <v>Lapp-Against Customer PO</v>
          </cell>
        </row>
        <row r="3992">
          <cell r="A3992" t="str">
            <v>53112240 (SKINTOP MS-SC PG 16)</v>
          </cell>
          <cell r="B3992" t="str">
            <v>53112240(SKINTOP MS-SC PG 16)</v>
          </cell>
          <cell r="C3992" t="str">
            <v>LAPP</v>
          </cell>
          <cell r="D3992" t="str">
            <v>Lapp-Against Customer PO</v>
          </cell>
        </row>
        <row r="3993">
          <cell r="A3993" t="str">
            <v>53112210 (SKINTOP MS-SC PG 9)</v>
          </cell>
          <cell r="B3993" t="str">
            <v>53112210(SKINTOP MS-SC PG 9)</v>
          </cell>
          <cell r="C3993" t="str">
            <v>LAPP</v>
          </cell>
          <cell r="D3993" t="str">
            <v>Lapp-Against Customer PO</v>
          </cell>
        </row>
        <row r="3994">
          <cell r="A3994" t="str">
            <v>53111400 (SKINTOP ST-M 12x1,5 RAL 7035 LGY)</v>
          </cell>
          <cell r="B3994" t="str">
            <v>53111400(SKINTOP ST-M 12x1,5 RAL 7035 LGY)</v>
          </cell>
          <cell r="C3994" t="str">
            <v>LAPP</v>
          </cell>
          <cell r="D3994" t="str">
            <v>Lapp-Against Customer PO</v>
          </cell>
        </row>
        <row r="3995">
          <cell r="A3995" t="str">
            <v>53111010 (SKINTOP ST-M 16x1,5 RAL 7001 SGY)</v>
          </cell>
          <cell r="B3995" t="str">
            <v>53111010(SKINTOP ST-M 16x1,5 RAL 7001 SGY)</v>
          </cell>
          <cell r="C3995" t="str">
            <v>LAPP</v>
          </cell>
          <cell r="D3995" t="str">
            <v>Lapp-Against Customer PO</v>
          </cell>
        </row>
        <row r="3996">
          <cell r="A3996" t="str">
            <v>53111410 (SKINTOP ST-M 16x1,5 RAL 7035 LGY)</v>
          </cell>
          <cell r="B3996" t="str">
            <v>53111410(SKINTOP ST-M 16x1,5 RAL 7035 LGY)</v>
          </cell>
          <cell r="C3996" t="str">
            <v>LAPP</v>
          </cell>
          <cell r="D3996" t="str">
            <v>Lapp-Against Customer PO</v>
          </cell>
        </row>
        <row r="3997">
          <cell r="A3997" t="str">
            <v>53111210_x000D_
 (SKINTOP ST-M 16x1,5 RAL 9005 BK_x000D_
)</v>
          </cell>
          <cell r="B3997" t="str">
            <v>53111210 (SKINTOP ST-M 16x1,5 RAL 9005 BK )</v>
          </cell>
          <cell r="C3997" t="str">
            <v>LAPP</v>
          </cell>
          <cell r="D3997" t="str">
            <v>Lapp-Against Customer PO</v>
          </cell>
        </row>
        <row r="3998">
          <cell r="A3998" t="str">
            <v>53111420 (SKINTOP ST-M 20x1,5 RAL 7035 LGY)</v>
          </cell>
          <cell r="B3998" t="str">
            <v>53111420(SKINTOP ST-M 20x1,5 RAL 7035 LGY)</v>
          </cell>
          <cell r="C3998" t="str">
            <v>LAPP</v>
          </cell>
          <cell r="D3998" t="str">
            <v>Lapp-Against Customer PO</v>
          </cell>
        </row>
        <row r="3999">
          <cell r="A3999" t="str">
            <v>53111430 (SKINTOP ST-M 25x1,5 RAL 7035 LGY)</v>
          </cell>
          <cell r="B3999" t="str">
            <v>53111430(SKINTOP ST-M 25x1,5 RAL 7035 LGY)</v>
          </cell>
          <cell r="C3999" t="str">
            <v>LAPP</v>
          </cell>
          <cell r="D3999" t="str">
            <v>Lapp-Against Customer PO</v>
          </cell>
        </row>
        <row r="4000">
          <cell r="A4000" t="str">
            <v>53111040 (SKINTOP ST-M 32x1,5 RAL 7001 SGY)</v>
          </cell>
          <cell r="B4000" t="str">
            <v>53111040(SKINTOP ST-M 32x1,5 RAL 7001 SGY)</v>
          </cell>
          <cell r="C4000" t="str">
            <v>LAPP</v>
          </cell>
          <cell r="D4000" t="str">
            <v>Lapp-Against Customer PO</v>
          </cell>
        </row>
        <row r="4001">
          <cell r="A4001" t="str">
            <v>53111440 (SKINTOP ST-M 32x1,5 RAL 7035 LGY)</v>
          </cell>
          <cell r="B4001" t="str">
            <v>53111440(SKINTOP ST-M 32x1,5 RAL 7035 LGY)</v>
          </cell>
          <cell r="C4001" t="str">
            <v>LAPP</v>
          </cell>
          <cell r="D4001" t="str">
            <v>Lapp-Against Customer PO</v>
          </cell>
        </row>
        <row r="4002">
          <cell r="A4002" t="str">
            <v>53111050 (SKINTOP ST-M 40x1,5 RAL 7001 SGY)</v>
          </cell>
          <cell r="B4002" t="str">
            <v>53111050(SKINTOP ST-M 40x1,5 RAL 7001 SGY)</v>
          </cell>
          <cell r="C4002" t="str">
            <v>LAPP</v>
          </cell>
          <cell r="D4002" t="str">
            <v>Lapp-Against Customer PO</v>
          </cell>
        </row>
        <row r="4003">
          <cell r="A4003" t="str">
            <v>53111450 (SKINTOP ST-M 40x1,5 RAL 7035 LGY)</v>
          </cell>
          <cell r="B4003" t="str">
            <v>53111450(SKINTOP ST-M 40x1,5 RAL 7035 LGY)</v>
          </cell>
          <cell r="C4003" t="str">
            <v>LAPP</v>
          </cell>
          <cell r="D4003" t="str">
            <v>Lapp-Against Customer PO</v>
          </cell>
        </row>
        <row r="4004">
          <cell r="A4004" t="str">
            <v>53111060 (SKINTOP ST-M 50x1,5 RAL 7001 SGY_x000D_
)</v>
          </cell>
          <cell r="B4004" t="str">
            <v>53111060(SKINTOP ST-M 50x1,5 RAL 7001 SGY_x000D_
)</v>
          </cell>
          <cell r="C4004" t="str">
            <v>LAPP</v>
          </cell>
          <cell r="D4004" t="str">
            <v>Lapp-Against Customer PO</v>
          </cell>
        </row>
        <row r="4005">
          <cell r="A4005" t="str">
            <v>53111070 (SKINTOP ST-M 63x1,5 RAL 7001 SGY)</v>
          </cell>
          <cell r="B4005" t="str">
            <v>53111070(SKINTOP ST-M 63x1,5 RAL 7001 SGY)</v>
          </cell>
          <cell r="C4005" t="str">
            <v>LAPP</v>
          </cell>
          <cell r="D4005" t="str">
            <v>Lapp-Against Customer PO</v>
          </cell>
        </row>
        <row r="4006">
          <cell r="A4006" t="str">
            <v>53111470 (SKINTOP ST-M 63x1,5 RAL 7035 LGY)</v>
          </cell>
          <cell r="B4006" t="str">
            <v>53111470(SKINTOP ST-M 63x1,5 RAL 7035 LGY)</v>
          </cell>
          <cell r="C4006" t="str">
            <v>LAPP</v>
          </cell>
          <cell r="D4006" t="str">
            <v>Lapp-Against Customer PO</v>
          </cell>
        </row>
        <row r="4007">
          <cell r="A4007" t="str">
            <v>53015060 (SKINTOP ST PG 29 RAL 7001 SGY)</v>
          </cell>
          <cell r="B4007" t="str">
            <v>53015060(SKINTOP ST PG 29 RAL 7001 SGY)</v>
          </cell>
          <cell r="C4007" t="str">
            <v>LAPP</v>
          </cell>
          <cell r="D4007" t="str">
            <v>Lapp-Against Customer PO</v>
          </cell>
        </row>
        <row r="4008">
          <cell r="A4008" t="str">
            <v>53018000 (SKINTOP ST PG 7 RAL 7035 LGY)</v>
          </cell>
          <cell r="B4008" t="str">
            <v>53018000(SKINTOP ST PG 7 RAL 7035 LGY)</v>
          </cell>
          <cell r="C4008" t="str">
            <v>LAPP</v>
          </cell>
          <cell r="D4008" t="str">
            <v>Lapp-Against Customer PO</v>
          </cell>
        </row>
        <row r="4009">
          <cell r="A4009" t="str">
            <v>54110840 (SKINTOP® BRUSH ADD-ON M16)</v>
          </cell>
          <cell r="B4009" t="str">
            <v>54110840(SKINTOP® BRUSH ADD-ON M16)</v>
          </cell>
          <cell r="C4009" t="str">
            <v>LAPP</v>
          </cell>
          <cell r="D4009" t="str">
            <v>Lapp-Against Customer PO</v>
          </cell>
        </row>
        <row r="4010">
          <cell r="A4010" t="str">
            <v>53111600 (SKINTOP® BS-M 12x1,5 RAL 7001 SGY)</v>
          </cell>
          <cell r="B4010" t="str">
            <v>53111600(SKINTOP® BS-M 12x1,5 RAL 7001 SGY)</v>
          </cell>
          <cell r="C4010" t="str">
            <v>LAPP</v>
          </cell>
          <cell r="D4010" t="str">
            <v>Lapp-Against Customer PO</v>
          </cell>
        </row>
        <row r="4011">
          <cell r="A4011" t="str">
            <v>53111610 (SKINTOP® BS-M 16x1,5 RAL 7001 SGY)</v>
          </cell>
          <cell r="B4011" t="str">
            <v>53111610(SKINTOP® BS-M 16x1,5 RAL 7001 SGY)</v>
          </cell>
          <cell r="C4011" t="str">
            <v>LAPP</v>
          </cell>
          <cell r="D4011" t="str">
            <v>Lapp-Against Customer PO</v>
          </cell>
        </row>
        <row r="4012">
          <cell r="A4012" t="str">
            <v>53111620 (SKINTOP® BS-M 20x1,5 RAL 7001 SGY)</v>
          </cell>
          <cell r="B4012" t="str">
            <v>53111620(SKINTOP® BS-M 20x1,5 RAL 7001 SGY)</v>
          </cell>
          <cell r="C4012" t="str">
            <v>LAPP</v>
          </cell>
          <cell r="D4012" t="str">
            <v>Lapp-Against Customer PO</v>
          </cell>
        </row>
        <row r="4013">
          <cell r="A4013" t="str">
            <v>53015650 (SKINTOP® BS PG 21 RAL 7001 SGY)</v>
          </cell>
          <cell r="B4013" t="str">
            <v>53015650(SKINTOP® BS PG 21 RAL 7001 SGY)</v>
          </cell>
          <cell r="C4013" t="str">
            <v>LAPP</v>
          </cell>
          <cell r="D4013" t="str">
            <v>Lapp-Against Customer PO</v>
          </cell>
        </row>
        <row r="4014">
          <cell r="A4014" t="str">
            <v>53100006 (SKINTOP® DIX-DV 6X14)</v>
          </cell>
          <cell r="B4014" t="str">
            <v>53100006(SKINTOP® DIX-DV 6X14)</v>
          </cell>
          <cell r="C4014" t="str">
            <v>LAPP</v>
          </cell>
          <cell r="D4014" t="str">
            <v>Lapp-Against Customer PO</v>
          </cell>
        </row>
        <row r="4015">
          <cell r="A4015" t="str">
            <v>53316240 (SKINTOP® DIX-M 16240)</v>
          </cell>
          <cell r="B4015" t="str">
            <v>53316240(SKINTOP® DIX-M 16240)</v>
          </cell>
          <cell r="C4015" t="str">
            <v>LAPP</v>
          </cell>
          <cell r="D4015" t="str">
            <v>Lapp-Against Customer PO</v>
          </cell>
        </row>
        <row r="4016">
          <cell r="A4016" t="str">
            <v>53325360 (SKINTOP® DIX-M 25360)</v>
          </cell>
          <cell r="B4016" t="str">
            <v>53325360(SKINTOP® DIX-M 25360)</v>
          </cell>
          <cell r="C4016" t="str">
            <v>LAPP</v>
          </cell>
          <cell r="D4016" t="str">
            <v>Lapp-Against Customer PO</v>
          </cell>
        </row>
        <row r="4017">
          <cell r="A4017" t="str">
            <v>53332380 (SKINTOP® DIX-M 32380)</v>
          </cell>
          <cell r="B4017" t="str">
            <v>53332380(SKINTOP® DIX-M 32380)</v>
          </cell>
          <cell r="C4017" t="str">
            <v>LAPP</v>
          </cell>
          <cell r="D4017" t="str">
            <v>Lapp-Against Customer PO</v>
          </cell>
        </row>
        <row r="4018">
          <cell r="A4018" t="str">
            <v>53332560 (SKINTOP® DIX-M 32560)</v>
          </cell>
          <cell r="B4018" t="str">
            <v>53332560(SKINTOP® DIX-M 32560)</v>
          </cell>
          <cell r="C4018" t="str">
            <v>LAPP</v>
          </cell>
          <cell r="D4018" t="str">
            <v>Lapp-Against Customer PO</v>
          </cell>
        </row>
        <row r="4019">
          <cell r="A4019" t="str">
            <v>53350166 (SKINTOP® DIX-M 50166)</v>
          </cell>
          <cell r="B4019" t="str">
            <v>53350166(SKINTOP® DIX-M 50166)</v>
          </cell>
          <cell r="C4019" t="str">
            <v>LAPP</v>
          </cell>
          <cell r="D4019" t="str">
            <v>Lapp-Against Customer PO</v>
          </cell>
        </row>
        <row r="4020">
          <cell r="A4020" t="str">
            <v>54115410 (SKINTOP® K-M 16x1,5 ATEX plus BU)</v>
          </cell>
          <cell r="B4020" t="str">
            <v>54115410(SKINTOP® K-M 16x1,5 ATEX plus BU)</v>
          </cell>
          <cell r="C4020" t="str">
            <v>LAPP</v>
          </cell>
          <cell r="D4020" t="str">
            <v>Lapp-Against Customer PO</v>
          </cell>
        </row>
        <row r="4021">
          <cell r="A4021" t="str">
            <v>54115420 (SKINTOP® K-M 20X1,5 ATEX plus BU)</v>
          </cell>
          <cell r="B4021" t="str">
            <v>54115420(SKINTOP® K-M 20X1,5 ATEX plus BU)</v>
          </cell>
          <cell r="C4021" t="str">
            <v>LAPP</v>
          </cell>
          <cell r="D4021" t="str">
            <v>Lapp-Against Customer PO</v>
          </cell>
        </row>
        <row r="4022">
          <cell r="A4022" t="str">
            <v>54115240 (SKINTOP® K-M 32x1,5 ATEX plus BK_x000D_
)</v>
          </cell>
          <cell r="B4022" t="str">
            <v>54115240(SKINTOP® K-M 32x1,5 ATEX plus BK_x000D_
)</v>
          </cell>
          <cell r="C4022" t="str">
            <v>LAPP</v>
          </cell>
          <cell r="D4022" t="str">
            <v>Lapp-Against Customer PO</v>
          </cell>
        </row>
        <row r="4023">
          <cell r="A4023" t="str">
            <v>53112700 (SKINTOP® MS-M 12X1.5 ATEX)</v>
          </cell>
          <cell r="B4023" t="str">
            <v>53112700(SKINTOP® MS-M 12X1.5 ATEX)</v>
          </cell>
          <cell r="C4023" t="str">
            <v>LAPP</v>
          </cell>
          <cell r="D4023" t="str">
            <v>Lapp-Against Customer PO</v>
          </cell>
        </row>
        <row r="4024">
          <cell r="A4024" t="str">
            <v>53112676 (SKINTOP® MS-M BRUSH 25x1,5)</v>
          </cell>
          <cell r="B4024" t="str">
            <v>53112676(SKINTOP® MS-M BRUSH 25x1,5)</v>
          </cell>
          <cell r="C4024" t="str">
            <v>LAPP</v>
          </cell>
          <cell r="D4024" t="str">
            <v>Lapp-Against Customer PO</v>
          </cell>
        </row>
        <row r="4025">
          <cell r="A4025" t="str">
            <v>53112679 (SKINTOP® MS-M BRUSH 50x1,5)</v>
          </cell>
          <cell r="B4025" t="str">
            <v>53112679(SKINTOP® MS-M BRUSH 50x1,5)</v>
          </cell>
          <cell r="C4025" t="str">
            <v>LAPP</v>
          </cell>
          <cell r="D4025" t="str">
            <v>Lapp-Against Customer PO</v>
          </cell>
        </row>
        <row r="4026">
          <cell r="A4026" t="str">
            <v>53112065 (SKINTOP® MS-M-XL 50x1,5)</v>
          </cell>
          <cell r="B4026" t="str">
            <v>53112065(SKINTOP® MS-M-XL 50x1,5)</v>
          </cell>
          <cell r="C4026" t="str">
            <v>LAPP</v>
          </cell>
          <cell r="D4026" t="str">
            <v>Lapp-Against Customer PO</v>
          </cell>
        </row>
        <row r="4027">
          <cell r="A4027" t="str">
            <v>52015765 (SKINTOP® MS PG 36)</v>
          </cell>
          <cell r="B4027" t="str">
            <v>52015765(SKINTOP® MS PG 36)</v>
          </cell>
          <cell r="C4027" t="str">
            <v>LAPP</v>
          </cell>
          <cell r="D4027" t="str">
            <v>Lapp-Against Customer PO</v>
          </cell>
        </row>
        <row r="4028">
          <cell r="A4028" t="str">
            <v>53112125 (SKINTOP® MSR-M-XL 20x1,5)</v>
          </cell>
          <cell r="B4028" t="str">
            <v>53112125(SKINTOP® MSR-M-XL 20x1,5)</v>
          </cell>
          <cell r="C4028" t="str">
            <v>LAPP</v>
          </cell>
          <cell r="D4028" t="str">
            <v>Lapp-Against Customer PO</v>
          </cell>
        </row>
        <row r="4029">
          <cell r="A4029" t="str">
            <v>53112220 (SKINTOP® MS-SC PG 11)</v>
          </cell>
          <cell r="B4029" t="str">
            <v>53112220(SKINTOP® MS-SC PG 11)</v>
          </cell>
          <cell r="C4029" t="str">
            <v>LAPP</v>
          </cell>
          <cell r="D4029" t="str">
            <v>Lapp-Against Customer PO</v>
          </cell>
        </row>
        <row r="4030">
          <cell r="A4030" t="str">
            <v>53112250 (SKINTOP® MS-SC PG 21)</v>
          </cell>
          <cell r="B4030" t="str">
            <v>53112250(SKINTOP® MS-SC PG 21)</v>
          </cell>
          <cell r="C4030" t="str">
            <v>LAPP</v>
          </cell>
          <cell r="D4030" t="str">
            <v>Lapp-Against Customer PO</v>
          </cell>
        </row>
        <row r="4031">
          <cell r="A4031" t="str">
            <v>53112260 (SKINTOP® MS-SC PG 29)</v>
          </cell>
          <cell r="B4031" t="str">
            <v>53112260(SKINTOP® MS-SC PG 29)</v>
          </cell>
          <cell r="C4031" t="str">
            <v>LAPP</v>
          </cell>
          <cell r="D4031" t="str">
            <v>Lapp-Against Customer PO</v>
          </cell>
        </row>
        <row r="4032">
          <cell r="A4032" t="str">
            <v>53112270 (SKINTOP® MS-SC PG 36)</v>
          </cell>
          <cell r="B4032" t="str">
            <v>53112270(SKINTOP® MS-SC PG 36)</v>
          </cell>
          <cell r="C4032" t="str">
            <v>LAPP</v>
          </cell>
          <cell r="D4032" t="str">
            <v>Lapp-Against Customer PO</v>
          </cell>
        </row>
        <row r="4033">
          <cell r="A4033" t="str">
            <v>53112320 (SKINTOP® MS-SC-XL PG 11)</v>
          </cell>
          <cell r="B4033" t="str">
            <v>53112320(SKINTOP® MS-SC-XL PG 11)</v>
          </cell>
          <cell r="C4033" t="str">
            <v>LAPP</v>
          </cell>
          <cell r="D4033" t="str">
            <v>Lapp-Against Customer PO</v>
          </cell>
        </row>
        <row r="4034">
          <cell r="A4034" t="str">
            <v>53112340 (SKINTOP® MS-SC-XL PG 16)</v>
          </cell>
          <cell r="B4034" t="str">
            <v>53112340(SKINTOP® MS-SC-XL PG 16)</v>
          </cell>
          <cell r="C4034" t="str">
            <v>LAPP</v>
          </cell>
          <cell r="D4034" t="str">
            <v>Lapp-Against Customer PO</v>
          </cell>
        </row>
        <row r="4035">
          <cell r="A4035" t="str">
            <v>52115740 (SKINTOP® MS-XL PG 16)</v>
          </cell>
          <cell r="B4035" t="str">
            <v>52115740(SKINTOP® MS-XL PG 16)</v>
          </cell>
          <cell r="C4035" t="str">
            <v>LAPP</v>
          </cell>
          <cell r="D4035" t="str">
            <v>Lapp-Against Customer PO</v>
          </cell>
        </row>
        <row r="4036">
          <cell r="A4036" t="str">
            <v>54113012 (SKINTOP® SDV-M 16 ATEX)</v>
          </cell>
          <cell r="B4036" t="str">
            <v>54113012(SKINTOP® SDV-M 16 ATEX)</v>
          </cell>
          <cell r="C4036" t="str">
            <v>LAPP</v>
          </cell>
          <cell r="D4036" t="str">
            <v>Lapp-Against Customer PO</v>
          </cell>
        </row>
        <row r="4037">
          <cell r="A4037" t="str">
            <v>54113022 (SKINTOP® SDV-M 20 ATEX)</v>
          </cell>
          <cell r="B4037" t="str">
            <v>54113022(SKINTOP® SDV-M 20 ATEX)</v>
          </cell>
          <cell r="C4037" t="str">
            <v>LAPP</v>
          </cell>
          <cell r="D4037" t="str">
            <v>Lapp-Against Customer PO</v>
          </cell>
        </row>
        <row r="4038">
          <cell r="A4038" t="str">
            <v>54113042 (SKINTOP® SDV-M 32 ATEX)</v>
          </cell>
          <cell r="B4038" t="str">
            <v>54113042(SKINTOP® SDV-M 32 ATEX)</v>
          </cell>
          <cell r="C4038" t="str">
            <v>LAPP</v>
          </cell>
          <cell r="D4038" t="str">
            <v>Lapp-Against Customer PO</v>
          </cell>
        </row>
        <row r="4039">
          <cell r="A4039" t="str">
            <v>54113072 (SKINTOP® SDV-M 63 ATEX)</v>
          </cell>
          <cell r="B4039" t="str">
            <v>54113072(SKINTOP® SDV-M 63 ATEX)</v>
          </cell>
          <cell r="C4039" t="str">
            <v>LAPP</v>
          </cell>
          <cell r="D4039" t="str">
            <v>Lapp-Against Customer PO</v>
          </cell>
        </row>
        <row r="4040">
          <cell r="A4040" t="str">
            <v>823900002011 (SKINTOP® SMART M 16X1.5 LGY)</v>
          </cell>
          <cell r="B4040" t="str">
            <v>823900002011(SKINTOP® SMART M 16X1.5 LGY)</v>
          </cell>
          <cell r="C4040" t="str">
            <v>LAPP</v>
          </cell>
          <cell r="D4040" t="str">
            <v>Lapp-Against Customer PO</v>
          </cell>
        </row>
        <row r="4041">
          <cell r="A4041" t="str">
            <v>53113300 (SKINTOP® SOLAR M12)</v>
          </cell>
          <cell r="B4041" t="str">
            <v>53113300(SKINTOP® SOLAR M12)</v>
          </cell>
          <cell r="C4041" t="str">
            <v>LAPP</v>
          </cell>
          <cell r="D4041" t="str">
            <v>Lapp-Against Customer PO</v>
          </cell>
        </row>
        <row r="4042">
          <cell r="A4042" t="str">
            <v>53113321 (SKINTOP® SOLAR plus M12 mit O-Ring)</v>
          </cell>
          <cell r="B4042" t="str">
            <v>53113321(SKINTOP® SOLAR plus M12 mit O-Ring)</v>
          </cell>
          <cell r="C4042" t="str">
            <v>LAPP</v>
          </cell>
          <cell r="D4042" t="str">
            <v>Lapp-Against Customer PO</v>
          </cell>
        </row>
        <row r="4043">
          <cell r="A4043" t="str">
            <v>53018070 (SKINTOP® ST PG 36 RAL 7035 LGY)</v>
          </cell>
          <cell r="B4043" t="str">
            <v>53018070(SKINTOP® ST PG 36 RAL 7035 LGY)</v>
          </cell>
          <cell r="C4043" t="str">
            <v>LAPP</v>
          </cell>
          <cell r="D4043" t="str">
            <v>Lapp-Against Customer PO</v>
          </cell>
        </row>
        <row r="4044">
          <cell r="A4044" t="str">
            <v>53111330 (SKINTOP® STR-M 25x1,5 RAL 9005 BK)</v>
          </cell>
          <cell r="B4044" t="str">
            <v>53111330(SKINTOP® STR-M 25x1,5 RAL 9005 BK)</v>
          </cell>
          <cell r="C4044" t="str">
            <v>LAPP</v>
          </cell>
          <cell r="D4044" t="str">
            <v>Lapp-Against Customer PO</v>
          </cell>
        </row>
        <row r="4045">
          <cell r="A4045" t="str">
            <v>53111350 (SKINTOP® STR-M 40x1,5 RAL 9005 BK)</v>
          </cell>
          <cell r="B4045" t="str">
            <v>53111350(SKINTOP® STR-M 40x1,5 RAL 9005 BK)</v>
          </cell>
          <cell r="C4045" t="str">
            <v>LAPP</v>
          </cell>
          <cell r="D4045" t="str">
            <v>Lapp-Against Customer PO</v>
          </cell>
        </row>
        <row r="4046">
          <cell r="A4046" t="str">
            <v>LAPP (Supplementary PO-Lapp Price Revision Adj)</v>
          </cell>
          <cell r="B4046" t="str">
            <v>LAPP(Supplementary PO-Lapp Price Revision Adj)</v>
          </cell>
          <cell r="C4046" t="str">
            <v>LAPP</v>
          </cell>
          <cell r="D4046" t="str">
            <v>Lapp-Against Customer PO</v>
          </cell>
        </row>
        <row r="4047">
          <cell r="A4047" t="str">
            <v>61803290 (TUBE CABLE LUGS KRF/120-16)</v>
          </cell>
          <cell r="B4047" t="str">
            <v>61803290(TUBE CABLE LUGS KRF/120-16)</v>
          </cell>
          <cell r="C4047" t="str">
            <v>LAPP</v>
          </cell>
          <cell r="D4047" t="str">
            <v>Lapp-Against Customer PO</v>
          </cell>
        </row>
        <row r="4048">
          <cell r="A4048" t="str">
            <v>61803070 (TUBE CABLE LUGS KRF/25-8)</v>
          </cell>
          <cell r="B4048" t="str">
            <v>61803070(TUBE CABLE LUGS KRF/25-8)</v>
          </cell>
          <cell r="C4048" t="str">
            <v>LAPP</v>
          </cell>
          <cell r="D4048" t="str">
            <v>Lapp-Against Customer PO</v>
          </cell>
        </row>
        <row r="4049">
          <cell r="A4049" t="str">
            <v>61796930 (TUBE CABLE LUGS KRT/120-10)</v>
          </cell>
          <cell r="B4049" t="str">
            <v>61796930(TUBE CABLE LUGS KRT/120-10)</v>
          </cell>
          <cell r="C4049" t="str">
            <v>LAPP</v>
          </cell>
          <cell r="D4049" t="str">
            <v>Lapp-Against Customer PO</v>
          </cell>
        </row>
        <row r="4050">
          <cell r="A4050" t="str">
            <v>61796940 (TUBE CABLE LUGS KRT/120-12)</v>
          </cell>
          <cell r="B4050" t="str">
            <v>61796940(TUBE CABLE LUGS KRT/120-12)</v>
          </cell>
          <cell r="C4050" t="str">
            <v>LAPP</v>
          </cell>
          <cell r="D4050" t="str">
            <v>Lapp-Against Customer PO</v>
          </cell>
        </row>
        <row r="4051">
          <cell r="A4051" t="str">
            <v>61796700 (TUBE CABLE LUGS KRT/16-6)</v>
          </cell>
          <cell r="B4051" t="str">
            <v>61796700(TUBE CABLE LUGS KRT/16-6)</v>
          </cell>
          <cell r="C4051" t="str">
            <v>LAPP</v>
          </cell>
          <cell r="D4051" t="str">
            <v>Lapp-Against Customer PO</v>
          </cell>
        </row>
        <row r="4052">
          <cell r="A4052" t="str">
            <v>61797030 (TUBE CABLE LUGS KRT/240-16 30)</v>
          </cell>
          <cell r="B4052" t="str">
            <v>61797030(TUBE CABLE LUGS KRT/240-16 30)</v>
          </cell>
          <cell r="C4052" t="str">
            <v>LAPP</v>
          </cell>
          <cell r="D4052" t="str">
            <v>Lapp-Against Customer PO</v>
          </cell>
        </row>
        <row r="4053">
          <cell r="A4053" t="str">
            <v>61796800 (TUBE CABLE LUGS KRT/35-10)</v>
          </cell>
          <cell r="B4053" t="str">
            <v>61796800(TUBE CABLE LUGS KRT/35-10)</v>
          </cell>
          <cell r="C4053" t="str">
            <v>LAPP</v>
          </cell>
          <cell r="D4053" t="str">
            <v>Lapp-Against Customer PO</v>
          </cell>
        </row>
        <row r="4054">
          <cell r="A4054" t="str">
            <v>61796780 (TUBE CABLE LUGS KRT/35-6)</v>
          </cell>
          <cell r="B4054" t="str">
            <v>61796780(TUBE CABLE LUGS KRT/35-6)</v>
          </cell>
          <cell r="C4054" t="str">
            <v>LAPP</v>
          </cell>
          <cell r="D4054" t="str">
            <v>Lapp-Against Customer PO</v>
          </cell>
        </row>
        <row r="4055">
          <cell r="A4055" t="str">
            <v>61796790 (TUBE CABLE LUGS KRT/35-8)</v>
          </cell>
          <cell r="B4055" t="str">
            <v>61796790(TUBE CABLE LUGS KRT/35-8)</v>
          </cell>
          <cell r="C4055" t="str">
            <v>LAPP</v>
          </cell>
          <cell r="D4055" t="str">
            <v>Lapp-Against Customer PO</v>
          </cell>
        </row>
        <row r="4056">
          <cell r="A4056" t="str">
            <v>61796850 (TUBE CABLE LUGS KRT/50-12)</v>
          </cell>
          <cell r="B4056" t="str">
            <v>61796850(TUBE CABLE LUGS KRT/50-12)</v>
          </cell>
          <cell r="C4056" t="str">
            <v>LAPP</v>
          </cell>
          <cell r="D4056" t="str">
            <v>Lapp-Against Customer PO</v>
          </cell>
        </row>
        <row r="4057">
          <cell r="A4057" t="str">
            <v>61796830 (TUBE CABLE LUGS KRT/50-8)</v>
          </cell>
          <cell r="B4057" t="str">
            <v>61796830(TUBE CABLE LUGS KRT/50-8)</v>
          </cell>
          <cell r="C4057" t="str">
            <v>LAPP</v>
          </cell>
          <cell r="D4057" t="str">
            <v>Lapp-Against Customer PO</v>
          </cell>
        </row>
        <row r="4058">
          <cell r="A4058" t="str">
            <v>61796870 (TUBE CABLE LUGS KRT/70-10)</v>
          </cell>
          <cell r="B4058" t="str">
            <v>61796870(TUBE CABLE LUGS KRT/70-10)</v>
          </cell>
          <cell r="C4058" t="str">
            <v>LAPP</v>
          </cell>
          <cell r="D4058" t="str">
            <v>Lapp-Against Customer PO</v>
          </cell>
        </row>
        <row r="4059">
          <cell r="A4059" t="str">
            <v>61796880 (TUBE CABLE LUGS KRT/70-12)</v>
          </cell>
          <cell r="B4059" t="str">
            <v>61796880(TUBE CABLE LUGS KRT/70-12)</v>
          </cell>
          <cell r="C4059" t="str">
            <v>LAPP</v>
          </cell>
          <cell r="D4059" t="str">
            <v>Lapp-Against Customer PO</v>
          </cell>
        </row>
        <row r="4060">
          <cell r="A4060" t="str">
            <v>61796900 (TUBE CABLE LUGS KRT/95-10)</v>
          </cell>
          <cell r="B4060" t="str">
            <v>61796900(TUBE CABLE LUGS KRT/95-10)</v>
          </cell>
          <cell r="C4060" t="str">
            <v>LAPP</v>
          </cell>
          <cell r="D4060" t="str">
            <v>Lapp-Against Customer PO</v>
          </cell>
        </row>
        <row r="4061">
          <cell r="A4061" t="str">
            <v>61796890 (TUBE CABLE LUGS KRT/95-8)</v>
          </cell>
          <cell r="B4061" t="str">
            <v>61796890(TUBE CABLE LUGS KRT/95-8)</v>
          </cell>
          <cell r="C4061" t="str">
            <v>LAPP</v>
          </cell>
          <cell r="D4061" t="str">
            <v>Lapp-Against Customer PO</v>
          </cell>
        </row>
        <row r="4062">
          <cell r="A4062" t="str">
            <v>61801999 (TWIN-END SLEEVES AHI-TWIN 2x0,5 WH)</v>
          </cell>
          <cell r="B4062" t="str">
            <v>61801999(TWIN-END SLEEVES AHI-TWIN 2x0,5 WH)</v>
          </cell>
          <cell r="C4062" t="str">
            <v>LAPP</v>
          </cell>
          <cell r="D4062" t="str">
            <v>Lapp-Against Customer PO</v>
          </cell>
        </row>
        <row r="4063">
          <cell r="A4063" t="str">
            <v>4160703 (UL(MTW)-CSA-HAR Style 1015 10AWG BN_x000D_
)</v>
          </cell>
          <cell r="B4063" t="str">
            <v>4160703(UL(MTW)-CSA-HAR Style 1015 10AWG BN_x000D_
)</v>
          </cell>
          <cell r="C4063" t="str">
            <v>LAPP</v>
          </cell>
          <cell r="D4063" t="str">
            <v>Lapp-Against Customer PO</v>
          </cell>
        </row>
        <row r="4064">
          <cell r="A4064" t="str">
            <v>4160726 (UL(MTW)-CSA-HAR Style 1015 10AWG BUWH_x000D_
)</v>
          </cell>
          <cell r="B4064" t="str">
            <v>4160726(UL(MTW)-CSA-HAR Style 1015 10AWG BUWH_x000D_
)</v>
          </cell>
          <cell r="C4064" t="str">
            <v>LAPP</v>
          </cell>
          <cell r="D4064" t="str">
            <v>Lapp-Against Customer PO</v>
          </cell>
        </row>
        <row r="4065">
          <cell r="A4065" t="str">
            <v>4160714 (UL(MTW)-CSA-HAR Style 1015 10AWG DBU_x000D_
)</v>
          </cell>
          <cell r="B4065" t="str">
            <v>4160714(UL(MTW)-CSA-HAR Style 1015 10AWG DBU_x000D_
)</v>
          </cell>
          <cell r="C4065" t="str">
            <v>LAPP</v>
          </cell>
          <cell r="D4065" t="str">
            <v>Lapp-Against Customer PO</v>
          </cell>
        </row>
        <row r="4066">
          <cell r="A4066" t="str">
            <v>4160704_x000D_
 (UL(MTW)-CSA-HAR Style 1015 10AWG RD_x000D_
)</v>
          </cell>
          <cell r="B4066" t="str">
            <v>4160704_x000D_
(UL(MTW)-CSA-HAR Style 1015 10AWG RD_x000D_
)</v>
          </cell>
          <cell r="C4066" t="str">
            <v>LAPP</v>
          </cell>
          <cell r="D4066" t="str">
            <v>Lapp-Against Customer PO</v>
          </cell>
        </row>
        <row r="4067">
          <cell r="A4067" t="str">
            <v>4160603 (UL(MTW)-CSA-HAR Style 1015 12AWG BN_x000D_
)</v>
          </cell>
          <cell r="B4067" t="str">
            <v>4160603(UL(MTW)-CSA-HAR Style 1015 12AWG BN_x000D_
)</v>
          </cell>
          <cell r="C4067" t="str">
            <v>LAPP</v>
          </cell>
          <cell r="D4067" t="str">
            <v>Lapp-Against Customer PO</v>
          </cell>
        </row>
        <row r="4068">
          <cell r="A4068" t="str">
            <v>4160602_x000D_
 (UL(MTW)-CSA-HAR Style 1015 12AWG BU_x000D_
)</v>
          </cell>
          <cell r="B4068" t="str">
            <v>4160602_x000D_
(UL(MTW)-CSA-HAR Style 1015 12AWG BU_x000D_
)</v>
          </cell>
          <cell r="C4068" t="str">
            <v>LAPP</v>
          </cell>
          <cell r="D4068" t="str">
            <v>Lapp-Against Customer PO</v>
          </cell>
        </row>
        <row r="4069">
          <cell r="A4069" t="str">
            <v>4160626 (UL(MTW)-CSA-(HAR) Style 1015 12AWG BUWH_x000D_
)</v>
          </cell>
          <cell r="B4069" t="str">
            <v>4160626(UL(MTW)-CSA-(HAR) Style 1015 12AWG BUWH_x000D_
)</v>
          </cell>
          <cell r="C4069" t="str">
            <v>LAPP</v>
          </cell>
          <cell r="D4069" t="str">
            <v>Lapp-Against Customer PO</v>
          </cell>
        </row>
        <row r="4070">
          <cell r="A4070" t="str">
            <v>4160604_x000D_
 (UL(MTW)-CSA-HAR Style 1015 12AWG RD_x000D_
)</v>
          </cell>
          <cell r="B4070" t="str">
            <v>4160604_x000D_
(UL(MTW)-CSA-HAR Style 1015 12AWG RD_x000D_
)</v>
          </cell>
          <cell r="C4070" t="str">
            <v>LAPP</v>
          </cell>
          <cell r="D4070" t="str">
            <v>Lapp-Against Customer PO</v>
          </cell>
        </row>
        <row r="4071">
          <cell r="A4071" t="str">
            <v>4160503 (UL(MTW)-CSA-HAR STYLE 1015 14AWG BN)</v>
          </cell>
          <cell r="B4071" t="str">
            <v>4160503(UL(MTW)-CSA-HAR STYLE 1015 14AWG BN)</v>
          </cell>
          <cell r="C4071" t="str">
            <v>LAPP</v>
          </cell>
          <cell r="D4071" t="str">
            <v>Lapp-Against Customer PO</v>
          </cell>
        </row>
        <row r="4072">
          <cell r="A4072" t="str">
            <v>4160526 (UL(MTW)-CSA-HAR Style 1015 14AWG BUWH_x000D_
)</v>
          </cell>
          <cell r="B4072" t="str">
            <v>4160526(UL(MTW)-CSA-HAR Style 1015 14AWG BUWH_x000D_
)</v>
          </cell>
          <cell r="C4072" t="str">
            <v>LAPP</v>
          </cell>
          <cell r="D4072" t="str">
            <v>Lapp-Against Customer PO</v>
          </cell>
        </row>
        <row r="4073">
          <cell r="A4073" t="str">
            <v>4160514 (UL(MTW)-CSA-HAR Style 1015 14AWG DBU)</v>
          </cell>
          <cell r="B4073" t="str">
            <v>4160514(UL(MTW)-CSA-HAR Style 1015 14AWG DBU)</v>
          </cell>
          <cell r="C4073" t="str">
            <v>LAPP</v>
          </cell>
          <cell r="D4073" t="str">
            <v>Lapp-Against Customer PO</v>
          </cell>
        </row>
        <row r="4074">
          <cell r="A4074" t="str">
            <v>4160426 (UL(MTW)-CSA-HAR STYLE 1015 16AWG BUWH)</v>
          </cell>
          <cell r="B4074" t="str">
            <v>4160426(UL(MTW)-CSA-HAR STYLE 1015 16AWG BUWH)</v>
          </cell>
          <cell r="C4074" t="str">
            <v>LAPP</v>
          </cell>
          <cell r="D4074" t="str">
            <v>Lapp-Against Customer PO</v>
          </cell>
        </row>
        <row r="4075">
          <cell r="A4075" t="str">
            <v>4160414 (UL(MTW)-CSA-(HAR) Style 1015 16AWG DBU)</v>
          </cell>
          <cell r="B4075" t="str">
            <v>4160414(UL(MTW)-CSA-(HAR) Style 1015 16AWG DBU)</v>
          </cell>
          <cell r="C4075" t="str">
            <v>LAPP</v>
          </cell>
          <cell r="D4075" t="str">
            <v>Lapp-Against Customer PO</v>
          </cell>
        </row>
        <row r="4076">
          <cell r="A4076" t="str">
            <v>4160400_x000D_
 (UL(MTW)-CSA-HAR Style 1015 16AWG GNYE_x000D_
)</v>
          </cell>
          <cell r="B4076" t="str">
            <v>4160400_x000D_
(UL(MTW)-CSA-HAR Style 1015 16AWG GNYE_x000D_
)</v>
          </cell>
          <cell r="C4076" t="str">
            <v>LAPP</v>
          </cell>
          <cell r="D4076" t="str">
            <v>Lapp-Against Customer PO</v>
          </cell>
        </row>
        <row r="4077">
          <cell r="A4077" t="str">
            <v>4160407_x000D_
 (UL(MTW)-CSA-HAR Style 1015 16AWG VT_x000D_
)</v>
          </cell>
          <cell r="B4077" t="str">
            <v>4160407_x000D_
(UL(MTW)-CSA-HAR Style 1015 16AWG VT_x000D_
)</v>
          </cell>
          <cell r="C4077" t="str">
            <v>LAPP</v>
          </cell>
          <cell r="D4077" t="str">
            <v>Lapp-Against Customer PO</v>
          </cell>
        </row>
        <row r="4078">
          <cell r="A4078" t="str">
            <v>4160301_x000D_
 (UL(MTW)-CSA-(HAR) Style 1015 18AWG BK_x000D_
)</v>
          </cell>
          <cell r="B4078" t="str">
            <v>4160301_x000D_
(UL(MTW)-CSA-(HAR) Style 1015 18AWG BK_x000D_
)</v>
          </cell>
          <cell r="C4078" t="str">
            <v>LAPP</v>
          </cell>
          <cell r="D4078" t="str">
            <v>Lapp-Against Customer PO</v>
          </cell>
        </row>
        <row r="4079">
          <cell r="A4079" t="str">
            <v>4160304 (UL(MTW)-CSA-HAR Style 1015 18AWG RD)</v>
          </cell>
          <cell r="B4079" t="str">
            <v>4160304(UL(MTW)-CSA-HAR Style 1015 18AWG RD)</v>
          </cell>
          <cell r="C4079" t="str">
            <v>LAPP</v>
          </cell>
          <cell r="D4079" t="str">
            <v>Lapp-Against Customer PO</v>
          </cell>
        </row>
        <row r="4080">
          <cell r="A4080" t="str">
            <v>4160226_x000D_
 (UL(MTW)-CSA-HAR Style 1015 20AWG BUWH_x000D_
)</v>
          </cell>
          <cell r="B4080" t="str">
            <v>4160226_x000D_
(UL(MTW)-CSA-HAR Style 1015 20AWG BUWH_x000D_
)</v>
          </cell>
          <cell r="C4080" t="str">
            <v>LAPP</v>
          </cell>
          <cell r="D4080" t="str">
            <v>Lapp-Against Customer PO</v>
          </cell>
        </row>
        <row r="4081">
          <cell r="A4081" t="str">
            <v>4160214_x000D_
 (UL(MTW)-CSA-HAR Style 1015 20AWG DBU_x000D_
)</v>
          </cell>
          <cell r="B4081" t="str">
            <v>4160214_x000D_
(UL(MTW)-CSA-HAR Style 1015 20AWG DBU_x000D_
)</v>
          </cell>
          <cell r="C4081" t="str">
            <v>LAPP</v>
          </cell>
          <cell r="D4081" t="str">
            <v>Lapp-Against Customer PO</v>
          </cell>
        </row>
        <row r="4082">
          <cell r="A4082" t="str">
            <v>4160200 (UL(MTW)-CSA-HAR Style 1015 20AWG GNYE_x000D_
)</v>
          </cell>
          <cell r="B4082" t="str">
            <v>4160200(UL(MTW)-CSA-HAR Style 1015 20AWG GNYE_x000D_
)</v>
          </cell>
          <cell r="C4082" t="str">
            <v>LAPP</v>
          </cell>
          <cell r="D4082" t="str">
            <v>Lapp-Against Customer PO</v>
          </cell>
        </row>
        <row r="4083">
          <cell r="A4083" t="str">
            <v>4160101_x000D_
 (UL(MTW)-CSA-HAR Style 1015 22AWG BK_x000D_
)</v>
          </cell>
          <cell r="B4083" t="str">
            <v>4160101_x000D_
(UL(MTW)-CSA-HAR Style 1015 22AWG BK_x000D_
)</v>
          </cell>
          <cell r="C4083" t="str">
            <v>LAPP</v>
          </cell>
          <cell r="D4083" t="str">
            <v>Lapp-Against Customer PO</v>
          </cell>
        </row>
        <row r="4084">
          <cell r="A4084" t="str">
            <v>4160102_x000D_
 (UL(MTW)-CSA-(HAR) Style 1015 22AWG BU_x000D_
)</v>
          </cell>
          <cell r="B4084" t="str">
            <v>4160102_x000D_
(UL(MTW)-CSA-(HAR) Style 1015 22AWG BU_x000D_
)</v>
          </cell>
          <cell r="C4084" t="str">
            <v>LAPP</v>
          </cell>
          <cell r="D4084" t="str">
            <v>Lapp-Against Customer PO</v>
          </cell>
        </row>
        <row r="4085">
          <cell r="A4085" t="str">
            <v>4160126 (UL(MTW)-CSA-HAR Style 1015 22AWG BUWH_x000D_
)</v>
          </cell>
          <cell r="B4085" t="str">
            <v>4160126(UL(MTW)-CSA-HAR Style 1015 22AWG BUWH_x000D_
)</v>
          </cell>
          <cell r="C4085" t="str">
            <v>LAPP</v>
          </cell>
          <cell r="D4085" t="str">
            <v>Lapp-Against Customer PO</v>
          </cell>
        </row>
        <row r="4086">
          <cell r="A4086" t="str">
            <v>4160104_x000D_
 (UL(MTW)-CSA-HAR Style 1015 22AWG RD_x000D_
)</v>
          </cell>
          <cell r="B4086" t="str">
            <v>4160104_x000D_
(UL(MTW)-CSA-HAR Style 1015 22AWG RD_x000D_
)</v>
          </cell>
          <cell r="C4086" t="str">
            <v>LAPP</v>
          </cell>
          <cell r="D4086" t="str">
            <v>Lapp-Against Customer PO</v>
          </cell>
        </row>
        <row r="4087">
          <cell r="A4087" t="str">
            <v>4160105 (UL(MTW)-CSA-HAR Style 1015 22AWG WH_x000D_
)</v>
          </cell>
          <cell r="B4087" t="str">
            <v>4160105(UL(MTW)-CSA-HAR Style 1015 22AWG WH_x000D_
)</v>
          </cell>
          <cell r="C4087" t="str">
            <v>LAPP</v>
          </cell>
          <cell r="D4087" t="str">
            <v>Lapp-Against Customer PO</v>
          </cell>
        </row>
        <row r="4088">
          <cell r="A4088" t="str">
            <v>4160803 (UL(MTW)-CSA-HAR Style 1015 8AWG BN_x000D_
)</v>
          </cell>
          <cell r="B4088" t="str">
            <v>4160803(UL(MTW)-CSA-HAR Style 1015 8AWG BN_x000D_
)</v>
          </cell>
          <cell r="C4088" t="str">
            <v>LAPP</v>
          </cell>
          <cell r="D4088" t="str">
            <v>Lapp-Against Customer PO</v>
          </cell>
        </row>
        <row r="4089">
          <cell r="A4089" t="str">
            <v>4160800 (UL(MTW)-CSA-HAR Style 1015 8AWG GNYE_x000D_
)</v>
          </cell>
          <cell r="B4089" t="str">
            <v>4160800(UL(MTW)-CSA-HAR Style 1015 8AWG GNYE_x000D_
)</v>
          </cell>
          <cell r="C4089" t="str">
            <v>LAPP</v>
          </cell>
          <cell r="D4089" t="str">
            <v>Lapp-Against Customer PO</v>
          </cell>
        </row>
        <row r="4090">
          <cell r="A4090" t="str">
            <v>11139544 (UNITRONIC FD CP (TP) plus A 1X2X0,25)</v>
          </cell>
          <cell r="B4090" t="str">
            <v>11139544(UNITRONIC FD CP (TP) plus A 1X2X0,25)</v>
          </cell>
          <cell r="C4090" t="str">
            <v>LAPP</v>
          </cell>
          <cell r="D4090" t="str">
            <v>Lapp-Against Customer PO</v>
          </cell>
        </row>
        <row r="4091">
          <cell r="A4091" t="str">
            <v>11139522 (UNITRONIC FD CP (TP) plus A 3X2X0,5)</v>
          </cell>
          <cell r="B4091" t="str">
            <v>11139522(UNITRONIC FD CP (TP) plus A 3X2X0,5)</v>
          </cell>
          <cell r="C4091" t="str">
            <v>LAPP</v>
          </cell>
          <cell r="D4091" t="str">
            <v>Lapp-Against Customer PO</v>
          </cell>
        </row>
        <row r="4092">
          <cell r="A4092" t="str">
            <v>11139511 (UNITRONIC FD CP (TP) plus A 5X2X0,25)</v>
          </cell>
          <cell r="B4092" t="str">
            <v>11139511(UNITRONIC FD CP (TP) plus A 5X2X0,25)</v>
          </cell>
          <cell r="C4092" t="str">
            <v>LAPP</v>
          </cell>
          <cell r="D4092" t="str">
            <v>Lapp-Against Customer PO</v>
          </cell>
        </row>
        <row r="4093">
          <cell r="A4093" t="str">
            <v>11139505 (Unitronic FD CP (TP) Plus A6p0, 14 10)</v>
          </cell>
          <cell r="B4093" t="str">
            <v>11139505(Unitronic FD CP (TP) Plus A6p0, 14 10)</v>
          </cell>
          <cell r="C4093" t="str">
            <v>LAPP</v>
          </cell>
          <cell r="D4093" t="str">
            <v>Lapp-Against Customer PO</v>
          </cell>
        </row>
        <row r="4094">
          <cell r="A4094" t="str">
            <v>0034310 (UNITRONIC LiYCY 10x0,14)</v>
          </cell>
          <cell r="B4094" t="str">
            <v>0034310(UNITRONIC LiYCY 10x0,14)</v>
          </cell>
          <cell r="C4094" t="str">
            <v>LAPP</v>
          </cell>
          <cell r="D4094" t="str">
            <v>Lapp-Against Customer PO</v>
          </cell>
        </row>
        <row r="4095">
          <cell r="A4095" t="str">
            <v>0034418 (UNITRONIC LiYCY 18x0,25)</v>
          </cell>
          <cell r="B4095" t="str">
            <v>0034418(UNITRONIC LiYCY 18x0,25)</v>
          </cell>
          <cell r="C4095" t="str">
            <v>LAPP</v>
          </cell>
          <cell r="D4095" t="str">
            <v>Lapp-Against Customer PO</v>
          </cell>
        </row>
        <row r="4096">
          <cell r="A4096" t="str">
            <v>0034503 (UNITRONIC LiYCY 3x0,34)</v>
          </cell>
          <cell r="B4096" t="str">
            <v>0034503(UNITRONIC LiYCY 3x0,34)</v>
          </cell>
          <cell r="C4096" t="str">
            <v>LAPP</v>
          </cell>
          <cell r="D4096" t="str">
            <v>Lapp-Against Customer PO</v>
          </cell>
        </row>
        <row r="4097">
          <cell r="A4097" t="str">
            <v>0034703 (UNITRONIC LiYCY 3x0,75)</v>
          </cell>
          <cell r="B4097" t="str">
            <v>0034703(UNITRONIC LiYCY 3x0,75)</v>
          </cell>
          <cell r="C4097" t="str">
            <v>LAPP</v>
          </cell>
          <cell r="D4097" t="str">
            <v>Lapp-Against Customer PO</v>
          </cell>
        </row>
        <row r="4098">
          <cell r="A4098" t="str">
            <v>0034803 (UNITRONIC LIYCY 3X1)</v>
          </cell>
          <cell r="B4098" t="str">
            <v>0034803(UNITRONIC LIYCY 3X1)</v>
          </cell>
          <cell r="C4098" t="str">
            <v>LAPP</v>
          </cell>
          <cell r="D4098" t="str">
            <v>Lapp-Against Customer PO</v>
          </cell>
        </row>
        <row r="4099">
          <cell r="A4099" t="str">
            <v>0034707_x000D_
 (UNITRONIC LIYCY 7X0,75_x000D_
)</v>
          </cell>
          <cell r="B4099" t="str">
            <v>0034707_x000D_
(UNITRONIC LIYCY 7X0,75_x000D_
)</v>
          </cell>
          <cell r="C4099" t="str">
            <v>LAPP</v>
          </cell>
          <cell r="D4099" t="str">
            <v>Lapp-Against Customer PO</v>
          </cell>
        </row>
        <row r="4100">
          <cell r="A4100" t="str">
            <v>0035131 (UNITRONIC LiYCY (TP) 2x2x0,14)</v>
          </cell>
          <cell r="B4100" t="str">
            <v>0035131(UNITRONIC LiYCY (TP) 2x2x0,14)</v>
          </cell>
          <cell r="C4100" t="str">
            <v>LAPP</v>
          </cell>
          <cell r="D4100" t="str">
            <v>Lapp-Against Customer PO</v>
          </cell>
        </row>
        <row r="4101">
          <cell r="A4101" t="str">
            <v>0035801 (UNITRONIC LiYCY (TP)  3x2x0,25)</v>
          </cell>
          <cell r="B4101" t="str">
            <v>0035801(UNITRONIC LiYCY (TP)  3x2x0,25)</v>
          </cell>
          <cell r="C4101" t="str">
            <v>LAPP</v>
          </cell>
          <cell r="D4101" t="str">
            <v>Lapp-Against Customer PO</v>
          </cell>
        </row>
        <row r="4102">
          <cell r="A4102" t="str">
            <v>0035803 (UNITRONIC LiYCY (TP) 6x2x0,25)</v>
          </cell>
          <cell r="B4102" t="str">
            <v>0035803(UNITRONIC LiYCY (TP) 6x2x0,25)</v>
          </cell>
          <cell r="C4102" t="str">
            <v>LAPP</v>
          </cell>
          <cell r="D4102" t="str">
            <v>Lapp-Against Customer PO</v>
          </cell>
        </row>
        <row r="4103">
          <cell r="A4103" t="str">
            <v>0035804 (UNITRONIC LiYCY (TP) 8x2x0,25)</v>
          </cell>
          <cell r="B4103" t="str">
            <v>0035804(UNITRONIC LiYCY (TP) 8x2x0,25)</v>
          </cell>
          <cell r="C4103" t="str">
            <v>LAPP</v>
          </cell>
          <cell r="D4103" t="str">
            <v>Lapp-Against Customer PO</v>
          </cell>
        </row>
        <row r="4104">
          <cell r="A4104" t="str">
            <v>0044702 (UNITRONIC LiYCY UL/CSA 2x22/7AWG_x000D_
)</v>
          </cell>
          <cell r="B4104" t="str">
            <v>0044702(UNITRONIC LiYCY UL/CSA 2x22/7AWG_x000D_
)</v>
          </cell>
          <cell r="C4104" t="str">
            <v>LAPP</v>
          </cell>
          <cell r="D4104" t="str">
            <v>Lapp-Against Customer PO</v>
          </cell>
        </row>
        <row r="4105">
          <cell r="A4105" t="str">
            <v>0044704 (UNITRONIC LiYCY UL/CSA 4x22/7AWG_x000D_
)</v>
          </cell>
          <cell r="B4105" t="str">
            <v>0044704(UNITRONIC LiYCY UL/CSA 4x22/7AWG_x000D_
)</v>
          </cell>
          <cell r="C4105" t="str">
            <v>LAPP</v>
          </cell>
          <cell r="D4105" t="str">
            <v>Lapp-Against Customer PO</v>
          </cell>
        </row>
        <row r="4106">
          <cell r="A4106" t="str">
            <v>0028503 (UNITRONIC LiYY 3x0,5)</v>
          </cell>
          <cell r="B4106" t="str">
            <v>0028503(UNITRONIC LiYY 3x0,5)</v>
          </cell>
          <cell r="C4106" t="str">
            <v>LAPP</v>
          </cell>
          <cell r="D4106" t="str">
            <v>Lapp-Against Customer PO</v>
          </cell>
        </row>
        <row r="4107">
          <cell r="A4107" t="str">
            <v>0028703 (UNITRONIC LiYY 3x1)</v>
          </cell>
          <cell r="B4107" t="str">
            <v>0028703(UNITRONIC LiYY 3x1)</v>
          </cell>
          <cell r="C4107" t="str">
            <v>LAPP</v>
          </cell>
          <cell r="D4107" t="str">
            <v>Lapp-Against Customer PO</v>
          </cell>
        </row>
        <row r="4108">
          <cell r="A4108" t="str">
            <v>00285031 (UNITRONIC LIYY SPL 3 X 0.5 (Rd,Bk,Gn))</v>
          </cell>
          <cell r="B4108" t="str">
            <v>00285031(UNITRONIC LIYY SPL 3 X 0.5 (Rd,Bk,Gn))</v>
          </cell>
          <cell r="C4108" t="str">
            <v>LAPP</v>
          </cell>
          <cell r="D4108" t="str">
            <v>Lapp-Against Customer PO</v>
          </cell>
        </row>
        <row r="4109">
          <cell r="A4109" t="str">
            <v>0028015 (UNITRONIC® 100 10x0,14)</v>
          </cell>
          <cell r="B4109" t="str">
            <v>0028015(UNITRONIC® 100 10x0,14)</v>
          </cell>
          <cell r="C4109" t="str">
            <v>LAPP</v>
          </cell>
          <cell r="D4109" t="str">
            <v>Lapp-Against Customer PO</v>
          </cell>
        </row>
        <row r="4110">
          <cell r="A4110" t="str">
            <v>0028048 (UNITRONIC® 100 7x0,34)</v>
          </cell>
          <cell r="B4110" t="str">
            <v>0028048(UNITRONIC® 100 7x0,34)</v>
          </cell>
          <cell r="C4110" t="str">
            <v>LAPP</v>
          </cell>
          <cell r="D4110" t="str">
            <v>Lapp-Against Customer PO</v>
          </cell>
        </row>
        <row r="4111">
          <cell r="A4111" t="str">
            <v>2170231 (UNITRONIC® BUS ASI (TPE) 2x1,5 BK)</v>
          </cell>
          <cell r="B4111" t="str">
            <v>2170231(UNITRONIC® BUS ASI (TPE) 2x1,5 BK)</v>
          </cell>
          <cell r="C4111" t="str">
            <v>LAPP</v>
          </cell>
          <cell r="D4111" t="str">
            <v>Lapp-Against Customer PO</v>
          </cell>
        </row>
        <row r="4112">
          <cell r="A4112" t="str">
            <v>2170230 (UNITRONIC® BUS ASI (TPE) 2X1,5 YE)</v>
          </cell>
          <cell r="B4112" t="str">
            <v>2170230(UNITRONIC® BUS ASI (TPE) 2X1,5 YE)</v>
          </cell>
          <cell r="C4112" t="str">
            <v>LAPP</v>
          </cell>
          <cell r="D4112" t="str">
            <v>Lapp-Against Customer PO</v>
          </cell>
        </row>
        <row r="4113">
          <cell r="A4113" t="str">
            <v>2170279 (UNITRONIC® BUS CAN FD P 2x2x0,5)</v>
          </cell>
          <cell r="B4113" t="str">
            <v>2170279(UNITRONIC® BUS CAN FD P 2x2x0,5)</v>
          </cell>
          <cell r="C4113" t="str">
            <v>LAPP</v>
          </cell>
          <cell r="D4113" t="str">
            <v>Lapp-Against Customer PO</v>
          </cell>
        </row>
        <row r="4114">
          <cell r="A4114" t="str">
            <v>2170341 (UNITRONIC® BUS DN THIN FRNC)</v>
          </cell>
          <cell r="B4114" t="str">
            <v>2170341(UNITRONIC® BUS DN THIN FRNC)</v>
          </cell>
          <cell r="C4114" t="str">
            <v>LAPP</v>
          </cell>
          <cell r="D4114" t="str">
            <v>Lapp-Against Customer PO</v>
          </cell>
        </row>
        <row r="4115">
          <cell r="A4115" t="str">
            <v>2170387 (UNITRONIC® BUS HEAT 6722 1x4x0,5)</v>
          </cell>
          <cell r="B4115" t="str">
            <v>2170387(UNITRONIC® BUS HEAT 6722 1x4x0,5)</v>
          </cell>
          <cell r="C4115" t="str">
            <v>LAPP</v>
          </cell>
          <cell r="D4115" t="str">
            <v>Lapp-Against Customer PO</v>
          </cell>
        </row>
        <row r="4116">
          <cell r="A4116" t="str">
            <v>2170234 (UNITRONIC® BUS PA 1x2x1.3 BU)</v>
          </cell>
          <cell r="B4116" t="str">
            <v>2170234(UNITRONIC® BUS PA 1x2x1.3 BU)</v>
          </cell>
          <cell r="C4116" t="str">
            <v>LAPP</v>
          </cell>
          <cell r="D4116" t="str">
            <v>Lapp-Against Customer PO</v>
          </cell>
        </row>
        <row r="4117">
          <cell r="A4117" t="str">
            <v>2170330 (UNITRONIC® BUS PB P FC 1X2X0,64)</v>
          </cell>
          <cell r="B4117" t="str">
            <v>2170330(UNITRONIC® BUS PB P FC 1X2X0,64)</v>
          </cell>
          <cell r="C4117" t="str">
            <v>LAPP</v>
          </cell>
          <cell r="D4117" t="str">
            <v>Lapp-Against Customer PO</v>
          </cell>
        </row>
        <row r="4118">
          <cell r="A4118" t="str">
            <v>0012626 (UNITRONIC® EB CY (TP) 10x2x0,75)</v>
          </cell>
          <cell r="B4118" t="str">
            <v>0012626(UNITRONIC® EB CY (TP) 10x2x0,75)</v>
          </cell>
          <cell r="C4118" t="str">
            <v>LAPP</v>
          </cell>
          <cell r="D4118" t="str">
            <v>Lapp-Against Customer PO</v>
          </cell>
        </row>
        <row r="4119">
          <cell r="A4119" t="str">
            <v>0012621 (UNITRONIC® EB CY (TP) 3x2x0,75)</v>
          </cell>
          <cell r="B4119" t="str">
            <v>0012621(UNITRONIC® EB CY (TP) 3x2x0,75)</v>
          </cell>
          <cell r="C4119" t="str">
            <v>LAPP</v>
          </cell>
          <cell r="D4119" t="str">
            <v>Lapp-Against Customer PO</v>
          </cell>
        </row>
        <row r="4120">
          <cell r="A4120" t="str">
            <v>0027855 (UNITRONIC® FD 2x0,25)</v>
          </cell>
          <cell r="B4120" t="str">
            <v>0027855(UNITRONIC® FD 2x0,25)</v>
          </cell>
          <cell r="C4120" t="str">
            <v>LAPP</v>
          </cell>
          <cell r="D4120" t="str">
            <v>Lapp-Against Customer PO</v>
          </cell>
        </row>
        <row r="4121">
          <cell r="A4121" t="str">
            <v>0027842 (UNITRONIC® FD 4x0,14)</v>
          </cell>
          <cell r="B4121" t="str">
            <v>0027842(UNITRONIC® FD 4x0,14)</v>
          </cell>
          <cell r="C4121" t="str">
            <v>LAPP</v>
          </cell>
          <cell r="D4121" t="str">
            <v>Lapp-Against Customer PO</v>
          </cell>
        </row>
        <row r="4122">
          <cell r="A4122" t="str">
            <v>0027858 (UNITRONIC® FD 5x0,25)</v>
          </cell>
          <cell r="B4122" t="str">
            <v>0027858(UNITRONIC® FD 5x0,25)</v>
          </cell>
          <cell r="C4122" t="str">
            <v>LAPP</v>
          </cell>
          <cell r="D4122" t="str">
            <v>Lapp-Against Customer PO</v>
          </cell>
        </row>
        <row r="4123">
          <cell r="A4123" t="str">
            <v>0027434 (UNITRONIC® FD CY 14x0,25)</v>
          </cell>
          <cell r="B4123" t="str">
            <v>0027434(UNITRONIC® FD CY 14x0,25)</v>
          </cell>
          <cell r="C4123" t="str">
            <v>LAPP</v>
          </cell>
          <cell r="D4123" t="str">
            <v>Lapp-Against Customer PO</v>
          </cell>
        </row>
        <row r="4124">
          <cell r="A4124" t="str">
            <v>0027438 (UNITRONIC® FD CY 25x0,25)</v>
          </cell>
          <cell r="B4124" t="str">
            <v>0027438(UNITRONIC® FD CY 25x0,25)</v>
          </cell>
          <cell r="C4124" t="str">
            <v>LAPP</v>
          </cell>
          <cell r="D4124" t="str">
            <v>Lapp-Against Customer PO</v>
          </cell>
        </row>
        <row r="4125">
          <cell r="A4125" t="str">
            <v>0027425 (UNITRONIC® FD CY 2x0,25)</v>
          </cell>
          <cell r="B4125" t="str">
            <v>0027425(UNITRONIC® FD CY 2x0,25)</v>
          </cell>
          <cell r="C4125" t="str">
            <v>LAPP</v>
          </cell>
          <cell r="D4125" t="str">
            <v>Lapp-Against Customer PO</v>
          </cell>
        </row>
        <row r="4126">
          <cell r="A4126" t="str">
            <v>0027441 (UNITRONIC® FD CY 3x0,34)</v>
          </cell>
          <cell r="B4126" t="str">
            <v>0027441(UNITRONIC® FD CY 3x0,34)</v>
          </cell>
          <cell r="C4126" t="str">
            <v>LAPP</v>
          </cell>
          <cell r="D4126" t="str">
            <v>Lapp-Against Customer PO</v>
          </cell>
        </row>
        <row r="4127">
          <cell r="A4127" t="str">
            <v>0031386 (UNITRONIC® FD Li2YCY (TP) A BE 1X2X0,25)</v>
          </cell>
          <cell r="B4127" t="str">
            <v>0031386(UNITRONIC® FD Li2YCY (TP) A BE 1X2X0,25)</v>
          </cell>
          <cell r="C4127" t="str">
            <v>LAPP</v>
          </cell>
          <cell r="D4127" t="str">
            <v>Lapp-Against Customer PO</v>
          </cell>
        </row>
        <row r="4128">
          <cell r="A4128" t="str">
            <v>0031387 (UNITRONIC® FD Li2YCY (TP) A BE 2X2X0,25)</v>
          </cell>
          <cell r="B4128" t="str">
            <v>0031387(UNITRONIC® FD Li2YCY (TP) A BE 2X2X0,25)</v>
          </cell>
          <cell r="C4128" t="str">
            <v>LAPP</v>
          </cell>
          <cell r="D4128" t="str">
            <v>Lapp-Against Customer PO</v>
          </cell>
        </row>
        <row r="4129">
          <cell r="A4129" t="str">
            <v>0031397 (UNITRONIC® FD Li2YCY (TP) A BE 2X2X0,34)</v>
          </cell>
          <cell r="B4129" t="str">
            <v>0031397(UNITRONIC® FD Li2YCY (TP) A BE 2X2X0,34)</v>
          </cell>
          <cell r="C4129" t="str">
            <v>LAPP</v>
          </cell>
          <cell r="D4129" t="str">
            <v>Lapp-Against Customer PO</v>
          </cell>
        </row>
        <row r="4130">
          <cell r="A4130" t="str">
            <v>0031388 (UNITRONIC® FD Li2YCY (TP) A BE 3X2X0,25)</v>
          </cell>
          <cell r="B4130" t="str">
            <v>0031388(UNITRONIC® FD Li2YCY (TP) A BE 3X2X0,25)</v>
          </cell>
          <cell r="C4130" t="str">
            <v>LAPP</v>
          </cell>
          <cell r="D4130" t="str">
            <v>Lapp-Against Customer PO</v>
          </cell>
        </row>
        <row r="4131">
          <cell r="A4131" t="str">
            <v>0031389 (UNITRONIC® FD Li2YCY (TP) A BE 4X2X0,25)</v>
          </cell>
          <cell r="B4131" t="str">
            <v>0031389(UNITRONIC® FD Li2YCY (TP) A BE 4X2X0,25)</v>
          </cell>
          <cell r="C4131" t="str">
            <v>LAPP</v>
          </cell>
          <cell r="D4131" t="str">
            <v>Lapp-Against Customer PO</v>
          </cell>
        </row>
        <row r="4132">
          <cell r="A4132" t="str">
            <v>0028680 (UNITRONIC® FD P plus 12x0,25)</v>
          </cell>
          <cell r="B4132" t="str">
            <v>0028680(UNITRONIC® FD P plus 12x0,25)</v>
          </cell>
          <cell r="C4132" t="str">
            <v>LAPP</v>
          </cell>
          <cell r="D4132" t="str">
            <v>Lapp-Against Customer PO</v>
          </cell>
        </row>
        <row r="4133">
          <cell r="A4133" t="str">
            <v>0028660 (UNITRONIC® FD P plus 4X0,25)</v>
          </cell>
          <cell r="B4133" t="str">
            <v>0028660(UNITRONIC® FD P plus 4X0,25)</v>
          </cell>
          <cell r="C4133" t="str">
            <v>LAPP</v>
          </cell>
          <cell r="D4133" t="str">
            <v>Lapp-Against Customer PO</v>
          </cell>
        </row>
        <row r="4134">
          <cell r="A4134" t="str">
            <v>0028669 (UNITRONIC® FD P plus 4X0,34)</v>
          </cell>
          <cell r="B4134" t="str">
            <v>0028669(UNITRONIC® FD P plus 4X0,34)</v>
          </cell>
          <cell r="C4134" t="str">
            <v>LAPP</v>
          </cell>
          <cell r="D4134" t="str">
            <v>Lapp-Against Customer PO</v>
          </cell>
        </row>
        <row r="4135">
          <cell r="A4135" t="str">
            <v>0028662 (UNITRONIC® FD P plus 7X0,25)</v>
          </cell>
          <cell r="B4135" t="str">
            <v>0028662(UNITRONIC® FD P plus 7X0,25)</v>
          </cell>
          <cell r="C4135" t="str">
            <v>LAPP</v>
          </cell>
          <cell r="D4135" t="str">
            <v>Lapp-Against Customer PO</v>
          </cell>
        </row>
        <row r="4136">
          <cell r="A4136" t="str">
            <v>2170126 (UNITRONIC® LAN 200 F/UTP Cat. 5e)</v>
          </cell>
          <cell r="B4136" t="str">
            <v>2170126(UNITRONIC® LAN 200 F/UTP Cat. 5e)</v>
          </cell>
          <cell r="C4136" t="str">
            <v>LAPP</v>
          </cell>
          <cell r="D4136" t="str">
            <v>Lapp-Against Customer PO</v>
          </cell>
        </row>
        <row r="4137">
          <cell r="A4137" t="str">
            <v>2170144 (UNITRONIC® LAN 600 S/FTP CAT7 Y FLEX)</v>
          </cell>
          <cell r="B4137" t="str">
            <v>2170144(UNITRONIC® LAN 600 S/FTP CAT7 Y FLEX)</v>
          </cell>
          <cell r="C4137" t="str">
            <v>LAPP</v>
          </cell>
          <cell r="D4137" t="str">
            <v>Lapp-Against Customer PO</v>
          </cell>
        </row>
        <row r="4138">
          <cell r="A4138" t="str">
            <v>0034061 (UNITRONIC® Li2YCY PiMF 3x2x0,5)</v>
          </cell>
          <cell r="B4138" t="str">
            <v>0034061(UNITRONIC® Li2YCY PiMF 3x2x0,5)</v>
          </cell>
          <cell r="C4138" t="str">
            <v>LAPP</v>
          </cell>
          <cell r="D4138" t="str">
            <v>Lapp-Against Customer PO</v>
          </cell>
        </row>
        <row r="4139">
          <cell r="A4139" t="str">
            <v>0031372 (UNITRONIC® LI2YCY (TP) 3X2X0,25)</v>
          </cell>
          <cell r="B4139" t="str">
            <v>0031372(UNITRONIC® LI2YCY (TP) 3X2X0,25)</v>
          </cell>
          <cell r="C4139" t="str">
            <v>LAPP</v>
          </cell>
          <cell r="D4139" t="str">
            <v>Lapp-Against Customer PO</v>
          </cell>
        </row>
        <row r="4140">
          <cell r="A4140" t="str">
            <v>0031332 (UNITRONIC® Li2YCY (TP) 4x2x0,5)</v>
          </cell>
          <cell r="B4140" t="str">
            <v>0031332(UNITRONIC® Li2YCY (TP) 4x2x0,5)</v>
          </cell>
          <cell r="C4140" t="str">
            <v>LAPP</v>
          </cell>
          <cell r="D4140" t="str">
            <v>Lapp-Against Customer PO</v>
          </cell>
        </row>
        <row r="4141">
          <cell r="A4141" t="str">
            <v>0031362 (UNITRONIC® Li2YCYv (TP) 4x2x0,5)</v>
          </cell>
          <cell r="B4141" t="str">
            <v>0031362(UNITRONIC® Li2YCYv (TP) 4x2x0,5)</v>
          </cell>
          <cell r="C4141" t="str">
            <v>LAPP</v>
          </cell>
          <cell r="D4141" t="str">
            <v>Lapp-Against Customer PO</v>
          </cell>
        </row>
        <row r="4142">
          <cell r="A4142" t="str">
            <v>0037602 (UNITRONIC® LiHCH 2x0,5)</v>
          </cell>
          <cell r="B4142" t="str">
            <v>0037602(UNITRONIC® LiHCH 2x0,5)</v>
          </cell>
          <cell r="C4142" t="str">
            <v>LAPP</v>
          </cell>
          <cell r="D4142" t="str">
            <v>Lapp-Against Customer PO</v>
          </cell>
        </row>
        <row r="4143">
          <cell r="A4143" t="str">
            <v>0037603 (UNITRONIC® LiHCH 3x0,5)</v>
          </cell>
          <cell r="B4143" t="str">
            <v>0037603(UNITRONIC® LiHCH 3x0,5)</v>
          </cell>
          <cell r="C4143" t="str">
            <v>LAPP</v>
          </cell>
          <cell r="D4143" t="str">
            <v>Lapp-Against Customer PO</v>
          </cell>
        </row>
        <row r="4144">
          <cell r="A4144" t="str">
            <v>0038316 (UNITRONIC® LiHCH (TP) 16x2x0,14)</v>
          </cell>
          <cell r="B4144" t="str">
            <v>0038316(UNITRONIC® LiHCH (TP) 16x2x0,14)</v>
          </cell>
          <cell r="C4144" t="str">
            <v>LAPP</v>
          </cell>
          <cell r="D4144" t="str">
            <v>Lapp-Against Customer PO</v>
          </cell>
        </row>
        <row r="4145">
          <cell r="A4145" t="str">
            <v>0034315 (UNITRONIC® LiYCY 15x0,14)</v>
          </cell>
          <cell r="B4145" t="str">
            <v>0034315(UNITRONIC® LiYCY 15x0,14)</v>
          </cell>
          <cell r="C4145" t="str">
            <v>LAPP</v>
          </cell>
          <cell r="D4145" t="str">
            <v>Lapp-Against Customer PO</v>
          </cell>
        </row>
        <row r="4146">
          <cell r="A4146" t="str">
            <v>0034428 (UNITRONIC® LiYCY 28x0,25)</v>
          </cell>
          <cell r="B4146" t="str">
            <v>0034428(UNITRONIC® LiYCY 28x0,25)</v>
          </cell>
          <cell r="C4146" t="str">
            <v>LAPP</v>
          </cell>
          <cell r="D4146" t="str">
            <v>Lapp-Against Customer PO</v>
          </cell>
        </row>
        <row r="4147">
          <cell r="A4147" t="str">
            <v>0044732 (UNITRONIC® LiYCY A 2XAWG20/7)</v>
          </cell>
          <cell r="B4147" t="str">
            <v>0044732(UNITRONIC® LiYCY A 2XAWG20/7)</v>
          </cell>
          <cell r="C4147" t="str">
            <v>LAPP</v>
          </cell>
          <cell r="D4147" t="str">
            <v>Lapp-Against Customer PO</v>
          </cell>
        </row>
        <row r="4148">
          <cell r="A4148" t="str">
            <v>0044652 (UNITRONIC® LiYCY A 2XAWG24/7)</v>
          </cell>
          <cell r="B4148" t="str">
            <v>0044652(UNITRONIC® LiYCY A 2XAWG24/7)</v>
          </cell>
          <cell r="C4148" t="str">
            <v>LAPP</v>
          </cell>
          <cell r="D4148" t="str">
            <v>Lapp-Against Customer PO</v>
          </cell>
        </row>
        <row r="4149">
          <cell r="A4149" t="str">
            <v>0044655 (UNITRONIC® LiYCY A 5XAWG24/7)</v>
          </cell>
          <cell r="B4149" t="str">
            <v>0044655(UNITRONIC® LiYCY A 5XAWG24/7)</v>
          </cell>
          <cell r="C4149" t="str">
            <v>LAPP</v>
          </cell>
          <cell r="D4149" t="str">
            <v>Lapp-Against Customer PO</v>
          </cell>
        </row>
        <row r="4150">
          <cell r="A4150" t="str">
            <v>0035806 (UNITRONIC® LiYCY (TP) 12x2x0,25)</v>
          </cell>
          <cell r="B4150" t="str">
            <v>0035806(UNITRONIC® LiYCY (TP) 12x2x0,25)</v>
          </cell>
          <cell r="C4150" t="str">
            <v>LAPP</v>
          </cell>
          <cell r="D4150" t="str">
            <v>Lapp-Against Customer PO</v>
          </cell>
        </row>
        <row r="4151">
          <cell r="A4151" t="str">
            <v>0035816 (UNITRONIC® LiYCY (TP) 12x2x0,5)</v>
          </cell>
          <cell r="B4151" t="str">
            <v>0035816(UNITRONIC® LiYCY (TP) 12x2x0,5)</v>
          </cell>
          <cell r="C4151" t="str">
            <v>LAPP</v>
          </cell>
          <cell r="D4151" t="str">
            <v>Lapp-Against Customer PO</v>
          </cell>
        </row>
        <row r="4152">
          <cell r="A4152" t="str">
            <v>0035141 (UNITRONIC® LiYCY (TP) 3x2x0,14)</v>
          </cell>
          <cell r="B4152" t="str">
            <v>0035141(UNITRONIC® LiYCY (TP) 3x2x0,14)</v>
          </cell>
          <cell r="C4152" t="str">
            <v>LAPP</v>
          </cell>
          <cell r="D4152" t="str">
            <v>Lapp-Against Customer PO</v>
          </cell>
        </row>
        <row r="4153">
          <cell r="A4153" t="str">
            <v>0035824 (UNITRONIC® LiYCY (TP) 8x2x0,75)</v>
          </cell>
          <cell r="B4153" t="str">
            <v>0035824(UNITRONIC® LiYCY (TP) 8x2x0,75)</v>
          </cell>
          <cell r="C4153" t="str">
            <v>LAPP</v>
          </cell>
          <cell r="D4153" t="str">
            <v>Lapp-Against Customer PO</v>
          </cell>
        </row>
        <row r="4154">
          <cell r="A4154" t="str">
            <v>0066242 (UNITRONIC® LiYCY(TP) A 2X2XAWG20/7)</v>
          </cell>
          <cell r="B4154" t="str">
            <v>0066242(UNITRONIC® LiYCY(TP) A 2X2XAWG20/7)</v>
          </cell>
          <cell r="C4154" t="str">
            <v>LAPP</v>
          </cell>
          <cell r="D4154" t="str">
            <v>Lapp-Against Customer PO</v>
          </cell>
        </row>
        <row r="4155">
          <cell r="A4155" t="str">
            <v>0033207 (UNITRONIC® LiYD11Y 7x0,14)</v>
          </cell>
          <cell r="B4155" t="str">
            <v>0033207(UNITRONIC® LiYD11Y 7x0,14)</v>
          </cell>
          <cell r="C4155" t="str">
            <v>LAPP</v>
          </cell>
          <cell r="D4155" t="str">
            <v>Lapp-Against Customer PO</v>
          </cell>
        </row>
        <row r="4156">
          <cell r="A4156" t="str">
            <v>0028225 (UNITRONIC® LiYY 25x0,14)</v>
          </cell>
          <cell r="B4156" t="str">
            <v>0028225(UNITRONIC® LiYY 25x0,14)</v>
          </cell>
          <cell r="C4156" t="str">
            <v>LAPP</v>
          </cell>
          <cell r="D4156" t="str">
            <v>Lapp-Against Customer PO</v>
          </cell>
        </row>
        <row r="4157">
          <cell r="A4157" t="str">
            <v>202502001670-1 (UNITRONIC® LiYY (TP) 16x2x0,25)</v>
          </cell>
          <cell r="B4157" t="str">
            <v>202502001670-1(UNITRONIC® LiYY(TP) 16x2x0,25)</v>
          </cell>
          <cell r="C4157" t="str">
            <v>LAPP</v>
          </cell>
          <cell r="D4157" t="str">
            <v>Lapp-Against Customer PO</v>
          </cell>
        </row>
        <row r="4158">
          <cell r="A4158" t="str">
            <v>0035163 (UNITRONIC® LiYY (TP) 6x2x0,25)</v>
          </cell>
          <cell r="B4158" t="str">
            <v>0035163(UNITRONIC® LiYY (TP) 6x2x0,25)</v>
          </cell>
          <cell r="C4158" t="str">
            <v>LAPP</v>
          </cell>
          <cell r="D4158" t="str">
            <v>Lapp-Against Customer PO</v>
          </cell>
        </row>
        <row r="4159">
          <cell r="A4159" t="str">
            <v>0032836 (UNITRONIC® PUR CP 12x0,75)</v>
          </cell>
          <cell r="B4159" t="str">
            <v>0032836(UNITRONIC® PUR CP 12x0,75)</v>
          </cell>
          <cell r="C4159" t="str">
            <v>LAPP</v>
          </cell>
          <cell r="D4159" t="str">
            <v>Lapp-Against Customer PO</v>
          </cell>
        </row>
        <row r="4160">
          <cell r="A4160" t="str">
            <v>7038899 (UNITRONIC® SENSOR LifYY 4x0,25)</v>
          </cell>
          <cell r="B4160" t="str">
            <v>7038899(UNITRONIC® SENSOR LifYY 4x0,25)</v>
          </cell>
          <cell r="C4160" t="str">
            <v>LAPP</v>
          </cell>
          <cell r="D4160" t="str">
            <v>Lapp-Against Customer PO</v>
          </cell>
        </row>
        <row r="4161">
          <cell r="A4161" t="str">
            <v>7038901 (UNITRONIC® SENSOR LifYY 4x0,34)</v>
          </cell>
          <cell r="B4161" t="str">
            <v>7038901(UNITRONIC® SENSOR LifYY 4x0,34)</v>
          </cell>
          <cell r="C4161" t="str">
            <v>LAPP</v>
          </cell>
          <cell r="D4161" t="str">
            <v>Lapp-Against Customer PO</v>
          </cell>
        </row>
        <row r="4162">
          <cell r="A4162" t="str">
            <v>7038902 (UNITRONIC® SENSOR LifYY 5x0,34)</v>
          </cell>
          <cell r="B4162" t="str">
            <v>7038902(UNITRONIC® SENSOR LifYY 5x0,34)</v>
          </cell>
          <cell r="C4162" t="str">
            <v>LAPP</v>
          </cell>
          <cell r="D4162" t="str">
            <v>Lapp-Against Customer PO</v>
          </cell>
        </row>
        <row r="4163">
          <cell r="A4163" t="str">
            <v>73220238 (UNITRONIC® SPIRAL 18X0,14/400)</v>
          </cell>
          <cell r="B4163" t="str">
            <v>73220238(UNITRONIC® SPIRAL 18X0,14/400)</v>
          </cell>
          <cell r="C4163" t="str">
            <v>LAPP</v>
          </cell>
          <cell r="D4163" t="str">
            <v>Lapp-Against Customer PO</v>
          </cell>
        </row>
        <row r="4164">
          <cell r="A4164" t="str">
            <v>2173002 (UNITRONIC® TRAIN MVB 2x2x0,5)</v>
          </cell>
          <cell r="B4164" t="str">
            <v>2173002(UNITRONIC® TRAIN MVB 2x2x0,5)</v>
          </cell>
          <cell r="C4164" t="str">
            <v>LAPP</v>
          </cell>
          <cell r="D4164" t="str">
            <v>Lapp-Against Customer PO</v>
          </cell>
        </row>
        <row r="4165">
          <cell r="A4165" t="str">
            <v>4522401S (X07V-K 2CHELIX 1X1,5 RDBK)</v>
          </cell>
          <cell r="B4165" t="str">
            <v>4522401S(X07V-K 2CHELIX 1X1,5 RDBK)</v>
          </cell>
          <cell r="C4165" t="str">
            <v>LAPP</v>
          </cell>
          <cell r="D4165" t="str">
            <v>Lapp-Against Customer PO</v>
          </cell>
        </row>
        <row r="4166">
          <cell r="A4166" t="str">
            <v>11194181 (ÖLFLEX 110 18G2,5)</v>
          </cell>
          <cell r="B4166" t="str">
            <v>11194181(ÖLFLEX 110 18G2,5)</v>
          </cell>
          <cell r="C4166" t="str">
            <v>LAPP</v>
          </cell>
          <cell r="D4166" t="str">
            <v>Lapp-Against Customer PO</v>
          </cell>
        </row>
        <row r="4167">
          <cell r="A4167" t="str">
            <v>11196241 (ÖLFLEX 110 4G16)</v>
          </cell>
          <cell r="B4167" t="str">
            <v>11196241(ÖLFLEX 110 4G16)</v>
          </cell>
          <cell r="C4167" t="str">
            <v>LAPP</v>
          </cell>
          <cell r="D4167" t="str">
            <v>Lapp-Against Customer PO</v>
          </cell>
        </row>
        <row r="4168">
          <cell r="A4168" t="str">
            <v>11258521_x000D_
 (ÖLFLEX  110 SY 2X1_x000D_
)</v>
          </cell>
          <cell r="B4168" t="str">
            <v>11258521_x000D_
(ÖLFLEX  110 SY 2X1_x000D_
)</v>
          </cell>
          <cell r="C4168" t="str">
            <v>LAPP</v>
          </cell>
          <cell r="D4168" t="str">
            <v>Lapp-Against Customer PO</v>
          </cell>
        </row>
        <row r="4169">
          <cell r="A4169" t="str">
            <v>0015402_x000D_
 (ÖLFLEX 150 QUATTRO 2X2,5/14AWG_x000D_
)</v>
          </cell>
          <cell r="B4169" t="str">
            <v>0015402_x000D_
(ÖLFLEX 150 QUATTRO 2X2,5/14AWG_x000D_
)</v>
          </cell>
          <cell r="C4169" t="str">
            <v>LAPP</v>
          </cell>
          <cell r="D4169" t="str">
            <v>Lapp-Against Customer PO</v>
          </cell>
        </row>
        <row r="4170">
          <cell r="A4170" t="str">
            <v>0011160 (ÖLFLEX 191 3G4/12AWG_x000D_
)</v>
          </cell>
          <cell r="B4170" t="str">
            <v>0011160(ÖLFLEX 191 3G4/12AWG_x000D_
)</v>
          </cell>
          <cell r="C4170" t="str">
            <v>LAPP</v>
          </cell>
          <cell r="D4170" t="str">
            <v>Lapp-Against Customer PO</v>
          </cell>
        </row>
        <row r="4171">
          <cell r="A4171" t="str">
            <v>0011165 (ÖLFLEX 191 4G6/10AWG_x000D_
)</v>
          </cell>
          <cell r="B4171" t="str">
            <v>0011165(ÖLFLEX 191 4G6/10AWG_x000D_
)</v>
          </cell>
          <cell r="C4171" t="str">
            <v>LAPP</v>
          </cell>
          <cell r="D4171" t="str">
            <v>Lapp-Against Customer PO</v>
          </cell>
        </row>
        <row r="4172">
          <cell r="A4172" t="str">
            <v>1120806 (ÖLFLEX CLASSIC 100 300/500V 3G4)</v>
          </cell>
          <cell r="B4172" t="str">
            <v>1120806(ÖLFLEX CLASSIC 100 300/500V 3G4)</v>
          </cell>
          <cell r="C4172" t="str">
            <v>LAPP</v>
          </cell>
          <cell r="D4172" t="str">
            <v>Lapp-Against Customer PO</v>
          </cell>
        </row>
        <row r="4173">
          <cell r="A4173" t="str">
            <v>00100654 (ÖLFLEX CLASSIC 100 300/500V 4G1,5)</v>
          </cell>
          <cell r="B4173" t="str">
            <v>00100654(ÖLFLEX CLASSIC 100 300/500V 4G1,5)</v>
          </cell>
          <cell r="C4173" t="str">
            <v>LAPP</v>
          </cell>
          <cell r="D4173" t="str">
            <v>Lapp-Against Customer PO</v>
          </cell>
        </row>
        <row r="4174">
          <cell r="A4174" t="str">
            <v>00100664 (ÖLFLEX CLASSIC 100 300/500V 5G1,5)</v>
          </cell>
          <cell r="B4174" t="str">
            <v>00100664(ÖLFLEX CLASSIC 100 300/500V 5G1,5)</v>
          </cell>
          <cell r="C4174" t="str">
            <v>LAPP</v>
          </cell>
          <cell r="D4174" t="str">
            <v>Lapp-Against Customer PO</v>
          </cell>
        </row>
        <row r="4175">
          <cell r="A4175" t="str">
            <v>00100893 (ÖLFLEX CLASSIC 100 450/750V 5G2,5)</v>
          </cell>
          <cell r="B4175" t="str">
            <v>00100893(ÖLFLEX CLASSIC 100 450/750V 5G2,5)</v>
          </cell>
          <cell r="C4175" t="str">
            <v>LAPP</v>
          </cell>
          <cell r="D4175" t="str">
            <v>Lapp-Against Customer PO</v>
          </cell>
        </row>
        <row r="4176">
          <cell r="A4176" t="str">
            <v>1119121 (ÖLFLEX CLASSIC 110 21G0,75_x000D_
)</v>
          </cell>
          <cell r="B4176" t="str">
            <v>1119121(ÖLFLEX CLASSIC 110 21G0,75 )</v>
          </cell>
          <cell r="C4176" t="str">
            <v>LAPP</v>
          </cell>
          <cell r="D4176" t="str">
            <v>Lapp-Against Customer PO</v>
          </cell>
        </row>
        <row r="4177">
          <cell r="A4177" t="str">
            <v>1119225 (ÖLFLEX CLASSIC 110 25G1)</v>
          </cell>
          <cell r="B4177" t="str">
            <v>1119225(ÖLFLEX CLASSIC 110 25G1)</v>
          </cell>
          <cell r="C4177" t="str">
            <v>LAPP</v>
          </cell>
          <cell r="D4177" t="str">
            <v>Lapp-Against Customer PO</v>
          </cell>
        </row>
        <row r="4178">
          <cell r="A4178" t="str">
            <v>1119325 (ÖLFLEX CLASSIC 110 25G1,5)</v>
          </cell>
          <cell r="B4178" t="str">
            <v>1119325(ÖLFLEX CLASSIC 110 25G1,5)</v>
          </cell>
          <cell r="C4178" t="str">
            <v>LAPP</v>
          </cell>
          <cell r="D4178" t="str">
            <v>Lapp-Against Customer PO</v>
          </cell>
        </row>
        <row r="4179">
          <cell r="A4179" t="str">
            <v>1119250_x000D_
 (ÖLFLEX CLASSIC 110 50G1_x000D_
)</v>
          </cell>
          <cell r="B4179" t="str">
            <v>1119250_x000D_
(ÖLFLEX CLASSIC 110 50G1_x000D_
)</v>
          </cell>
          <cell r="C4179" t="str">
            <v>LAPP</v>
          </cell>
          <cell r="D4179" t="str">
            <v>Lapp-Against Customer PO</v>
          </cell>
        </row>
        <row r="4180">
          <cell r="A4180" t="str">
            <v>1119052 (ÖLFLEX CLASSIC 110 52G0,5)</v>
          </cell>
          <cell r="B4180" t="str">
            <v>1119052(ÖLFLEX CLASSIC 110 52G0,5)</v>
          </cell>
          <cell r="C4180" t="str">
            <v>LAPP</v>
          </cell>
          <cell r="D4180" t="str">
            <v>Lapp-Against Customer PO</v>
          </cell>
        </row>
        <row r="4181">
          <cell r="A4181" t="str">
            <v>1120309 (ÖLFLEX CLASSIC 110 Black 0,6/1kV 4G1,5)</v>
          </cell>
          <cell r="B4181" t="str">
            <v>1120309(ÖLFLEX CLASSIC 110 Black 0,6/1kV 4G1,5)</v>
          </cell>
          <cell r="C4181" t="str">
            <v>LAPP</v>
          </cell>
          <cell r="D4181" t="str">
            <v>Lapp-Against Customer PO</v>
          </cell>
        </row>
        <row r="4182">
          <cell r="A4182" t="str">
            <v>11351031 (ÖLFLEX CLASSIC 110 CY 3G0,75_x000D_
)</v>
          </cell>
          <cell r="B4182" t="str">
            <v>11351031(ÖLFLEX CLASSIC 110 CY 3G0,75_x000D_
)</v>
          </cell>
          <cell r="C4182" t="str">
            <v>LAPP</v>
          </cell>
          <cell r="D4182" t="str">
            <v>Lapp-Against Customer PO</v>
          </cell>
        </row>
        <row r="4183">
          <cell r="A4183" t="str">
            <v>1135303 (ÖLFLEX CLASSIC 110 CY 3G1,5_x000D_
)</v>
          </cell>
          <cell r="B4183" t="str">
            <v>1135303(ÖLFLEX CLASSIC 110 CY 3G1,5_x000D_
)</v>
          </cell>
          <cell r="C4183" t="str">
            <v>LAPP</v>
          </cell>
          <cell r="D4183" t="str">
            <v>Lapp-Against Customer PO</v>
          </cell>
        </row>
        <row r="4184">
          <cell r="A4184" t="str">
            <v>1135604 (ÖLFLEX CLASSIC 110 CY 4G6)</v>
          </cell>
          <cell r="B4184" t="str">
            <v>1135604(ÖLFLEX CLASSIC 110 CY 4G6)</v>
          </cell>
          <cell r="C4184" t="str">
            <v>LAPP</v>
          </cell>
          <cell r="D4184" t="str">
            <v>Lapp-Against Customer PO</v>
          </cell>
        </row>
        <row r="4185">
          <cell r="A4185" t="str">
            <v>1121309 (ÖLFLEX CLASSIC110 CY BK 0,6/1kV 4G1,5_x000D_
)</v>
          </cell>
          <cell r="B4185" t="str">
            <v>1121309(ÖLFLEX CLASSIC110 CY BK 0,6/1kV 4G1,5_x000D_
)</v>
          </cell>
          <cell r="C4185" t="str">
            <v>LAPP</v>
          </cell>
          <cell r="D4185" t="str">
            <v>Lapp-Against Customer PO</v>
          </cell>
        </row>
        <row r="4186">
          <cell r="A4186" t="str">
            <v>1125212_x000D_
 (ÖLFLEX CLASSIC 110 SY 12G1_x000D_
)</v>
          </cell>
          <cell r="B4186" t="str">
            <v>1125212_x000D_
(ÖLFLEX CLASSIC 110 SY 12G1_x000D_
)</v>
          </cell>
          <cell r="C4186" t="str">
            <v>LAPP</v>
          </cell>
          <cell r="D4186" t="str">
            <v>Lapp-Against Customer PO</v>
          </cell>
        </row>
        <row r="4187">
          <cell r="A4187" t="str">
            <v>1125203 (ÖLFLEX CLASSIC 110 SY 3G1)</v>
          </cell>
          <cell r="B4187" t="str">
            <v>1125203(ÖLFLEX CLASSIC 110 SY 3G1)</v>
          </cell>
          <cell r="C4187" t="str">
            <v>LAPP</v>
          </cell>
          <cell r="D4187" t="str">
            <v>Lapp-Against Customer PO</v>
          </cell>
        </row>
        <row r="4188">
          <cell r="A4188" t="str">
            <v>1125304 (ÖLFLEX CLASSIC 110 SY 4G1,5)</v>
          </cell>
          <cell r="B4188" t="str">
            <v>1125304(ÖLFLEX CLASSIC 110 SY 4G1,5)</v>
          </cell>
          <cell r="C4188" t="str">
            <v>LAPP</v>
          </cell>
          <cell r="D4188" t="str">
            <v>Lapp-Against Customer PO</v>
          </cell>
        </row>
        <row r="4189">
          <cell r="A4189" t="str">
            <v>1125504 (ÖLFLEX CLASSIC 110 SY 4G4)</v>
          </cell>
          <cell r="B4189" t="str">
            <v>1125504(ÖLFLEX CLASSIC 110 SY 4G4)</v>
          </cell>
          <cell r="C4189" t="str">
            <v>LAPP</v>
          </cell>
          <cell r="D4189" t="str">
            <v>Lapp-Against Customer PO</v>
          </cell>
        </row>
        <row r="4190">
          <cell r="A4190" t="str">
            <v>35007041 (ÖLFLEX Classic ICC   3 G 0.75)</v>
          </cell>
          <cell r="B4190" t="str">
            <v>35007041(ÖLFLEX Classic ICC 3 G 0.75)</v>
          </cell>
          <cell r="C4190" t="str">
            <v>LAPP</v>
          </cell>
          <cell r="D4190" t="str">
            <v>Lapp-Against Customer PO</v>
          </cell>
        </row>
        <row r="4191">
          <cell r="A4191" t="str">
            <v>0050002 (ÖLFLEX HEAT 180 SiF 1X1 BU)</v>
          </cell>
          <cell r="B4191" t="str">
            <v>0050002(ÖLFLEX HEAT 180 SiF 1X1 BU)</v>
          </cell>
          <cell r="C4191" t="str">
            <v>LAPP</v>
          </cell>
          <cell r="D4191" t="str">
            <v>Lapp-Against Customer PO</v>
          </cell>
        </row>
        <row r="4192">
          <cell r="A4192" t="str">
            <v>1249620 (ÖLFLEX HEAT 180 SiF A 1x0,25 GY)</v>
          </cell>
          <cell r="B4192" t="str">
            <v>1249620(ÖLFLEX HEAT 180 SiF A 1x0,25 GY)</v>
          </cell>
          <cell r="C4192" t="str">
            <v>LAPP</v>
          </cell>
          <cell r="D4192" t="str">
            <v>Lapp-Against Customer PO</v>
          </cell>
        </row>
        <row r="4193">
          <cell r="A4193" t="str">
            <v>0028110 (ÖLFLEX ROBOT 900 P 7x0,25)</v>
          </cell>
          <cell r="B4193" t="str">
            <v>0028110(ÖLFLEX ROBOT 900 P 7x0,25)</v>
          </cell>
          <cell r="C4193" t="str">
            <v>LAPP</v>
          </cell>
          <cell r="D4193" t="str">
            <v>Lapp-Against Customer PO</v>
          </cell>
        </row>
        <row r="4194">
          <cell r="A4194" t="str">
            <v>70002634 (ÖLFLEX SPIRAL 400 P 4G0,75/500_x000D_
)</v>
          </cell>
          <cell r="B4194" t="str">
            <v>70002634(ÖLFLEX SPIRAL 400 P 4G0,75/500_x000D_
)</v>
          </cell>
          <cell r="C4194" t="str">
            <v>LAPP</v>
          </cell>
          <cell r="D4194" t="str">
            <v>Lapp-Against Customer PO</v>
          </cell>
        </row>
        <row r="4195">
          <cell r="A4195" t="str">
            <v>8201016051 (ÖLFLEX Wire MS 2.15 1 X 0.5 BK)</v>
          </cell>
          <cell r="B4195" t="str">
            <v>8201016051(ÖLFLEX Wire MS 2.15 1 X 0.5 BK)</v>
          </cell>
          <cell r="C4195" t="str">
            <v>LAPP</v>
          </cell>
          <cell r="D4195" t="str">
            <v>Lapp-Against Customer PO</v>
          </cell>
        </row>
        <row r="4196">
          <cell r="A4196" t="str">
            <v>8201016064 (ÖLFLEX Wire MS 2.15 1 X 0.75 BK)</v>
          </cell>
          <cell r="B4196" t="str">
            <v>8201016064(ÖLFLEX Wire MS 2.15 1 X 0.75 BK)</v>
          </cell>
          <cell r="C4196" t="str">
            <v>LAPP</v>
          </cell>
          <cell r="D4196" t="str">
            <v>Lapp-Against Customer PO</v>
          </cell>
        </row>
        <row r="4197">
          <cell r="A4197" t="str">
            <v>8201016065 (ÖLFLEX Wire MS 2.15 1 X 0.75 BU)</v>
          </cell>
          <cell r="B4197" t="str">
            <v>8201016065(ÖLFLEX Wire MS 2.15 1 X 0.75 BU)</v>
          </cell>
          <cell r="C4197" t="str">
            <v>LAPP</v>
          </cell>
          <cell r="D4197" t="str">
            <v>Lapp-Against Customer PO</v>
          </cell>
        </row>
        <row r="4198">
          <cell r="A4198" t="str">
            <v>8201016071 (ÖLFLEX Wire MS 2.15 1 X 0.75 RD)</v>
          </cell>
          <cell r="B4198" t="str">
            <v>8201016071(ÖLFLEX Wire MS 2.15 1 X 0.75 RD)</v>
          </cell>
          <cell r="C4198" t="str">
            <v>LAPP</v>
          </cell>
          <cell r="D4198" t="str">
            <v>Lapp-Against Customer PO</v>
          </cell>
        </row>
        <row r="4199">
          <cell r="A4199" t="str">
            <v>8201016098 (ÖLFLEX Wire MS 2.15 1 X 1.5  WH)</v>
          </cell>
          <cell r="B4199" t="str">
            <v>8201016098(ÖLFLEX Wire MS 2.15 1 X 1.5  WH)</v>
          </cell>
          <cell r="C4199" t="str">
            <v>LAPP</v>
          </cell>
          <cell r="D4199" t="str">
            <v>Lapp-Against Customer PO</v>
          </cell>
        </row>
        <row r="4200">
          <cell r="A4200" t="str">
            <v>8201016077 (ÖLFLEX Wire MS 2.15 1 X 1  BK)</v>
          </cell>
          <cell r="B4200" t="str">
            <v>8201016077(ÖLFLEX Wire MS 2.15 1 X 1  BK)</v>
          </cell>
          <cell r="C4200" t="str">
            <v>LAPP</v>
          </cell>
          <cell r="D4200" t="str">
            <v>Lapp-Against Customer PO</v>
          </cell>
        </row>
        <row r="4201">
          <cell r="A4201" t="str">
            <v>8201016080 (ÖLFLEX Wire MS 2.15 1 X 1 BN)</v>
          </cell>
          <cell r="B4201" t="str">
            <v>8201016080(ÖLFLEX Wire MS 2.15 1 X 1 BN)</v>
          </cell>
          <cell r="C4201" t="str">
            <v>LAPP</v>
          </cell>
          <cell r="D4201" t="str">
            <v>Lapp-Against Customer PO</v>
          </cell>
        </row>
        <row r="4202">
          <cell r="A4202" t="str">
            <v>8201016078 (ÖLFLEX Wire MS 2.15 1 X 1  BU)</v>
          </cell>
          <cell r="B4202" t="str">
            <v>8201016078(ÖLFLEX Wire MS 2.15 1 X 1  BU)</v>
          </cell>
          <cell r="C4202" t="str">
            <v>LAPP</v>
          </cell>
          <cell r="D4202" t="str">
            <v>Lapp-Against Customer PO</v>
          </cell>
        </row>
        <row r="4203">
          <cell r="A4203" t="str">
            <v>8201016084 (ÖLFLEX Wire MS 2.15 1 X 1  RD)</v>
          </cell>
          <cell r="B4203" t="str">
            <v>8201016084(ÖLFLEX Wire MS 2.15 1 X 1  RD)</v>
          </cell>
          <cell r="C4203" t="str">
            <v>LAPP</v>
          </cell>
          <cell r="D4203" t="str">
            <v>Lapp-Against Customer PO</v>
          </cell>
        </row>
        <row r="4204">
          <cell r="A4204" t="str">
            <v>8201016104 (ÖLFLEX Wire MS 2.15 1 X 2.5  BU)</v>
          </cell>
          <cell r="B4204" t="str">
            <v>8201016104(ÖLFLEX Wire MS 2.15 1 X 2.5  BU)</v>
          </cell>
          <cell r="C4204" t="str">
            <v>LAPP</v>
          </cell>
          <cell r="D4204" t="str">
            <v>Lapp-Against Customer PO</v>
          </cell>
        </row>
        <row r="4205">
          <cell r="A4205" t="str">
            <v>8201016110 (ÖLFLEX Wire MS 2.15 1 X 2.5  RD)</v>
          </cell>
          <cell r="B4205" t="str">
            <v>8201016110(ÖLFLEX Wire MS 2.15 1 X 2.5  RD)</v>
          </cell>
          <cell r="C4205" t="str">
            <v>LAPP</v>
          </cell>
          <cell r="D4205" t="str">
            <v>Lapp-Against Customer PO</v>
          </cell>
        </row>
        <row r="4206">
          <cell r="A4206" t="str">
            <v>8201016117 (ÖLFLEX Wire MS 2.15 1 X 4  BU)</v>
          </cell>
          <cell r="B4206" t="str">
            <v>8201016117(ÖLFLEX Wire MS 2.15 1 X 4  BU)</v>
          </cell>
          <cell r="C4206" t="str">
            <v>LAPP</v>
          </cell>
          <cell r="D4206" t="str">
            <v>Lapp-Against Customer PO</v>
          </cell>
        </row>
        <row r="4207">
          <cell r="A4207" t="str">
            <v>8201016115 (ÖLFLEX Wire MS 2.15 1 X 4  GN/YE)</v>
          </cell>
          <cell r="B4207" t="str">
            <v>8201016115(ÖLFLEX Wire MS 2.15 1 X 4  GN/YE)</v>
          </cell>
          <cell r="C4207" t="str">
            <v>LAPP</v>
          </cell>
          <cell r="D4207" t="str">
            <v>Lapp-Against Customer PO</v>
          </cell>
        </row>
        <row r="4208">
          <cell r="A4208" t="str">
            <v>8201016123 (ÖLFLEX Wire MS 2.15 1 X 4  RD)</v>
          </cell>
          <cell r="B4208" t="str">
            <v>8201016123(ÖLFLEX Wire MS 2.15 1 X 4  RD)</v>
          </cell>
          <cell r="C4208" t="str">
            <v>LAPP</v>
          </cell>
          <cell r="D4208" t="str">
            <v>Lapp-Against Customer PO</v>
          </cell>
        </row>
        <row r="4209">
          <cell r="A4209" t="str">
            <v>8201016129 (ÖLFLEX Wire MS 2.15 1 X 6  BK)</v>
          </cell>
          <cell r="B4209" t="str">
            <v>8201016129(ÖLFLEX Wire MS 2.15 1 X 6  BK)</v>
          </cell>
          <cell r="C4209" t="str">
            <v>LAPP</v>
          </cell>
          <cell r="D4209" t="str">
            <v>Lapp-Against Customer PO</v>
          </cell>
        </row>
        <row r="4210">
          <cell r="A4210" t="str">
            <v>38007042 (ÖLFLEX® 100 I  2 x 0.75)</v>
          </cell>
          <cell r="B4210" t="str">
            <v>38007042(ÖLFLEX® 100 I  2 x 0.75)</v>
          </cell>
          <cell r="C4210" t="str">
            <v>LAPP</v>
          </cell>
          <cell r="D4210" t="str">
            <v>Lapp-Against Customer PO</v>
          </cell>
        </row>
        <row r="4211">
          <cell r="A4211" t="str">
            <v>38007081 (ÖLFLEX® 100 I 2 X 4)</v>
          </cell>
          <cell r="B4211" t="str">
            <v>38007081(ÖLFLEX® 100 I 2 X 4)</v>
          </cell>
          <cell r="C4211" t="str">
            <v>LAPP</v>
          </cell>
          <cell r="D4211" t="str">
            <v>Lapp-Against Customer PO</v>
          </cell>
        </row>
        <row r="4212">
          <cell r="A4212" t="str">
            <v>38007091 (ÖLFLEX® 100 I  2 x 6.00)</v>
          </cell>
          <cell r="B4212" t="str">
            <v>38007091(ÖLFLEX® 100 I 2 x 6.00)</v>
          </cell>
          <cell r="C4212" t="str">
            <v>LAPP</v>
          </cell>
          <cell r="D4212" t="str">
            <v>Lapp-Against Customer PO</v>
          </cell>
        </row>
        <row r="4213">
          <cell r="A4213" t="str">
            <v>38001018BK (ÖLFLEX® 100 I 3 G 25 BK)</v>
          </cell>
          <cell r="B4213" t="str">
            <v>38001018BK(ÖLFLEX® 100 I 3 G 25 BK)</v>
          </cell>
          <cell r="C4213" t="str">
            <v>LAPP</v>
          </cell>
          <cell r="D4213" t="str">
            <v>Lapp-Against Customer PO</v>
          </cell>
        </row>
        <row r="4214">
          <cell r="A4214" t="str">
            <v>38001020 (ÖLFLEX® 100 I 3 G 35.00)</v>
          </cell>
          <cell r="B4214" t="str">
            <v>38001020(ÖLFLEX® 100 I 3 G 35.00)</v>
          </cell>
          <cell r="C4214" t="str">
            <v>LAPP</v>
          </cell>
          <cell r="D4214" t="str">
            <v>Lapp-Against Customer PO</v>
          </cell>
        </row>
        <row r="4215">
          <cell r="A4215" t="str">
            <v>38007095 (ÖLFLEX® 100 I  4 G 10.00)</v>
          </cell>
          <cell r="B4215" t="str">
            <v>38007095(ÖLFLEX® 100 I  4 G 10.00)</v>
          </cell>
          <cell r="C4215" t="str">
            <v>LAPP</v>
          </cell>
          <cell r="D4215" t="str">
            <v>Lapp-Against Customer PO</v>
          </cell>
        </row>
        <row r="4216">
          <cell r="A4216" t="str">
            <v>38007093 (ÖLFLEX® 100 I  4 G 6.00)</v>
          </cell>
          <cell r="B4216" t="str">
            <v>38007093(ÖLFLEX® 100 I  4 G 6.00)</v>
          </cell>
          <cell r="C4216" t="str">
            <v>LAPP</v>
          </cell>
          <cell r="D4216" t="str">
            <v>Lapp-Against Customer PO</v>
          </cell>
        </row>
        <row r="4217">
          <cell r="A4217" t="str">
            <v>38001021 (ÖLFLEX® 100 I 5 X 35 GY)</v>
          </cell>
          <cell r="B4217" t="str">
            <v>38001021(ÖLFLEX® 100 I 5 X 35 GY)</v>
          </cell>
          <cell r="C4217" t="str">
            <v>LAPP</v>
          </cell>
          <cell r="D4217" t="str">
            <v>Lapp-Against Customer PO</v>
          </cell>
        </row>
        <row r="4218">
          <cell r="A4218" t="str">
            <v>38007078 (ÖLFLEX® 100 I BLACK 3 G 2.5)</v>
          </cell>
          <cell r="B4218" t="str">
            <v>38007078(ÖLFLEX® 100 I BLACK 3 G 2.5)</v>
          </cell>
          <cell r="C4218" t="str">
            <v>LAPP</v>
          </cell>
          <cell r="D4218" t="str">
            <v>Lapp-Against Customer PO</v>
          </cell>
        </row>
        <row r="4219">
          <cell r="A4219" t="str">
            <v>380400205 (ÖLFLEX® 100 I CY 2 X 0.5 GY)</v>
          </cell>
          <cell r="B4219" t="str">
            <v>380400205(ÖLFLEX® 100 I CY 2 X 0.5 GY)</v>
          </cell>
          <cell r="C4219" t="str">
            <v>LAPP</v>
          </cell>
          <cell r="D4219" t="str">
            <v>Lapp-Against Customer PO</v>
          </cell>
        </row>
        <row r="4220">
          <cell r="A4220" t="str">
            <v>380400315 (ÖLFLEX® 100 I CY 3 G  0.5 GY)</v>
          </cell>
          <cell r="B4220" t="str">
            <v>380400315(ÖLFLEX® 100 I CY 3 G  0.5 GY)</v>
          </cell>
          <cell r="C4220" t="str">
            <v>LAPP</v>
          </cell>
          <cell r="D4220" t="str">
            <v>Lapp-Against Customer PO</v>
          </cell>
        </row>
        <row r="4221">
          <cell r="A4221" t="str">
            <v>380440315 (ÖLFLEX® 100 I CY 3 G  2.5 GY)</v>
          </cell>
          <cell r="B4221" t="str">
            <v>380440315(ÖLFLEX® 100 I CY 3 G  2.5 GY)</v>
          </cell>
          <cell r="C4221" t="str">
            <v>LAPP</v>
          </cell>
          <cell r="D4221" t="str">
            <v>Lapp-Against Customer PO</v>
          </cell>
        </row>
        <row r="4222">
          <cell r="A4222" t="str">
            <v>380400305 (ÖLFLEX® 100 I CY 3 X 0.5 GY)</v>
          </cell>
          <cell r="B4222" t="str">
            <v>380400305(ÖLFLEX® 100 I CY 3 X 0.5 GY)</v>
          </cell>
          <cell r="C4222" t="str">
            <v>LAPP</v>
          </cell>
          <cell r="D4222" t="str">
            <v>Lapp-Against Customer PO</v>
          </cell>
        </row>
        <row r="4223">
          <cell r="A4223" t="str">
            <v>380430415 (ÖLFLEX® 100 I CY 4 G  1.5 GY)</v>
          </cell>
          <cell r="B4223" t="str">
            <v>380430415(ÖLFLEX® 100 I CY 4 G  1.5 GY)</v>
          </cell>
          <cell r="C4223" t="str">
            <v>LAPP</v>
          </cell>
          <cell r="D4223" t="str">
            <v>Lapp-Against Customer PO</v>
          </cell>
        </row>
        <row r="4224">
          <cell r="A4224" t="str">
            <v>380430410 (ÖLFLEX® 100 I CY 4 G  1.5 TRAN)</v>
          </cell>
          <cell r="B4224" t="str">
            <v>380430410(ÖLFLEX® 100 I CY 4 G  1.5 TRAN)</v>
          </cell>
          <cell r="C4224" t="str">
            <v>LAPP</v>
          </cell>
          <cell r="D4224" t="str">
            <v>Lapp-Against Customer PO</v>
          </cell>
        </row>
        <row r="4225">
          <cell r="A4225" t="str">
            <v>380440415 (ÖLFLEX® 100 I CY 4 G  2.5 GY)</v>
          </cell>
          <cell r="B4225" t="str">
            <v>380440415(ÖLFLEX® 100 I CY 4 G  2.5 GY)</v>
          </cell>
          <cell r="C4225" t="str">
            <v>LAPP</v>
          </cell>
          <cell r="D4225" t="str">
            <v>Lapp-Against Customer PO</v>
          </cell>
        </row>
        <row r="4226">
          <cell r="A4226" t="str">
            <v>380465415 (ÖLFLEX® 100 I CY 4 G  50 GY)</v>
          </cell>
          <cell r="B4226" t="str">
            <v>380465415(ÖLFLEX® 100 I CY 4 G  50 GY)</v>
          </cell>
          <cell r="C4226" t="str">
            <v>LAPP</v>
          </cell>
          <cell r="D4226" t="str">
            <v>Lapp-Against Customer PO</v>
          </cell>
        </row>
        <row r="4227">
          <cell r="A4227" t="str">
            <v>380460410 (ÖLFLEX® 100 I CY 4 G  6 TRAN)</v>
          </cell>
          <cell r="B4227" t="str">
            <v>380460410(ÖLFLEX® 100 I CY 4 G 6 TRAN)</v>
          </cell>
          <cell r="C4227" t="str">
            <v>LAPP</v>
          </cell>
          <cell r="D4227" t="str">
            <v>Lapp-Against Customer PO</v>
          </cell>
        </row>
        <row r="4228">
          <cell r="A4228" t="str">
            <v>380400405 (ÖLFLEX® 100 I CY 4 X 0.5 GY)</v>
          </cell>
          <cell r="B4228" t="str">
            <v>380400405(ÖLFLEX® 100 I CY 4 X 0.5 GY)</v>
          </cell>
          <cell r="C4228" t="str">
            <v>LAPP</v>
          </cell>
          <cell r="D4228" t="str">
            <v>Lapp-Against Customer PO</v>
          </cell>
        </row>
        <row r="4229">
          <cell r="A4229" t="str">
            <v>380440400 (ÖLFLEX® 100 I CY 4 X 2.5 TRAN)</v>
          </cell>
          <cell r="B4229" t="str">
            <v>380440400(ÖLFLEX® 100 I CY 4 X 2.5 TRAN)</v>
          </cell>
          <cell r="C4229" t="str">
            <v>LAPP</v>
          </cell>
          <cell r="D4229" t="str">
            <v>Lapp-Against Customer PO</v>
          </cell>
        </row>
        <row r="4230">
          <cell r="A4230" t="str">
            <v>380450405 (ÖLFLEX® 100 I CY 4 X 4 GY)</v>
          </cell>
          <cell r="B4230" t="str">
            <v>380450405(ÖLFLEX® 100 I CY 4 X 4 GY)</v>
          </cell>
          <cell r="C4230" t="str">
            <v>LAPP</v>
          </cell>
          <cell r="D4230" t="str">
            <v>Lapp-Against Customer PO</v>
          </cell>
        </row>
        <row r="4231">
          <cell r="A4231" t="str">
            <v>380450515 (ÖLFLEX® 100 I CY 5 G  4 GY)</v>
          </cell>
          <cell r="B4231" t="str">
            <v>380450515(ÖLFLEX® 100 I CY 5 G 4 GY)</v>
          </cell>
          <cell r="C4231" t="str">
            <v>LAPP</v>
          </cell>
          <cell r="D4231" t="str">
            <v>Lapp-Against Customer PO</v>
          </cell>
        </row>
        <row r="4232">
          <cell r="A4232" t="str">
            <v>380400505 (ÖLFLEX® 100 I CY 5 X 0.5 GY)</v>
          </cell>
          <cell r="B4232" t="str">
            <v>380400505(ÖLFLEX® 100 I CY 5 X 0.5 GY)</v>
          </cell>
          <cell r="C4232" t="str">
            <v>LAPP</v>
          </cell>
          <cell r="D4232" t="str">
            <v>Lapp-Against Customer PO</v>
          </cell>
        </row>
        <row r="4233">
          <cell r="A4233" t="str">
            <v>380640415 (ÖLFLEX® 100 I CY FR-LSH  4G 2.5  GY)</v>
          </cell>
          <cell r="B4233" t="str">
            <v>380640415(ÖLFLEX® 100 I CY FR-LSH  4G 2.5  GY)</v>
          </cell>
          <cell r="C4233" t="str">
            <v>LAPP</v>
          </cell>
          <cell r="D4233" t="str">
            <v>Lapp-Against Customer PO</v>
          </cell>
        </row>
        <row r="4234">
          <cell r="A4234" t="str">
            <v>380820315 (ÖLFLEX® 100 I FR-LSH 3 G 1 GY)</v>
          </cell>
          <cell r="B4234" t="str">
            <v>380820315(ÖLFLEX® 100 I FR-LSH 3 G 1 GY)</v>
          </cell>
          <cell r="C4234" t="str">
            <v>LAPP</v>
          </cell>
          <cell r="D4234" t="str">
            <v>Lapp-Against Customer PO</v>
          </cell>
        </row>
        <row r="4235">
          <cell r="A4235" t="str">
            <v>380830305 (ÖLFLEX® 100 I FR-LSH  3 x 1.5  GY)</v>
          </cell>
          <cell r="B4235" t="str">
            <v>380830305(ÖLFLEX® 100 I FR-LSH 3 x 1.5 GY)</v>
          </cell>
          <cell r="C4235" t="str">
            <v>LAPP</v>
          </cell>
          <cell r="D4235" t="str">
            <v>Lapp-Against Customer PO</v>
          </cell>
        </row>
        <row r="4236">
          <cell r="A4236" t="str">
            <v>380100200 (ÖLFLEX® 100 I SY 2 X 0.5 TRAN)</v>
          </cell>
          <cell r="B4236" t="str">
            <v>380100200(ÖLFLEX® 100 I SY 2 X 0.5 TRAN)</v>
          </cell>
          <cell r="C4236" t="str">
            <v>LAPP</v>
          </cell>
          <cell r="D4236" t="str">
            <v>Lapp-Against Customer PO</v>
          </cell>
        </row>
        <row r="4237">
          <cell r="A4237" t="str">
            <v>380163315 (ÖLFLEX® 100 I SY 3 G  25 GY)</v>
          </cell>
          <cell r="B4237" t="str">
            <v>380163315(ÖLFLEX® 100 I SY 3 G 25 GY)</v>
          </cell>
          <cell r="C4237" t="str">
            <v>LAPP</v>
          </cell>
          <cell r="D4237" t="str">
            <v>Lapp-Against Customer PO</v>
          </cell>
        </row>
        <row r="4238">
          <cell r="A4238" t="str">
            <v>380130305 (ÖLFLEX® 100 I SY 3 X 1.5 GY)</v>
          </cell>
          <cell r="B4238" t="str">
            <v>380130305(ÖLFLEX® 100 I SY 3 X 1.5 GY)</v>
          </cell>
          <cell r="C4238" t="str">
            <v>LAPP</v>
          </cell>
          <cell r="D4238" t="str">
            <v>Lapp-Against Customer PO</v>
          </cell>
        </row>
        <row r="4239">
          <cell r="A4239" t="str">
            <v>380130300 (ÖLFLEX® 100 I SY 3 X 1.5 TRAN)</v>
          </cell>
          <cell r="B4239" t="str">
            <v>380130300(ÖLFLEX® 100 I SY 3 X 1.5 TRAN)</v>
          </cell>
          <cell r="C4239" t="str">
            <v>LAPP</v>
          </cell>
          <cell r="D4239" t="str">
            <v>Lapp-Against Customer PO</v>
          </cell>
        </row>
        <row r="4240">
          <cell r="A4240" t="str">
            <v>380140305 (ÖLFLEX® 100 I SY 3 X 2.5 GY)</v>
          </cell>
          <cell r="B4240" t="str">
            <v>380140305(ÖLFLEX® 100 I SY 3 X 2.5 GY)</v>
          </cell>
          <cell r="C4240" t="str">
            <v>LAPP</v>
          </cell>
          <cell r="D4240" t="str">
            <v>Lapp-Against Customer PO</v>
          </cell>
        </row>
        <row r="4241">
          <cell r="A4241" t="str">
            <v>380162410 (ÖLFLEX® 100 I SY 4 G  16 TRAN)</v>
          </cell>
          <cell r="B4241" t="str">
            <v>380162410(ÖLFLEX® 100 I SY 4 G  16 TRAN)</v>
          </cell>
          <cell r="C4241" t="str">
            <v>LAPP</v>
          </cell>
          <cell r="D4241" t="str">
            <v>Lapp-Against Customer PO</v>
          </cell>
        </row>
        <row r="4242">
          <cell r="A4242" t="str">
            <v>380162435 (ÖLFLEX® 100 I SY 4G 16 UVAR GY)</v>
          </cell>
          <cell r="B4242" t="str">
            <v>380162435(ÖLFLEX® 100 I SY 4G 16 UVAR GY)</v>
          </cell>
          <cell r="C4242" t="str">
            <v>LAPP</v>
          </cell>
          <cell r="D4242" t="str">
            <v>Lapp-Against Customer PO</v>
          </cell>
        </row>
        <row r="4243">
          <cell r="A4243" t="str">
            <v>380163415 (ÖLFLEX® 100 I SY 4 G  25 Grey)</v>
          </cell>
          <cell r="B4243" t="str">
            <v>380163415(ÖLFLEX® 100 I SY 4 G  25 Grey)</v>
          </cell>
          <cell r="C4243" t="str">
            <v>LAPP</v>
          </cell>
          <cell r="D4243" t="str">
            <v>Lapp-Against Customer PO</v>
          </cell>
        </row>
        <row r="4244">
          <cell r="A4244" t="str">
            <v>380163410 (ÖLFLEX® 100 I SY 4 G  25 TRAN)</v>
          </cell>
          <cell r="B4244" t="str">
            <v>380163410(ÖLFLEX® 100 I SY 4 G  25 TRAN)</v>
          </cell>
          <cell r="C4244" t="str">
            <v>LAPP</v>
          </cell>
          <cell r="D4244" t="str">
            <v>Lapp-Against Customer PO</v>
          </cell>
        </row>
        <row r="4245">
          <cell r="A4245" t="str">
            <v>380140435 (ÖLFLEX® 100 I SY 4G 2.5 UVAR GY)</v>
          </cell>
          <cell r="B4245" t="str">
            <v>380140435(ÖLFLEX® 100 I SY 4G 2.5 UVAR GY)</v>
          </cell>
          <cell r="C4245" t="str">
            <v>LAPP</v>
          </cell>
          <cell r="D4245" t="str">
            <v>Lapp-Against Customer PO</v>
          </cell>
        </row>
        <row r="4246">
          <cell r="A4246" t="str">
            <v>380150435 (ÖLFLEX® 100 I SY 4G 4 UVAR GY)</v>
          </cell>
          <cell r="B4246" t="str">
            <v>380150435(ÖLFLEX® 100 I SY 4G 4 UVAR GY)</v>
          </cell>
          <cell r="C4246" t="str">
            <v>LAPP</v>
          </cell>
          <cell r="D4246" t="str">
            <v>Lapp-Against Customer PO</v>
          </cell>
        </row>
        <row r="4247">
          <cell r="A4247" t="str">
            <v>380165415 (ÖLFLEX® 100 I SY 4 G 50 GY)</v>
          </cell>
          <cell r="B4247" t="str">
            <v>380165415(ÖLFLEX® 100 I SY 4 G 50 GY)</v>
          </cell>
          <cell r="C4247" t="str">
            <v>LAPP</v>
          </cell>
          <cell r="D4247" t="str">
            <v>Lapp-Against Customer PO</v>
          </cell>
        </row>
        <row r="4248">
          <cell r="A4248" t="str">
            <v>380165410 (ÖLFLEX® 100 I SY 4 G  50 TRAN)</v>
          </cell>
          <cell r="B4248" t="str">
            <v>380165410(ÖLFLEX® 100 I SY 4 G  50 TRAN)</v>
          </cell>
          <cell r="C4248" t="str">
            <v>LAPP</v>
          </cell>
          <cell r="D4248" t="str">
            <v>Lapp-Against Customer PO</v>
          </cell>
        </row>
        <row r="4249">
          <cell r="A4249" t="str">
            <v>380165435 (ÖLFLEX® 100 I SY 4G 50 UVAR GY)</v>
          </cell>
          <cell r="B4249" t="str">
            <v>380165435(ÖLFLEX® 100 I SY 4G 50 UVAR GY)</v>
          </cell>
          <cell r="C4249" t="str">
            <v>LAPP</v>
          </cell>
          <cell r="D4249" t="str">
            <v>Lapp-Against Customer PO</v>
          </cell>
        </row>
        <row r="4250">
          <cell r="A4250" t="str">
            <v>380160435 (ÖLFLEX® 100 I SY 4G 6 UVAR GY)</v>
          </cell>
          <cell r="B4250" t="str">
            <v>380160435(ÖLFLEX® 100 I SY 4G 6 UVAR GY)</v>
          </cell>
          <cell r="C4250" t="str">
            <v>LAPP</v>
          </cell>
          <cell r="D4250" t="str">
            <v>Lapp-Against Customer PO</v>
          </cell>
        </row>
        <row r="4251">
          <cell r="A4251" t="str">
            <v>380165400 (ÖLFLEX® 100 I SY 4 X 50 TRAN)</v>
          </cell>
          <cell r="B4251" t="str">
            <v>380165400(ÖLFLEX® 100 I SY 4 X 50 TRAN)</v>
          </cell>
          <cell r="C4251" t="str">
            <v>LAPP</v>
          </cell>
          <cell r="D4251" t="str">
            <v>Lapp-Against Customer PO</v>
          </cell>
        </row>
        <row r="4252">
          <cell r="A4252" t="str">
            <v>380150515 (ÖLFLEX® 100 I SY 5 G  4 GY)</v>
          </cell>
          <cell r="B4252" t="str">
            <v>380150515(ÖLFLEX® 100 I SY 5 G 4 GY)</v>
          </cell>
          <cell r="C4252" t="str">
            <v>LAPP</v>
          </cell>
          <cell r="D4252" t="str">
            <v>Lapp-Against Customer PO</v>
          </cell>
        </row>
        <row r="4253">
          <cell r="A4253" t="str">
            <v>380350419 (ÖLFLEX® 100I SY FR-LSH 4G 4 BK)</v>
          </cell>
          <cell r="B4253" t="str">
            <v>380350419(ÖLFLEX® 100I SY FR-LSH 4G 4 BK)</v>
          </cell>
          <cell r="C4253" t="str">
            <v>LAPP</v>
          </cell>
          <cell r="D4253" t="str">
            <v>Lapp-Against Customer PO</v>
          </cell>
        </row>
        <row r="4254">
          <cell r="A4254" t="str">
            <v>380360419 (ÖLFLEX® 100I SY FR-LSH 4G 6 BK)</v>
          </cell>
          <cell r="B4254" t="str">
            <v>380360419(ÖLFLEX® 100I SY FR-LSH 4G 6 BK)</v>
          </cell>
          <cell r="C4254" t="str">
            <v>LAPP</v>
          </cell>
          <cell r="D4254" t="str">
            <v>Lapp-Against Customer PO</v>
          </cell>
        </row>
        <row r="4255">
          <cell r="A4255" t="str">
            <v>11191101 (Ölflex® 110  10 G 0.75 mm²_x000D_
)</v>
          </cell>
          <cell r="B4255" t="str">
            <v>11191101(Ölflex® 110  10 G 0.75 mm²_x000D_
)</v>
          </cell>
          <cell r="C4255" t="str">
            <v>LAPP</v>
          </cell>
          <cell r="D4255" t="str">
            <v>Lapp-Against Customer PO</v>
          </cell>
        </row>
        <row r="4256">
          <cell r="A4256" t="str">
            <v>11192101 (Ölflex® 110 10G1)</v>
          </cell>
          <cell r="B4256" t="str">
            <v>11192101(Ölflex® 110 10G1)</v>
          </cell>
          <cell r="C4256" t="str">
            <v>LAPP</v>
          </cell>
          <cell r="D4256" t="str">
            <v>Lapp-Against Customer PO</v>
          </cell>
        </row>
        <row r="4257">
          <cell r="A4257" t="str">
            <v>11193101_x000D_
 (Ölflex® 110 10G1.5_x000D_
)</v>
          </cell>
          <cell r="B4257" t="str">
            <v>11193101_x000D_
(Ölflex® 110 10G1.5_x000D_
)</v>
          </cell>
          <cell r="C4257" t="str">
            <v>LAPP</v>
          </cell>
          <cell r="D4257" t="str">
            <v>Lapp-Against Customer PO</v>
          </cell>
        </row>
        <row r="4258">
          <cell r="A4258" t="str">
            <v>11191181_x000D_
 (Ölflex® 110  18 G 0.75 Mm²_x000D_
)</v>
          </cell>
          <cell r="B4258" t="str">
            <v>11191181_x000D_
(Ölflex® 110  18 G 0.75 Mm²_x000D_
)</v>
          </cell>
          <cell r="C4258" t="str">
            <v>LAPP</v>
          </cell>
          <cell r="D4258" t="str">
            <v>Lapp-Against Customer PO</v>
          </cell>
        </row>
        <row r="4259">
          <cell r="A4259" t="str">
            <v>11199021 (Ölflex® 110  2 x 1.5 mm²)</v>
          </cell>
          <cell r="B4259" t="str">
            <v>11199021(Ölflex® 110  2 x 1.5 mm²)</v>
          </cell>
          <cell r="C4259" t="str">
            <v>LAPP</v>
          </cell>
          <cell r="D4259" t="str">
            <v>Lapp-Against Customer PO</v>
          </cell>
        </row>
        <row r="4260">
          <cell r="A4260" t="str">
            <v>11196031 (Ölflex® 110  - 3 G 6.0 mm²)</v>
          </cell>
          <cell r="B4260" t="str">
            <v>11196031(Ölflex® 110  - 3 G 6.0 mm²)</v>
          </cell>
          <cell r="C4260" t="str">
            <v>LAPP</v>
          </cell>
          <cell r="D4260" t="str">
            <v>Lapp-Against Customer PO</v>
          </cell>
        </row>
        <row r="4261">
          <cell r="A4261" t="str">
            <v>11198031 (Ölflex® 110  3 x 0.75 mm²)</v>
          </cell>
          <cell r="B4261" t="str">
            <v>11198031(Ölflex® 110  3 x 0.75 mm²)</v>
          </cell>
          <cell r="C4261" t="str">
            <v>LAPP</v>
          </cell>
          <cell r="D4261" t="str">
            <v>Lapp-Against Customer PO</v>
          </cell>
        </row>
        <row r="4262">
          <cell r="A4262" t="str">
            <v>11198531 (Ölflex® 110  3 x 1.0 mm²)</v>
          </cell>
          <cell r="B4262" t="str">
            <v>11198531(Ölflex® 110  3 x 1.0 mm²)</v>
          </cell>
          <cell r="C4262" t="str">
            <v>LAPP</v>
          </cell>
          <cell r="D4262" t="str">
            <v>Lapp-Against Customer PO</v>
          </cell>
        </row>
        <row r="4263">
          <cell r="A4263" t="str">
            <v>11194071 (Ölflex® 110 7G2.5)</v>
          </cell>
          <cell r="B4263" t="str">
            <v>11194071(Ölflex® 110 7G2.5)</v>
          </cell>
          <cell r="C4263" t="str">
            <v>LAPP</v>
          </cell>
          <cell r="D4263" t="str">
            <v>Lapp-Against Customer PO</v>
          </cell>
        </row>
        <row r="4264">
          <cell r="A4264" t="str">
            <v>1135852 (Ölflex® 110 CY  - 2 x 1.0 Mm²_x000D_
)</v>
          </cell>
          <cell r="B4264" t="str">
            <v>1135852(Ölflex® 110 CY  - 2 x 1.0 Mm²_x000D_
)</v>
          </cell>
          <cell r="C4264" t="str">
            <v>LAPP</v>
          </cell>
          <cell r="D4264" t="str">
            <v>Lapp-Against Customer PO</v>
          </cell>
        </row>
        <row r="4265">
          <cell r="A4265" t="str">
            <v>11350031 (Ölflex® 110 CY  3 G 0.5 mm²)</v>
          </cell>
          <cell r="B4265" t="str">
            <v>11350031(Ölflex® 110 CY  3 G 0.5 mm²)</v>
          </cell>
          <cell r="C4265" t="str">
            <v>LAPP</v>
          </cell>
          <cell r="D4265" t="str">
            <v>Lapp-Against Customer PO</v>
          </cell>
        </row>
        <row r="4266">
          <cell r="A4266" t="str">
            <v>1135203 (Ölflex® 110 CY 3G1)</v>
          </cell>
          <cell r="B4266" t="str">
            <v>1135203(Ölflex® 110 CY 3G1)</v>
          </cell>
          <cell r="C4266" t="str">
            <v>LAPP</v>
          </cell>
          <cell r="D4266" t="str">
            <v>Lapp-Against Customer PO</v>
          </cell>
        </row>
        <row r="4267">
          <cell r="A4267" t="str">
            <v>11351041 (Ölflex® 110 CY 4G0.75)</v>
          </cell>
          <cell r="B4267" t="str">
            <v>11351041(Ölflex® 110 CY 4G0.75)</v>
          </cell>
          <cell r="C4267" t="str">
            <v>LAPP</v>
          </cell>
          <cell r="D4267" t="str">
            <v>Lapp-Against Customer PO</v>
          </cell>
        </row>
        <row r="4268">
          <cell r="A4268" t="str">
            <v>11355041_x000D_
 (Ölflex® 110 CY 4G4_x000D_
)</v>
          </cell>
          <cell r="B4268" t="str">
            <v>11355041_x000D_
(Ölflex® 110 CY 4G4_x000D_
)</v>
          </cell>
          <cell r="C4268" t="str">
            <v>LAPP</v>
          </cell>
          <cell r="D4268" t="str">
            <v>Lapp-Against Customer PO</v>
          </cell>
        </row>
        <row r="4269">
          <cell r="A4269" t="str">
            <v>383150410 (ÖLFLEX® 110 CY 4 G 4 1100V TRAN)</v>
          </cell>
          <cell r="B4269" t="str">
            <v>383150410(ÖLFLEX® 110 CY 4 G 4 1100V TRAN)</v>
          </cell>
          <cell r="C4269" t="str">
            <v>LAPP</v>
          </cell>
          <cell r="D4269" t="str">
            <v>Lapp-Against Customer PO</v>
          </cell>
        </row>
        <row r="4270">
          <cell r="A4270" t="str">
            <v>386140410 (ÖLFLEX® 110 SY 4 G 2.5 1100V TRAN)</v>
          </cell>
          <cell r="B4270" t="str">
            <v>386140410(ÖLFLEX® 110 SY 4 G 2.5 1100V TRAN)</v>
          </cell>
          <cell r="C4270" t="str">
            <v>LAPP</v>
          </cell>
          <cell r="D4270" t="str">
            <v>Lapp-Against Customer PO</v>
          </cell>
        </row>
        <row r="4271">
          <cell r="A4271" t="str">
            <v>386160410 (ÖLFLEX® 110 SY 4 G 6 1100V TRAN)</v>
          </cell>
          <cell r="B4271" t="str">
            <v>386160410(ÖLFLEX® 110 SY 4 G 6 1100V TRAN)</v>
          </cell>
          <cell r="C4271" t="str">
            <v>LAPP</v>
          </cell>
          <cell r="D4271" t="str">
            <v>Lapp-Against Customer PO</v>
          </cell>
        </row>
        <row r="4272">
          <cell r="A4272" t="str">
            <v>0011012 (ÖLFLEX® 140 H05VV5-F 12G0,75)</v>
          </cell>
          <cell r="B4272" t="str">
            <v>0011012(ÖLFLEX® 140 H05VV5-F 12G0,75)</v>
          </cell>
          <cell r="C4272" t="str">
            <v>LAPP</v>
          </cell>
          <cell r="D4272" t="str">
            <v>Lapp-Against Customer PO</v>
          </cell>
        </row>
        <row r="4273">
          <cell r="A4273" t="str">
            <v>0011014 (ÖLFLEX® 140 H05VV5-F 25G0,75)</v>
          </cell>
          <cell r="B4273" t="str">
            <v>0011014(ÖLFLEX® 140 H05VV5-F 25G0,75)</v>
          </cell>
          <cell r="C4273" t="str">
            <v>LAPP</v>
          </cell>
          <cell r="D4273" t="str">
            <v>Lapp-Against Customer PO</v>
          </cell>
        </row>
        <row r="4274">
          <cell r="A4274" t="str">
            <v>0011029 (ÖLFLEX® 140 H05VV5-F 7G1,5)</v>
          </cell>
          <cell r="B4274" t="str">
            <v>0011029(ÖLFLEX® 140 H05VV5-F 7G1,5)</v>
          </cell>
          <cell r="C4274" t="str">
            <v>LAPP</v>
          </cell>
          <cell r="D4274" t="str">
            <v>Lapp-Against Customer PO</v>
          </cell>
        </row>
        <row r="4275">
          <cell r="A4275" t="str">
            <v>0015018 (ÖLFLEX® 150 18G0,5)</v>
          </cell>
          <cell r="B4275" t="str">
            <v>0015018(ÖLFLEX® 150 18G0,5)</v>
          </cell>
          <cell r="C4275" t="str">
            <v>LAPP</v>
          </cell>
          <cell r="D4275" t="str">
            <v>Lapp-Against Customer PO</v>
          </cell>
        </row>
        <row r="4276">
          <cell r="A4276" t="str">
            <v>0015034 (ÖLFLEX® 150 34G0,5)</v>
          </cell>
          <cell r="B4276" t="str">
            <v>0015034(ÖLFLEX® 150 34G0,5)</v>
          </cell>
          <cell r="C4276" t="str">
            <v>LAPP</v>
          </cell>
          <cell r="D4276" t="str">
            <v>Lapp-Against Customer PO</v>
          </cell>
        </row>
        <row r="4277">
          <cell r="A4277" t="str">
            <v>0015141 (ÖLFLEX® 150 41G0,75)</v>
          </cell>
          <cell r="B4277" t="str">
            <v>0015141(ÖLFLEX® 150 41G0,75)</v>
          </cell>
          <cell r="C4277" t="str">
            <v>LAPP</v>
          </cell>
          <cell r="D4277" t="str">
            <v>Lapp-Against Customer PO</v>
          </cell>
        </row>
        <row r="4278">
          <cell r="A4278" t="str">
            <v>0015004 (ÖLFLEX® 150 4G0,5)</v>
          </cell>
          <cell r="B4278" t="str">
            <v>0015004(ÖLFLEX® 150 4G0,5)</v>
          </cell>
          <cell r="C4278" t="str">
            <v>LAPP</v>
          </cell>
          <cell r="D4278" t="str">
            <v>Lapp-Against Customer PO</v>
          </cell>
        </row>
        <row r="4279">
          <cell r="A4279" t="str">
            <v>0015250 (ÖLFLEX® 150 50G1)</v>
          </cell>
          <cell r="B4279" t="str">
            <v>0015250(ÖLFLEX® 150 50G1)</v>
          </cell>
          <cell r="C4279" t="str">
            <v>LAPP</v>
          </cell>
          <cell r="D4279" t="str">
            <v>Lapp-Against Customer PO</v>
          </cell>
        </row>
        <row r="4280">
          <cell r="A4280" t="str">
            <v>0015005 (ÖLFLEX® 150 5G0,5)</v>
          </cell>
          <cell r="B4280" t="str">
            <v>0015005(ÖLFLEX® 150 5G0,5)</v>
          </cell>
          <cell r="C4280" t="str">
            <v>LAPP</v>
          </cell>
          <cell r="D4280" t="str">
            <v>Lapp-Against Customer PO</v>
          </cell>
        </row>
        <row r="4281">
          <cell r="A4281" t="str">
            <v>0015107 (ÖLFLEX® 150 7G0,75)</v>
          </cell>
          <cell r="B4281" t="str">
            <v>0015107(ÖLFLEX® 150 7G0,75)</v>
          </cell>
          <cell r="C4281" t="str">
            <v>LAPP</v>
          </cell>
          <cell r="D4281" t="str">
            <v>Lapp-Against Customer PO</v>
          </cell>
        </row>
        <row r="4282">
          <cell r="A4282" t="str">
            <v>0015602 (ÖLFLEX® 150 CY 2X0,75)</v>
          </cell>
          <cell r="B4282" t="str">
            <v>0015602(ÖLFLEX® 150 CY 2X0,75)</v>
          </cell>
          <cell r="C4282" t="str">
            <v>LAPP</v>
          </cell>
          <cell r="D4282" t="str">
            <v>Lapp-Against Customer PO</v>
          </cell>
        </row>
        <row r="4283">
          <cell r="A4283" t="str">
            <v>0015702 (ÖLFLEX® 150 CY 2X1)</v>
          </cell>
          <cell r="B4283" t="str">
            <v>0015702(ÖLFLEX® 150 CY 2X1)</v>
          </cell>
          <cell r="C4283" t="str">
            <v>LAPP</v>
          </cell>
          <cell r="D4283" t="str">
            <v>Lapp-Against Customer PO</v>
          </cell>
        </row>
        <row r="4284">
          <cell r="A4284" t="str">
            <v>0015904 (ÖLFLEX®  150 CY 4G2,5)</v>
          </cell>
          <cell r="B4284" t="str">
            <v>0015904(ÖLFLEX® 150 CY 4G2,5)</v>
          </cell>
          <cell r="C4284" t="str">
            <v>LAPP</v>
          </cell>
          <cell r="D4284" t="str">
            <v>Lapp-Against Customer PO</v>
          </cell>
        </row>
        <row r="4285">
          <cell r="A4285" t="str">
            <v>0011224 (ÖLFLEX® 191 12G0,75)</v>
          </cell>
          <cell r="B4285" t="str">
            <v>0011224(ÖLFLEX® 191 12G0,75)</v>
          </cell>
          <cell r="C4285" t="str">
            <v>LAPP</v>
          </cell>
          <cell r="D4285" t="str">
            <v>Lapp-Against Customer PO</v>
          </cell>
        </row>
        <row r="4286">
          <cell r="A4286" t="str">
            <v>0011117 (ÖLFLEX® 191 12G1)</v>
          </cell>
          <cell r="B4286" t="str">
            <v>0011117(ÖLFLEX® 191 12G1)</v>
          </cell>
          <cell r="C4286" t="str">
            <v>LAPP</v>
          </cell>
          <cell r="D4286" t="str">
            <v>Lapp-Against Customer PO</v>
          </cell>
        </row>
        <row r="4287">
          <cell r="A4287" t="str">
            <v>0011119 (ÖLFLEX® 191 25G1)</v>
          </cell>
          <cell r="B4287" t="str">
            <v>0011119(ÖLFLEX® 191 25G1)</v>
          </cell>
          <cell r="C4287" t="str">
            <v>LAPP</v>
          </cell>
          <cell r="D4287" t="str">
            <v>Lapp-Against Customer PO</v>
          </cell>
        </row>
        <row r="4288">
          <cell r="A4288" t="str">
            <v>0011150 (ÖLFLEX® 191 3G2,5)</v>
          </cell>
          <cell r="B4288" t="str">
            <v>0011150(ÖLFLEX® 191 3G2,5)</v>
          </cell>
          <cell r="C4288" t="str">
            <v>LAPP</v>
          </cell>
          <cell r="D4288" t="str">
            <v>Lapp-Against Customer PO</v>
          </cell>
        </row>
        <row r="4289">
          <cell r="A4289" t="str">
            <v>0011169 (ÖLFLEX® 191 4G10)</v>
          </cell>
          <cell r="B4289" t="str">
            <v>0011169(ÖLFLEX® 191 4G10)</v>
          </cell>
          <cell r="C4289" t="str">
            <v>LAPP</v>
          </cell>
          <cell r="D4289" t="str">
            <v>Lapp-Against Customer PO</v>
          </cell>
        </row>
        <row r="4290">
          <cell r="A4290" t="str">
            <v>0011208 (ÖLFLEX® 191 4G120)</v>
          </cell>
          <cell r="B4290" t="str">
            <v>0011208(ÖLFLEX® 191 4G120)</v>
          </cell>
          <cell r="C4290" t="str">
            <v>LAPP</v>
          </cell>
          <cell r="D4290" t="str">
            <v>Lapp-Against Customer PO</v>
          </cell>
        </row>
        <row r="4291">
          <cell r="A4291" t="str">
            <v>0011175 (ÖLFLEX® 191 4G25)</v>
          </cell>
          <cell r="B4291" t="str">
            <v>0011175(ÖLFLEX® 191 4G25)</v>
          </cell>
          <cell r="C4291" t="str">
            <v>LAPP</v>
          </cell>
          <cell r="D4291" t="str">
            <v>Lapp-Against Customer PO</v>
          </cell>
        </row>
        <row r="4292">
          <cell r="A4292" t="str">
            <v>0011161 (ÖLFLEX® 191 4G4)</v>
          </cell>
          <cell r="B4292" t="str">
            <v>0011161(ÖLFLEX® 191 4G4)</v>
          </cell>
          <cell r="C4292" t="str">
            <v>LAPP</v>
          </cell>
          <cell r="D4292" t="str">
            <v>Lapp-Against Customer PO</v>
          </cell>
        </row>
        <row r="4293">
          <cell r="A4293" t="str">
            <v>0011170 (ÖLFLEX® 191 5G10)</v>
          </cell>
          <cell r="B4293" t="str">
            <v>0011170(ÖLFLEX® 191 5G10)</v>
          </cell>
          <cell r="C4293" t="str">
            <v>LAPP</v>
          </cell>
          <cell r="D4293" t="str">
            <v>Lapp-Against Customer PO</v>
          </cell>
        </row>
        <row r="4294">
          <cell r="A4294" t="str">
            <v>0011222 (ÖLFLEX® 191 7G0,75)</v>
          </cell>
          <cell r="B4294" t="str">
            <v>0011222(ÖLFLEX® 191 7G0,75)</v>
          </cell>
          <cell r="C4294" t="str">
            <v>LAPP</v>
          </cell>
          <cell r="D4294" t="str">
            <v>Lapp-Against Customer PO</v>
          </cell>
        </row>
        <row r="4295">
          <cell r="A4295" t="str">
            <v>0011116 (ÖLFLEX® 191 7G1)</v>
          </cell>
          <cell r="B4295" t="str">
            <v>0011116(ÖLFLEX® 191 7G1)</v>
          </cell>
          <cell r="C4295" t="str">
            <v>LAPP</v>
          </cell>
          <cell r="D4295" t="str">
            <v>Lapp-Against Customer PO</v>
          </cell>
        </row>
        <row r="4296">
          <cell r="A4296" t="str">
            <v>0011188 (ÖLFLEX® 191CY  4G1,5)</v>
          </cell>
          <cell r="B4296" t="str">
            <v>0011188(ÖLFLEX® 191CY  4G1,5)</v>
          </cell>
          <cell r="C4296" t="str">
            <v>LAPP</v>
          </cell>
          <cell r="D4296" t="str">
            <v>Lapp-Against Customer PO</v>
          </cell>
        </row>
        <row r="4297">
          <cell r="A4297" t="str">
            <v>0011234 (ÖLFLEX® 191CY  7G0,75)</v>
          </cell>
          <cell r="B4297" t="str">
            <v>0011234(ÖLFLEX® 191CY  7G0,75)</v>
          </cell>
          <cell r="C4297" t="str">
            <v>LAPP</v>
          </cell>
          <cell r="D4297" t="str">
            <v>Lapp-Against Customer PO</v>
          </cell>
        </row>
        <row r="4298">
          <cell r="A4298" t="str">
            <v>00123473 (ÖLFLEX® 500 P 4G1)</v>
          </cell>
          <cell r="B4298" t="str">
            <v>00123473(ÖLFLEX® 500 P 4G1)</v>
          </cell>
          <cell r="C4298" t="str">
            <v>LAPP</v>
          </cell>
          <cell r="D4298" t="str">
            <v>Lapp-Against Customer PO</v>
          </cell>
        </row>
        <row r="4299">
          <cell r="A4299" t="str">
            <v>1026705 (ÖLFLEX® CHAIN 809 12G0,5)</v>
          </cell>
          <cell r="B4299" t="str">
            <v>1026705(ÖLFLEX® CHAIN 809 12G0,5)</v>
          </cell>
          <cell r="C4299" t="str">
            <v>LAPP</v>
          </cell>
          <cell r="D4299" t="str">
            <v>Lapp-Against Customer PO</v>
          </cell>
        </row>
        <row r="4300">
          <cell r="A4300" t="str">
            <v>1026729 (ÖLFLEX® CHAIN 809 12G1,5)</v>
          </cell>
          <cell r="B4300" t="str">
            <v>1026729(ÖLFLEX® CHAIN 809 12G1,5)</v>
          </cell>
          <cell r="C4300" t="str">
            <v>LAPP</v>
          </cell>
          <cell r="D4300" t="str">
            <v>Lapp-Against Customer PO</v>
          </cell>
        </row>
        <row r="4301">
          <cell r="A4301" t="str">
            <v>1026706 (ÖLFLEX® CHAIN 809 18G0,5)</v>
          </cell>
          <cell r="B4301" t="str">
            <v>1026706(ÖLFLEX® CHAIN 809 18G0,5)</v>
          </cell>
          <cell r="C4301" t="str">
            <v>LAPP</v>
          </cell>
          <cell r="D4301" t="str">
            <v>Lapp-Against Customer PO</v>
          </cell>
        </row>
        <row r="4302">
          <cell r="A4302" t="str">
            <v>1026707 (ÖLFLEX® CHAIN 809 25G0,5)</v>
          </cell>
          <cell r="B4302" t="str">
            <v>1026707(ÖLFLEX® CHAIN 809 25G0,5)</v>
          </cell>
          <cell r="C4302" t="str">
            <v>LAPP</v>
          </cell>
          <cell r="D4302" t="str">
            <v>Lapp-Against Customer PO</v>
          </cell>
        </row>
        <row r="4303">
          <cell r="A4303" t="str">
            <v>1026716 (ÖLFLEX® CHAIN 809 2X1,0)</v>
          </cell>
          <cell r="B4303" t="str">
            <v>1026716(ÖLFLEX® CHAIN 809 2X1,0)</v>
          </cell>
          <cell r="C4303" t="str">
            <v>LAPP</v>
          </cell>
          <cell r="D4303" t="str">
            <v>Lapp-Against Customer PO</v>
          </cell>
        </row>
        <row r="4304">
          <cell r="A4304" t="str">
            <v>1026724 (ÖLFLEX® CHAIN 809 2X1,5)</v>
          </cell>
          <cell r="B4304" t="str">
            <v>1026724(ÖLFLEX® CHAIN 809 2X1,5)</v>
          </cell>
          <cell r="C4304" t="str">
            <v>LAPP</v>
          </cell>
          <cell r="D4304" t="str">
            <v>Lapp-Against Customer PO</v>
          </cell>
        </row>
        <row r="4305">
          <cell r="A4305" t="str">
            <v>1026701 (ÖLFLEX® CHAIN 809 3G0,5)</v>
          </cell>
          <cell r="B4305" t="str">
            <v>1026701(ÖLFLEX® CHAIN 809 3G0,5)</v>
          </cell>
          <cell r="C4305" t="str">
            <v>LAPP</v>
          </cell>
          <cell r="D4305" t="str">
            <v>Lapp-Against Customer PO</v>
          </cell>
        </row>
        <row r="4306">
          <cell r="A4306" t="str">
            <v>1026732 (ÖLFLEX® CHAIN 809 3G2,5)</v>
          </cell>
          <cell r="B4306" t="str">
            <v>1026732(ÖLFLEX® CHAIN 809 3G2,5)</v>
          </cell>
          <cell r="C4306" t="str">
            <v>LAPP</v>
          </cell>
          <cell r="D4306" t="str">
            <v>Lapp-Against Customer PO</v>
          </cell>
        </row>
        <row r="4307">
          <cell r="A4307" t="str">
            <v>1026733 (ÖLFLEX® CHAIN 809 4G2,5)</v>
          </cell>
          <cell r="B4307" t="str">
            <v>1026733(ÖLFLEX® CHAIN 809 4G2,5)</v>
          </cell>
          <cell r="C4307" t="str">
            <v>LAPP</v>
          </cell>
          <cell r="D4307" t="str">
            <v>Lapp-Against Customer PO</v>
          </cell>
        </row>
        <row r="4308">
          <cell r="A4308" t="str">
            <v>1026737 (ÖLFLEX® CHAIN 809 4G4)</v>
          </cell>
          <cell r="B4308" t="str">
            <v>1026737(ÖLFLEX® CHAIN 809 4G4)</v>
          </cell>
          <cell r="C4308" t="str">
            <v>LAPP</v>
          </cell>
          <cell r="D4308" t="str">
            <v>Lapp-Against Customer PO</v>
          </cell>
        </row>
        <row r="4309">
          <cell r="A4309" t="str">
            <v>1026784 (ÖLFLEX® CHAIN 809 CY 4G2,5)</v>
          </cell>
          <cell r="B4309" t="str">
            <v>1026784(ÖLFLEX® CHAIN 809 CY 4G2,5)</v>
          </cell>
          <cell r="C4309" t="str">
            <v>LAPP</v>
          </cell>
          <cell r="D4309" t="str">
            <v>Lapp-Against Customer PO</v>
          </cell>
        </row>
        <row r="4310">
          <cell r="A4310" t="str">
            <v>1026755 (ÖLFLEX® CHAIN 809 CY 7G0,5)</v>
          </cell>
          <cell r="B4310" t="str">
            <v>1026755(ÖLFLEX® CHAIN 809 CY 7G0,5)</v>
          </cell>
          <cell r="C4310" t="str">
            <v>LAPP</v>
          </cell>
          <cell r="D4310" t="str">
            <v>Lapp-Against Customer PO</v>
          </cell>
        </row>
        <row r="4311">
          <cell r="A4311" t="str">
            <v>1027911 (ÖLFLEX® CHAIN 819 CP 3G0,75)</v>
          </cell>
          <cell r="B4311" t="str">
            <v>1027911(ÖLFLEX® CHAIN 819 CP 3G0,75)</v>
          </cell>
          <cell r="C4311" t="str">
            <v>LAPP</v>
          </cell>
          <cell r="D4311" t="str">
            <v>Lapp-Against Customer PO</v>
          </cell>
        </row>
        <row r="4312">
          <cell r="A4312" t="str">
            <v>1027822 (ÖLFLEX® CHAIN 819 P 4G1,0)</v>
          </cell>
          <cell r="B4312" t="str">
            <v>1027822(ÖLFLEX® CHAIN 819 P 4G1,0)</v>
          </cell>
          <cell r="C4312" t="str">
            <v>LAPP</v>
          </cell>
          <cell r="D4312" t="str">
            <v>Lapp-Against Customer PO</v>
          </cell>
        </row>
        <row r="4313">
          <cell r="A4313" t="str">
            <v>1023229 (ÖLFLEX® CHAIN 896P 4G1,5)</v>
          </cell>
          <cell r="B4313" t="str">
            <v>1023229(ÖLFLEX® CHAIN 896P 4G1,5)</v>
          </cell>
          <cell r="C4313" t="str">
            <v>LAPP</v>
          </cell>
          <cell r="D4313" t="str">
            <v>Lapp-Against Customer PO</v>
          </cell>
        </row>
        <row r="4314">
          <cell r="A4314" t="str">
            <v>1023238 (ÖLFLEX® CHAIN 896P 4G2,5)</v>
          </cell>
          <cell r="B4314" t="str">
            <v>1023238(ÖLFLEX® CHAIN 896P 4G2,5)</v>
          </cell>
          <cell r="C4314" t="str">
            <v>LAPP</v>
          </cell>
          <cell r="D4314" t="str">
            <v>Lapp-Against Customer PO</v>
          </cell>
        </row>
        <row r="4315">
          <cell r="A4315" t="str">
            <v>1023245 (ÖLFLEX® CHAIN 896P 4G4)</v>
          </cell>
          <cell r="B4315" t="str">
            <v>1023245(ÖLFLEX® CHAIN 896P 4G4)</v>
          </cell>
          <cell r="C4315" t="str">
            <v>LAPP</v>
          </cell>
          <cell r="D4315" t="str">
            <v>Lapp-Against Customer PO</v>
          </cell>
        </row>
        <row r="4316">
          <cell r="A4316" t="str">
            <v>1023248 (ÖLFLEX® CHAIN 896P 4G6)</v>
          </cell>
          <cell r="B4316" t="str">
            <v>1023248(ÖLFLEX® CHAIN 896P 4G6)</v>
          </cell>
          <cell r="C4316" t="str">
            <v>LAPP</v>
          </cell>
          <cell r="D4316" t="str">
            <v>Lapp-Against Customer PO</v>
          </cell>
        </row>
        <row r="4317">
          <cell r="A4317" t="str">
            <v>0010076 (ÖLFLEX® CLASSIC 100 300/500V 25G1,5)</v>
          </cell>
          <cell r="B4317" t="str">
            <v>0010076(ÖLFLEX® CLASSIC 100 300/500V 25G1,5)</v>
          </cell>
          <cell r="C4317" t="str">
            <v>LAPP</v>
          </cell>
          <cell r="D4317" t="str">
            <v>Lapp-Against Customer PO</v>
          </cell>
        </row>
        <row r="4318">
          <cell r="A4318" t="str">
            <v>0010016 (ÖLFLEX® CLASSIC 100 300/500V 40G0,5)</v>
          </cell>
          <cell r="B4318" t="str">
            <v>0010016(ÖLFLEX® CLASSIC 100 300/500V 40G0,5)</v>
          </cell>
          <cell r="C4318" t="str">
            <v>LAPP</v>
          </cell>
          <cell r="D4318" t="str">
            <v>Lapp-Against Customer PO</v>
          </cell>
        </row>
        <row r="4319">
          <cell r="A4319" t="str">
            <v>1120469 (ÖLFLEX® CLASSIC 100 BK 0,6/1 kV 3G2,5)</v>
          </cell>
          <cell r="B4319" t="str">
            <v>1120469(ÖLFLEX® CLASSIC 100 BK 0,6/1 kV 3G2,5)</v>
          </cell>
          <cell r="C4319" t="str">
            <v>LAPP</v>
          </cell>
          <cell r="D4319" t="str">
            <v>Lapp-Against Customer PO</v>
          </cell>
        </row>
        <row r="4320">
          <cell r="A4320" t="str">
            <v>1120464 (ÖLFLEX® CLASSIC 100 BK 0,6/1 kV 4G1,5)</v>
          </cell>
          <cell r="B4320" t="str">
            <v>1120464(ÖLFLEX® CLASSIC 100 BK 0,6/1 kV 4G1,5)</v>
          </cell>
          <cell r="C4320" t="str">
            <v>LAPP</v>
          </cell>
          <cell r="D4320" t="str">
            <v>Lapp-Against Customer PO</v>
          </cell>
        </row>
        <row r="4321">
          <cell r="A4321" t="str">
            <v>1120470 (ÖLFLEX® CLASSIC 100 BK 0,6/1 kV 4G2,5)</v>
          </cell>
          <cell r="B4321" t="str">
            <v>1120470(ÖLFLEX® CLASSIC 100 BK 0,6/1 kV 4G2,5)</v>
          </cell>
          <cell r="C4321" t="str">
            <v>LAPP</v>
          </cell>
          <cell r="D4321" t="str">
            <v>Lapp-Against Customer PO</v>
          </cell>
        </row>
        <row r="4322">
          <cell r="A4322" t="str">
            <v>1120474 (ÖLFLEX® CLASSIC 100 BK 0,6/1 kV 4G4)</v>
          </cell>
          <cell r="B4322" t="str">
            <v>1120474(ÖLFLEX® CLASSIC 100 BK 0,6/1 kV 4G4)</v>
          </cell>
          <cell r="C4322" t="str">
            <v>LAPP</v>
          </cell>
          <cell r="D4322" t="str">
            <v>Lapp-Against Customer PO</v>
          </cell>
        </row>
        <row r="4323">
          <cell r="A4323" t="str">
            <v>1120465 (ÖLFLEX® CLASSIC 100 BK 0,6/1 kV 5G1,5)</v>
          </cell>
          <cell r="B4323" t="str">
            <v>1120465(ÖLFLEX® CLASSIC 100 BK 0,6/1 kV 5G1,5)</v>
          </cell>
          <cell r="C4323" t="str">
            <v>LAPP</v>
          </cell>
          <cell r="D4323" t="str">
            <v>Lapp-Against Customer PO</v>
          </cell>
        </row>
        <row r="4324">
          <cell r="A4324" t="str">
            <v>0035220 (ÖLFLEX® CLASSIC 100 CY 300/500V 2X1)</v>
          </cell>
          <cell r="B4324" t="str">
            <v>0035220(ÖLFLEX® CLASSIC 100 CY 300/500V 2X1)</v>
          </cell>
          <cell r="C4324" t="str">
            <v>LAPP</v>
          </cell>
          <cell r="D4324" t="str">
            <v>Lapp-Against Customer PO</v>
          </cell>
        </row>
        <row r="4325">
          <cell r="A4325" t="str">
            <v>0035005 (ÖLFLEX® CLASSIC 100 CY 300/500V 3G0,75)</v>
          </cell>
          <cell r="B4325" t="str">
            <v>0035005(ÖLFLEX® CLASSIC 100 CY 300/500V 3G0,75)</v>
          </cell>
          <cell r="C4325" t="str">
            <v>LAPP</v>
          </cell>
          <cell r="D4325" t="str">
            <v>Lapp-Against Customer PO</v>
          </cell>
        </row>
        <row r="4326">
          <cell r="A4326" t="str">
            <v>00354313 (ÖLFLEX® CLASSIC 100 CY 450/750V 4G150)</v>
          </cell>
          <cell r="B4326" t="str">
            <v>00354313(ÖLFLEX® CLASSIC 100 CY 450/750V 4G150)</v>
          </cell>
          <cell r="C4326" t="str">
            <v>LAPP</v>
          </cell>
          <cell r="D4326" t="str">
            <v>Lapp-Against Customer PO</v>
          </cell>
        </row>
        <row r="4327">
          <cell r="A4327" t="str">
            <v>0014157 (ÖLFLEX® CLASSIC 100 H 3G2,5)</v>
          </cell>
          <cell r="B4327" t="str">
            <v>0014157(ÖLFLEX® CLASSIC 100 H 3G2,5)</v>
          </cell>
          <cell r="C4327" t="str">
            <v>LAPP</v>
          </cell>
          <cell r="D4327" t="str">
            <v>Lapp-Against Customer PO</v>
          </cell>
        </row>
        <row r="4328">
          <cell r="A4328" t="str">
            <v>0014162 (ÖLFLEX® CLASSIC 100 H 3G4)</v>
          </cell>
          <cell r="B4328" t="str">
            <v>0014162(ÖLFLEX® CLASSIC 100 H 3G4)</v>
          </cell>
          <cell r="C4328" t="str">
            <v>LAPP</v>
          </cell>
          <cell r="D4328" t="str">
            <v>Lapp-Against Customer PO</v>
          </cell>
        </row>
        <row r="4329">
          <cell r="A4329" t="str">
            <v>00160453 (ÖLFLEX® CLASSIC 100 SY 5G1)</v>
          </cell>
          <cell r="B4329" t="str">
            <v>00160453(ÖLFLEX® CLASSIC 100 SY 5G1)</v>
          </cell>
          <cell r="C4329" t="str">
            <v>LAPP</v>
          </cell>
          <cell r="D4329" t="str">
            <v>Lapp-Against Customer PO</v>
          </cell>
        </row>
        <row r="4330">
          <cell r="A4330" t="str">
            <v>1119879 (ÖLFLEX® CLASSIC 110 4G1,5 BK)</v>
          </cell>
          <cell r="B4330" t="str">
            <v>1119879(ÖLFLEX® CLASSIC 110 4G1,5 BK)</v>
          </cell>
          <cell r="C4330" t="str">
            <v>LAPP</v>
          </cell>
          <cell r="D4330" t="str">
            <v>Lapp-Against Customer PO</v>
          </cell>
        </row>
        <row r="4331">
          <cell r="A4331" t="str">
            <v>1119165 (ÖLFLEX® CLASSIC 110 65G0,75)</v>
          </cell>
          <cell r="B4331" t="str">
            <v>1119165(ÖLFLEX® CLASSIC 110 65G0,75)</v>
          </cell>
          <cell r="C4331" t="str">
            <v>LAPP</v>
          </cell>
          <cell r="D4331" t="str">
            <v>Lapp-Against Customer PO</v>
          </cell>
        </row>
        <row r="4332">
          <cell r="A4332" t="str">
            <v>1120320 (ÖLFLEX® CLASSIC 110 Black 0,6/1kV 12G1,5)</v>
          </cell>
          <cell r="B4332" t="str">
            <v>1120320(ÖLFLEX® CLASSIC 110 Black 0,6/1kV 12G1,5)</v>
          </cell>
          <cell r="C4332" t="str">
            <v>LAPP</v>
          </cell>
          <cell r="D4332" t="str">
            <v>Lapp-Against Customer PO</v>
          </cell>
        </row>
        <row r="4333">
          <cell r="A4333" t="str">
            <v>1120366 (ÖLFLEX® CLASSIC 110 Black 0,6/1kV 4G6)</v>
          </cell>
          <cell r="B4333" t="str">
            <v>1120366(ÖLFLEX® CLASSIC 110 Black 0,6/1kV 4G6)</v>
          </cell>
          <cell r="C4333" t="str">
            <v>LAPP</v>
          </cell>
          <cell r="D4333" t="str">
            <v>Lapp-Against Customer PO</v>
          </cell>
        </row>
        <row r="4334">
          <cell r="A4334" t="str">
            <v>10035055 (ÖLFLEX® CLASSIC 110 CH 2X1 N)</v>
          </cell>
          <cell r="B4334" t="str">
            <v>10035055(ÖLFLEX® CLASSIC 110 CH 2X1 N)</v>
          </cell>
          <cell r="C4334" t="str">
            <v>LAPP</v>
          </cell>
          <cell r="D4334" t="str">
            <v>Lapp-Against Customer PO</v>
          </cell>
        </row>
        <row r="4335">
          <cell r="A4335" t="str">
            <v>1135812 (ÖLFLEX® CLASSIC 110 CY 12X0,75)</v>
          </cell>
          <cell r="B4335" t="str">
            <v>1135812(ÖLFLEX® CLASSIC 110 CY 12X0,75)</v>
          </cell>
          <cell r="C4335" t="str">
            <v>LAPP</v>
          </cell>
          <cell r="D4335" t="str">
            <v>Lapp-Against Customer PO</v>
          </cell>
        </row>
        <row r="4336">
          <cell r="A4336" t="str">
            <v>1135818 (ÖLFLEX® CLASSIC 110 CY 18X0,75)</v>
          </cell>
          <cell r="B4336" t="str">
            <v>1135818(ÖLFLEX® CLASSIC 110 CY 18X0,75)</v>
          </cell>
          <cell r="C4336" t="str">
            <v>LAPP</v>
          </cell>
          <cell r="D4336" t="str">
            <v>Lapp-Against Customer PO</v>
          </cell>
        </row>
        <row r="4337">
          <cell r="A4337" t="str">
            <v>1135840 (ÖLFLEX® CLASSIC 110 CY 40X0,75)</v>
          </cell>
          <cell r="B4337" t="str">
            <v>1135840(ÖLFLEX® CLASSIC 110 CY 40X0,75)</v>
          </cell>
          <cell r="C4337" t="str">
            <v>LAPP</v>
          </cell>
          <cell r="D4337" t="str">
            <v>Lapp-Against Customer PO</v>
          </cell>
        </row>
        <row r="4338">
          <cell r="A4338" t="str">
            <v>1135241 (ÖLFLEX® CLASSIC 110 CY 41G1)</v>
          </cell>
          <cell r="B4338" t="str">
            <v>1135241(ÖLFLEX® CLASSIC 110 CY 41G1)</v>
          </cell>
          <cell r="C4338" t="str">
            <v>LAPP</v>
          </cell>
          <cell r="D4338" t="str">
            <v>Lapp-Against Customer PO</v>
          </cell>
        </row>
        <row r="4339">
          <cell r="A4339" t="str">
            <v>1135854 (ÖLFLEX® CLASSIC 110 CY 4X1)</v>
          </cell>
          <cell r="B4339" t="str">
            <v>1135854(ÖLFLEX® CLASSIC 110 CY 4X1)</v>
          </cell>
          <cell r="C4339" t="str">
            <v>LAPP</v>
          </cell>
          <cell r="D4339" t="str">
            <v>Lapp-Against Customer PO</v>
          </cell>
        </row>
        <row r="4340">
          <cell r="A4340" t="str">
            <v>1135807 (ÖLFLEX® CLASSIC 110 CY 7X0,75)</v>
          </cell>
          <cell r="B4340" t="str">
            <v>1135807(ÖLFLEX® CLASSIC 110 CY 7X0,75)</v>
          </cell>
          <cell r="C4340" t="str">
            <v>LAPP</v>
          </cell>
          <cell r="D4340" t="str">
            <v>Lapp-Against Customer PO</v>
          </cell>
        </row>
        <row r="4341">
          <cell r="A4341" t="str">
            <v>1121360 (ÖLFLEX® CLASSIC 110 CY BK 0,6/1kV 4G4)</v>
          </cell>
          <cell r="B4341" t="str">
            <v>1121360(ÖLFLEX® CLASSIC 110 CY BK 0,6/1kV 4G4)</v>
          </cell>
          <cell r="C4341" t="str">
            <v>LAPP</v>
          </cell>
          <cell r="D4341" t="str">
            <v>Lapp-Against Customer PO</v>
          </cell>
        </row>
        <row r="4342">
          <cell r="A4342" t="str">
            <v>0019711 (ÖLFLEX® CLASSIC 110 Orange 3G1,5)</v>
          </cell>
          <cell r="B4342" t="str">
            <v>0019711(ÖLFLEX® CLASSIC 110 Orange 3G1,5)</v>
          </cell>
          <cell r="C4342" t="str">
            <v>LAPP</v>
          </cell>
          <cell r="D4342" t="str">
            <v>Lapp-Against Customer PO</v>
          </cell>
        </row>
        <row r="4343">
          <cell r="A4343" t="str">
            <v>1125125 (ÖLFLEX® CLASSIC 110 SY 25G0,75)</v>
          </cell>
          <cell r="B4343" t="str">
            <v>1125125(ÖLFLEX® CLASSIC 110 SY 25G0,75)</v>
          </cell>
          <cell r="C4343" t="str">
            <v>LAPP</v>
          </cell>
          <cell r="D4343" t="str">
            <v>Lapp-Against Customer PO</v>
          </cell>
        </row>
        <row r="4344">
          <cell r="A4344" t="str">
            <v>1125625 (ÖLFLEX® CLASSIC 110 SY 5G16)</v>
          </cell>
          <cell r="B4344" t="str">
            <v>1125625(ÖLFLEX® CLASSIC 110 SY 5G16)</v>
          </cell>
          <cell r="C4344" t="str">
            <v>LAPP</v>
          </cell>
          <cell r="D4344" t="str">
            <v>Lapp-Against Customer PO</v>
          </cell>
        </row>
        <row r="4345">
          <cell r="A4345" t="str">
            <v>1125209 (ÖLFLEX® CLASSIC 110 SY 9G1)</v>
          </cell>
          <cell r="B4345" t="str">
            <v>1125209(ÖLFLEX® CLASSIC 110 SY 9G1)</v>
          </cell>
          <cell r="C4345" t="str">
            <v>LAPP</v>
          </cell>
          <cell r="D4345" t="str">
            <v>Lapp-Against Customer PO</v>
          </cell>
        </row>
        <row r="4346">
          <cell r="A4346" t="str">
            <v>1136112 (ÖLFLEX® CLASSIC 115 CY 12G0,75)</v>
          </cell>
          <cell r="B4346" t="str">
            <v>1136112(ÖLFLEX® CLASSIC 115 CY 12G0,75)</v>
          </cell>
          <cell r="C4346" t="str">
            <v>LAPP</v>
          </cell>
          <cell r="D4346" t="str">
            <v>Lapp-Against Customer PO</v>
          </cell>
        </row>
        <row r="4347">
          <cell r="A4347" t="str">
            <v>1136115 (ÖLFLEX® CLASSIC 115 CY 12G0,75 BK)</v>
          </cell>
          <cell r="B4347" t="str">
            <v>1136115(ÖLFLEX® CLASSIC 115 CY 12G0,75 BK)</v>
          </cell>
          <cell r="C4347" t="str">
            <v>LAPP</v>
          </cell>
          <cell r="D4347" t="str">
            <v>Lapp-Against Customer PO</v>
          </cell>
        </row>
        <row r="4348">
          <cell r="A4348" t="str">
            <v>1136903 (ÖLFLEX® CLASSIC 115 CY 3X1,5)</v>
          </cell>
          <cell r="B4348" t="str">
            <v>1136903(ÖLFLEX® CLASSIC 115 CY 3X1,5)</v>
          </cell>
          <cell r="C4348" t="str">
            <v>LAPP</v>
          </cell>
          <cell r="D4348" t="str">
            <v>Lapp-Against Customer PO</v>
          </cell>
        </row>
        <row r="4349">
          <cell r="A4349" t="str">
            <v>1136550 (ÖLFLEX® CLASSIC 115 CY 4G1,5 BK)</v>
          </cell>
          <cell r="B4349" t="str">
            <v>1136550(ÖLFLEX® CLASSIC 115 CY 4G1,5 BK)</v>
          </cell>
          <cell r="C4349" t="str">
            <v>LAPP</v>
          </cell>
          <cell r="D4349" t="str">
            <v>Lapp-Against Customer PO</v>
          </cell>
        </row>
        <row r="4350">
          <cell r="A4350" t="str">
            <v>1136804 (ÖLFLEX® CLASSIC 115 CY 4X0,75)</v>
          </cell>
          <cell r="B4350" t="str">
            <v>1136804(ÖLFLEX® CLASSIC 115 CY 4X0,75)</v>
          </cell>
          <cell r="C4350" t="str">
            <v>LAPP</v>
          </cell>
          <cell r="D4350" t="str">
            <v>Lapp-Against Customer PO</v>
          </cell>
        </row>
        <row r="4351">
          <cell r="A4351" t="str">
            <v>1136552 (ÖLFLEX® CLASSIC 115 CY 5G1,5 BK)</v>
          </cell>
          <cell r="B4351" t="str">
            <v>1136552(ÖLFLEX® CLASSIC 115 CY 5G1,5 BK)</v>
          </cell>
          <cell r="C4351" t="str">
            <v>LAPP</v>
          </cell>
          <cell r="D4351" t="str">
            <v>Lapp-Against Customer PO</v>
          </cell>
        </row>
        <row r="4352">
          <cell r="A4352" t="str">
            <v>1123000 (ÖLFLEX® CLASSIC 130 H 2X0,5)</v>
          </cell>
          <cell r="B4352" t="str">
            <v>1123000(ÖLFLEX® CLASSIC 130 H 2X0,5)</v>
          </cell>
          <cell r="C4352" t="str">
            <v>LAPP</v>
          </cell>
          <cell r="D4352" t="str">
            <v>Lapp-Against Customer PO</v>
          </cell>
        </row>
        <row r="4353">
          <cell r="A4353" t="str">
            <v>1123032 (ÖLFLEX® CLASSIC 130 H 2X0,75)</v>
          </cell>
          <cell r="B4353" t="str">
            <v>1123032(ÖLFLEX® CLASSIC 130 H 2X0,75)</v>
          </cell>
          <cell r="C4353" t="str">
            <v>LAPP</v>
          </cell>
          <cell r="D4353" t="str">
            <v>Lapp-Against Customer PO</v>
          </cell>
        </row>
        <row r="4354">
          <cell r="A4354" t="str">
            <v>1123033 (ÖLFLEX® CLASSIC 130 H 3G0,75)</v>
          </cell>
          <cell r="B4354" t="str">
            <v>1123033(ÖLFLEX® CLASSIC 130 H 3G0,75)</v>
          </cell>
          <cell r="C4354" t="str">
            <v>LAPP</v>
          </cell>
          <cell r="D4354" t="str">
            <v>Lapp-Against Customer PO</v>
          </cell>
        </row>
        <row r="4355">
          <cell r="A4355" t="str">
            <v>1123109 (ÖLFLEX® CLASSIC 130 H 4G1,5)</v>
          </cell>
          <cell r="B4355" t="str">
            <v>1123109(ÖLFLEX® CLASSIC 130 H 4G1,5)</v>
          </cell>
          <cell r="C4355" t="str">
            <v>LAPP</v>
          </cell>
          <cell r="D4355" t="str">
            <v>Lapp-Against Customer PO</v>
          </cell>
        </row>
        <row r="4356">
          <cell r="A4356" t="str">
            <v>1123041 (ÖLFLEX® CLASSIC 130 H 7G0,75)</v>
          </cell>
          <cell r="B4356" t="str">
            <v>1123041(ÖLFLEX® CLASSIC 130 H 7G0,75)</v>
          </cell>
          <cell r="C4356" t="str">
            <v>LAPP</v>
          </cell>
          <cell r="D4356" t="str">
            <v>Lapp-Against Customer PO</v>
          </cell>
        </row>
        <row r="4357">
          <cell r="A4357" t="str">
            <v>1123309 (ÖLFLEX® CLASSIC 135 CH 4G1,5)</v>
          </cell>
          <cell r="B4357" t="str">
            <v>1123309(ÖLFLEX® CLASSIC 135 CH 4G1,5)</v>
          </cell>
          <cell r="C4357" t="str">
            <v>LAPP</v>
          </cell>
          <cell r="D4357" t="str">
            <v>Lapp-Against Customer PO</v>
          </cell>
        </row>
        <row r="4358">
          <cell r="A4358" t="str">
            <v>1313141 (ÖLFLEX® CLASSIC 400 CP 41G0,75)</v>
          </cell>
          <cell r="B4358" t="str">
            <v>1313141(ÖLFLEX® CLASSIC 400 CP 41G0,75)</v>
          </cell>
          <cell r="C4358" t="str">
            <v>LAPP</v>
          </cell>
          <cell r="D4358" t="str">
            <v>Lapp-Against Customer PO</v>
          </cell>
        </row>
        <row r="4359">
          <cell r="A4359" t="str">
            <v>1312978 (ÖLFLEX® CLASSIC 400 P DESINA 4G25 BK)</v>
          </cell>
          <cell r="B4359" t="str">
            <v>1312978(ÖLFLEX® CLASSIC 400 P DESINA 4G25 BK)</v>
          </cell>
          <cell r="C4359" t="str">
            <v>LAPP</v>
          </cell>
          <cell r="D4359" t="str">
            <v>Lapp-Against Customer PO</v>
          </cell>
        </row>
        <row r="4360">
          <cell r="A4360" t="str">
            <v>0026124 (ÖLFLEX® CLASSIC FD 810 12G0,75)</v>
          </cell>
          <cell r="B4360" t="str">
            <v>0026124(ÖLFLEX® CLASSIC FD 810 12G0,75)</v>
          </cell>
          <cell r="C4360" t="str">
            <v>LAPP</v>
          </cell>
          <cell r="D4360" t="str">
            <v>Lapp-Against Customer PO</v>
          </cell>
        </row>
        <row r="4361">
          <cell r="A4361" t="str">
            <v>0026149 (ÖLFLEX® CLASSIC FD 810 2X1,5)</v>
          </cell>
          <cell r="B4361" t="str">
            <v>0026149(ÖLFLEX® CLASSIC FD 810 2X1,5)</v>
          </cell>
          <cell r="C4361" t="str">
            <v>LAPP</v>
          </cell>
          <cell r="D4361" t="str">
            <v>Lapp-Against Customer PO</v>
          </cell>
        </row>
        <row r="4362">
          <cell r="A4362" t="str">
            <v>0026141 (ÖLFLEX® CLASSIC FD 810 34G1)</v>
          </cell>
          <cell r="B4362" t="str">
            <v>0026141(ÖLFLEX® CLASSIC FD 810 34G1)</v>
          </cell>
          <cell r="C4362" t="str">
            <v>LAPP</v>
          </cell>
          <cell r="D4362" t="str">
            <v>Lapp-Against Customer PO</v>
          </cell>
        </row>
        <row r="4363">
          <cell r="A4363" t="str">
            <v>0026121 (ÖLFLEX® CLASSIC FD 810 4G0,75)</v>
          </cell>
          <cell r="B4363" t="str">
            <v>0026121(ÖLFLEX® CLASSIC FD 810 4G0,75)</v>
          </cell>
          <cell r="C4363" t="str">
            <v>LAPP</v>
          </cell>
          <cell r="D4363" t="str">
            <v>Lapp-Against Customer PO</v>
          </cell>
        </row>
        <row r="4364">
          <cell r="A4364" t="str">
            <v>0026132 (ÖLFLEX® CLASSIC FD 810 4G1)</v>
          </cell>
          <cell r="B4364" t="str">
            <v>0026132(ÖLFLEX® CLASSIC FD 810 4G1)</v>
          </cell>
          <cell r="C4364" t="str">
            <v>LAPP</v>
          </cell>
          <cell r="D4364" t="str">
            <v>Lapp-Against Customer PO</v>
          </cell>
        </row>
        <row r="4365">
          <cell r="A4365" t="str">
            <v>0026181 (ÖLFLEX® CLASSIC FD 810 4G4)</v>
          </cell>
          <cell r="B4365" t="str">
            <v>0026181(ÖLFLEX® CLASSIC FD 810 4G4)</v>
          </cell>
          <cell r="C4365" t="str">
            <v>LAPP</v>
          </cell>
          <cell r="D4365" t="str">
            <v>Lapp-Against Customer PO</v>
          </cell>
        </row>
        <row r="4366">
          <cell r="A4366" t="str">
            <v>0026122 (ÖLFLEX® CLASSIC FD 810 5G0,75)</v>
          </cell>
          <cell r="B4366" t="str">
            <v>0026122(ÖLFLEX® CLASSIC FD 810 5G0,75)</v>
          </cell>
          <cell r="C4366" t="str">
            <v>LAPP</v>
          </cell>
          <cell r="D4366" t="str">
            <v>Lapp-Against Customer PO</v>
          </cell>
        </row>
        <row r="4367">
          <cell r="A4367" t="str">
            <v>0026424 (ÖLFLEX® CLASSIC FD 810 CP 12G0,75)</v>
          </cell>
          <cell r="B4367" t="str">
            <v>0026424(ÖLFLEX® CLASSIC FD 810 CP 12G0,75)</v>
          </cell>
          <cell r="C4367" t="str">
            <v>LAPP</v>
          </cell>
          <cell r="D4367" t="str">
            <v>Lapp-Against Customer PO</v>
          </cell>
        </row>
        <row r="4368">
          <cell r="A4368" t="str">
            <v>0026470 (ÖLFLEX® CLASSIC FD 810 CP 3G2,5)</v>
          </cell>
          <cell r="B4368" t="str">
            <v>0026470(ÖLFLEX® CLASSIC FD 810 CP 3G2,5)</v>
          </cell>
          <cell r="C4368" t="str">
            <v>LAPP</v>
          </cell>
          <cell r="D4368" t="str">
            <v>Lapp-Against Customer PO</v>
          </cell>
        </row>
        <row r="4369">
          <cell r="A4369" t="str">
            <v>0026227 (ÖLFLEX® CLASSIC FD 810 CY 25G0,75)</v>
          </cell>
          <cell r="B4369" t="str">
            <v>0026227(ÖLFLEX® CLASSIC FD 810 CY 25G0,75)</v>
          </cell>
          <cell r="C4369" t="str">
            <v>LAPP</v>
          </cell>
          <cell r="D4369" t="str">
            <v>Lapp-Against Customer PO</v>
          </cell>
        </row>
        <row r="4370">
          <cell r="A4370" t="str">
            <v>0026271 (ÖLFLEX® CLASSIC FD 810 CY 4G2,5)</v>
          </cell>
          <cell r="B4370" t="str">
            <v>0026271(ÖLFLEX® CLASSIC FD 810 CY 4G2,5)</v>
          </cell>
          <cell r="C4370" t="str">
            <v>LAPP</v>
          </cell>
          <cell r="D4370" t="str">
            <v>Lapp-Against Customer PO</v>
          </cell>
        </row>
        <row r="4371">
          <cell r="A4371" t="str">
            <v>381111015 (ÖLFLEX® CONTROL 110 10 G 0.75 1100 V GY)</v>
          </cell>
          <cell r="B4371" t="str">
            <v>381111015(ÖLFLEX® CONTROL 110 10 G 0.75 1100 V GY)</v>
          </cell>
          <cell r="C4371" t="str">
            <v>LAPP</v>
          </cell>
          <cell r="D4371" t="str">
            <v>Lapp-Against Customer PO</v>
          </cell>
        </row>
        <row r="4372">
          <cell r="A4372" t="str">
            <v>381111215 (ÖLFLEX® CONTROL 110 12 G 0.75 1100 V GY)</v>
          </cell>
          <cell r="B4372" t="str">
            <v>381111215(ÖLFLEX® CONTROL 110 12 G 0.75 1100 V GY)</v>
          </cell>
          <cell r="C4372" t="str">
            <v>LAPP</v>
          </cell>
          <cell r="D4372" t="str">
            <v>Lapp-Against Customer PO</v>
          </cell>
        </row>
        <row r="4373">
          <cell r="A4373" t="str">
            <v>381101615 (ÖLFLEX® CONTROL 110 16 G 0.5 1100 V GY)</v>
          </cell>
          <cell r="B4373" t="str">
            <v>381101615(ÖLFLEX® CONTROL 110 16 G 0.5 1100 V GY)</v>
          </cell>
          <cell r="C4373" t="str">
            <v>LAPP</v>
          </cell>
          <cell r="D4373" t="str">
            <v>Lapp-Against Customer PO</v>
          </cell>
        </row>
        <row r="4374">
          <cell r="A4374" t="str">
            <v>381111815 (ÖLFLEX® CONTROL 110 18 G 0.75 1100 V GY)</v>
          </cell>
          <cell r="B4374" t="str">
            <v>381111815(ÖLFLEX® CONTROL 110 18 G 0.75 1100 V GY)</v>
          </cell>
          <cell r="C4374" t="str">
            <v>LAPP</v>
          </cell>
          <cell r="D4374" t="str">
            <v>Lapp-Against Customer PO</v>
          </cell>
        </row>
        <row r="4375">
          <cell r="A4375" t="str">
            <v>381141819 (ÖLFLEX® CONTROL 110 18 G 2.5 1100 V BK)</v>
          </cell>
          <cell r="B4375" t="str">
            <v>381141819(ÖLFLEX® CONTROL 110 18 G 2.5 1100 V BK)</v>
          </cell>
          <cell r="C4375" t="str">
            <v>LAPP</v>
          </cell>
          <cell r="D4375" t="str">
            <v>Lapp-Against Customer PO</v>
          </cell>
        </row>
        <row r="4376">
          <cell r="A4376" t="str">
            <v>381121935 (ÖLFLEX® CONTROL 110 19 G 1 1100 V UVAR GY)</v>
          </cell>
          <cell r="B4376" t="str">
            <v>381121935(ÖLFLEX® CONTROL 110 19 G 1 1100 V UVAR GY)</v>
          </cell>
          <cell r="C4376" t="str">
            <v>LAPP</v>
          </cell>
          <cell r="D4376" t="str">
            <v>Lapp-Against Customer PO</v>
          </cell>
        </row>
        <row r="4377">
          <cell r="A4377" t="str">
            <v>381112515 (ÖLFLEX® CONTROL 110 25 G 0.75 1100 V GY)</v>
          </cell>
          <cell r="B4377" t="str">
            <v>381112515(ÖLFLEX® CONTROL 110 25 G 0.75 1100 V GY)</v>
          </cell>
          <cell r="C4377" t="str">
            <v>LAPP</v>
          </cell>
          <cell r="D4377" t="str">
            <v>Lapp-Against Customer PO</v>
          </cell>
        </row>
        <row r="4378">
          <cell r="A4378" t="str">
            <v>381100615 (ÖLFLEX® CONTROL 110 6 G 0.5 1100 V GY)</v>
          </cell>
          <cell r="B4378" t="str">
            <v>381100615(ÖLFLEX® CONTROL 110 6 G 0.5 1100 V GY)</v>
          </cell>
          <cell r="C4378" t="str">
            <v>LAPP</v>
          </cell>
          <cell r="D4378" t="str">
            <v>Lapp-Against Customer PO</v>
          </cell>
        </row>
        <row r="4379">
          <cell r="A4379" t="str">
            <v>381130615 (ÖLFLEX® CONTROL 110 6 G 1.5 1100 V GY)</v>
          </cell>
          <cell r="B4379" t="str">
            <v>381130615(ÖLFLEX® CONTROL 110 6 G 1.5 1100 V GY)</v>
          </cell>
          <cell r="C4379" t="str">
            <v>LAPP</v>
          </cell>
          <cell r="D4379" t="str">
            <v>Lapp-Against Customer PO</v>
          </cell>
        </row>
        <row r="4380">
          <cell r="A4380" t="str">
            <v>381110715 (ÖLFLEX® CONTROL 110 7 G 0.75 1100 V GY)</v>
          </cell>
          <cell r="B4380" t="str">
            <v>381110715(ÖLFLEX® CONTROL 110 7 G 0.75 1100 V GY)</v>
          </cell>
          <cell r="C4380" t="str">
            <v>LAPP</v>
          </cell>
          <cell r="D4380" t="str">
            <v>Lapp-Against Customer PO</v>
          </cell>
        </row>
        <row r="4381">
          <cell r="A4381" t="str">
            <v>381130715 (ÖLFLEX® CONTROL 110 7 G 1.5 1100 V GY)</v>
          </cell>
          <cell r="B4381" t="str">
            <v>381130715(ÖLFLEX® CONTROL 110 7 G 1.5 1100 V GY)</v>
          </cell>
          <cell r="C4381" t="str">
            <v>LAPP</v>
          </cell>
          <cell r="D4381" t="str">
            <v>Lapp-Against Customer PO</v>
          </cell>
        </row>
        <row r="4382">
          <cell r="A4382" t="str">
            <v>381140719 (ÖLFLEX® CONTROL 110 7 G 2.5 1100 V BK)</v>
          </cell>
          <cell r="B4382" t="str">
            <v>381140719(ÖLFLEX® CONTROL 110 7 G 2.5 1100 V BK)</v>
          </cell>
          <cell r="C4382" t="str">
            <v>LAPP</v>
          </cell>
          <cell r="D4382" t="str">
            <v>Lapp-Against Customer PO</v>
          </cell>
        </row>
        <row r="4383">
          <cell r="A4383" t="str">
            <v>383110435 (ÖLFLEX®CONTROL 110CY_x000D_
4G0.75 1100V UVARGY 10)</v>
          </cell>
          <cell r="B4383" t="str">
            <v>383110435(ÖLFLEX®CONTROL 110CY_x000D_
4G0.75 1100V UVARGY 10)</v>
          </cell>
          <cell r="C4383" t="str">
            <v>LAPP</v>
          </cell>
          <cell r="D4383" t="str">
            <v>Lapp-Against Customer PO</v>
          </cell>
        </row>
        <row r="4384">
          <cell r="A4384" t="str">
            <v>383101209 (ÖLFLEX® CONTROL 110 CY 12 x 0.5 1100 V BK)</v>
          </cell>
          <cell r="B4384" t="str">
            <v>383101209(ÖLFLEX® CONTROL 110 CY 12 x 0.5 1100 V BK)</v>
          </cell>
          <cell r="C4384" t="str">
            <v>LAPP</v>
          </cell>
          <cell r="D4384" t="str">
            <v>Lapp-Against Customer PO</v>
          </cell>
        </row>
        <row r="4385">
          <cell r="A4385" t="str">
            <v>383150419 (ÖLFLEX® CONTROL 110 CY 4 G 4 1100 V BK)</v>
          </cell>
          <cell r="B4385" t="str">
            <v>383150419(ÖLFLEX® CONTROL 110 CY 4 G 4 1100 V BK)</v>
          </cell>
          <cell r="C4385" t="str">
            <v>LAPP</v>
          </cell>
          <cell r="D4385" t="str">
            <v>Lapp-Against Customer PO</v>
          </cell>
        </row>
        <row r="4386">
          <cell r="A4386" t="str">
            <v>383150415 (ÖLFLEX® CONTROL 110 CY 4 G 4 1100 V GY)</v>
          </cell>
          <cell r="B4386" t="str">
            <v>383150415(ÖLFLEX® CONTROL 110 CY 4 G 4 1100 V GY)</v>
          </cell>
          <cell r="C4386" t="str">
            <v>LAPP</v>
          </cell>
          <cell r="D4386" t="str">
            <v>Lapp-Against Customer PO</v>
          </cell>
        </row>
        <row r="4387">
          <cell r="A4387" t="str">
            <v>383150435 (ÖLFLEX® CONTROL 110 CY 4G4 1100 V UVAR GY)</v>
          </cell>
          <cell r="B4387" t="str">
            <v>383150435(ÖLFLEX® CONTROL 110 CY 4G4 1100 V UVAR GY)</v>
          </cell>
          <cell r="C4387" t="str">
            <v>LAPP</v>
          </cell>
          <cell r="D4387" t="str">
            <v>Lapp-Against Customer PO</v>
          </cell>
        </row>
        <row r="4388">
          <cell r="A4388" t="str">
            <v>383160435 (ÖLFLEX® CONTROL 110 CY 4G6 1100 V UVAR GY)</v>
          </cell>
          <cell r="B4388" t="str">
            <v>383160435(ÖLFLEX® CONTROL 110 CY 4G6 1100 V UVAR GY)</v>
          </cell>
          <cell r="C4388" t="str">
            <v>LAPP</v>
          </cell>
          <cell r="D4388" t="str">
            <v>Lapp-Against Customer PO</v>
          </cell>
        </row>
        <row r="4389">
          <cell r="A4389" t="str">
            <v>382130615 (ÖLFLEX® CONTROL 110 FR-LSH 6 G 1.5 1100 V GY)</v>
          </cell>
          <cell r="B4389" t="str">
            <v>382130615(ÖLFLEX® CONTROL 110 FR-LSH 6 G 1.5 1100 V GY)</v>
          </cell>
          <cell r="C4389" t="str">
            <v>LAPP</v>
          </cell>
          <cell r="D4389" t="str">
            <v>Lapp-Against Customer PO</v>
          </cell>
        </row>
        <row r="4390">
          <cell r="A4390" t="str">
            <v>382130719 (ÖLFLEX® CONTROL 110 FR-LSH 7 G 1.5 1100 V BK)</v>
          </cell>
          <cell r="B4390" t="str">
            <v>382130719(ÖLFLEX® CONTROL 110 FR-LSH 7 G 1.5 1100 V BK)</v>
          </cell>
          <cell r="C4390" t="str">
            <v>LAPP</v>
          </cell>
          <cell r="D4390" t="str">
            <v>Lapp-Against Customer PO</v>
          </cell>
        </row>
        <row r="4391">
          <cell r="A4391" t="str">
            <v>381110315 (ÖLFLEX® CONTROL 110 LC 3 G 0.75 1100 V GY)</v>
          </cell>
          <cell r="B4391" t="str">
            <v>381110315(ÖLFLEX® CONTROL 110 LC 3 G 0.75 1100 V GY)</v>
          </cell>
          <cell r="C4391" t="str">
            <v>LAPP</v>
          </cell>
          <cell r="D4391" t="str">
            <v>Lapp-Against Customer PO</v>
          </cell>
        </row>
        <row r="4392">
          <cell r="A4392" t="str">
            <v>381150315 (ÖLFLEX®CONTROL 110 LC 3G 4 1100V GY)</v>
          </cell>
          <cell r="B4392" t="str">
            <v>381150315(ÖLFLEX®CONTROL 110 LC 3G 4 1100V GY)</v>
          </cell>
          <cell r="C4392" t="str">
            <v>LAPP</v>
          </cell>
          <cell r="D4392" t="str">
            <v>Lapp-Against Customer PO</v>
          </cell>
        </row>
        <row r="4393">
          <cell r="A4393" t="str">
            <v>381100305 (ÖLFLEX® CONTROL 110 LC 3 X 0.5 1100 V GY)</v>
          </cell>
          <cell r="B4393" t="str">
            <v>381100305(ÖLFLEX® CONTROL 110 LC 3 X 0.5 1100 V GY)</v>
          </cell>
          <cell r="C4393" t="str">
            <v>LAPP</v>
          </cell>
          <cell r="D4393" t="str">
            <v>Lapp-Against Customer PO</v>
          </cell>
        </row>
        <row r="4394">
          <cell r="A4394" t="str">
            <v>381110415 (ÖLFLEX® CONTROL 110 LC 4 G 0.75 1100 V G)</v>
          </cell>
          <cell r="B4394" t="str">
            <v>381110415(ÖLFLEX® CONTROL 110 LC 4 G 0.75 1100 V G)</v>
          </cell>
          <cell r="C4394" t="str">
            <v>LAPP</v>
          </cell>
          <cell r="D4394" t="str">
            <v>Lapp-Against Customer PO</v>
          </cell>
        </row>
        <row r="4395">
          <cell r="A4395" t="str">
            <v>381110435 (ÖLFLEX® CONTROL 110 LC 4 G 0.75 1100 V GY)</v>
          </cell>
          <cell r="B4395" t="str">
            <v>381110435(ÖLFLEX® CONTROL 110 LC 4 G 0.75 1100 V GY)</v>
          </cell>
          <cell r="C4395" t="str">
            <v>LAPP</v>
          </cell>
          <cell r="D4395" t="str">
            <v>Lapp-Against Customer PO</v>
          </cell>
        </row>
        <row r="4396">
          <cell r="A4396" t="str">
            <v>381140415 (ÖLFLEX® CONTROL 110 LC 4 G 2.5 1100 V GY)</v>
          </cell>
          <cell r="B4396" t="str">
            <v>381140415(ÖLFLEX® CONTROL 110 LC 4 G 2.5 1100 V GY)</v>
          </cell>
          <cell r="C4396" t="str">
            <v>LAPP</v>
          </cell>
          <cell r="D4396" t="str">
            <v>Lapp-Against Customer PO</v>
          </cell>
        </row>
        <row r="4397">
          <cell r="A4397" t="str">
            <v>381150415 (ÖLFLEX® CONTROL 110LC 4G4 1100V GY)</v>
          </cell>
          <cell r="B4397" t="str">
            <v>381150415(ÖLFLEX® CONTROL 110LC 4G4 1100V GY)</v>
          </cell>
          <cell r="C4397" t="str">
            <v>LAPP</v>
          </cell>
          <cell r="D4397" t="str">
            <v>Lapp-Against Customer PO</v>
          </cell>
        </row>
        <row r="4398">
          <cell r="A4398" t="str">
            <v>381100405 (ÖLFLEX® CONTROL 110 LC 4 X 0.5 1100 V GY)</v>
          </cell>
          <cell r="B4398" t="str">
            <v>381100405(ÖLFLEX® CONTROL 110 LC 4 X 0.5 1100 V GY)</v>
          </cell>
          <cell r="C4398" t="str">
            <v>LAPP</v>
          </cell>
          <cell r="D4398" t="str">
            <v>Lapp-Against Customer PO</v>
          </cell>
        </row>
        <row r="4399">
          <cell r="A4399" t="str">
            <v>381130409 (ÖLFLEX® CONTROL 110 LC 4 X 1.5 1100 V BK)</v>
          </cell>
          <cell r="B4399" t="str">
            <v>381130409(ÖLFLEX® CONTROL 110 LC 4 X 1.5 1100 V BK)</v>
          </cell>
          <cell r="C4399" t="str">
            <v>LAPP</v>
          </cell>
          <cell r="D4399" t="str">
            <v>Lapp-Against Customer PO</v>
          </cell>
        </row>
        <row r="4400">
          <cell r="A4400" t="str">
            <v>381162409 (ÖLFLEX® CONTROL 110 LC 4 x 16 1100 V BK)</v>
          </cell>
          <cell r="B4400" t="str">
            <v>381162409(ÖLFLEX® CONTROL 110 LC 4 x 16 1100 V BK)</v>
          </cell>
          <cell r="C4400" t="str">
            <v>LAPP</v>
          </cell>
          <cell r="D4400" t="str">
            <v>Lapp-Against Customer PO</v>
          </cell>
        </row>
        <row r="4401">
          <cell r="A4401" t="str">
            <v>381110515 (ÖLFLEX® CONTROL 110 LC 5 G 0.75 1100 V GY)</v>
          </cell>
          <cell r="B4401" t="str">
            <v>381110515(ÖLFLEX® CONTROL 110 LC 5 G 0.75 1100 V GY)</v>
          </cell>
          <cell r="C4401" t="str">
            <v>LAPP</v>
          </cell>
          <cell r="D4401" t="str">
            <v>Lapp-Against Customer PO</v>
          </cell>
        </row>
        <row r="4402">
          <cell r="A4402" t="str">
            <v>381130515 (ÖLFLEX® CONTROL 110 LC 5 G 1.5 1100 V GY)</v>
          </cell>
          <cell r="B4402" t="str">
            <v>381130515(ÖLFLEX® CONTROL 110 LC 5 G 1.5 1100 V GY)</v>
          </cell>
          <cell r="C4402" t="str">
            <v>LAPP</v>
          </cell>
          <cell r="D4402" t="str">
            <v>Lapp-Against Customer PO</v>
          </cell>
        </row>
        <row r="4403">
          <cell r="A4403" t="str">
            <v>381150539 (ÖLFLEX® CONTROL 110 LC 5 G 4 1100 V UVAR BK)</v>
          </cell>
          <cell r="B4403" t="str">
            <v>381150539(ÖLFLEX® CONTROL 110 LC 5 G 4 1100 V UVAR BK)</v>
          </cell>
          <cell r="C4403" t="str">
            <v>LAPP</v>
          </cell>
          <cell r="D4403" t="str">
            <v>Lapp-Against Customer PO</v>
          </cell>
        </row>
        <row r="4404">
          <cell r="A4404" t="str">
            <v>386110315	_x000D_
 (ÖLFLEX® CONTROL 110 SY 3 G 0.75 1100 V GY	_x000D_
)</v>
          </cell>
          <cell r="B4404" t="str">
            <v>386110315	_x000D_
(ÖLFLEX® CONTROL 110 SY 3 G 0.75 1100 V GY	_x000D_
)</v>
          </cell>
          <cell r="C4404" t="str">
            <v>LAPP</v>
          </cell>
          <cell r="D4404" t="str">
            <v>Lapp-Against Customer PO</v>
          </cell>
        </row>
        <row r="4405">
          <cell r="A4405" t="str">
            <v>386110315 _x000D_
 (ÖLFLEX® CONTROL 110 SY 3 G 0.75 1100 V GY _x000D_
)</v>
          </cell>
          <cell r="B4405" t="str">
            <v>386110315 _x000D_
(ÖLFLEX® CONTROL 110 SY 3 G 0.75 1100 V GY _x000D_
)</v>
          </cell>
          <cell r="C4405" t="str">
            <v>LAPP</v>
          </cell>
          <cell r="D4405" t="str">
            <v>Lapp-Against Customer PO</v>
          </cell>
        </row>
        <row r="4406">
          <cell r="A4406" t="str">
            <v>386130300 (ÖLFLEX® CONTROL 110 SY 3 X 1.5 1100 V TR)</v>
          </cell>
          <cell r="B4406" t="str">
            <v>386130300(ÖLFLEX® CONTROL 110 SY 3 X 1.5 1100 V TR)</v>
          </cell>
          <cell r="C4406" t="str">
            <v>LAPP</v>
          </cell>
          <cell r="D4406" t="str">
            <v>Lapp-Against Customer PO</v>
          </cell>
        </row>
        <row r="4407">
          <cell r="A4407" t="str">
            <v>386140300 (ÖLFLEX® CONTROL 110 SY 3 X 2.5 1100 V TR)</v>
          </cell>
          <cell r="B4407" t="str">
            <v>386140300(ÖLFLEX® CONTROL 110 SY 3 X 2.5 1100 V TR)</v>
          </cell>
          <cell r="C4407" t="str">
            <v>LAPP</v>
          </cell>
          <cell r="D4407" t="str">
            <v>Lapp-Against Customer PO</v>
          </cell>
        </row>
        <row r="4408">
          <cell r="A4408" t="str">
            <v>386160300 (ÖLFLEX® CONTROL 110 SY 3 X 6 1100V TR)</v>
          </cell>
          <cell r="B4408" t="str">
            <v>386160300(ÖLFLEX® CONTROL 110 SY 3 X 6 1100V TR)</v>
          </cell>
          <cell r="C4408" t="str">
            <v>LAPP</v>
          </cell>
          <cell r="D4408" t="str">
            <v>Lapp-Against Customer PO</v>
          </cell>
        </row>
        <row r="4409">
          <cell r="A4409" t="str">
            <v>386120410 (ÖLFLEX® CONTROL 110 SY 4G1 1100V TRAN)</v>
          </cell>
          <cell r="B4409" t="str">
            <v>386120410(ÖLFLEX® CONTROL 110 SY 4G1 1100V TRAN)</v>
          </cell>
          <cell r="C4409" t="str">
            <v>LAPP</v>
          </cell>
          <cell r="D4409" t="str">
            <v>Lapp-Against Customer PO</v>
          </cell>
        </row>
        <row r="4410">
          <cell r="A4410" t="str">
            <v>386165415 (ÖLFLEX® CONTROL 110 SY 4 G 50 1100 V GY)</v>
          </cell>
          <cell r="B4410" t="str">
            <v>386165415(ÖLFLEX® CONTROL 110 SY 4 G 50 1100 V GY)</v>
          </cell>
          <cell r="C4410" t="str">
            <v>LAPP</v>
          </cell>
          <cell r="D4410" t="str">
            <v>Lapp-Against Customer PO</v>
          </cell>
        </row>
        <row r="4411">
          <cell r="A4411" t="str">
            <v>386110515	_x000D_
 (ÖLFLEX® CONTROL 110 SY 5 G 0.75 1100 V GY	_x000D_
)</v>
          </cell>
          <cell r="B4411" t="str">
            <v>386110515	_x000D_
(ÖLFLEX® CONTROL 110 SY 5 G 0.75 1100 V GY	_x000D_
)</v>
          </cell>
          <cell r="C4411" t="str">
            <v>LAPP</v>
          </cell>
          <cell r="D4411" t="str">
            <v>Lapp-Against Customer PO</v>
          </cell>
        </row>
        <row r="4412">
          <cell r="A4412" t="str">
            <v>386110515 _x000D_
 (ÖLFLEX® CONTROL 110 SY 5 G 0.75 1100 V GY _x000D_
)</v>
          </cell>
          <cell r="B4412" t="str">
            <v>386110515 _x000D_
(ÖLFLEX® CONTROL 110 SY 5 G 0.75 1100 V GY _x000D_
)</v>
          </cell>
          <cell r="C4412" t="str">
            <v>LAPP</v>
          </cell>
          <cell r="D4412" t="str">
            <v>Lapp-Against Customer PO</v>
          </cell>
        </row>
        <row r="4413">
          <cell r="A4413" t="str">
            <v>386110715	_x000D_
 (ÖLFLEX® CONTROL 110 SY 7 G 0.75 1100 V GY	_x000D_
)</v>
          </cell>
          <cell r="B4413" t="str">
            <v>386110715	_x000D_
(ÖLFLEX® CONTROL 110 SY 7 G 0.75 1100 V GY	_x000D_
)</v>
          </cell>
          <cell r="C4413" t="str">
            <v>LAPP</v>
          </cell>
          <cell r="D4413" t="str">
            <v>Lapp-Against Customer PO</v>
          </cell>
        </row>
        <row r="4414">
          <cell r="A4414" t="str">
            <v>386110715 _x000D_
 (ÖLFLEX® CONTROL 110 SY 7 G 0.75 1100 V GY _x000D_
)</v>
          </cell>
          <cell r="B4414" t="str">
            <v>386110715 _x000D_
(ÖLFLEX® CONTROL 110 SY 7 G 0.75 1100 V GY _x000D_
)</v>
          </cell>
          <cell r="C4414" t="str">
            <v>LAPP</v>
          </cell>
          <cell r="D4414" t="str">
            <v>Lapp-Against Customer PO</v>
          </cell>
        </row>
        <row r="4415">
          <cell r="A4415" t="str">
            <v>386140735 (ÖLFLEX® CONTROL 110 SY 7 G 2.5 1100 V UVAR GY)</v>
          </cell>
          <cell r="B4415" t="str">
            <v>386140735(ÖLFLEX® CONTROL 110 SY 7 G 2.5 1100 V UVAR GY)</v>
          </cell>
          <cell r="C4415" t="str">
            <v>LAPP</v>
          </cell>
          <cell r="D4415" t="str">
            <v>Lapp-Against Customer PO</v>
          </cell>
        </row>
        <row r="4416">
          <cell r="A4416" t="str">
            <v>388230415 (ÖLFLEX® CONTROL 277 N 4G1.5)</v>
          </cell>
          <cell r="B4416" t="str">
            <v>388230415(ÖLFLEX® CONTROL 277 N 4G1.5)</v>
          </cell>
          <cell r="C4416" t="str">
            <v>LAPP</v>
          </cell>
          <cell r="D4416" t="str">
            <v>Lapp-Against Customer PO</v>
          </cell>
        </row>
        <row r="4417">
          <cell r="A4417" t="str">
            <v>388260415 (ÖLFLEX ® CONTROL 277 N 4G6)</v>
          </cell>
          <cell r="B4417" t="str">
            <v>388260415(ÖLFLEX ® CONTROL 277 N 4G6)</v>
          </cell>
          <cell r="C4417" t="str">
            <v>LAPP</v>
          </cell>
          <cell r="D4417" t="str">
            <v>Lapp-Against Customer PO</v>
          </cell>
        </row>
        <row r="4418">
          <cell r="A4418" t="str">
            <v>388320415 (ÖLFLEX® CONTROL 277 N CY 4G1)</v>
          </cell>
          <cell r="B4418" t="str">
            <v>388320415(ÖLFLEX® CONTROL 277 N CY 4G1)</v>
          </cell>
          <cell r="C4418" t="str">
            <v>LAPP</v>
          </cell>
          <cell r="D4418" t="str">
            <v>Lapp-Against Customer PO</v>
          </cell>
        </row>
        <row r="4419">
          <cell r="A4419" t="str">
            <v>388350415 (ÖLFLEX® CONTROL 277 N CY 4G4)</v>
          </cell>
          <cell r="B4419" t="str">
            <v>388350415(ÖLFLEX® CONTROL 277 N CY 4G4)</v>
          </cell>
          <cell r="C4419" t="str">
            <v>LAPP</v>
          </cell>
          <cell r="D4419" t="str">
            <v>Lapp-Against Customer PO</v>
          </cell>
        </row>
        <row r="4420">
          <cell r="A4420" t="str">
            <v>281602 (ÖLFLEX® CONTROL TM 2G1.5 16/2C)</v>
          </cell>
          <cell r="B4420" t="str">
            <v>281602(ÖLFLEX® CONTROL TM 2G1.5 16/2C)</v>
          </cell>
          <cell r="C4420" t="str">
            <v>LAPP</v>
          </cell>
          <cell r="D4420" t="str">
            <v>Lapp-Against Customer PO</v>
          </cell>
        </row>
        <row r="4421">
          <cell r="A4421" t="str">
            <v>281803 (ÖLFLEX® CONTROL TM 3G1 18/3C)</v>
          </cell>
          <cell r="B4421" t="str">
            <v>281803(ÖLFLEX® CONTROL TM 3G1 18/3C)</v>
          </cell>
          <cell r="C4421" t="str">
            <v>LAPP</v>
          </cell>
          <cell r="D4421" t="str">
            <v>Lapp-Against Customer PO</v>
          </cell>
        </row>
        <row r="4422">
          <cell r="A4422" t="str">
            <v>281607 (ÖLFLEX® CONTROL TM 7G1.5 16/7C)</v>
          </cell>
          <cell r="B4422" t="str">
            <v>281607(ÖLFLEX® CONTROL TM 7G1.5 16/7C)</v>
          </cell>
          <cell r="C4422" t="str">
            <v>LAPP</v>
          </cell>
          <cell r="D4422" t="str">
            <v>Lapp-Against Customer PO</v>
          </cell>
        </row>
        <row r="4423">
          <cell r="A4423" t="str">
            <v>281807CY (ÖLFLEX® CONTROL TM CY 7G1 18/7C)</v>
          </cell>
          <cell r="B4423" t="str">
            <v>281807CY(ÖLFLEX® CONTROL TM CY 7G1 18/7C)</v>
          </cell>
          <cell r="C4423" t="str">
            <v>LAPP</v>
          </cell>
          <cell r="D4423" t="str">
            <v>Lapp-Against Customer PO</v>
          </cell>
        </row>
        <row r="4424">
          <cell r="A4424" t="str">
            <v>0045221 (ÖLFLEX® CRANE PUR 12G2,5)</v>
          </cell>
          <cell r="B4424" t="str">
            <v>0045221(ÖLFLEX® CRANE PUR 12G2,5)</v>
          </cell>
          <cell r="C4424" t="str">
            <v>LAPP</v>
          </cell>
          <cell r="D4424" t="str">
            <v>Lapp-Against Customer PO</v>
          </cell>
        </row>
        <row r="4425">
          <cell r="A4425" t="str">
            <v>0012421 (ÖLFLEX® EB 3X0,75)</v>
          </cell>
          <cell r="B4425" t="str">
            <v>0012421(ÖLFLEX® EB 3X0,75)</v>
          </cell>
          <cell r="C4425" t="str">
            <v>LAPP</v>
          </cell>
          <cell r="D4425" t="str">
            <v>Lapp-Against Customer PO</v>
          </cell>
        </row>
        <row r="4426">
          <cell r="A4426" t="str">
            <v>0012502 (ÖLFLEX® EB 4G1,5)</v>
          </cell>
          <cell r="B4426" t="str">
            <v>0012502(ÖLFLEX® EB 4G1,5)</v>
          </cell>
          <cell r="C4426" t="str">
            <v>LAPP</v>
          </cell>
          <cell r="D4426" t="str">
            <v>Lapp-Against Customer PO</v>
          </cell>
        </row>
        <row r="4427">
          <cell r="A4427" t="str">
            <v>0027613_x000D_
 (ÖLFLEX® FD 855 CP 25G0,5_x000D_
)</v>
          </cell>
          <cell r="B4427" t="str">
            <v>0027613_x000D_
(ÖLFLEX® FD 855 CP 25G0,5_x000D_
)</v>
          </cell>
          <cell r="C4427" t="str">
            <v>LAPP</v>
          </cell>
          <cell r="D4427" t="str">
            <v>Lapp-Against Customer PO</v>
          </cell>
        </row>
        <row r="4428">
          <cell r="A4428" t="str">
            <v>0027550 (ÖLFLEX® FD 855 P 12G0,75)</v>
          </cell>
          <cell r="B4428" t="str">
            <v>0027550(ÖLFLEX® FD 855 P 12G0,75)</v>
          </cell>
          <cell r="C4428" t="str">
            <v>LAPP</v>
          </cell>
          <cell r="D4428" t="str">
            <v>Lapp-Against Customer PO</v>
          </cell>
        </row>
        <row r="4429">
          <cell r="A4429" t="str">
            <v>0027536 (ÖLFLEX® FD 855 P 18G0,5)</v>
          </cell>
          <cell r="B4429" t="str">
            <v>0027536(ÖLFLEX® FD 855 P 18G0,5)</v>
          </cell>
          <cell r="C4429" t="str">
            <v>LAPP</v>
          </cell>
          <cell r="D4429" t="str">
            <v>Lapp-Against Customer PO</v>
          </cell>
        </row>
        <row r="4430">
          <cell r="A4430" t="str">
            <v>0027560 (ÖLFLEX® FD 855 P 2X1)</v>
          </cell>
          <cell r="B4430" t="str">
            <v>0027560(ÖLFLEX® FD 855 P 2X1)</v>
          </cell>
          <cell r="C4430" t="str">
            <v>LAPP</v>
          </cell>
          <cell r="D4430" t="str">
            <v>Lapp-Against Customer PO</v>
          </cell>
        </row>
        <row r="4431">
          <cell r="A4431" t="str">
            <v>1028604 (ÖLFLEX® FD 891 P 4G6)</v>
          </cell>
          <cell r="B4431" t="str">
            <v>1028604(ÖLFLEX® FD 891 P 4G6)</v>
          </cell>
          <cell r="C4431" t="str">
            <v>LAPP</v>
          </cell>
          <cell r="D4431" t="str">
            <v>Lapp-Against Customer PO</v>
          </cell>
        </row>
        <row r="4432">
          <cell r="A4432" t="str">
            <v>0026663 (ÖLFLEX® FD 90 CY 1X95)</v>
          </cell>
          <cell r="B4432" t="str">
            <v>0026663(ÖLFLEX® FD 90 CY 1X95)</v>
          </cell>
          <cell r="C4432" t="str">
            <v>LAPP</v>
          </cell>
          <cell r="D4432" t="str">
            <v>Lapp-Against Customer PO</v>
          </cell>
        </row>
        <row r="4433">
          <cell r="A4433" t="str">
            <v>1024434 (ÖLFLEX® HEAT 125 C MC 3G2,5)</v>
          </cell>
          <cell r="B4433" t="str">
            <v>1024434(ÖLFLEX® HEAT 125 C MC 3G2,5)</v>
          </cell>
          <cell r="C4433" t="str">
            <v>LAPP</v>
          </cell>
          <cell r="D4433" t="str">
            <v>Lapp-Against Customer PO</v>
          </cell>
        </row>
        <row r="4434">
          <cell r="A4434" t="str">
            <v>1024336 (ÖLFLEX® HEAT 125 MC 5G2,5)</v>
          </cell>
          <cell r="B4434" t="str">
            <v>1024336(ÖLFLEX® HEAT 125 MC 5G2,5)</v>
          </cell>
          <cell r="C4434" t="str">
            <v>LAPP</v>
          </cell>
          <cell r="D4434" t="str">
            <v>Lapp-Against Customer PO</v>
          </cell>
        </row>
        <row r="4435">
          <cell r="A4435" t="str">
            <v>1232114 (ÖLFLEX® HEAT 125 SC 1X0,5 DBU)</v>
          </cell>
          <cell r="B4435" t="str">
            <v>1232114(ÖLFLEX® HEAT 125 SC 1X0,5 DBU)</v>
          </cell>
          <cell r="C4435" t="str">
            <v>LAPP</v>
          </cell>
          <cell r="D4435" t="str">
            <v>Lapp-Against Customer PO</v>
          </cell>
        </row>
        <row r="4436">
          <cell r="A4436" t="str">
            <v>1233114 (ÖLFLEX® HEAT 125 SC 1X0,75 DBU)</v>
          </cell>
          <cell r="B4436" t="str">
            <v>1233114(ÖLFLEX® HEAT 125 SC 1X0,75 DBU)</v>
          </cell>
          <cell r="C4436" t="str">
            <v>LAPP</v>
          </cell>
          <cell r="D4436" t="str">
            <v>Lapp-Against Customer PO</v>
          </cell>
        </row>
        <row r="4437">
          <cell r="A4437" t="str">
            <v>1235003 (ÖLFLEX® HEAT 125 SC 1X1,5 BN)</v>
          </cell>
          <cell r="B4437" t="str">
            <v>1235003(ÖLFLEX® HEAT 125 SC 1X1,5 BN)</v>
          </cell>
          <cell r="C4437" t="str">
            <v>LAPP</v>
          </cell>
          <cell r="D4437" t="str">
            <v>Lapp-Against Customer PO</v>
          </cell>
        </row>
        <row r="4438">
          <cell r="A4438" t="str">
            <v>1240000 (ÖLFLEX® HEAT 125 SC 1X16 GNYE)</v>
          </cell>
          <cell r="B4438" t="str">
            <v>1240000(ÖLFLEX® HEAT 125 SC 1X16 GNYE)</v>
          </cell>
          <cell r="C4438" t="str">
            <v>LAPP</v>
          </cell>
          <cell r="D4438" t="str">
            <v>Lapp-Against Customer PO</v>
          </cell>
        </row>
        <row r="4439">
          <cell r="A4439" t="str">
            <v>1234114 (ÖLFLEX® HEAT 125 SC 1X1 DBU)</v>
          </cell>
          <cell r="B4439" t="str">
            <v>1234114(ÖLFLEX® HEAT 125 SC 1X1 DBU)</v>
          </cell>
          <cell r="C4439" t="str">
            <v>LAPP</v>
          </cell>
          <cell r="D4439" t="str">
            <v>Lapp-Against Customer PO</v>
          </cell>
        </row>
        <row r="4440">
          <cell r="A4440" t="str">
            <v>1234105 (ÖLFLEX® HEAT 125 SC 1X1 WH)</v>
          </cell>
          <cell r="B4440" t="str">
            <v>1234105(ÖLFLEX® HEAT 125 SC 1X1 WH)</v>
          </cell>
          <cell r="C4440" t="str">
            <v>LAPP</v>
          </cell>
          <cell r="D4440" t="str">
            <v>Lapp-Against Customer PO</v>
          </cell>
        </row>
        <row r="4441">
          <cell r="A4441" t="str">
            <v>1236114 (ÖLFLEX® HEAT 125 SC 1X2,5 DBU)</v>
          </cell>
          <cell r="B4441" t="str">
            <v>1236114(ÖLFLEX® HEAT 125 SC 1X2,5 DBU)</v>
          </cell>
          <cell r="C4441" t="str">
            <v>LAPP</v>
          </cell>
          <cell r="D4441" t="str">
            <v>Lapp-Against Customer PO</v>
          </cell>
        </row>
        <row r="4442">
          <cell r="A4442" t="str">
            <v>0046500 (ÖLFLEX® HEAT 180 EWKF 2X0,75)</v>
          </cell>
          <cell r="B4442" t="str">
            <v>0046500(ÖLFLEX® HEAT 180 EWKF 2X0,75)</v>
          </cell>
          <cell r="C4442" t="str">
            <v>LAPP</v>
          </cell>
          <cell r="D4442" t="str">
            <v>Lapp-Against Customer PO</v>
          </cell>
        </row>
        <row r="4443">
          <cell r="A4443" t="str">
            <v>00463153 (ÖLFLEX® HEAT 180 EWKF C 4G1,5)</v>
          </cell>
          <cell r="B4443" t="str">
            <v>00463153(ÖLFLEX® HEAT 180 EWKF C 4G1,5)</v>
          </cell>
          <cell r="C4443" t="str">
            <v>LAPP</v>
          </cell>
          <cell r="D4443" t="str">
            <v>Lapp-Against Customer PO</v>
          </cell>
        </row>
        <row r="4444">
          <cell r="A4444" t="str">
            <v>00463213 (ÖLFLEX® HEAT 180 EWKF C 4G2,5)</v>
          </cell>
          <cell r="B4444" t="str">
            <v>00463213(ÖLFLEX® HEAT 180 EWKF C 4G2,5)</v>
          </cell>
          <cell r="C4444" t="str">
            <v>LAPP</v>
          </cell>
          <cell r="D4444" t="str">
            <v>Lapp-Against Customer PO</v>
          </cell>
        </row>
        <row r="4445">
          <cell r="A4445" t="str">
            <v>0046612 (ÖLFLEX® HEAT 180 MS 2X1)</v>
          </cell>
          <cell r="B4445" t="str">
            <v>0046612(ÖLFLEX® HEAT 180 MS 2X1)</v>
          </cell>
          <cell r="C4445" t="str">
            <v>LAPP</v>
          </cell>
          <cell r="D4445" t="str">
            <v>Lapp-Against Customer PO</v>
          </cell>
        </row>
        <row r="4446">
          <cell r="A4446" t="str">
            <v>0047008 (ÖLFLEX® HEAT 180 SiF 1X0,25 PK)</v>
          </cell>
          <cell r="B4446" t="str">
            <v>0047008(ÖLFLEX® HEAT 180 SiF 1X0,25 PK)</v>
          </cell>
          <cell r="C4446" t="str">
            <v>LAPP</v>
          </cell>
          <cell r="D4446" t="str">
            <v>Lapp-Against Customer PO</v>
          </cell>
        </row>
        <row r="4447">
          <cell r="A4447" t="str">
            <v>0050000 (ÖLFLEX® HEAT 180 SiF 1X1 GNYE)</v>
          </cell>
          <cell r="B4447" t="str">
            <v>0050000(ÖLFLEX® HEAT 180 SiF 1X1 GNYE)</v>
          </cell>
          <cell r="C4447" t="str">
            <v>LAPP</v>
          </cell>
          <cell r="D4447" t="str">
            <v>Lapp-Against Customer PO</v>
          </cell>
        </row>
        <row r="4448">
          <cell r="A4448" t="str">
            <v>0050105 (ÖLFLEX® HEAT 180 SiF 1X1 WH)</v>
          </cell>
          <cell r="B4448" t="str">
            <v>0050105(ÖLFLEX® HEAT 180 SiF 1X1 WH)</v>
          </cell>
          <cell r="C4448" t="str">
            <v>LAPP</v>
          </cell>
          <cell r="D4448" t="str">
            <v>Lapp-Against Customer PO</v>
          </cell>
        </row>
        <row r="4449">
          <cell r="A4449" t="str">
            <v>0052105 (ÖLFLEX® HEAT 180 SiF 1X2,5 WH)</v>
          </cell>
          <cell r="B4449" t="str">
            <v>0052105(ÖLFLEX® HEAT 180 SiF 1X2,5 WH)</v>
          </cell>
          <cell r="C4449" t="str">
            <v>LAPP</v>
          </cell>
          <cell r="D4449" t="str">
            <v>Lapp-Against Customer PO</v>
          </cell>
        </row>
        <row r="4450">
          <cell r="A4450" t="str">
            <v>0054001 (ÖLFLEX® HEAT 180 SiF 1X6 BK)</v>
          </cell>
          <cell r="B4450" t="str">
            <v>0054001(ÖLFLEX® HEAT 180 SiF 1X6 BK)</v>
          </cell>
          <cell r="C4450" t="str">
            <v>LAPP</v>
          </cell>
          <cell r="D4450" t="str">
            <v>Lapp-Against Customer PO</v>
          </cell>
        </row>
        <row r="4451">
          <cell r="A4451" t="str">
            <v>0054000 (ÖLFLEX® HEAT 180 SiF 1X6 GNYE)</v>
          </cell>
          <cell r="B4451" t="str">
            <v>0054000(ÖLFLEX® HEAT 180 SiF 1X6 GNYE)</v>
          </cell>
          <cell r="C4451" t="str">
            <v>LAPP</v>
          </cell>
          <cell r="D4451" t="str">
            <v>Lapp-Against Customer PO</v>
          </cell>
        </row>
        <row r="4452">
          <cell r="A4452" t="str">
            <v>0054104 (ÖLFLEX® HEAT 180 SiF 1X6 RD)</v>
          </cell>
          <cell r="B4452" t="str">
            <v>0054104(ÖLFLEX® HEAT 180 SiF 1X6 RD)</v>
          </cell>
          <cell r="C4452" t="str">
            <v>LAPP</v>
          </cell>
          <cell r="D4452" t="str">
            <v>Lapp-Against Customer PO</v>
          </cell>
        </row>
        <row r="4453">
          <cell r="A4453" t="str">
            <v>0061001 (ÖLFLEX® HEAT 180 SiF 1X95 BK)</v>
          </cell>
          <cell r="B4453" t="str">
            <v>0061001(ÖLFLEX® HEAT 180 SiF 1X95 BK)</v>
          </cell>
          <cell r="C4453" t="str">
            <v>LAPP</v>
          </cell>
          <cell r="D4453" t="str">
            <v>Lapp-Against Customer PO</v>
          </cell>
        </row>
        <row r="4454">
          <cell r="A4454" t="str">
            <v>1249560 (ÖLFLEX® HEAT 180 SiF A 1x0,25 BN)</v>
          </cell>
          <cell r="B4454" t="str">
            <v>1249560(ÖLFLEX® HEAT 180 SiF A 1x0,25 BN)</v>
          </cell>
          <cell r="C4454" t="str">
            <v>LAPP</v>
          </cell>
          <cell r="D4454" t="str">
            <v>Lapp-Against Customer PO</v>
          </cell>
        </row>
        <row r="4455">
          <cell r="A4455" t="str">
            <v>1249540 (ÖLFLEX® HEAT 180 SiF A 1x0,25 BU)</v>
          </cell>
          <cell r="B4455" t="str">
            <v>1249540(ÖLFLEX® HEAT 180 SiF A 1x0,25 BU)</v>
          </cell>
          <cell r="C4455" t="str">
            <v>LAPP</v>
          </cell>
          <cell r="D4455" t="str">
            <v>Lapp-Against Customer PO</v>
          </cell>
        </row>
        <row r="4456">
          <cell r="A4456" t="str">
            <v>1249720 (ÖLFLEX® HEAT 180 SiF A 1x0,25 GN)</v>
          </cell>
          <cell r="B4456" t="str">
            <v>1249720(ÖLFLEX® HEAT 180 SiF A 1x0,25 GN)</v>
          </cell>
          <cell r="C4456" t="str">
            <v>LAPP</v>
          </cell>
          <cell r="D4456" t="str">
            <v>Lapp-Against Customer PO</v>
          </cell>
        </row>
        <row r="4457">
          <cell r="A4457" t="str">
            <v>1249600 (ÖLFLEX® HEAT 180 SiF A 1x0,25 WH)</v>
          </cell>
          <cell r="B4457" t="str">
            <v>1249600(ÖLFLEX® HEAT 180 SiF A 1x0,25 WH)</v>
          </cell>
          <cell r="C4457" t="str">
            <v>LAPP</v>
          </cell>
          <cell r="D4457" t="str">
            <v>Lapp-Against Customer PO</v>
          </cell>
        </row>
        <row r="4458">
          <cell r="A4458" t="str">
            <v>1249700 (ÖLFLEX® HEAT 180 SiF A 1x0,25 YE)</v>
          </cell>
          <cell r="B4458" t="str">
            <v>1249700(ÖLFLEX® HEAT 180 SiF A 1x0,25 YE)</v>
          </cell>
          <cell r="C4458" t="str">
            <v>LAPP</v>
          </cell>
          <cell r="D4458" t="str">
            <v>Lapp-Against Customer PO</v>
          </cell>
        </row>
        <row r="4459">
          <cell r="A4459" t="str">
            <v>1249529 (ÖLFLEX® HEAT 180 SiF A 1x10 BK)</v>
          </cell>
          <cell r="B4459" t="str">
            <v>1249529(ÖLFLEX® HEAT 180 SiF A 1x10 BK)</v>
          </cell>
          <cell r="C4459" t="str">
            <v>LAPP</v>
          </cell>
          <cell r="D4459" t="str">
            <v>Lapp-Against Customer PO</v>
          </cell>
        </row>
        <row r="4460">
          <cell r="A4460" t="str">
            <v>1249589 (ÖLFLEX® HEAT 180 SiF A 1x10 RD)</v>
          </cell>
          <cell r="B4460" t="str">
            <v>1249589(ÖLFLEX® HEAT 180 SiF A 1x10 RD)</v>
          </cell>
          <cell r="C4460" t="str">
            <v>LAPP</v>
          </cell>
          <cell r="D4460" t="str">
            <v>Lapp-Against Customer PO</v>
          </cell>
        </row>
        <row r="4461">
          <cell r="A4461" t="str">
            <v>1249591 (ÖLFLEX® HEAT 180 SiF A 1x25 RD)</v>
          </cell>
          <cell r="B4461" t="str">
            <v>1249591(ÖLFLEX® HEAT 180 SiF A 1x25 RD)</v>
          </cell>
          <cell r="C4461" t="str">
            <v>LAPP</v>
          </cell>
          <cell r="D4461" t="str">
            <v>Lapp-Against Customer PO</v>
          </cell>
        </row>
        <row r="4462">
          <cell r="A4462" t="str">
            <v>1249586 (ÖLFLEX® HEAT 180 SiF A 1x2,5 RED)</v>
          </cell>
          <cell r="B4462" t="str">
            <v>1249586(ÖLFLEX® HEAT 180 SiF A 1x2,5 RED)</v>
          </cell>
          <cell r="C4462" t="str">
            <v>LAPP</v>
          </cell>
          <cell r="D4462" t="str">
            <v>Lapp-Against Customer PO</v>
          </cell>
        </row>
        <row r="4463">
          <cell r="A4463" t="str">
            <v>1249706 (ÖLFLEX® HEAT 180 SiF A 1x2,5 YE)</v>
          </cell>
          <cell r="B4463" t="str">
            <v>1249706(ÖLFLEX® HEAT 180 SiF A 1x2,5 YE)</v>
          </cell>
          <cell r="C4463" t="str">
            <v>LAPP</v>
          </cell>
          <cell r="D4463" t="str">
            <v>Lapp-Against Customer PO</v>
          </cell>
        </row>
        <row r="4464">
          <cell r="A4464" t="str">
            <v>1249587 (ÖLFLEX® HEAT 180 SiF A 1x4 RD)</v>
          </cell>
          <cell r="B4464" t="str">
            <v>1249587(ÖLFLEX® HEAT 180 SiF A 1x4 RD)</v>
          </cell>
          <cell r="C4464" t="str">
            <v>LAPP</v>
          </cell>
          <cell r="D4464" t="str">
            <v>Lapp-Against Customer PO</v>
          </cell>
        </row>
        <row r="4465">
          <cell r="A4465" t="str">
            <v>0065104 (ÖLFLEX® HEAT 180 SiF/GL 1X1)</v>
          </cell>
          <cell r="B4465" t="str">
            <v>0065104(ÖLFLEX® HEAT 180 SiF/GL 1X1)</v>
          </cell>
          <cell r="C4465" t="str">
            <v>LAPP</v>
          </cell>
          <cell r="D4465" t="str">
            <v>Lapp-Against Customer PO</v>
          </cell>
        </row>
        <row r="4466">
          <cell r="A4466" t="str">
            <v>0046039 (ÖLFLEX® HEAT 180 SiHF 12G1,5)</v>
          </cell>
          <cell r="B4466" t="str">
            <v>0046039(ÖLFLEX® HEAT 180 SiHF 12G1,5)</v>
          </cell>
          <cell r="C4466" t="str">
            <v>LAPP</v>
          </cell>
          <cell r="D4466" t="str">
            <v>Lapp-Against Customer PO</v>
          </cell>
        </row>
        <row r="4467">
          <cell r="A4467" t="str">
            <v>0046007 (ÖLFLEX® HEAT 180 SiHF 2X1)</v>
          </cell>
          <cell r="B4467" t="str">
            <v>0046007(ÖLFLEX® HEAT 180 SiHF 2X1)</v>
          </cell>
          <cell r="C4467" t="str">
            <v>LAPP</v>
          </cell>
          <cell r="D4467" t="str">
            <v>Lapp-Against Customer PO</v>
          </cell>
        </row>
        <row r="4468">
          <cell r="A4468" t="str">
            <v>00460093 (ÖLFLEX® HEAT 180 SiHF 4G1)</v>
          </cell>
          <cell r="B4468" t="str">
            <v>00460093(ÖLFLEX® HEAT 180 SiHF 4G1)</v>
          </cell>
          <cell r="C4468" t="str">
            <v>LAPP</v>
          </cell>
          <cell r="D4468" t="str">
            <v>Lapp-Against Customer PO</v>
          </cell>
        </row>
        <row r="4469">
          <cell r="A4469" t="str">
            <v>00460283 (ÖLFLEX® HEAT 180 SiHF 5G4)</v>
          </cell>
          <cell r="B4469" t="str">
            <v>00460283(ÖLFLEX® HEAT 180 SiHF 5G4)</v>
          </cell>
          <cell r="C4469" t="str">
            <v>LAPP</v>
          </cell>
          <cell r="D4469" t="str">
            <v>Lapp-Against Customer PO</v>
          </cell>
        </row>
        <row r="4470">
          <cell r="A4470" t="str">
            <v>0046012 (ÖLFLEX® HEAT 180 SiHF 7G1)</v>
          </cell>
          <cell r="B4470" t="str">
            <v>0046012(ÖLFLEX® HEAT 180 SiHF 7G1)</v>
          </cell>
          <cell r="C4470" t="str">
            <v>LAPP</v>
          </cell>
          <cell r="D4470" t="str">
            <v>Lapp-Against Customer PO</v>
          </cell>
        </row>
        <row r="4471">
          <cell r="A4471" t="str">
            <v>0046018 (ÖLFLEX® HEAT 180 SiHF 7G1,5)</v>
          </cell>
          <cell r="B4471" t="str">
            <v>0046018(ÖLFLEX® HEAT 180 SiHF 7G1,5)</v>
          </cell>
          <cell r="C4471" t="str">
            <v>LAPP</v>
          </cell>
          <cell r="D4471" t="str">
            <v>Lapp-Against Customer PO</v>
          </cell>
        </row>
        <row r="4472">
          <cell r="A4472" t="str">
            <v>0081002 (ÖLFLEX® HEAT 205 SC 1X0,25 BU)</v>
          </cell>
          <cell r="B4472" t="str">
            <v>0081002(ÖLFLEX® HEAT 205 SC 1X0,25 BU)</v>
          </cell>
          <cell r="C4472" t="str">
            <v>LAPP</v>
          </cell>
          <cell r="D4472" t="str">
            <v>Lapp-Against Customer PO</v>
          </cell>
        </row>
        <row r="4473">
          <cell r="A4473" t="str">
            <v>0081105 (ÖLFLEX® HEAT 205 SC 1X0,25 WH)</v>
          </cell>
          <cell r="B4473" t="str">
            <v>0081105(ÖLFLEX® HEAT 205 SC 1X0,25 WH)</v>
          </cell>
          <cell r="C4473" t="str">
            <v>LAPP</v>
          </cell>
          <cell r="D4473" t="str">
            <v>Lapp-Against Customer PO</v>
          </cell>
        </row>
        <row r="4474">
          <cell r="A4474" t="str">
            <v>0082001 (ÖLFLEX® HEAT 205 SC 1X0,5 BK)</v>
          </cell>
          <cell r="B4474" t="str">
            <v>0082001(ÖLFLEX® HEAT 205 SC 1X0,5 BK)</v>
          </cell>
          <cell r="C4474" t="str">
            <v>LAPP</v>
          </cell>
          <cell r="D4474" t="str">
            <v>Lapp-Against Customer PO</v>
          </cell>
        </row>
        <row r="4475">
          <cell r="A4475" t="str">
            <v>0082104 (ÖLFLEX® HEAT 205 SC 1X0,5 RD)</v>
          </cell>
          <cell r="B4475" t="str">
            <v>0082104(ÖLFLEX® HEAT 205 SC 1X0,5 RD)</v>
          </cell>
          <cell r="C4475" t="str">
            <v>LAPP</v>
          </cell>
          <cell r="D4475" t="str">
            <v>Lapp-Against Customer PO</v>
          </cell>
        </row>
        <row r="4476">
          <cell r="A4476" t="str">
            <v>0091306 (ÖLFLEX® HEAT 260 MC 3G0,75)</v>
          </cell>
          <cell r="B4476" t="str">
            <v>0091306(ÖLFLEX® HEAT 260 MC 3G0,75)</v>
          </cell>
          <cell r="C4476" t="str">
            <v>LAPP</v>
          </cell>
          <cell r="D4476" t="str">
            <v>Lapp-Against Customer PO</v>
          </cell>
        </row>
        <row r="4477">
          <cell r="A4477" t="str">
            <v>0106001 (ÖLFLEX® HEAT 260 SC 14/19 AWG BK)</v>
          </cell>
          <cell r="B4477" t="str">
            <v>0106001(ÖLFLEX® HEAT 260 SC 14/19 AWG BK)</v>
          </cell>
          <cell r="C4477" t="str">
            <v>LAPP</v>
          </cell>
          <cell r="D4477" t="str">
            <v>Lapp-Against Customer PO</v>
          </cell>
        </row>
        <row r="4478">
          <cell r="A4478" t="str">
            <v>0102105 (ÖLFLEX® HEAT 260 SC 20/19 AWG WH)</v>
          </cell>
          <cell r="B4478" t="str">
            <v>0102105(ÖLFLEX® HEAT 260 SC 20/19 AWG WH)</v>
          </cell>
          <cell r="C4478" t="str">
            <v>LAPP</v>
          </cell>
          <cell r="D4478" t="str">
            <v>Lapp-Against Customer PO</v>
          </cell>
        </row>
        <row r="4479">
          <cell r="A4479" t="str">
            <v>0101105 (ÖLFLEX® HEAT 260 SC 20/7 AWG WH)</v>
          </cell>
          <cell r="B4479" t="str">
            <v>0101105(ÖLFLEX® HEAT 260 SC 20/7 AWG WH)</v>
          </cell>
          <cell r="C4479" t="str">
            <v>LAPP</v>
          </cell>
          <cell r="D4479" t="str">
            <v>Lapp-Against Customer PO</v>
          </cell>
        </row>
        <row r="4480">
          <cell r="A4480" t="str">
            <v>0098006 (ÖLFLEX® HEAT 260 SC 24/19 AWG GN)</v>
          </cell>
          <cell r="B4480" t="str">
            <v>0098006(ÖLFLEX® HEAT 260 SC 24/19 AWG GN)</v>
          </cell>
          <cell r="C4480" t="str">
            <v>LAPP</v>
          </cell>
          <cell r="D4480" t="str">
            <v>Lapp-Against Customer PO</v>
          </cell>
        </row>
        <row r="4481">
          <cell r="A4481" t="str">
            <v>1232650 (ÖLFLEX® HEAT 650 SC 1x0,5)</v>
          </cell>
          <cell r="B4481" t="str">
            <v>1232650(ÖLFLEX® HEAT 650 SC 1x0,5)</v>
          </cell>
          <cell r="C4481" t="str">
            <v>LAPP</v>
          </cell>
          <cell r="D4481" t="str">
            <v>Lapp-Against Customer PO</v>
          </cell>
        </row>
        <row r="4482">
          <cell r="A4482" t="str">
            <v>824830077114 (ÖLFLEX®INSTRUM10P0.75REN2XOSY2SY2 05 BK)</v>
          </cell>
          <cell r="B4482" t="str">
            <v>824830077114(ÖLFLEX®INSTRUM10P0.75REN2XOSY2SY2 05 BK)</v>
          </cell>
          <cell r="C4482" t="str">
            <v>LAPP</v>
          </cell>
          <cell r="D4482" t="str">
            <v>Lapp-Against Customer PO</v>
          </cell>
        </row>
        <row r="4483">
          <cell r="A4483" t="str">
            <v>824830304516 (ÖLFLEX®INSTRUM10P1RENY3ISOSY2SSAYC2)</v>
          </cell>
          <cell r="B4483" t="str">
            <v>824830304516(ÖLFLEX®INSTRUM10P1RENY3ISOSY2SSAYC2)</v>
          </cell>
          <cell r="C4483" t="str">
            <v>LAPP</v>
          </cell>
          <cell r="D4483" t="str">
            <v>Lapp-Against Customer PO</v>
          </cell>
        </row>
        <row r="4484">
          <cell r="A4484" t="str">
            <v>824830077120 (ÖLFLEX®INSTRUM12P0.75REN2XOSY2SY2 05 BK)</v>
          </cell>
          <cell r="B4484" t="str">
            <v>824830077120(ÖLFLEX®INSTRUM12P0.75REN2XOSY2SY2 05 BK)</v>
          </cell>
          <cell r="C4484" t="str">
            <v>LAPP</v>
          </cell>
          <cell r="D4484" t="str">
            <v>Lapp-Against Customer PO</v>
          </cell>
        </row>
        <row r="4485">
          <cell r="A4485" t="str">
            <v>824830322462 (ÖLFLEX®INSTRUM12x1.5RTEN2XOSYC2SWAYC2UVA)</v>
          </cell>
          <cell r="B4485" t="str">
            <v>824830322462(ÖLFLEX®INSTRUM12x1.5RTEN2XOSYC2SWAYC2UVA)</v>
          </cell>
          <cell r="C4485" t="str">
            <v>LAPP</v>
          </cell>
          <cell r="D4485" t="str">
            <v>Lapp-Against Customer PO</v>
          </cell>
        </row>
        <row r="4486">
          <cell r="A4486" t="str">
            <v>824830322463 (ÖLFLEX® INSTRUM 12x1.5 RTEN2XOSYC2SWAYC2UVAR 1 BU)</v>
          </cell>
          <cell r="B4486" t="str">
            <v>824830322463(ÖLFLEX® INSTRUM 12x1.5 RTEN2XOSYC2SWAYC2UVAR 1 BU)</v>
          </cell>
          <cell r="C4486" t="str">
            <v>LAPP</v>
          </cell>
          <cell r="D4486" t="str">
            <v>Lapp-Against Customer PO</v>
          </cell>
        </row>
        <row r="4487">
          <cell r="A4487" t="str">
            <v>824830014712 (ÖLFLEX® INSTRUM 19x1.5 FEN 2XOSY2 05 GY)</v>
          </cell>
          <cell r="B4487" t="str">
            <v>824830014712(ÖLFLEX® INSTRUM 19x1.5 FEN 2XOSY2 05 GY)</v>
          </cell>
          <cell r="C4487" t="str">
            <v>LAPP</v>
          </cell>
          <cell r="D4487" t="str">
            <v>Lapp-Against Customer PO</v>
          </cell>
        </row>
        <row r="4488">
          <cell r="A4488" t="str">
            <v>824830077072 (ÖLFLEX®INSTRUM1P0.75REN2XOSY2SY2 05 BK)</v>
          </cell>
          <cell r="B4488" t="str">
            <v>824830077072(ÖLFLEX®INSTRUM1P0.75REN2XOSY2SY2 05 BK)</v>
          </cell>
          <cell r="C4488" t="str">
            <v>LAPP</v>
          </cell>
          <cell r="D4488" t="str">
            <v>Lapp-Against Customer PO</v>
          </cell>
        </row>
        <row r="4489">
          <cell r="A4489" t="str">
            <v>824830012835 (ÖLFLEX®INSTRUM1P1FEN2XOSY2 1 GY)</v>
          </cell>
          <cell r="B4489" t="str">
            <v>824830012835(ÖLFLEX®INSTRUM1P1FEN2XOSY2 1 GY)</v>
          </cell>
          <cell r="C4489" t="str">
            <v>LAPP</v>
          </cell>
          <cell r="D4489" t="str">
            <v>Lapp-Against Customer PO</v>
          </cell>
        </row>
        <row r="4490">
          <cell r="A4490" t="str">
            <v>824830304408 (ÖLFLEX®INSTRUM1P1RENY3OSY2SWAYC2UVA)</v>
          </cell>
          <cell r="B4490" t="str">
            <v>824830304408(ÖLFLEX®INSTRUM1P1RENY3OSY2SWAYC2UVA)</v>
          </cell>
          <cell r="C4490" t="str">
            <v>LAPP</v>
          </cell>
          <cell r="D4490" t="str">
            <v>Lapp-Against Customer PO</v>
          </cell>
        </row>
        <row r="4491">
          <cell r="A4491" t="str">
            <v>483546421 (ÖLFLEX® INSTRUM 1x2x0.5 FENY3OSY2SYC2 1 GY)</v>
          </cell>
          <cell r="B4491" t="str">
            <v>483546421(ÖLFLEX® INSTRUM 1x2x0.5 FENY3OSY2SYC2 1 GY)</v>
          </cell>
          <cell r="C4491" t="str">
            <v>LAPP</v>
          </cell>
          <cell r="D4491" t="str">
            <v>Lapp-Against Customer PO</v>
          </cell>
        </row>
        <row r="4492">
          <cell r="A4492" t="str">
            <v>824830074413 (ÖLFLEX® INSTRUM 1x2x1 RTENY3OSY2SYC2 1 GY)</v>
          </cell>
          <cell r="B4492" t="str">
            <v>824830074413(ÖLFLEX® INSTRUM 1x2x1 RTENY3OSY2SYC2 1 GY)</v>
          </cell>
          <cell r="C4492" t="str">
            <v>LAPP</v>
          </cell>
          <cell r="D4492" t="str">
            <v>Lapp-Against Customer PO</v>
          </cell>
        </row>
        <row r="4493">
          <cell r="A4493" t="str">
            <v>824830100687 (ÖLFLEX® INSTRUM 1x3x1.5 RTENY3OSYC2SYC2 1 GY)</v>
          </cell>
          <cell r="B4493" t="str">
            <v>824830100687(ÖLFLEX® INSTRUM 1x3x1.5 RTENY3OSYC2SYC2 1 GY)</v>
          </cell>
          <cell r="C4493" t="str">
            <v>LAPP</v>
          </cell>
          <cell r="D4493" t="str">
            <v>Lapp-Against Customer PO</v>
          </cell>
        </row>
        <row r="4494">
          <cell r="A4494" t="str">
            <v>824830077078 (ÖLFLEX®INSTRUM2P0.75REN2XOSY2SY2 05 BK)</v>
          </cell>
          <cell r="B4494" t="str">
            <v>824830077078(ÖLFLEX®INSTRUM2P0.75REN2XOSY2SY2 05 BK)</v>
          </cell>
          <cell r="C4494" t="str">
            <v>LAPP</v>
          </cell>
          <cell r="D4494" t="str">
            <v>Lapp-Against Customer PO</v>
          </cell>
        </row>
        <row r="4495">
          <cell r="A4495" t="str">
            <v>824830304480 (ÖLFLEX®INSTRUM2P1RENY3ISOSY2SWAYC2U)</v>
          </cell>
          <cell r="B4495" t="str">
            <v>824830304480(ÖLFLEX®INSTRUM2P1RENY3ISOSY2SWAYC2U)</v>
          </cell>
          <cell r="C4495" t="str">
            <v>LAPP</v>
          </cell>
          <cell r="D4495" t="str">
            <v>Lapp-Against Customer PO</v>
          </cell>
        </row>
        <row r="4496">
          <cell r="A4496" t="str">
            <v>824830078932 (ÖLFLEX®INSTRUM2x0.75FEN2XOSY2 05 GY)</v>
          </cell>
          <cell r="B4496" t="str">
            <v>824830078932(ÖLFLEX®INSTRUM2x0.75FEN2XOSY2 05 GY)</v>
          </cell>
          <cell r="C4496" t="str">
            <v>LAPP</v>
          </cell>
          <cell r="D4496" t="str">
            <v>Lapp-Against Customer PO</v>
          </cell>
        </row>
        <row r="4497">
          <cell r="A4497" t="str">
            <v>824830322415 (ÖLFLEX® INSTRUM 2x1.5 RTEN2XOSYC2SWAYC2UVAR 1 BU)</v>
          </cell>
          <cell r="B4497" t="str">
            <v>824830322415(ÖLFLEX® INSTRUM 2x1.5 RTEN2XOSYC2SWAYC2UVAR 1 BU)</v>
          </cell>
          <cell r="C4497" t="str">
            <v>LAPP</v>
          </cell>
          <cell r="D4497" t="str">
            <v>Lapp-Against Customer PO</v>
          </cell>
        </row>
        <row r="4498">
          <cell r="A4498" t="str">
            <v>824830078860 (ÖLFLEX®INSTRUM3x0.75REN2XOSY2SY2 05 BK)</v>
          </cell>
          <cell r="B4498" t="str">
            <v>824830078860(ÖLFLEX®INSTRUM3x0.75REN2XOSY2SY2 05 BK)</v>
          </cell>
          <cell r="C4498" t="str">
            <v>LAPP</v>
          </cell>
          <cell r="D4498" t="str">
            <v>Lapp-Against Customer PO</v>
          </cell>
        </row>
        <row r="4499">
          <cell r="A4499" t="str">
            <v>48382295 (ÖLFLEX® INSTRUM 3x2x0.5 RENYOSYSWAYC2 05 BU_x000D_
)</v>
          </cell>
          <cell r="B4499" t="str">
            <v>48382295(ÖLFLEX® INSTRUM 3x2x0.5 RENYOSYSWAYC2 05 BU_x000D_
)</v>
          </cell>
          <cell r="C4499" t="str">
            <v>LAPP</v>
          </cell>
          <cell r="D4499" t="str">
            <v>Lapp-Against Customer PO</v>
          </cell>
        </row>
        <row r="4500">
          <cell r="A4500" t="str">
            <v>824830304492 (ÖLFLEX®INSTRUM4P1RENY3ISOSY2SWAYC2U)</v>
          </cell>
          <cell r="B4500" t="str">
            <v>824830304492(ÖLFLEX®INSTRUM4P1RENY3ISOSY2SWAYC2U)</v>
          </cell>
          <cell r="C4500" t="str">
            <v>LAPP</v>
          </cell>
          <cell r="D4500" t="str">
            <v>Lapp-Against Customer PO</v>
          </cell>
        </row>
        <row r="4501">
          <cell r="A4501" t="str">
            <v>483833301 (ÖLFLEX® INSTRUM 4X1 RENYOSYSWAY 1 BU 10)</v>
          </cell>
          <cell r="B4501" t="str">
            <v>483833301(ÖLFLEX® INSTRUM 4X1 RENYOSYSWAY 1 BU 10)</v>
          </cell>
          <cell r="C4501" t="str">
            <v>LAPP</v>
          </cell>
          <cell r="D4501" t="str">
            <v>Lapp-Against Customer PO</v>
          </cell>
        </row>
        <row r="4502">
          <cell r="A4502" t="str">
            <v>824830014652 (ÖLFLEX® INSTRUM 5X1.5 FEN2XOSY2 05 GY)</v>
          </cell>
          <cell r="B4502" t="str">
            <v>824830014652(ÖLFLEX® INSTRUM 5X1.5 FEN2XOSY2 05 GY)</v>
          </cell>
          <cell r="C4502" t="str">
            <v>LAPP</v>
          </cell>
          <cell r="D4502" t="str">
            <v>Lapp-Against Customer PO</v>
          </cell>
        </row>
        <row r="4503">
          <cell r="A4503" t="str">
            <v>824830078878 (ÖLFLEX®INSTRUM6x0.75REN2XOSY2SY2 05 BK)</v>
          </cell>
          <cell r="B4503" t="str">
            <v>824830078878(ÖLFLEX®INSTRUM6x0.75REN2XOSY2SY2 05 BK)</v>
          </cell>
          <cell r="C4503" t="str">
            <v>LAPP</v>
          </cell>
          <cell r="D4503" t="str">
            <v>Lapp-Against Customer PO</v>
          </cell>
        </row>
        <row r="4504">
          <cell r="A4504" t="str">
            <v>824830305260 (ÖLFLEX® INSTRUM 6x0.75 RENY3OSY2SWAYC2UV)</v>
          </cell>
          <cell r="B4504" t="str">
            <v>824830305260(ÖLFLEX® INSTRUM 6x0.75 RENY3OSY2SWAYC2UV)</v>
          </cell>
          <cell r="C4504" t="str">
            <v>LAPP</v>
          </cell>
          <cell r="D4504" t="str">
            <v>Lapp-Against Customer PO</v>
          </cell>
        </row>
        <row r="4505">
          <cell r="A4505" t="str">
            <v>824830304504 (ÖLFLEX® INSTRUM 6x2x1 RENY3ISOSY2SWAYC2U)</v>
          </cell>
          <cell r="B4505" t="str">
            <v>824830304504(ÖLFLEX® INSTRUM 6x2x1 RENY3ISOSY2SWAYC2U)</v>
          </cell>
          <cell r="C4505" t="str">
            <v>LAPP</v>
          </cell>
          <cell r="D4505" t="str">
            <v>Lapp-Against Customer PO</v>
          </cell>
        </row>
        <row r="4506">
          <cell r="A4506" t="str">
            <v>0042050 (ÖLFLEX® LIFT F 12G2,5 450/750V)</v>
          </cell>
          <cell r="B4506" t="str">
            <v>0042050(ÖLFLEX® LIFT F 12G2,5 450/750V)</v>
          </cell>
          <cell r="C4506" t="str">
            <v>LAPP</v>
          </cell>
          <cell r="D4506" t="str">
            <v>Lapp-Against Customer PO</v>
          </cell>
        </row>
        <row r="4507">
          <cell r="A4507" t="str">
            <v>00420113 (ÖLFLEX® LIFT F 4G4 450/750V)</v>
          </cell>
          <cell r="B4507" t="str">
            <v>00420113(ÖLFLEX® LIFT F 4G4 450/750V)</v>
          </cell>
          <cell r="C4507" t="str">
            <v>LAPP</v>
          </cell>
          <cell r="D4507" t="str">
            <v>Lapp-Against Customer PO</v>
          </cell>
        </row>
        <row r="4508">
          <cell r="A4508" t="str">
            <v>0023327 (ÖLFLEX® PETRO FD 865 CP 12G1)</v>
          </cell>
          <cell r="B4508" t="str">
            <v>0023327(ÖLFLEX® PETRO FD 865 CP 12G1)</v>
          </cell>
          <cell r="C4508" t="str">
            <v>LAPP</v>
          </cell>
          <cell r="D4508" t="str">
            <v>Lapp-Against Customer PO</v>
          </cell>
        </row>
        <row r="4509">
          <cell r="A4509" t="str">
            <v>820120004494 (ÖLFLEX® POWER AL 1100V 2XA FRLSH 3.5X150 F)</v>
          </cell>
          <cell r="B4509" t="str">
            <v>820120004494(ÖLFLEX® POWER AL 1100V 2XA FRLSH 3.5X150 F)</v>
          </cell>
          <cell r="C4509" t="str">
            <v>LAPP</v>
          </cell>
          <cell r="D4509" t="str">
            <v>Lapp-Against Customer PO</v>
          </cell>
        </row>
        <row r="4510">
          <cell r="A4510" t="str">
            <v>820120004488 (ÖLFLEX® POWER AL 1100V 2XA FRLSH 3.5X25 F)</v>
          </cell>
          <cell r="B4510" t="str">
            <v>820120004488(ÖLFLEX® POWER AL 1100V 2XA FRLSH 3.5X25 F)</v>
          </cell>
          <cell r="C4510" t="str">
            <v>LAPP</v>
          </cell>
          <cell r="D4510" t="str">
            <v>Lapp-Against Customer PO</v>
          </cell>
        </row>
        <row r="4511">
          <cell r="A4511" t="str">
            <v>8201000055 (ÖLFLEX® POWER AL 3.5x120 A2XYY2 1 BK)</v>
          </cell>
          <cell r="B4511" t="str">
            <v>8201000055(ÖLFLEX® POWER AL 3.5x120 A2XYY2 1 BK)</v>
          </cell>
          <cell r="C4511" t="str">
            <v>LAPP</v>
          </cell>
          <cell r="D4511" t="str">
            <v>Lapp-Against Customer PO</v>
          </cell>
        </row>
        <row r="4512">
          <cell r="A4512" t="str">
            <v>8201000056 (ÖLFLEX® POWER AL 3.5x150 A2XYY2 1 BK)</v>
          </cell>
          <cell r="B4512" t="str">
            <v>8201000056(ÖLFLEX® POWER AL 3.5x150 A2XYY2 1 BK)</v>
          </cell>
          <cell r="C4512" t="str">
            <v>LAPP</v>
          </cell>
          <cell r="D4512" t="str">
            <v>Lapp-Against Customer PO</v>
          </cell>
        </row>
        <row r="4513">
          <cell r="A4513" t="str">
            <v>8201000057 (ÖLFLEX® POWER AL 3.5x185 A2XYY2 1 BK)</v>
          </cell>
          <cell r="B4513" t="str">
            <v>8201000057(ÖLFLEX® POWER AL 3.5x185 A2XYY2 1 BK)</v>
          </cell>
          <cell r="C4513" t="str">
            <v>LAPP</v>
          </cell>
          <cell r="D4513" t="str">
            <v>Lapp-Against Customer PO</v>
          </cell>
        </row>
        <row r="4514">
          <cell r="A4514" t="str">
            <v>8201000058 (ÖLFLEX® POWER AL 3.5x240 A2XYY2 1 BK)</v>
          </cell>
          <cell r="B4514" t="str">
            <v>8201000058(ÖLFLEX® POWER AL 3.5x240 A2XYY2 1 BK)</v>
          </cell>
          <cell r="C4514" t="str">
            <v>LAPP</v>
          </cell>
          <cell r="D4514" t="str">
            <v>Lapp-Against Customer PO</v>
          </cell>
        </row>
        <row r="4515">
          <cell r="A4515" t="str">
            <v>8201000278 (ÖLFLEX® POWER AL 3.5x300 A2XY2SSAYC2 1 BK)</v>
          </cell>
          <cell r="B4515" t="str">
            <v>8201000278(ÖLFLEX® POWER AL 3.5x300 A2XY2SSAYC2 1 BK)</v>
          </cell>
          <cell r="C4515" t="str">
            <v>LAPP</v>
          </cell>
          <cell r="D4515" t="str">
            <v>Lapp-Against Customer PO</v>
          </cell>
        </row>
        <row r="4516">
          <cell r="A4516" t="str">
            <v>8201000052 (ÖLFLEX® POWER AL 3.5x50 A2XYY2 1 BK)</v>
          </cell>
          <cell r="B4516" t="str">
            <v>8201000052(ÖLFLEX® POWER AL 3.5x50 A2XYY2 1 BK)</v>
          </cell>
          <cell r="C4516" t="str">
            <v>LAPP</v>
          </cell>
          <cell r="D4516" t="str">
            <v>Lapp-Against Customer PO</v>
          </cell>
        </row>
        <row r="4517">
          <cell r="A4517" t="str">
            <v>8201000053 (ÖLFLEX® POWER AL 3.5x70 A2XYY2 1 BK)</v>
          </cell>
          <cell r="B4517" t="str">
            <v>8201000053(ÖLFLEX® POWER AL 3.5x70 A2XYY2 1 BK)</v>
          </cell>
          <cell r="C4517" t="str">
            <v>LAPP</v>
          </cell>
          <cell r="D4517" t="str">
            <v>Lapp-Against Customer PO</v>
          </cell>
        </row>
        <row r="4518">
          <cell r="A4518" t="str">
            <v>8201000054 (ÖLFLEX® POWER AL 3.5x95 A2XYY2 1 BK)</v>
          </cell>
          <cell r="B4518" t="str">
            <v>8201000054(ÖLFLEX® POWER AL 3.5x95 A2XYY2 1 BK)</v>
          </cell>
          <cell r="C4518" t="str">
            <v>LAPP</v>
          </cell>
          <cell r="D4518" t="str">
            <v>Lapp-Against Customer PO</v>
          </cell>
        </row>
        <row r="4519">
          <cell r="A4519" t="str">
            <v>382000524 (ÖLFLEX® POWER LV 1X240 R1 2X YC2 1BK 10)</v>
          </cell>
          <cell r="B4519" t="str">
            <v>382000524(ÖLFLEX® POWER LV 1X240 R1 2X YC2 1BK 10)</v>
          </cell>
          <cell r="C4519" t="str">
            <v>LAPP</v>
          </cell>
          <cell r="D4519" t="str">
            <v>Lapp-Against Customer PO</v>
          </cell>
        </row>
        <row r="4520">
          <cell r="A4520" t="str">
            <v>382000175 (ÖLFLEX® POWER LV 3.5x50 RI2XY2Y21BK)</v>
          </cell>
          <cell r="B4520" t="str">
            <v>382000175(ÖLFLEX® POWER LV 3.5x50 RI2XY2Y21BK)</v>
          </cell>
          <cell r="C4520" t="str">
            <v>LAPP</v>
          </cell>
          <cell r="D4520" t="str">
            <v>Lapp-Against Customer PO</v>
          </cell>
        </row>
        <row r="4521">
          <cell r="A4521" t="str">
            <v>382000177 (ÖLFLEX® POWER LV 3.5x95 RI2XY2Y21BK)</v>
          </cell>
          <cell r="B4521" t="str">
            <v>382000177(ÖLFLEX® POWER LV 3.5x95 RI2XY2Y21BK)</v>
          </cell>
          <cell r="C4521" t="str">
            <v>LAPP</v>
          </cell>
          <cell r="D4521" t="str">
            <v>Lapp-Against Customer PO</v>
          </cell>
        </row>
        <row r="4522">
          <cell r="A4522" t="str">
            <v>382004273 (ÖLFLEX® POWER LV 3x1.5 RIYYSWAY1BK)</v>
          </cell>
          <cell r="B4522" t="str">
            <v>382004273(ÖLFLEX® POWER LV 3x1.5 RIYYSWAY1BK)</v>
          </cell>
          <cell r="C4522" t="str">
            <v>LAPP</v>
          </cell>
          <cell r="D4522" t="str">
            <v>Lapp-Against Customer PO</v>
          </cell>
        </row>
        <row r="4523">
          <cell r="A4523" t="str">
            <v>382000186 (ÖLFLEX® POWER LV 4x10 RI2XY2Y21BK)</v>
          </cell>
          <cell r="B4523" t="str">
            <v>382000186(ÖLFLEX® POWER LV 4x10 RI2XY2Y21BK)</v>
          </cell>
          <cell r="C4523" t="str">
            <v>LAPP</v>
          </cell>
          <cell r="D4523" t="str">
            <v>Lapp-Against Customer PO</v>
          </cell>
        </row>
        <row r="4524">
          <cell r="A4524" t="str">
            <v>382001705 (ÖLFLEX® POWER LV 4x70 RI2XY2SSAY21BK)</v>
          </cell>
          <cell r="B4524" t="str">
            <v>382001705(ÖLFLEX® POWER LV 4x70 RI2XY2SSAY21BK)</v>
          </cell>
          <cell r="C4524" t="str">
            <v>LAPP</v>
          </cell>
          <cell r="D4524" t="str">
            <v>Lapp-Against Customer PO</v>
          </cell>
        </row>
        <row r="4525">
          <cell r="A4525" t="str">
            <v>0028126 (ÖLFLEX® ROBOT 900 DP 25x0,25)</v>
          </cell>
          <cell r="B4525" t="str">
            <v>0028126(ÖLFLEX® ROBOT 900 DP 25x0,25)</v>
          </cell>
          <cell r="C4525" t="str">
            <v>LAPP</v>
          </cell>
          <cell r="D4525" t="str">
            <v>Lapp-Against Customer PO</v>
          </cell>
        </row>
        <row r="4526">
          <cell r="A4526" t="str">
            <v>0028164 (ÖLFLEX® ROBOT 900 P 14G0,75)</v>
          </cell>
          <cell r="B4526" t="str">
            <v>0028164(ÖLFLEX® ROBOT 900 P 14G0,75)</v>
          </cell>
          <cell r="C4526" t="str">
            <v>LAPP</v>
          </cell>
          <cell r="D4526" t="str">
            <v>Lapp-Against Customer PO</v>
          </cell>
        </row>
        <row r="4527">
          <cell r="A4527" t="str">
            <v>0028145 (ÖLFLEX® ROBOT 900 P 18G0,5)</v>
          </cell>
          <cell r="B4527" t="str">
            <v>0028145(ÖLFLEX® ROBOT 900 P 18G0,5)</v>
          </cell>
          <cell r="C4527" t="str">
            <v>LAPP</v>
          </cell>
          <cell r="D4527" t="str">
            <v>Lapp-Against Customer PO</v>
          </cell>
        </row>
        <row r="4528">
          <cell r="A4528" t="str">
            <v>0028146 (ÖLFLEX® ROBOT 900 P 25G0,5)</v>
          </cell>
          <cell r="B4528" t="str">
            <v>0028146(ÖLFLEX® ROBOT 900 P 25G0,5)</v>
          </cell>
          <cell r="C4528" t="str">
            <v>LAPP</v>
          </cell>
          <cell r="D4528" t="str">
            <v>Lapp-Against Customer PO</v>
          </cell>
        </row>
        <row r="4529">
          <cell r="A4529" t="str">
            <v>0028171 (ÖLFLEX® ROBOT 900 P 3G1)</v>
          </cell>
          <cell r="B4529" t="str">
            <v>0028171(ÖLFLEX® ROBOT 900 P 3G1)</v>
          </cell>
          <cell r="C4529" t="str">
            <v>LAPP</v>
          </cell>
          <cell r="D4529" t="str">
            <v>Lapp-Against Customer PO</v>
          </cell>
        </row>
        <row r="4530">
          <cell r="A4530" t="str">
            <v>0028181 (ÖLFLEX® ROBOT 900 P 3G2,5)</v>
          </cell>
          <cell r="B4530" t="str">
            <v>0028181(ÖLFLEX® ROBOT 900 P 3G2,5)</v>
          </cell>
          <cell r="C4530" t="str">
            <v>LAPP</v>
          </cell>
          <cell r="D4530" t="str">
            <v>Lapp-Against Customer PO</v>
          </cell>
        </row>
        <row r="4531">
          <cell r="A4531" t="str">
            <v>0028172 (ÖLFLEX® ROBOT 900 P 4G1)</v>
          </cell>
          <cell r="B4531" t="str">
            <v>0028172(ÖLFLEX® ROBOT 900 P 4G1)</v>
          </cell>
          <cell r="C4531" t="str">
            <v>LAPP</v>
          </cell>
          <cell r="D4531" t="str">
            <v>Lapp-Against Customer PO</v>
          </cell>
        </row>
        <row r="4532">
          <cell r="A4532" t="str">
            <v>0029615 (ÖLFLEX® ROBOT F1 12G1,0)</v>
          </cell>
          <cell r="B4532" t="str">
            <v>0029615(ÖLFLEX® ROBOT F1 12G1,0)</v>
          </cell>
          <cell r="C4532" t="str">
            <v>LAPP</v>
          </cell>
          <cell r="D4532" t="str">
            <v>Lapp-Against Customer PO</v>
          </cell>
        </row>
        <row r="4533">
          <cell r="A4533" t="str">
            <v>0029614 (ÖLFLEX® ROBOT F1 7G1,0)</v>
          </cell>
          <cell r="B4533" t="str">
            <v>0029614(ÖLFLEX® ROBOT F1 7G1,0)</v>
          </cell>
          <cell r="C4533" t="str">
            <v>LAPP</v>
          </cell>
          <cell r="D4533" t="str">
            <v>Lapp-Against Customer PO</v>
          </cell>
        </row>
        <row r="4534">
          <cell r="A4534" t="str">
            <v>1133526 (ÖLFLEX® SERVO 2XSLCH-JB 3X150+3G25)</v>
          </cell>
          <cell r="B4534" t="str">
            <v>1133526(ÖLFLEX® SERVO 2XSLCH-JB 3X150+3G25)</v>
          </cell>
          <cell r="C4534" t="str">
            <v>LAPP</v>
          </cell>
          <cell r="D4534" t="str">
            <v>Lapp-Against Customer PO</v>
          </cell>
        </row>
        <row r="4535">
          <cell r="A4535" t="str">
            <v>1133517 (ÖLFLEX® SERVO 2XSLCH-JB 3X6+3G1)</v>
          </cell>
          <cell r="B4535" t="str">
            <v>1133517(ÖLFLEX® SERVO 2XSLCH-JB 3X6+3G1)</v>
          </cell>
          <cell r="C4535" t="str">
            <v>LAPP</v>
          </cell>
          <cell r="D4535" t="str">
            <v>Lapp-Against Customer PO</v>
          </cell>
        </row>
        <row r="4536">
          <cell r="A4536" t="str">
            <v>0036432 (ÖLFLEX® SERVO 2YSLCY-JB 4G35_x000D_
)</v>
          </cell>
          <cell r="B4536" t="str">
            <v>0036432(ÖLFLEX® SERVO 2YSLCY-JB 4G35_x000D_
)</v>
          </cell>
          <cell r="C4536" t="str">
            <v>LAPP</v>
          </cell>
          <cell r="D4536" t="str">
            <v>Lapp-Against Customer PO</v>
          </cell>
        </row>
        <row r="4537">
          <cell r="A4537" t="str">
            <v>0036440 (ÖLFLEX® SERVO 2YSLCYK-JB 3X2,5+3G0,5 BK)</v>
          </cell>
          <cell r="B4537" t="str">
            <v>0036440(ÖLFLEX® SERVO 2YSLCYK-JB 3X2,5+3G0,5 BK)</v>
          </cell>
          <cell r="C4537" t="str">
            <v>LAPP</v>
          </cell>
          <cell r="D4537" t="str">
            <v>Lapp-Against Customer PO</v>
          </cell>
        </row>
        <row r="4538">
          <cell r="A4538" t="str">
            <v>0036445 (ÖLFLEX® SERVO 2YSLCYK-JB 3X25+3G4 BK)</v>
          </cell>
          <cell r="B4538" t="str">
            <v>0036445(ÖLFLEX® SERVO 2YSLCYK-JB 3X25+3G4 BK)</v>
          </cell>
          <cell r="C4538" t="str">
            <v>LAPP</v>
          </cell>
          <cell r="D4538" t="str">
            <v>Lapp-Against Customer PO</v>
          </cell>
        </row>
        <row r="4539">
          <cell r="A4539" t="str">
            <v>0036441 (ÖLFLEX® SERVO 2YSLCYK-JB 3X4+3G0,75 BK)</v>
          </cell>
          <cell r="B4539" t="str">
            <v>0036441(ÖLFLEX® SERVO 2YSLCYK-JB 3X4+3G0,75 BK)</v>
          </cell>
          <cell r="C4539" t="str">
            <v>LAPP</v>
          </cell>
          <cell r="D4539" t="str">
            <v>Lapp-Against Customer PO</v>
          </cell>
        </row>
        <row r="4540">
          <cell r="A4540" t="str">
            <v>0036442 (ÖLFLEX® SERVO 2YSLCYK-JB 3X6+3G1 BK)</v>
          </cell>
          <cell r="B4540" t="str">
            <v>0036442(ÖLFLEX® SERVO 2YSLCYK-JB 3X6+3G1 BK)</v>
          </cell>
          <cell r="C4540" t="str">
            <v>LAPP</v>
          </cell>
          <cell r="D4540" t="str">
            <v>Lapp-Against Customer PO</v>
          </cell>
        </row>
        <row r="4541">
          <cell r="A4541" t="str">
            <v>0036449 (ÖLFLEX® SERVO 2YSLCYK-JB 3X95+3G16 BK)</v>
          </cell>
          <cell r="B4541" t="str">
            <v>0036449(ÖLFLEX® SERVO 2YSLCYK-JB 3X95+3G16 BK)</v>
          </cell>
          <cell r="C4541" t="str">
            <v>LAPP</v>
          </cell>
          <cell r="D4541" t="str">
            <v>Lapp-Against Customer PO</v>
          </cell>
        </row>
        <row r="4542">
          <cell r="A4542" t="str">
            <v>1020041 (ÖLFLEX® SERVO 719 CY 4G1+(2x0,5))</v>
          </cell>
          <cell r="B4542" t="str">
            <v>1020041(ÖLFLEX® SERVO 719 CY 4G1+(2x0,5))</v>
          </cell>
          <cell r="C4542" t="str">
            <v>LAPP</v>
          </cell>
          <cell r="D4542" t="str">
            <v>Lapp-Against Customer PO</v>
          </cell>
        </row>
        <row r="4543">
          <cell r="A4543" t="str">
            <v>1020025 (ÖLFLEX® SERVO 719 CY 4G1,5+2x(2x0,75))</v>
          </cell>
          <cell r="B4543" t="str">
            <v>1020025(ÖLFLEX® SERVO 719 CY 4G1,5+2x(2x0,75))</v>
          </cell>
          <cell r="C4543" t="str">
            <v>LAPP</v>
          </cell>
          <cell r="D4543" t="str">
            <v>Lapp-Against Customer PO</v>
          </cell>
        </row>
        <row r="4544">
          <cell r="A4544" t="str">
            <v>1020047 (ÖLFLEX® SERVO 719 CY 4G4+(2x1,0))</v>
          </cell>
          <cell r="B4544" t="str">
            <v>1020047(ÖLFLEX® SERVO 719 CY 4G4+(2x1,0))</v>
          </cell>
          <cell r="C4544" t="str">
            <v>LAPP</v>
          </cell>
          <cell r="D4544" t="str">
            <v>Lapp-Against Customer PO</v>
          </cell>
        </row>
        <row r="4545">
          <cell r="A4545" t="str">
            <v>1020029 (ÖLFLEX® SERVO 719 CY 4G6+(2x1)+(2x1,5))</v>
          </cell>
          <cell r="B4545" t="str">
            <v>1020029(ÖLFLEX® SERVO 719 CY 4G6+(2x1)+(2x1,5))</v>
          </cell>
          <cell r="C4545" t="str">
            <v>LAPP</v>
          </cell>
          <cell r="D4545" t="str">
            <v>Lapp-Against Customer PO</v>
          </cell>
        </row>
        <row r="4546">
          <cell r="A4546" t="str">
            <v>700736 (ÖLFLEX® SERVO 7TCE 4G12AWG+(2x16AWG))</v>
          </cell>
          <cell r="B4546" t="str">
            <v>700736(ÖLFLEX® SERVO 7TCE 4G12AWG+(2x16AWG))</v>
          </cell>
          <cell r="C4546" t="str">
            <v>LAPP</v>
          </cell>
          <cell r="D4546" t="str">
            <v>Lapp-Against Customer PO</v>
          </cell>
        </row>
        <row r="4547">
          <cell r="A4547" t="str">
            <v>0027974 (ÖLFLEX® SERVO FD 796CP 4G16+2x(2x1,5))</v>
          </cell>
          <cell r="B4547" t="str">
            <v>0027974(ÖLFLEX® SERVO FD 796CP 4G16+2x(2x1,5))</v>
          </cell>
          <cell r="C4547" t="str">
            <v>LAPP</v>
          </cell>
          <cell r="D4547" t="str">
            <v>Lapp-Against Customer PO</v>
          </cell>
        </row>
        <row r="4548">
          <cell r="A4548" t="str">
            <v>0027976 (ÖLFLEX® SERVO FD 796CP 4G35+2x(2x1,5))</v>
          </cell>
          <cell r="B4548" t="str">
            <v>0027976(ÖLFLEX® SERVO FD 796CP 4G35+2x(2x1,5))</v>
          </cell>
          <cell r="C4548" t="str">
            <v>LAPP</v>
          </cell>
          <cell r="D4548" t="str">
            <v>Lapp-Against Customer PO</v>
          </cell>
        </row>
        <row r="4549">
          <cell r="A4549" t="str">
            <v>0036917 (ÖLFLEX® SERVO FD 798CP 10x0,14+2x0,5)</v>
          </cell>
          <cell r="B4549" t="str">
            <v>0036917(ÖLFLEX® SERVO FD 798CP 10x0,14+2x0,5)</v>
          </cell>
          <cell r="C4549" t="str">
            <v>LAPP</v>
          </cell>
          <cell r="D4549" t="str">
            <v>Lapp-Against Customer PO</v>
          </cell>
        </row>
        <row r="4550">
          <cell r="A4550" t="str">
            <v>0036926 (ÖLFLEX® SERVO FD 798CP 12x0,22)</v>
          </cell>
          <cell r="B4550" t="str">
            <v>0036926(ÖLFLEX® SERVO FD 798CP 12x0,22)</v>
          </cell>
          <cell r="C4550" t="str">
            <v>LAPP</v>
          </cell>
          <cell r="D4550" t="str">
            <v>Lapp-Against Customer PO</v>
          </cell>
        </row>
        <row r="4551">
          <cell r="A4551" t="str">
            <v>0036921 (ÖLFLEX® SERVO FD 798CP 4x2x0,25)</v>
          </cell>
          <cell r="B4551" t="str">
            <v>0036921(ÖLFLEX® SERVO FD 798CP 4x2x0,25)</v>
          </cell>
          <cell r="C4551" t="str">
            <v>LAPP</v>
          </cell>
          <cell r="D4551" t="str">
            <v>Lapp-Against Customer PO</v>
          </cell>
        </row>
        <row r="4552">
          <cell r="A4552" t="str">
            <v>0036913 (ÖLFLEX® SERVO FD 798CP  S1)</v>
          </cell>
          <cell r="B4552" t="str">
            <v>0036913(ÖLFLEX® SERVO FD 798CP  S1)</v>
          </cell>
          <cell r="C4552" t="str">
            <v>LAPP</v>
          </cell>
          <cell r="D4552" t="str">
            <v>Lapp-Against Customer PO</v>
          </cell>
        </row>
        <row r="4553">
          <cell r="A4553" t="str">
            <v>1023667 (ÖLFLEX® SOLAR XLR-E 1x4 WH/BK-RD)</v>
          </cell>
          <cell r="B4553" t="str">
            <v>1023667(ÖLFLEX® SOLAR XLR-E 1x4 WH/BK-RD)</v>
          </cell>
          <cell r="C4553" t="str">
            <v>LAPP</v>
          </cell>
          <cell r="D4553" t="str">
            <v>Lapp-Against Customer PO</v>
          </cell>
        </row>
        <row r="4554">
          <cell r="A4554" t="str">
            <v>70002619 (ÖLFLEX® SPIRAL 400 P 12G0,5/1000)</v>
          </cell>
          <cell r="B4554" t="str">
            <v>70002619(ÖLFLEX® SPIRAL 400 P 12G0,5/1000)</v>
          </cell>
          <cell r="C4554" t="str">
            <v>LAPP</v>
          </cell>
          <cell r="D4554" t="str">
            <v>Lapp-Against Customer PO</v>
          </cell>
        </row>
        <row r="4555">
          <cell r="A4555" t="str">
            <v>70002687 (ÖLFLEX® SPIRAL 400 P 3G1,5/500)</v>
          </cell>
          <cell r="B4555" t="str">
            <v>70002687(ÖLFLEX® SPIRAL 400 P 3G1,5/500)</v>
          </cell>
          <cell r="C4555" t="str">
            <v>LAPP</v>
          </cell>
          <cell r="D4555" t="str">
            <v>Lapp-Against Customer PO</v>
          </cell>
        </row>
        <row r="4556">
          <cell r="A4556" t="str">
            <v>70002719 (ÖLFLEX® SPIRAL 400 P 3G2,5/2000)</v>
          </cell>
          <cell r="B4556" t="str">
            <v>70002719(ÖLFLEX® SPIRAL 400 P 3G2,5/2000)</v>
          </cell>
          <cell r="C4556" t="str">
            <v>LAPP</v>
          </cell>
          <cell r="D4556" t="str">
            <v>Lapp-Against Customer PO</v>
          </cell>
        </row>
        <row r="4557">
          <cell r="A4557" t="str">
            <v>70002608 (ÖLFLEX® SPIRAL 400 P 4G0,5/1500)</v>
          </cell>
          <cell r="B4557" t="str">
            <v>70002608(ÖLFLEX® SPIRAL 400 P 4G0,5/1500)</v>
          </cell>
          <cell r="C4557" t="str">
            <v>LAPP</v>
          </cell>
          <cell r="D4557" t="str">
            <v>Lapp-Against Customer PO</v>
          </cell>
        </row>
        <row r="4558">
          <cell r="A4558" t="str">
            <v>70002659 (ÖLFLEX® SPIRAL 400 P 4G1/2000)</v>
          </cell>
          <cell r="B4558" t="str">
            <v>70002659(ÖLFLEX® SPIRAL 400 P 4G1/2000)</v>
          </cell>
          <cell r="C4558" t="str">
            <v>LAPP</v>
          </cell>
          <cell r="D4558" t="str">
            <v>Lapp-Against Customer PO</v>
          </cell>
        </row>
        <row r="4559">
          <cell r="A4559" t="str">
            <v>70002699 (ÖLFLEX® SPIRAL 400 P 5G1,5/500)</v>
          </cell>
          <cell r="B4559" t="str">
            <v>70002699(ÖLFLEX® SPIRAL 400 P 5G1,5/500)</v>
          </cell>
          <cell r="C4559" t="str">
            <v>LAPP</v>
          </cell>
          <cell r="D4559" t="str">
            <v>Lapp-Against Customer PO</v>
          </cell>
        </row>
        <row r="4560">
          <cell r="A4560" t="str">
            <v>70002727 (ÖLFLEX® SPIRAL 400 P 7G0,75/1000)</v>
          </cell>
          <cell r="B4560" t="str">
            <v>70002727(ÖLFLEX® SPIRAL 400 P 7G0,75/1000)</v>
          </cell>
          <cell r="C4560" t="str">
            <v>LAPP</v>
          </cell>
          <cell r="D4560" t="str">
            <v>Lapp-Against Customer PO</v>
          </cell>
        </row>
        <row r="4561">
          <cell r="A4561" t="str">
            <v>70002667 (ÖLFLEX® SPIRAL 400 P 7G1/1000)</v>
          </cell>
          <cell r="B4561" t="e">
            <v>#N/A</v>
          </cell>
          <cell r="C4561" t="str">
            <v>LAPP</v>
          </cell>
          <cell r="D4561" t="str">
            <v>Lapp-Against Customer PO</v>
          </cell>
        </row>
        <row r="4562">
          <cell r="A4562" t="str">
            <v>70002705 (ÖLFLEX® SPIRAL 400 P 7G1,5/500)</v>
          </cell>
          <cell r="B4562" t="str">
            <v>70002705(ÖLFLEX® SPIRAL 400 P 7G1,5/500)</v>
          </cell>
          <cell r="C4562" t="str">
            <v>LAPP</v>
          </cell>
          <cell r="D4562" t="str">
            <v>Lapp-Against Customer PO</v>
          </cell>
        </row>
        <row r="4563">
          <cell r="A4563" t="str">
            <v>73220114 (ÖLFLEX® SPIRAL 540 P 3G0,75/1500)</v>
          </cell>
          <cell r="B4563" t="str">
            <v>73220114(ÖLFLEX® SPIRAL 540 P 3G0,75/1500)</v>
          </cell>
          <cell r="C4563" t="str">
            <v>LAPP</v>
          </cell>
          <cell r="D4563" t="str">
            <v>Lapp-Against Customer PO</v>
          </cell>
        </row>
        <row r="4564">
          <cell r="A4564" t="str">
            <v>221641 (ÖLFLEX® TRAY II 41G1.5 16/41C)</v>
          </cell>
          <cell r="B4564" t="str">
            <v>221641(ÖLFLEX® TRAY II 41G1.5 16/41C)</v>
          </cell>
          <cell r="C4564" t="str">
            <v>LAPP</v>
          </cell>
          <cell r="D4564" t="str">
            <v>Lapp-Against Customer PO</v>
          </cell>
        </row>
        <row r="4565">
          <cell r="A4565" t="str">
            <v>2216030 (ÖLFLEX® TRAY II CY 3G1.5 16/3C)</v>
          </cell>
          <cell r="B4565" t="str">
            <v>2216030(ÖLFLEX® TRAY II CY 3G1.5 16/3C)</v>
          </cell>
          <cell r="C4565" t="str">
            <v>LAPP</v>
          </cell>
          <cell r="D4565" t="str">
            <v>Lapp-Against Customer PO</v>
          </cell>
        </row>
        <row r="4566">
          <cell r="A4566" t="str">
            <v>2214030 (ÖLFLEX® TRAY II CY 3G2.5 14/3C)</v>
          </cell>
          <cell r="B4566" t="str">
            <v>2214030(ÖLFLEX® TRAY II CY 3G2.5 14/3C)</v>
          </cell>
          <cell r="C4566" t="str">
            <v>LAPP</v>
          </cell>
          <cell r="D4566" t="str">
            <v>Lapp-Against Customer PO</v>
          </cell>
        </row>
        <row r="4567">
          <cell r="A4567" t="str">
            <v>2204040 (ÖLFLEX® TRAY II CY 4/4C)</v>
          </cell>
          <cell r="B4567" t="str">
            <v>2204040(ÖLFLEX® TRAY II CY 4/4C)</v>
          </cell>
          <cell r="C4567" t="str">
            <v>LAPP</v>
          </cell>
          <cell r="D4567" t="str">
            <v>Lapp-Against Customer PO</v>
          </cell>
        </row>
        <row r="4568">
          <cell r="A4568" t="str">
            <v>2208040 (ÖLFLEX® TRAY II CY 4G10 8/4C)</v>
          </cell>
          <cell r="B4568" t="str">
            <v>2208040(ÖLFLEX® TRAY II CY 4G10 8/4C)</v>
          </cell>
          <cell r="C4568" t="str">
            <v>LAPP</v>
          </cell>
          <cell r="D4568" t="str">
            <v>Lapp-Against Customer PO</v>
          </cell>
        </row>
        <row r="4569">
          <cell r="A4569" t="str">
            <v>2212050 (ÖLFLEX® TRAY II CY 5G4)</v>
          </cell>
          <cell r="B4569" t="str">
            <v>2212050(ÖLFLEX® TRAY II CY 5G4)</v>
          </cell>
          <cell r="C4569" t="str">
            <v>LAPP</v>
          </cell>
          <cell r="D4569" t="str">
            <v>Lapp-Against Customer PO</v>
          </cell>
        </row>
        <row r="4570">
          <cell r="A4570" t="str">
            <v>4512261U100 (ÖLFLEX® UNIPLUS 1X0.5 BUWH)</v>
          </cell>
          <cell r="B4570" t="str">
            <v>4512261U100(ÖLFLEX® UNIPLUS 1X0.5 BUWH)</v>
          </cell>
          <cell r="C4570" t="str">
            <v>LAPP</v>
          </cell>
          <cell r="D4570" t="str">
            <v>Lapp-Against Customer PO</v>
          </cell>
        </row>
        <row r="4571">
          <cell r="A4571" t="str">
            <v>4510071U (ÖLFLEX® UNIPLUS 1X0.5 VT)</v>
          </cell>
          <cell r="B4571" t="str">
            <v>4510071U(ÖLFLEX® UNIPLUS 1X0.5 VT)</v>
          </cell>
          <cell r="C4571" t="str">
            <v>LAPP</v>
          </cell>
          <cell r="D4571" t="str">
            <v>Lapp-Against Customer PO</v>
          </cell>
        </row>
        <row r="4572">
          <cell r="A4572" t="str">
            <v>4510112U (ÖLFLEX® UNIPLUS 1X0.75 YE)</v>
          </cell>
          <cell r="B4572" t="str">
            <v>4510112U(ÖLFLEX® UNIPLUS 1X0.75 YE)</v>
          </cell>
          <cell r="C4572" t="str">
            <v>LAPP</v>
          </cell>
          <cell r="D4572" t="str">
            <v>Lapp-Against Customer PO</v>
          </cell>
        </row>
        <row r="4573">
          <cell r="A4573" t="str">
            <v>4520121U (ÖLFLEX® UNIPLUS 1X1.5 GN)</v>
          </cell>
          <cell r="B4573" t="str">
            <v>4520121U(ÖLFLEX® UNIPLUS 1X1.5 GN)</v>
          </cell>
          <cell r="C4573" t="str">
            <v>LAPP</v>
          </cell>
          <cell r="D4573" t="str">
            <v>Lapp-Against Customer PO</v>
          </cell>
        </row>
        <row r="4574">
          <cell r="A4574" t="str">
            <v>4510143U (ÖLFLEX® UNIPLUS 1X1 DBU)</v>
          </cell>
          <cell r="B4574" t="str">
            <v>4510143U(ÖLFLEX® UNIPLUS 1X1 DBU)</v>
          </cell>
          <cell r="C4574" t="str">
            <v>LAPP</v>
          </cell>
          <cell r="D4574" t="str">
            <v>Lapp-Against Customer PO</v>
          </cell>
        </row>
        <row r="4575">
          <cell r="A4575" t="str">
            <v>4510123U (ÖLFLEX® UNIPLUS 1X1 GN)</v>
          </cell>
          <cell r="B4575" t="str">
            <v>4510123U(ÖLFLEX® UNIPLUS 1X1 GN)</v>
          </cell>
          <cell r="C4575" t="str">
            <v>LAPP</v>
          </cell>
          <cell r="D4575" t="str">
            <v>Lapp-Against Customer PO</v>
          </cell>
        </row>
        <row r="4576">
          <cell r="A4576" t="str">
            <v>4521009U (ÖLFLEX® UNIPLUS 1X240 GNYE)</v>
          </cell>
          <cell r="B4576" t="str">
            <v>4521009U(ÖLFLEX® UNIPLUS 1X240 GNYE)</v>
          </cell>
          <cell r="C4576" t="str">
            <v>LAPP</v>
          </cell>
          <cell r="D4576" t="str">
            <v>Lapp-Against Customer PO</v>
          </cell>
        </row>
        <row r="4577">
          <cell r="A4577" t="str">
            <v>4520032U (ÖLFLEX® UNIPLUS 1X2.5 BN)</v>
          </cell>
          <cell r="B4577" t="str">
            <v>4520032U(ÖLFLEX® UNIPLUS 1X2.5 BN)</v>
          </cell>
          <cell r="C4577" t="str">
            <v>LAPP</v>
          </cell>
          <cell r="D4577" t="str">
            <v>Lapp-Against Customer PO</v>
          </cell>
        </row>
        <row r="4578">
          <cell r="A4578" t="str">
            <v>4520062U (ÖLFLEX® UNIPLUS 1X2.5 GY)</v>
          </cell>
          <cell r="B4578" t="str">
            <v>4520062U(ÖLFLEX® UNIPLUS 1X2.5 GY)</v>
          </cell>
          <cell r="C4578" t="str">
            <v>LAPP</v>
          </cell>
          <cell r="D4578" t="str">
            <v>Lapp-Against Customer PO</v>
          </cell>
        </row>
        <row r="4579">
          <cell r="A4579" t="str">
            <v>4520092U (ÖLFLEX® UNIPLUS 1X2.5 OG)</v>
          </cell>
          <cell r="B4579" t="str">
            <v>4520092U(ÖLFLEX® UNIPLUS 1X2.5 OG)</v>
          </cell>
          <cell r="C4579" t="str">
            <v>LAPP</v>
          </cell>
          <cell r="D4579" t="str">
            <v>Lapp-Against Customer PO</v>
          </cell>
        </row>
        <row r="4580">
          <cell r="A4580" t="str">
            <v>4520112U (ÖLFLEX® UNIPLUS 1X2.5 YE)</v>
          </cell>
          <cell r="B4580" t="str">
            <v>4520112U(ÖLFLEX® UNIPLUS 1X2.5 YE)</v>
          </cell>
          <cell r="C4580" t="str">
            <v>LAPP</v>
          </cell>
          <cell r="D4580" t="str">
            <v>Lapp-Against Customer PO</v>
          </cell>
        </row>
        <row r="4581">
          <cell r="A4581" t="str">
            <v>4521002U (ÖLFLEX® UNIPLUS 1X35 GNYE)</v>
          </cell>
          <cell r="B4581" t="str">
            <v>4521002U(ÖLFLEX® UNIPLUS 1X35 GNYE)</v>
          </cell>
          <cell r="C4581" t="str">
            <v>LAPP</v>
          </cell>
          <cell r="D4581" t="str">
            <v>Lapp-Against Customer PO</v>
          </cell>
        </row>
        <row r="4582">
          <cell r="A4582" t="str">
            <v>4521042U (ÖLFLEX® UNIPLUS 1X35 RD)</v>
          </cell>
          <cell r="B4582" t="str">
            <v>4521042U(ÖLFLEX® UNIPLUS 1X35 RD)</v>
          </cell>
          <cell r="C4582" t="str">
            <v>LAPP</v>
          </cell>
          <cell r="D4582" t="str">
            <v>Lapp-Against Customer PO</v>
          </cell>
        </row>
        <row r="4583">
          <cell r="A4583" t="str">
            <v>4520093U (ÖLFLEX® UNIPLUS 1X4 OG)</v>
          </cell>
          <cell r="B4583" t="str">
            <v>4520093U(ÖLFLEX® UNIPLUS 1X4 OG)</v>
          </cell>
          <cell r="C4583" t="str">
            <v>LAPP</v>
          </cell>
          <cell r="D4583" t="str">
            <v>Lapp-Against Customer PO</v>
          </cell>
        </row>
        <row r="4584">
          <cell r="A4584" t="str">
            <v>4521013U (ÖLFLEX® UNIPLUS 1X50 BK)</v>
          </cell>
          <cell r="B4584" t="str">
            <v>4521013U(ÖLFLEX® UNIPLUS 1X50 BK)</v>
          </cell>
          <cell r="C4584" t="str">
            <v>LAPP</v>
          </cell>
          <cell r="D4584" t="str">
            <v>Lapp-Against Customer PO</v>
          </cell>
        </row>
        <row r="4585">
          <cell r="A4585" t="str">
            <v>4521123U (ÖLFLEX® UNIPLUS 1X50 GN)</v>
          </cell>
          <cell r="B4585" t="str">
            <v>4521123U(ÖLFLEX® UNIPLUS 1X50 GN)</v>
          </cell>
          <cell r="C4585" t="str">
            <v>LAPP</v>
          </cell>
          <cell r="D4585" t="str">
            <v>Lapp-Against Customer PO</v>
          </cell>
        </row>
        <row r="4586">
          <cell r="A4586" t="str">
            <v>4610001U (ÖLFLEX® UNIPLUS FRLS 1X0.5 GNYE)</v>
          </cell>
          <cell r="B4586" t="str">
            <v>4610001U(ÖLFLEX® UNIPLUS FRLS 1X0.5 GNYE)</v>
          </cell>
          <cell r="C4586" t="str">
            <v>LAPP</v>
          </cell>
          <cell r="D4586" t="str">
            <v>Lapp-Against Customer PO</v>
          </cell>
        </row>
        <row r="4587">
          <cell r="A4587" t="str">
            <v>4621017U (ÖLFLEX® UNIPLUS FRLS 1X150 BK_x000D_
)</v>
          </cell>
          <cell r="B4587" t="str">
            <v>4621017U(ÖLFLEX® UNIPLUS FRLS 1X150 BK_x000D_
)</v>
          </cell>
          <cell r="C4587" t="str">
            <v>LAPP</v>
          </cell>
          <cell r="D4587" t="str">
            <v>Lapp-Against Customer PO</v>
          </cell>
        </row>
        <row r="4588">
          <cell r="A4588" t="str">
            <v>4620142U (ÖLFLEX® UNIPLUS FRLS 1X2.5 DBU)</v>
          </cell>
          <cell r="B4588" t="str">
            <v>4620142U(ÖLFLEX® UNIPLUS FRLS 1X2.5 DBU)</v>
          </cell>
          <cell r="C4588" t="str">
            <v>LAPP</v>
          </cell>
          <cell r="D4588" t="str">
            <v>Lapp-Against Customer PO</v>
          </cell>
        </row>
        <row r="4589">
          <cell r="A4589" t="str">
            <v>4621043U (ÖLFLEX® UNIPLUS FRLS 1X50 RD)</v>
          </cell>
          <cell r="B4589" t="str">
            <v>4621043U(ÖLFLEX® UNIPLUS FRLS 1X50 RD)</v>
          </cell>
          <cell r="C4589" t="str">
            <v>LAPP</v>
          </cell>
          <cell r="D4589" t="str">
            <v>Lapp-Against Customer PO</v>
          </cell>
        </row>
        <row r="4590">
          <cell r="A4590" t="str">
            <v>4621015U (ÖLFLEX® UNIPLUS FRLS 1X95 BK)</v>
          </cell>
          <cell r="B4590" t="str">
            <v>4621015U(ÖLFLEX® UNIPLUS FRLS 1X95 BK)</v>
          </cell>
          <cell r="C4590" t="str">
            <v>LAPP</v>
          </cell>
          <cell r="D4590" t="str">
            <v>Lapp-Against Customer PO</v>
          </cell>
        </row>
        <row r="4591">
          <cell r="A4591" t="str">
            <v>4620061U (ÖLFLEX® UNIPLUS FR-LSH 1X1.5 GY)</v>
          </cell>
          <cell r="B4591" t="str">
            <v>4620061U(ÖLFLEX® UNIPLUS FR-LSH 1X1.5 GY)</v>
          </cell>
          <cell r="C4591" t="str">
            <v>LAPP</v>
          </cell>
          <cell r="D4591" t="str">
            <v>Lapp-Against Customer PO</v>
          </cell>
        </row>
        <row r="4592">
          <cell r="A4592" t="str">
            <v>4622011U100 (ÖLFLEX® UNIPLUS FR-LSH 1X300 BK)</v>
          </cell>
          <cell r="B4592" t="str">
            <v>4622011U100(ÖLFLEX® UNIPLUS FR-LSH 1X300 BK)</v>
          </cell>
          <cell r="C4592" t="str">
            <v>LAPP</v>
          </cell>
          <cell r="D4592" t="str">
            <v>Lapp-Against Customer PO</v>
          </cell>
        </row>
        <row r="4593">
          <cell r="A4593" t="str">
            <v>3822001011 (ÖLFLEX® UNIPLUS HFFR Z 1 x 0.5 BK)</v>
          </cell>
          <cell r="B4593" t="str">
            <v>3822001011(ÖLFLEX® UNIPLUS HFFR Z 1 x 0.5 BK)</v>
          </cell>
          <cell r="C4593" t="str">
            <v>LAPP</v>
          </cell>
          <cell r="D4593" t="str">
            <v>Lapp-Against Customer PO</v>
          </cell>
        </row>
        <row r="4594">
          <cell r="A4594" t="str">
            <v>3822014021 (ÖLFLEX® UNIPLUS HFFR Z 1 x 0.75 DBU)</v>
          </cell>
          <cell r="B4594" t="str">
            <v>3822014021(ÖLFLEX® UNIPLUS HFFR Z 1 x 0.75 DBU)</v>
          </cell>
          <cell r="C4594" t="str">
            <v>LAPP</v>
          </cell>
          <cell r="D4594" t="str">
            <v>Lapp-Against Customer PO</v>
          </cell>
        </row>
        <row r="4595">
          <cell r="A4595" t="str">
            <v>3822001041 (ÖLFLEX® UNIPLUS HFFR Z 1 x 1.5 BK)</v>
          </cell>
          <cell r="B4595" t="str">
            <v>3822001041(ÖLFLEX® UNIPLUS HFFR Z 1 x 1.5 BK)</v>
          </cell>
          <cell r="C4595" t="str">
            <v>LAPP</v>
          </cell>
          <cell r="D4595" t="str">
            <v>Lapp-Against Customer PO</v>
          </cell>
        </row>
        <row r="4596">
          <cell r="A4596" t="str">
            <v>3822002041 (ÖLFLEX® UNIPLUS HFFR Z 1 x 1.5 BU)</v>
          </cell>
          <cell r="B4596" t="str">
            <v>3822002041(ÖLFLEX® UNIPLUS HFFR Z 1 x 1.5 BU)</v>
          </cell>
          <cell r="C4596" t="str">
            <v>LAPP</v>
          </cell>
          <cell r="D4596" t="str">
            <v>Lapp-Against Customer PO</v>
          </cell>
        </row>
        <row r="4597">
          <cell r="A4597" t="str">
            <v>3822014041 (ÖLFLEX® UNIPLUS HFFR Z 1 x 1.5 DBU)</v>
          </cell>
          <cell r="B4597" t="str">
            <v>3822014041(ÖLFLEX® UNIPLUS HFFR Z 1 x 1.5 DBU)</v>
          </cell>
          <cell r="C4597" t="str">
            <v>LAPP</v>
          </cell>
          <cell r="D4597" t="str">
            <v>Lapp-Against Customer PO</v>
          </cell>
        </row>
        <row r="4598">
          <cell r="A4598" t="str">
            <v>3822000041 (ÖLFLEX® UNIPLUS HFFR Z 1 x 1.5 YE/GN)</v>
          </cell>
          <cell r="B4598" t="str">
            <v>3822000041(ÖLFLEX® UNIPLUS HFFR Z 1 x 1.5 YE/GN)</v>
          </cell>
          <cell r="C4598" t="str">
            <v>LAPP</v>
          </cell>
          <cell r="D4598" t="str">
            <v>Lapp-Against Customer PO</v>
          </cell>
        </row>
        <row r="4599">
          <cell r="A4599" t="str">
            <v>3822001091 (ÖLFLEX® UNIPLUS HFFR Z 1 x 16 BK)</v>
          </cell>
          <cell r="B4599" t="str">
            <v>3822001091(ÖLFLEX® UNIPLUS HFFR Z 1 x 16 BK)</v>
          </cell>
          <cell r="C4599" t="str">
            <v>LAPP</v>
          </cell>
          <cell r="D4599" t="str">
            <v>Lapp-Against Customer PO</v>
          </cell>
        </row>
        <row r="4600">
          <cell r="A4600" t="str">
            <v>3822012091 (ÖLFLEX® UNIPLUS HFFR Z 1 x 16 GN)</v>
          </cell>
          <cell r="B4600" t="str">
            <v>3822012091(ÖLFLEX® UNIPLUS HFFR Z 1 x 16 GN)</v>
          </cell>
          <cell r="C4600" t="str">
            <v>LAPP</v>
          </cell>
          <cell r="D4600" t="str">
            <v>Lapp-Against Customer PO</v>
          </cell>
        </row>
        <row r="4601">
          <cell r="A4601" t="str">
            <v>3822001051 (ÖLFLEX® UNIPLUS HFFR Z 1 x 2.5 BK)</v>
          </cell>
          <cell r="B4601" t="str">
            <v>3822001051(ÖLFLEX® UNIPLUS HFFR Z 1 x 2.5 BK)</v>
          </cell>
          <cell r="C4601" t="str">
            <v>LAPP</v>
          </cell>
          <cell r="D4601" t="str">
            <v>Lapp-Against Customer PO</v>
          </cell>
        </row>
        <row r="4602">
          <cell r="A4602" t="str">
            <v>3822002051 (ÖLFLEX® UNIPLUS HFFR Z 1 x 2.5 BU)</v>
          </cell>
          <cell r="B4602" t="str">
            <v>3822002051(ÖLFLEX® UNIPLUS HFFR Z 1 x 2.5 BU)</v>
          </cell>
          <cell r="C4602" t="str">
            <v>LAPP</v>
          </cell>
          <cell r="D4602" t="str">
            <v>Lapp-Against Customer PO</v>
          </cell>
        </row>
        <row r="4603">
          <cell r="A4603" t="str">
            <v>3822014051 (ÖLFLEX® UNIPLUS HFFR Z 1 x 2.5 DBU)</v>
          </cell>
          <cell r="B4603" t="str">
            <v>3822014051(ÖLFLEX® UNIPLUS HFFR Z 1 x 2.5 DBU)</v>
          </cell>
          <cell r="C4603" t="str">
            <v>LAPP</v>
          </cell>
          <cell r="D4603" t="str">
            <v>Lapp-Against Customer PO</v>
          </cell>
        </row>
        <row r="4604">
          <cell r="A4604" t="str">
            <v>3822000051 (ÖLFLEX® UNIPLUS HFFR Z 1 x 2.5 YE/GN)</v>
          </cell>
          <cell r="B4604" t="str">
            <v>3822000051(ÖLFLEX® UNIPLUS HFFR Z 1 x 2.5 YE/GN)</v>
          </cell>
          <cell r="C4604" t="str">
            <v>LAPP</v>
          </cell>
          <cell r="D4604" t="str">
            <v>Lapp-Against Customer PO</v>
          </cell>
        </row>
        <row r="4605">
          <cell r="A4605" t="str">
            <v>3822001061 (ÖLFLEX® UNIPLUS HFFR Z 1 x 4 BK)</v>
          </cell>
          <cell r="B4605" t="str">
            <v>3822001061(ÖLFLEX® UNIPLUS HFFR Z 1 x 4 BK)</v>
          </cell>
          <cell r="C4605" t="str">
            <v>LAPP</v>
          </cell>
          <cell r="D4605" t="str">
            <v>Lapp-Against Customer PO</v>
          </cell>
        </row>
        <row r="4606">
          <cell r="A4606" t="str">
            <v>3822003061 (ÖLFLEX® UNIPLUS HFFR Z 1 x 4 BN)</v>
          </cell>
          <cell r="B4606" t="str">
            <v>3822003061(ÖLFLEX® UNIPLUS HFFR Z 1 x 4 BN)</v>
          </cell>
          <cell r="C4606" t="str">
            <v>LAPP</v>
          </cell>
          <cell r="D4606" t="str">
            <v>Lapp-Against Customer PO</v>
          </cell>
        </row>
        <row r="4607">
          <cell r="A4607" t="str">
            <v>3822002061 (ÖLFLEX® UNIPLUS HFFR Z 1 x 4 BU)</v>
          </cell>
          <cell r="B4607" t="str">
            <v>3822002061(ÖLFLEX® UNIPLUS HFFR Z 1 x 4 BU)</v>
          </cell>
          <cell r="C4607" t="str">
            <v>LAPP</v>
          </cell>
          <cell r="D4607" t="str">
            <v>Lapp-Against Customer PO</v>
          </cell>
        </row>
        <row r="4608">
          <cell r="A4608" t="str">
            <v>3822000061 (ÖLFLEX® UNIPLUS HFFR Z 1 x 4 YE/GN)</v>
          </cell>
          <cell r="B4608" t="str">
            <v>3822000061(ÖLFLEX® UNIPLUS HFFR Z 1 x 4 YE/GN)</v>
          </cell>
          <cell r="C4608" t="str">
            <v>LAPP</v>
          </cell>
          <cell r="D4608" t="str">
            <v>Lapp-Against Customer PO</v>
          </cell>
        </row>
        <row r="4609">
          <cell r="A4609" t="str">
            <v>8201010100 (ÖLFLEX® UNIPLUS TRI 1 X 0.5 BK)</v>
          </cell>
          <cell r="B4609" t="str">
            <v>8201010100(ÖLFLEX® UNIPLUS TRI 1 X 0.5 BK)</v>
          </cell>
          <cell r="C4609" t="str">
            <v>LAPP</v>
          </cell>
          <cell r="D4609" t="str">
            <v>Lapp-Against Customer PO</v>
          </cell>
        </row>
        <row r="4610">
          <cell r="A4610" t="str">
            <v>8201010200 (ÖLFLEX® UNIPLUS TRI 1 X 0.5 BU)</v>
          </cell>
          <cell r="B4610" t="str">
            <v>8201010200(ÖLFLEX® UNIPLUS TRI 1 X 0.5 BU)</v>
          </cell>
          <cell r="C4610" t="str">
            <v>LAPP</v>
          </cell>
          <cell r="D4610" t="str">
            <v>Lapp-Against Customer PO</v>
          </cell>
        </row>
        <row r="4611">
          <cell r="A4611" t="str">
            <v>8201011400 (ÖLFLEX® UNIPLUS TRI 1 X 0.5 DBU)</v>
          </cell>
          <cell r="B4611" t="str">
            <v>8201011400(ÖLFLEX® UNIPLUS TRI 1 X 0.5 DBU)</v>
          </cell>
          <cell r="C4611" t="str">
            <v>LAPP</v>
          </cell>
          <cell r="D4611" t="str">
            <v>Lapp-Against Customer PO</v>
          </cell>
        </row>
        <row r="4612">
          <cell r="A4612" t="str">
            <v>8201010400 (ÖLFLEX® UNIPLUS TRI 1 X 0.5 RD)</v>
          </cell>
          <cell r="B4612" t="str">
            <v>8201010400(ÖLFLEX® UNIPLUS TRI 1 X 0.5 RD)</v>
          </cell>
          <cell r="C4612" t="str">
            <v>LAPP</v>
          </cell>
          <cell r="D4612" t="str">
            <v>Lapp-Against Customer PO</v>
          </cell>
        </row>
        <row r="4613">
          <cell r="A4613" t="str">
            <v>8201010500 (ÖLFLEX® UNIPLUS TRI 1 X 0.5 WH)</v>
          </cell>
          <cell r="B4613" t="str">
            <v>8201010500(ÖLFLEX® UNIPLUS TRI 1 X 0.5 WH)</v>
          </cell>
          <cell r="C4613" t="str">
            <v>LAPP</v>
          </cell>
          <cell r="D4613" t="str">
            <v>Lapp-Against Customer PO</v>
          </cell>
        </row>
        <row r="4614">
          <cell r="A4614" t="str">
            <v>8201010101 (ÖLFLEX® UNIPLUS TRI 1 X 0.75 BK)</v>
          </cell>
          <cell r="B4614" t="str">
            <v>8201010101(ÖLFLEX® UNIPLUS TRI 1 X 0.75 BK)</v>
          </cell>
          <cell r="C4614" t="str">
            <v>LAPP</v>
          </cell>
          <cell r="D4614" t="str">
            <v>Lapp-Against Customer PO</v>
          </cell>
        </row>
        <row r="4615">
          <cell r="A4615" t="str">
            <v>8201010301 (ÖLFLEX® UNIPLUS TRI 1 X 0.75 BN)</v>
          </cell>
          <cell r="B4615" t="str">
            <v>8201010301(ÖLFLEX® UNIPLUS TRI 1 X 0.75 BN)</v>
          </cell>
          <cell r="C4615" t="str">
            <v>LAPP</v>
          </cell>
          <cell r="D4615" t="str">
            <v>Lapp-Against Customer PO</v>
          </cell>
        </row>
        <row r="4616">
          <cell r="A4616" t="str">
            <v>8201010201 (ÖLFLEX® UNIPLUS TRI 1 X 0.75 BU)</v>
          </cell>
          <cell r="B4616" t="str">
            <v>8201010201(ÖLFLEX® UNIPLUS TRI 1 X 0.75 BU)</v>
          </cell>
          <cell r="C4616" t="str">
            <v>LAPP</v>
          </cell>
          <cell r="D4616" t="str">
            <v>Lapp-Against Customer PO</v>
          </cell>
        </row>
        <row r="4617">
          <cell r="A4617" t="str">
            <v>8201010401 (ÖLFLEX® UNIPLUS TRI 1 X 0.75 RD)</v>
          </cell>
          <cell r="B4617" t="str">
            <v>8201010401(ÖLFLEX® UNIPLUS TRI 1 X 0.75 RD)</v>
          </cell>
          <cell r="C4617" t="str">
            <v>LAPP</v>
          </cell>
          <cell r="D4617" t="str">
            <v>Lapp-Against Customer PO</v>
          </cell>
        </row>
        <row r="4618">
          <cell r="A4618" t="str">
            <v>8201010501 (ÖLFLEX® UNIPLUS TRI 1 X 0.75 WH)</v>
          </cell>
          <cell r="B4618" t="str">
            <v>8201010501(ÖLFLEX® UNIPLUS TRI 1 X 0.75 WH)</v>
          </cell>
          <cell r="C4618" t="str">
            <v>LAPP</v>
          </cell>
          <cell r="D4618" t="str">
            <v>Lapp-Against Customer PO</v>
          </cell>
        </row>
        <row r="4619">
          <cell r="A4619" t="str">
            <v>8201010107 (ÖLFLEX® UNIPLUS TRI 1 X 10 BK)</v>
          </cell>
          <cell r="B4619" t="str">
            <v>8201010107(ÖLFLEX® UNIPLUS TRI 1 X 10 BK)</v>
          </cell>
          <cell r="C4619" t="str">
            <v>LAPP</v>
          </cell>
          <cell r="D4619" t="str">
            <v>Lapp-Against Customer PO</v>
          </cell>
        </row>
        <row r="4620">
          <cell r="A4620" t="str">
            <v>8201010007 (ÖLFLEX® UNIPLUS TRI 1 X 10 YE/GN)</v>
          </cell>
          <cell r="B4620" t="str">
            <v>8201010007(ÖLFLEX® UNIPLUS TRI 1 X 10 YE/GN)</v>
          </cell>
          <cell r="C4620" t="str">
            <v>LAPP</v>
          </cell>
          <cell r="D4620" t="str">
            <v>Lapp-Against Customer PO</v>
          </cell>
        </row>
        <row r="4621">
          <cell r="A4621" t="str">
            <v>8201011203 (ÖLFLEX® UNIPLUS TRI 1 X 1.5 GN)</v>
          </cell>
          <cell r="B4621" t="str">
            <v>8201011203(ÖLFLEX® UNIPLUS TRI 1 X 1.5 GN)</v>
          </cell>
          <cell r="C4621" t="str">
            <v>LAPP</v>
          </cell>
          <cell r="D4621" t="str">
            <v>Lapp-Against Customer PO</v>
          </cell>
        </row>
        <row r="4622">
          <cell r="A4622" t="str">
            <v>8201011503 (ÖLFLEX® UNIPLUS TRI 1 X 1.5 UMBU)</v>
          </cell>
          <cell r="B4622" t="str">
            <v>8201011503(ÖLFLEX® UNIPLUS TRI 1 X 1.5 UMBU)</v>
          </cell>
          <cell r="C4622" t="str">
            <v>LAPP</v>
          </cell>
          <cell r="D4622" t="str">
            <v>Lapp-Against Customer PO</v>
          </cell>
        </row>
        <row r="4623">
          <cell r="A4623" t="str">
            <v>8201011103 (ÖLFLEX® UNIPLUS TRI 1 X 1.5 YE)</v>
          </cell>
          <cell r="B4623" t="str">
            <v>8201011103(ÖLFLEX® UNIPLUS TRI 1 X 1.5 YE)</v>
          </cell>
          <cell r="C4623" t="str">
            <v>LAPP</v>
          </cell>
          <cell r="D4623" t="str">
            <v>Lapp-Against Customer PO</v>
          </cell>
        </row>
        <row r="4624">
          <cell r="A4624" t="str">
            <v>8201010108 (ÖLFLEX® UNIPLUS TRI 1 X 16 BK)</v>
          </cell>
          <cell r="B4624" t="str">
            <v>8201010108(ÖLFLEX® UNIPLUS TRI 1 X 16 BK)</v>
          </cell>
          <cell r="C4624" t="str">
            <v>LAPP</v>
          </cell>
          <cell r="D4624" t="str">
            <v>Lapp-Against Customer PO</v>
          </cell>
        </row>
        <row r="4625">
          <cell r="A4625" t="str">
            <v>8201010102 (ÖLFLEX® UNIPLUS TRI 1 X 1 BK)</v>
          </cell>
          <cell r="B4625" t="str">
            <v>8201010102(ÖLFLEX® UNIPLUS TRI 1 X 1 BK)</v>
          </cell>
          <cell r="C4625" t="str">
            <v>LAPP</v>
          </cell>
          <cell r="D4625" t="str">
            <v>Lapp-Against Customer PO</v>
          </cell>
        </row>
        <row r="4626">
          <cell r="A4626" t="str">
            <v>8201010202 (ÖLFLEX® UNIPLUS TRI 1 X 1 BU)</v>
          </cell>
          <cell r="B4626" t="str">
            <v>8201010202(ÖLFLEX® UNIPLUS TRI 1 X 1 BU)</v>
          </cell>
          <cell r="C4626" t="str">
            <v>LAPP</v>
          </cell>
          <cell r="D4626" t="str">
            <v>Lapp-Against Customer PO</v>
          </cell>
        </row>
        <row r="4627">
          <cell r="A4627" t="str">
            <v>8201010402 (ÖLFLEX® UNIPLUS TRI 1 X 1 RD)</v>
          </cell>
          <cell r="B4627" t="str">
            <v>8201010402(ÖLFLEX® UNIPLUS TRI 1 X 1 RD)</v>
          </cell>
          <cell r="C4627" t="str">
            <v>LAPP</v>
          </cell>
          <cell r="D4627" t="str">
            <v>Lapp-Against Customer PO</v>
          </cell>
        </row>
        <row r="4628">
          <cell r="A4628" t="str">
            <v>8201011502 (ÖLFLEX® UNIPLUS TRI 1 X 1 UMBU)</v>
          </cell>
          <cell r="B4628" t="str">
            <v>8201011502(ÖLFLEX® UNIPLUS TRI 1 X 1 UMBU)</v>
          </cell>
          <cell r="C4628" t="str">
            <v>LAPP</v>
          </cell>
          <cell r="D4628" t="str">
            <v>Lapp-Against Customer PO</v>
          </cell>
        </row>
        <row r="4629">
          <cell r="A4629" t="str">
            <v>8201010502 (ÖLFLEX® UNIPLUS TRI 1 X 1 WH)</v>
          </cell>
          <cell r="B4629" t="str">
            <v>8201010502(ÖLFLEX® UNIPLUS TRI 1 X 1 WH)</v>
          </cell>
          <cell r="C4629" t="str">
            <v>LAPP</v>
          </cell>
          <cell r="D4629" t="str">
            <v>Lapp-Against Customer PO</v>
          </cell>
        </row>
        <row r="4630">
          <cell r="A4630" t="str">
            <v>8201011102 (ÖLFLEX® UNIPLUS TRI 1 X 1 YE)</v>
          </cell>
          <cell r="B4630" t="str">
            <v>8201011102(ÖLFLEX® UNIPLUS TRI 1 X 1 YE)</v>
          </cell>
          <cell r="C4630" t="str">
            <v>LAPP</v>
          </cell>
          <cell r="D4630" t="str">
            <v>Lapp-Against Customer PO</v>
          </cell>
        </row>
        <row r="4631">
          <cell r="A4631" t="str">
            <v>8201010204 (ÖLFLEX® UNIPLUS TRI 1 X 2.5 BU)</v>
          </cell>
          <cell r="B4631" t="str">
            <v>8201010204(ÖLFLEX® UNIPLUS TRI 1 X 2.5 BU)</v>
          </cell>
          <cell r="C4631" t="str">
            <v>LAPP</v>
          </cell>
          <cell r="D4631" t="str">
            <v>Lapp-Against Customer PO</v>
          </cell>
        </row>
        <row r="4632">
          <cell r="A4632" t="str">
            <v>8201011204 (ÖLFLEX® UNIPLUS TRI 1 X 2.5 GN)</v>
          </cell>
          <cell r="B4632" t="str">
            <v>8201011204(ÖLFLEX® UNIPLUS TRI 1 X 2.5 GN)</v>
          </cell>
          <cell r="C4632" t="str">
            <v>LAPP</v>
          </cell>
          <cell r="D4632" t="str">
            <v>Lapp-Against Customer PO</v>
          </cell>
        </row>
        <row r="4633">
          <cell r="A4633" t="str">
            <v>8201010404 (ÖLFLEX® UNIPLUS TRI 1 X 2.5 RD)</v>
          </cell>
          <cell r="B4633" t="str">
            <v>8201010404(ÖLFLEX® UNIPLUS TRI 1 X 2.5 RD)</v>
          </cell>
          <cell r="C4633" t="str">
            <v>LAPP</v>
          </cell>
          <cell r="D4633" t="str">
            <v>Lapp-Against Customer PO</v>
          </cell>
        </row>
        <row r="4634">
          <cell r="A4634" t="str">
            <v>8201011504 (ÖLFLEX® UNIPLUS TRI 1 X 2.5 UMBU)</v>
          </cell>
          <cell r="B4634" t="str">
            <v>8201011504(ÖLFLEX® UNIPLUS TRI 1 X 2.5 UMBU)</v>
          </cell>
          <cell r="C4634" t="str">
            <v>LAPP</v>
          </cell>
          <cell r="D4634" t="str">
            <v>Lapp-Against Customer PO</v>
          </cell>
        </row>
        <row r="4635">
          <cell r="A4635" t="str">
            <v>8201010504 (ÖLFLEX® UNIPLUS TRI 1 X 2.5 WH)</v>
          </cell>
          <cell r="B4635" t="str">
            <v>8201010504(ÖLFLEX® UNIPLUS TRI 1 X 2.5 WH)</v>
          </cell>
          <cell r="C4635" t="str">
            <v>LAPP</v>
          </cell>
          <cell r="D4635" t="str">
            <v>Lapp-Against Customer PO</v>
          </cell>
        </row>
        <row r="4636">
          <cell r="A4636" t="str">
            <v>8201011104 (ÖLFLEX® UNIPLUS TRI 1 X 2.5 YE)</v>
          </cell>
          <cell r="B4636" t="str">
            <v>8201011104(ÖLFLEX® UNIPLUS TRI 1 X 2.5 YE)</v>
          </cell>
          <cell r="C4636" t="str">
            <v>LAPP</v>
          </cell>
          <cell r="D4636" t="str">
            <v>Lapp-Against Customer PO</v>
          </cell>
        </row>
        <row r="4637">
          <cell r="A4637" t="str">
            <v>8201010205 (ÖLFLEX® UNIPLUS TRI 1 X 4 BU)</v>
          </cell>
          <cell r="B4637" t="str">
            <v>8201010205(ÖLFLEX® UNIPLUS TRI 1 X 4 BU)</v>
          </cell>
          <cell r="C4637" t="str">
            <v>LAPP</v>
          </cell>
          <cell r="D4637" t="str">
            <v>Lapp-Against Customer PO</v>
          </cell>
        </row>
        <row r="4638">
          <cell r="A4638" t="str">
            <v>8201010405 (ÖLFLEX® UNIPLUS TRI 1 X 4 RD)</v>
          </cell>
          <cell r="B4638" t="str">
            <v>8201010405(ÖLFLEX® UNIPLUS TRI 1 X 4 RD)</v>
          </cell>
          <cell r="C4638" t="str">
            <v>LAPP</v>
          </cell>
          <cell r="D4638" t="str">
            <v>Lapp-Against Customer PO</v>
          </cell>
        </row>
        <row r="4639">
          <cell r="A4639" t="str">
            <v>8201011505 (ÖLFLEX® UNIPLUS TRI 1 X 4 UMBU)</v>
          </cell>
          <cell r="B4639" t="str">
            <v>8201011505(ÖLFLEX® UNIPLUS TRI 1 X 4 UMBU)</v>
          </cell>
          <cell r="C4639" t="str">
            <v>LAPP</v>
          </cell>
          <cell r="D4639" t="str">
            <v>Lapp-Against Customer PO</v>
          </cell>
        </row>
        <row r="4640">
          <cell r="A4640" t="str">
            <v>8201010505 (ÖLFLEX® UNIPLUS TRI 1 X 4 WH)</v>
          </cell>
          <cell r="B4640" t="str">
            <v>8201010505(ÖLFLEX® UNIPLUS TRI 1 X 4 WH)</v>
          </cell>
          <cell r="C4640" t="str">
            <v>LAPP</v>
          </cell>
          <cell r="D4640" t="str">
            <v>Lapp-Against Customer PO</v>
          </cell>
        </row>
        <row r="4641">
          <cell r="A4641" t="str">
            <v>8201011105 (ÖLFLEX® UNIPLUS TRI 1 X 4 YE)</v>
          </cell>
          <cell r="B4641" t="str">
            <v>8201011105(ÖLFLEX® UNIPLUS TRI 1 X 4 YE)</v>
          </cell>
          <cell r="C4641" t="str">
            <v>LAPP</v>
          </cell>
          <cell r="D4641" t="str">
            <v>Lapp-Against Customer PO</v>
          </cell>
        </row>
        <row r="4642">
          <cell r="A4642" t="str">
            <v>8201010206 (ÖLFLEX® UNIPLUS TRI 1 X 6 BU)</v>
          </cell>
          <cell r="B4642" t="str">
            <v>8201010206(ÖLFLEX® UNIPLUS TRI 1 X 6 BU)</v>
          </cell>
          <cell r="C4642" t="str">
            <v>LAPP</v>
          </cell>
          <cell r="D4642" t="str">
            <v>Lapp-Against Customer PO</v>
          </cell>
        </row>
        <row r="4643">
          <cell r="A4643" t="str">
            <v>8201011206 (ÖLFLEX® UNIPLUS TRI 1 X 6 GN)</v>
          </cell>
          <cell r="B4643" t="str">
            <v>8201011206(ÖLFLEX® UNIPLUS TRI 1 X 6 GN)</v>
          </cell>
          <cell r="C4643" t="str">
            <v>LAPP</v>
          </cell>
          <cell r="D4643" t="str">
            <v>Lapp-Against Customer PO</v>
          </cell>
        </row>
        <row r="4644">
          <cell r="A4644" t="str">
            <v>8201010406 (ÖLFLEX® UNIPLUS TRI 1 X 6 RD)</v>
          </cell>
          <cell r="B4644" t="str">
            <v>8201010406(ÖLFLEX® UNIPLUS TRI 1 X 6 RD)</v>
          </cell>
          <cell r="C4644" t="str">
            <v>LAPP</v>
          </cell>
          <cell r="D4644" t="str">
            <v>Lapp-Against Customer PO</v>
          </cell>
        </row>
        <row r="4645">
          <cell r="A4645" t="str">
            <v>8201011506 (ÖLFLEX® UNIPLUS TRI 1 X 6 UMBU)</v>
          </cell>
          <cell r="B4645" t="str">
            <v>8201011506(ÖLFLEX® UNIPLUS TRI 1 X 6 UMBU)</v>
          </cell>
          <cell r="C4645" t="str">
            <v>LAPP</v>
          </cell>
          <cell r="D4645" t="str">
            <v>Lapp-Against Customer PO</v>
          </cell>
        </row>
        <row r="4646">
          <cell r="A4646" t="str">
            <v>8201010506 (ÖLFLEX® UNIPLUS TRI 1 X 6 WH)</v>
          </cell>
          <cell r="B4646" t="str">
            <v>8201010506(ÖLFLEX® UNIPLUS TRI 1 X 6 WH)</v>
          </cell>
          <cell r="C4646" t="str">
            <v>LAPP</v>
          </cell>
          <cell r="D4646" t="str">
            <v>Lapp-Against Customer PO</v>
          </cell>
        </row>
        <row r="4647">
          <cell r="A4647" t="str">
            <v>8201011106 (ÖLFLEX® UNIPLUS TRI 1 X 6 YE)</v>
          </cell>
          <cell r="B4647" t="str">
            <v>8201011106(ÖLFLEX® UNIPLUS TRI 1 X 6 YE)</v>
          </cell>
          <cell r="C4647" t="str">
            <v>LAPP</v>
          </cell>
          <cell r="D4647" t="str">
            <v>Lapp-Against Customer PO</v>
          </cell>
        </row>
        <row r="4648">
          <cell r="A4648" t="str">
            <v>382301466 (LAPP KABEL® 21x0.75 sqmm 300/500V GNYE)</v>
          </cell>
          <cell r="B4648" t="str">
            <v>382301466(LAPP KABEL® 21x0.75 sqmm 300/500V GNYE)</v>
          </cell>
          <cell r="C4648" t="str">
            <v>LAPP</v>
          </cell>
          <cell r="D4648" t="str">
            <v>Lapp-AMS Group</v>
          </cell>
        </row>
        <row r="4649">
          <cell r="A4649" t="str">
            <v>382301463 (LAPP KABEL® 7x0.5 sqmm 300/500V GREY_x000D_
)</v>
          </cell>
          <cell r="B4649" t="str">
            <v>382301463(LAPP KABEL® 7x0.5 sqmm 300/500V GREY_x000D_
)</v>
          </cell>
          <cell r="C4649" t="str">
            <v>LAPP</v>
          </cell>
          <cell r="D4649" t="str">
            <v>Lapp-AMS Group</v>
          </cell>
        </row>
        <row r="4650">
          <cell r="A4650" t="str">
            <v>382301464 (LAPP® 3G0.75 SQMM 300/500 V GREY)</v>
          </cell>
          <cell r="B4650" t="str">
            <v>382301464(LAPP® 3G0.75 SQMM 300/500 V GREY)</v>
          </cell>
          <cell r="C4650" t="str">
            <v>LAPP</v>
          </cell>
          <cell r="D4650" t="str">
            <v>Lapp-AMS Group</v>
          </cell>
        </row>
        <row r="4651">
          <cell r="A4651" t="str">
            <v>382305562 (LAPP®  4G0.5 F Y Y  05 GY)</v>
          </cell>
          <cell r="B4651" t="str">
            <v>382305562(LAPP®  4G0.5 F Y Y  05 GY)</v>
          </cell>
          <cell r="C4651" t="str">
            <v>LAPP</v>
          </cell>
          <cell r="D4651" t="str">
            <v>Lapp-AMS Group</v>
          </cell>
        </row>
        <row r="4652">
          <cell r="A4652" t="str">
            <v>4126002S (LiY 1x0,25 BU)</v>
          </cell>
          <cell r="B4652" t="str">
            <v>4126002S(LiY 1x0,25 BU)</v>
          </cell>
          <cell r="C4652" t="str">
            <v>LAPP</v>
          </cell>
          <cell r="D4652" t="str">
            <v>Lapp-AMS Group</v>
          </cell>
        </row>
        <row r="4653">
          <cell r="A4653" t="str">
            <v>61747010 (SILVYN RILL PA6 13,5/14,3x18,5 GY)</v>
          </cell>
          <cell r="B4653" t="str">
            <v>61747010(SILVYN RILL PA6 13,5/14,3x18,5 GY)</v>
          </cell>
          <cell r="C4653" t="str">
            <v>LAPP</v>
          </cell>
          <cell r="D4653" t="str">
            <v>Lapp-AMS Group</v>
          </cell>
        </row>
        <row r="4654">
          <cell r="A4654" t="str">
            <v>61746960 (SILVYN RILL PA6 16/16,5x21,2 GY)</v>
          </cell>
          <cell r="B4654" t="str">
            <v>61746960(SILVYN RILL PA6 16/16,5x21,2 GY)</v>
          </cell>
          <cell r="C4654" t="str">
            <v>LAPP</v>
          </cell>
          <cell r="D4654" t="str">
            <v>Lapp-AMS Group</v>
          </cell>
        </row>
        <row r="4655">
          <cell r="A4655" t="str">
            <v>61746970 (SILVYN RILL PA6 21/23x28,5 GY)</v>
          </cell>
          <cell r="B4655" t="str">
            <v>61746970(SILVYN RILL PA6 21/23x28,5 GY)</v>
          </cell>
          <cell r="C4655" t="str">
            <v>LAPP</v>
          </cell>
          <cell r="D4655" t="str">
            <v>Lapp-AMS Group</v>
          </cell>
        </row>
        <row r="4656">
          <cell r="A4656" t="str">
            <v>61746940 (SILVYN RILL PA6 9/10x13 GY)</v>
          </cell>
          <cell r="B4656" t="str">
            <v>61746940(SILVYN RILL PA6 9/10x13 GY)</v>
          </cell>
          <cell r="C4656" t="str">
            <v>LAPP</v>
          </cell>
          <cell r="D4656" t="str">
            <v>Lapp-AMS Group</v>
          </cell>
        </row>
        <row r="4657">
          <cell r="A4657" t="str">
            <v>3845000 (ÖLFLEX CLASSIC 110 2X0.5 blue cores)</v>
          </cell>
          <cell r="B4657" t="str">
            <v>3845000(ÖLFLEX CLASSIC 110 2X0.5 blue cores)</v>
          </cell>
          <cell r="C4657" t="str">
            <v>LAPP</v>
          </cell>
          <cell r="D4657" t="str">
            <v>Lapp-AMS Group</v>
          </cell>
        </row>
        <row r="4658">
          <cell r="A4658" t="str">
            <v>11190121 (Ölflex® 110  12 G 0.5 mm²)</v>
          </cell>
          <cell r="B4658" t="str">
            <v>11190121(Ölflex® 110  12 G 0.5 mm²)</v>
          </cell>
          <cell r="C4658" t="str">
            <v>LAPP</v>
          </cell>
          <cell r="D4658" t="str">
            <v>Lapp-AMS Group</v>
          </cell>
        </row>
        <row r="4659">
          <cell r="A4659" t="str">
            <v>11196041 (Ölflex® 110  4 G 6.0 Mm²)</v>
          </cell>
          <cell r="B4659" t="str">
            <v>11196041(Ölflex® 110  4 G 6.0 Mm²)</v>
          </cell>
          <cell r="C4659" t="str">
            <v>LAPP</v>
          </cell>
          <cell r="D4659" t="str">
            <v>Lapp-AMS Group</v>
          </cell>
        </row>
        <row r="4660">
          <cell r="A4660" t="str">
            <v>61830300 (CABLE EATER SHR-08-PPB BK_x000D_
)</v>
          </cell>
          <cell r="B4660" t="str">
            <v>61830300(CABLE EATER SHR-08-PPB BK_x000D_
)</v>
          </cell>
          <cell r="C4660" t="str">
            <v>LAPP</v>
          </cell>
          <cell r="D4660" t="str">
            <v>Lapp-Disa India</v>
          </cell>
        </row>
        <row r="4661">
          <cell r="A4661" t="str">
            <v>61830310 (CABLE EATER SHR-15-PPB BK_x000D_
)</v>
          </cell>
          <cell r="B4661" t="str">
            <v>61830310(CABLE EATER SHR-15-PPB BK_x000D_
)</v>
          </cell>
          <cell r="C4661" t="str">
            <v>LAPP</v>
          </cell>
          <cell r="D4661" t="str">
            <v>Lapp-Disa India</v>
          </cell>
        </row>
        <row r="4662">
          <cell r="A4662" t="str">
            <v>61830330_x000D_
 (CABLE EATER SHR-25-PPB BK_x000D_
)</v>
          </cell>
          <cell r="B4662" t="str">
            <v>61830330_x000D_
(CABLE EATER SHR-25-PPB BK_x000D_
)</v>
          </cell>
          <cell r="C4662" t="str">
            <v>LAPP</v>
          </cell>
          <cell r="D4662" t="str">
            <v>Lapp-Disa India</v>
          </cell>
        </row>
        <row r="4663">
          <cell r="A4663" t="str">
            <v>11193121 (ÖLFLEX 110 12G1.5)</v>
          </cell>
          <cell r="B4663" t="str">
            <v>11193121(ÖLFLEX 110 12G1.5)</v>
          </cell>
          <cell r="C4663" t="str">
            <v>LAPP</v>
          </cell>
          <cell r="D4663" t="str">
            <v>Lapp-Disa India</v>
          </cell>
        </row>
        <row r="4664">
          <cell r="A4664" t="str">
            <v>1136205 (ÖLFLEX CLASSIC 115 CY 5G1)</v>
          </cell>
          <cell r="B4664" t="str">
            <v>1136205(ÖLFLEX CLASSIC 115 CY 5G1)</v>
          </cell>
          <cell r="C4664" t="str">
            <v>LAPP</v>
          </cell>
          <cell r="D4664" t="str">
            <v>Lapp-Disa India</v>
          </cell>
        </row>
        <row r="4665">
          <cell r="A4665" t="str">
            <v>11193181 (Ölflex® 110 18G1.5)</v>
          </cell>
          <cell r="B4665" t="str">
            <v>11193181(Ölflex® 110 18G1.5)</v>
          </cell>
          <cell r="C4665" t="str">
            <v>LAPP</v>
          </cell>
          <cell r="D4665" t="str">
            <v>Lapp-Disa India</v>
          </cell>
        </row>
        <row r="4666">
          <cell r="A4666" t="str">
            <v>11352051 (Ölflex® 110 CY 5G1)</v>
          </cell>
          <cell r="B4666" t="str">
            <v>11352051(Ölflex® 110 CY 5G1)</v>
          </cell>
          <cell r="C4666" t="str">
            <v>LAPP</v>
          </cell>
          <cell r="D4666" t="str">
            <v>Lapp-Disa India</v>
          </cell>
        </row>
        <row r="4667">
          <cell r="A4667" t="str">
            <v>0042004 (ÖLFLEX® LIFT F 8G1,5 450/750V)</v>
          </cell>
          <cell r="B4667" t="str">
            <v>0042004(ÖLFLEX® LIFT F 8G1,5 450/750V)</v>
          </cell>
          <cell r="C4667" t="str">
            <v>LAPP</v>
          </cell>
          <cell r="D4667" t="str">
            <v>Lapp-Disa India</v>
          </cell>
        </row>
        <row r="4668">
          <cell r="A4668" t="str">
            <v>54110839 (SKINTOP® BRUSH ADD-ON M12)</v>
          </cell>
          <cell r="B4668" t="str">
            <v>54110839(SKINTOP® BRUSH ADD-ON M12)</v>
          </cell>
          <cell r="C4668" t="str">
            <v>LAPP</v>
          </cell>
          <cell r="D4668" t="str">
            <v>Lapp-Engineered Customized Control</v>
          </cell>
        </row>
        <row r="4669">
          <cell r="A4669" t="str">
            <v>54110841_x000D_
 (SKINTOP® BRUSH ADD-ON M20_x000D_
)</v>
          </cell>
          <cell r="B4669" t="str">
            <v>54110841_x000D_
(SKINTOP® BRUSH ADD-ON M20_x000D_
)</v>
          </cell>
          <cell r="C4669" t="str">
            <v>LAPP</v>
          </cell>
          <cell r="D4669" t="str">
            <v>Lapp-Engineered Customized Control</v>
          </cell>
        </row>
        <row r="4670">
          <cell r="A4670" t="str">
            <v>54110842_x000D_
 (SKINTOP® BRUSH ADD-ON M25_x000D_
)</v>
          </cell>
          <cell r="B4670" t="str">
            <v>54110842_x000D_
(SKINTOP® BRUSH ADD-ON M25_x000D_
)</v>
          </cell>
          <cell r="C4670" t="str">
            <v>LAPP</v>
          </cell>
          <cell r="D4670" t="str">
            <v>Lapp-Engineered Customized Control</v>
          </cell>
        </row>
        <row r="4671">
          <cell r="A4671" t="str">
            <v>54110843_x000D_
 (SKINTOP® BRUSH ADD-ON M32_x000D_
)</v>
          </cell>
          <cell r="B4671" t="str">
            <v>54110843_x000D_
(SKINTOP® BRUSH ADD-ON M32_x000D_
)</v>
          </cell>
          <cell r="C4671" t="str">
            <v>LAPP</v>
          </cell>
          <cell r="D4671" t="str">
            <v>Lapp-Engineered Customized Control</v>
          </cell>
        </row>
        <row r="4672">
          <cell r="A4672" t="str">
            <v>383300160 (LAPP KABEL® COAXIAL RG6 TV  305M)</v>
          </cell>
          <cell r="B4672" t="str">
            <v>383300160(LAPP KABEL® COAXIAL RG6 TV  305M)</v>
          </cell>
          <cell r="C4672" t="str">
            <v>LAPP</v>
          </cell>
          <cell r="D4672" t="str">
            <v>Lapp Infra</v>
          </cell>
        </row>
        <row r="4673">
          <cell r="A4673" t="str">
            <v>383336470H (LAPP KABEL® UTP CAT6 4x2x24 AWG_305M)</v>
          </cell>
          <cell r="B4673" t="str">
            <v>383336470H(LAPP KABEL® UTP CAT6 4x2x24 AWG_305M)</v>
          </cell>
          <cell r="C4673" t="str">
            <v>LAPP</v>
          </cell>
          <cell r="D4673" t="str">
            <v>Lapp Infra</v>
          </cell>
        </row>
        <row r="4674">
          <cell r="A4674" t="str">
            <v>8220015090 (OLFELX INFRA FR-LSH 1X10 BK 90)</v>
          </cell>
          <cell r="B4674" t="str">
            <v>8220015090(OLFELX INFRA FR-LSH 1X10 BK 90)</v>
          </cell>
          <cell r="C4674" t="str">
            <v>LAPP</v>
          </cell>
          <cell r="D4674" t="str">
            <v>Lapp Infra</v>
          </cell>
        </row>
        <row r="4675">
          <cell r="A4675" t="str">
            <v>8220045090 (OLFELX INFRA FR-LSH 1X10 RD 90)</v>
          </cell>
          <cell r="B4675" t="str">
            <v>8220045090(OLFELX INFRA FR-LSH 1X10 RD 90)</v>
          </cell>
          <cell r="C4675" t="str">
            <v>LAPP</v>
          </cell>
          <cell r="D4675" t="str">
            <v>Lapp Infra</v>
          </cell>
        </row>
        <row r="4676">
          <cell r="A4676" t="str">
            <v>8220025090 (OLFLEX INFRA 1X10 FR-LSH BU 090)</v>
          </cell>
          <cell r="B4676" t="str">
            <v>8220025090(OLFLEX INFRA 1X10 FR-LSH BU 090)</v>
          </cell>
          <cell r="C4676" t="str">
            <v>LAPP</v>
          </cell>
          <cell r="D4676" t="str">
            <v>Lapp Infra</v>
          </cell>
        </row>
        <row r="4677">
          <cell r="A4677" t="str">
            <v>8220115090 (OLFLEX INFRA FR-LSH 1X10 YE 090)</v>
          </cell>
          <cell r="B4677" t="str">
            <v>8220115090(OLFLEX INFRA FR-LSH 1X10 YE 090)</v>
          </cell>
          <cell r="C4677" t="str">
            <v>LAPP</v>
          </cell>
          <cell r="D4677" t="str">
            <v>Lapp Infra</v>
          </cell>
        </row>
        <row r="4678">
          <cell r="A4678" t="str">
            <v>8220125090 (OLLEX INFRA FR-LSH 1X10 GN 090)</v>
          </cell>
          <cell r="B4678" t="str">
            <v>8220125090(OLLEX INFRA FR-LSH 1X10 GN 090)</v>
          </cell>
          <cell r="C4678" t="str">
            <v>LAPP</v>
          </cell>
          <cell r="D4678" t="str">
            <v>Lapp Infra</v>
          </cell>
        </row>
        <row r="4679">
          <cell r="A4679" t="str">
            <v>8020021090 (ÖLFLEX® INFRA 1X1.5 BU 90)</v>
          </cell>
          <cell r="B4679" t="str">
            <v>8020021090(ÖLFLEX® INFRA 1X1.5 BU 90)</v>
          </cell>
          <cell r="C4679" t="str">
            <v>LAPP</v>
          </cell>
          <cell r="D4679" t="str">
            <v>Lapp Infra</v>
          </cell>
        </row>
        <row r="4680">
          <cell r="A4680" t="str">
            <v>8020121270 (ÖLFLEX® INFRA 1X1.5 GN 90)</v>
          </cell>
          <cell r="B4680" t="str">
            <v>8020121270(ÖLFLEX® INFRA 1X1.5 GN 90)</v>
          </cell>
          <cell r="C4680" t="str">
            <v>LAPP</v>
          </cell>
          <cell r="D4680" t="str">
            <v>Lapp Infra</v>
          </cell>
        </row>
        <row r="4681">
          <cell r="A4681" t="str">
            <v>8020012180 (ÖLFLEX® INFRA 1X2.5 BK 180)</v>
          </cell>
          <cell r="B4681" t="str">
            <v>8020012180(ÖLFLEX® INFRA 1X2.5 BK 180)</v>
          </cell>
          <cell r="C4681" t="str">
            <v>LAPP</v>
          </cell>
          <cell r="D4681" t="str">
            <v>Lapp Infra</v>
          </cell>
        </row>
        <row r="4682">
          <cell r="A4682" t="str">
            <v>8020042090 (ÖLFLEX® INFRA 1X2.5 RD 90)</v>
          </cell>
          <cell r="B4682" t="str">
            <v>8020042090(ÖLFLEX® INFRA 1X2.5 RD 90)</v>
          </cell>
          <cell r="C4682" t="str">
            <v>LAPP</v>
          </cell>
          <cell r="D4682" t="str">
            <v>Lapp Infra</v>
          </cell>
        </row>
        <row r="4683">
          <cell r="A4683" t="str">
            <v>8020013090 (ÖLFLEX® INFRA 1X4 BK 90)</v>
          </cell>
          <cell r="B4683" t="str">
            <v>8020013090(ÖLFLEX® INFRA 1X4 BK 90)</v>
          </cell>
          <cell r="C4683" t="str">
            <v>LAPP</v>
          </cell>
          <cell r="D4683" t="str">
            <v>Lapp Infra</v>
          </cell>
        </row>
        <row r="4684">
          <cell r="A4684" t="str">
            <v>8220063180 (ÖLFLEX® INFRA FRLS 1X4 GY)</v>
          </cell>
          <cell r="B4684" t="str">
            <v>8220063180(ÖLFLEX® INFRA FRLS 1X4 GY)</v>
          </cell>
          <cell r="C4684" t="str">
            <v>LAPP</v>
          </cell>
          <cell r="D4684" t="str">
            <v>Lapp Infra</v>
          </cell>
        </row>
        <row r="4685">
          <cell r="A4685" t="str">
            <v>8220015180 (ÖLFLEX® INFRA FRLSH 1X10 BK 180)</v>
          </cell>
          <cell r="B4685" t="str">
            <v>8220015180(ÖLFLEX® INFRA FRLSH 1X10 BK 180)</v>
          </cell>
          <cell r="C4685" t="str">
            <v>LAPP</v>
          </cell>
          <cell r="D4685" t="str">
            <v>Lapp Infra</v>
          </cell>
        </row>
        <row r="4686">
          <cell r="A4686" t="str">
            <v>8220025180 (ÖLFLEX® INFRA FRLSH 1X10 BU 180)</v>
          </cell>
          <cell r="B4686" t="str">
            <v>8220025180(ÖLFLEX® INFRA FRLSH 1X10 BU 180)</v>
          </cell>
          <cell r="C4686" t="str">
            <v>LAPP</v>
          </cell>
          <cell r="D4686" t="str">
            <v>Lapp Infra</v>
          </cell>
        </row>
        <row r="4687">
          <cell r="A4687" t="str">
            <v>8220125180 (ÖLFLEX® INFRA FRLSH 1X10 GN 180)</v>
          </cell>
          <cell r="B4687" t="str">
            <v>8220125180(ÖLFLEX® INFRA FRLSH 1X10 GN 180)</v>
          </cell>
          <cell r="C4687" t="str">
            <v>LAPP</v>
          </cell>
          <cell r="D4687" t="str">
            <v>Lapp Infra</v>
          </cell>
        </row>
        <row r="4688">
          <cell r="A4688" t="str">
            <v>8220045180 (ÖLFLEX® INFRA FRLSH 1X10 RD 180)</v>
          </cell>
          <cell r="B4688" t="str">
            <v>8220045180(ÖLFLEX® INFRA FRLSH 1X10 RD 180)</v>
          </cell>
          <cell r="C4688" t="str">
            <v>LAPP</v>
          </cell>
          <cell r="D4688" t="str">
            <v>Lapp Infra</v>
          </cell>
        </row>
        <row r="4689">
          <cell r="A4689" t="str">
            <v>8220115180 (ÖLFLEX® INFRA FRLSH 1X10 YE 180)</v>
          </cell>
          <cell r="B4689" t="str">
            <v>8220115180(ÖLFLEX® INFRA FRLSH 1X10 YE 180)</v>
          </cell>
          <cell r="C4689" t="str">
            <v>LAPP</v>
          </cell>
          <cell r="D4689" t="str">
            <v>Lapp Infra</v>
          </cell>
        </row>
        <row r="4690">
          <cell r="A4690" t="str">
            <v>8220011180 (ÖLFLEX® INFRA FRLSH 1X1.5 BK 180)</v>
          </cell>
          <cell r="B4690" t="str">
            <v>8220011180(ÖLFLEX® INFRA FRLSH 1X1.5 BK 180)</v>
          </cell>
          <cell r="C4690" t="str">
            <v>LAPP</v>
          </cell>
          <cell r="D4690" t="str">
            <v>Lapp Infra</v>
          </cell>
        </row>
        <row r="4691">
          <cell r="A4691" t="str">
            <v>8220011090 (ÖLFLEX® INFRA FRLSH 1X1.5 BK 90)</v>
          </cell>
          <cell r="B4691" t="str">
            <v>8220011090(ÖLFLEX® INFRA FRLSH 1X1.5 BK 90)</v>
          </cell>
          <cell r="C4691" t="str">
            <v>LAPP</v>
          </cell>
          <cell r="D4691" t="str">
            <v>Lapp Infra</v>
          </cell>
        </row>
        <row r="4692">
          <cell r="A4692" t="str">
            <v>8220021180 (ÖLFLEX® INFRA FRLSH 1X1.5 BU 180)</v>
          </cell>
          <cell r="B4692" t="str">
            <v>8220021180(ÖLFLEX® INFRA FRLSH 1X1.5 BU 180)</v>
          </cell>
          <cell r="C4692" t="str">
            <v>LAPP</v>
          </cell>
          <cell r="D4692" t="str">
            <v>Lapp Infra</v>
          </cell>
        </row>
        <row r="4693">
          <cell r="A4693" t="str">
            <v>8220021090 (ÖLFLEX® INFRA FRLSH 1X1.5 BU 90)</v>
          </cell>
          <cell r="B4693" t="str">
            <v>8220021090(ÖLFLEX® INFRA FRLSH 1X1.5 BU 90)</v>
          </cell>
          <cell r="C4693" t="str">
            <v>LAPP</v>
          </cell>
          <cell r="D4693" t="str">
            <v>Lapp Infra</v>
          </cell>
        </row>
        <row r="4694">
          <cell r="A4694" t="str">
            <v>8220121180 (ÖLFLEX® INFRA FRLSH 1X1.5 GN 180)</v>
          </cell>
          <cell r="B4694" t="str">
            <v>8220121180(ÖLFLEX® INFRA FRLSH 1X1.5 GN 180)</v>
          </cell>
          <cell r="C4694" t="str">
            <v>LAPP</v>
          </cell>
          <cell r="D4694" t="str">
            <v>Lapp Infra</v>
          </cell>
        </row>
        <row r="4695">
          <cell r="A4695" t="str">
            <v>8220121090 (ÖLFLEX® INFRA FRLSH 1X1.5 GN 90)</v>
          </cell>
          <cell r="B4695" t="str">
            <v>8220121090(ÖLFLEX® INFRA FRLSH 1X1.5 GN 90)</v>
          </cell>
          <cell r="C4695" t="str">
            <v>LAPP</v>
          </cell>
          <cell r="D4695" t="str">
            <v>Lapp Infra</v>
          </cell>
        </row>
        <row r="4696">
          <cell r="A4696" t="str">
            <v>8220061180_x000D_
 (ÖLFLEX® INFRA FRLSH 1X1.5 GY 180)</v>
          </cell>
          <cell r="B4696" t="str">
            <v>8220061180_x000D_
(ÖLFLEX® INFRA FRLSH 1X1.5 GY 180)</v>
          </cell>
          <cell r="C4696" t="str">
            <v>LAPP</v>
          </cell>
          <cell r="D4696" t="str">
            <v>Lapp Infra</v>
          </cell>
        </row>
        <row r="4697">
          <cell r="A4697" t="str">
            <v>8220061090 (ÖLFLEX® INFRA FRLSH 1X1.5 GY 90)</v>
          </cell>
          <cell r="B4697" t="str">
            <v>8220061090(ÖLFLEX® INFRA FRLSH 1X1.5 GY 90)</v>
          </cell>
          <cell r="C4697" t="str">
            <v>LAPP</v>
          </cell>
          <cell r="D4697" t="str">
            <v>Lapp Infra</v>
          </cell>
        </row>
        <row r="4698">
          <cell r="A4698" t="str">
            <v>8220041180 (ÖLFLEX® INFRA FRLSH 1X1.5 RD 180)</v>
          </cell>
          <cell r="B4698" t="str">
            <v>8220041180(ÖLFLEX® INFRA FRLSH 1X1.5 RD 180)</v>
          </cell>
          <cell r="C4698" t="str">
            <v>LAPP</v>
          </cell>
          <cell r="D4698" t="str">
            <v>Lapp Infra</v>
          </cell>
        </row>
        <row r="4699">
          <cell r="A4699" t="str">
            <v>8220041090 (ÖLFLEX® INFRA FRLSH 1X1.5 RD 90)</v>
          </cell>
          <cell r="B4699" t="str">
            <v>8220041090(ÖLFLEX® INFRA FRLSH 1X1.5 RD 90)</v>
          </cell>
          <cell r="C4699" t="str">
            <v>LAPP</v>
          </cell>
          <cell r="D4699" t="str">
            <v>Lapp Infra</v>
          </cell>
        </row>
        <row r="4700">
          <cell r="A4700" t="str">
            <v>8220051180_x000D_
 (ÖLFLEX® INFRA FRLSH 1X1.5 WH 180)</v>
          </cell>
          <cell r="B4700" t="str">
            <v>8220051180_x000D_
(ÖLFLEX® INFRA FRLSH 1X1.5 WH 180)</v>
          </cell>
          <cell r="C4700" t="str">
            <v>LAPP</v>
          </cell>
          <cell r="D4700" t="str">
            <v>Lapp Infra</v>
          </cell>
        </row>
        <row r="4701">
          <cell r="A4701" t="str">
            <v>8220051090 (ÖLFLEX® INFRA FRLSH 1X1.5 WH 90)</v>
          </cell>
          <cell r="B4701" t="str">
            <v>8220051090(ÖLFLEX® INFRA FRLSH 1X1.5 WH 90)</v>
          </cell>
          <cell r="C4701" t="str">
            <v>LAPP</v>
          </cell>
          <cell r="D4701" t="str">
            <v>Lapp Infra</v>
          </cell>
        </row>
        <row r="4702">
          <cell r="A4702" t="str">
            <v>8220111180 (ÖLFLEX® INFRA FRLSH 1X1.5 YE 180)</v>
          </cell>
          <cell r="B4702" t="str">
            <v>8220111180(ÖLFLEX® INFRA FRLSH 1X1.5 YE 180)</v>
          </cell>
          <cell r="C4702" t="str">
            <v>LAPP</v>
          </cell>
          <cell r="D4702" t="str">
            <v>Lapp Infra</v>
          </cell>
        </row>
        <row r="4703">
          <cell r="A4703" t="str">
            <v>8220111090 (ÖLFLEX® INFRA FRLSH 1X1.5 YE 90)</v>
          </cell>
          <cell r="B4703" t="str">
            <v>8220111090(ÖLFLEX® INFRA FRLSH 1X1.5 YE 90)</v>
          </cell>
          <cell r="C4703" t="str">
            <v>LAPP</v>
          </cell>
          <cell r="D4703" t="str">
            <v>Lapp Infra</v>
          </cell>
        </row>
        <row r="4704">
          <cell r="A4704" t="str">
            <v>8210013180 (ÖLFLEX® INFRA FRLSH 1X1 BK 180)</v>
          </cell>
          <cell r="B4704" t="str">
            <v>8210013180(ÖLFLEX® INFRA FRLSH 1X1 BK 180)</v>
          </cell>
          <cell r="C4704" t="str">
            <v>LAPP</v>
          </cell>
          <cell r="D4704" t="str">
            <v>Lapp Infra</v>
          </cell>
        </row>
        <row r="4705">
          <cell r="A4705" t="str">
            <v>8210013090 (ÖLFLEX® INFRA FRLSH 1X1 BK 90)</v>
          </cell>
          <cell r="B4705" t="str">
            <v>8210013090(ÖLFLEX® INFRA FRLSH 1X1 BK 90)</v>
          </cell>
          <cell r="C4705" t="str">
            <v>LAPP</v>
          </cell>
          <cell r="D4705" t="str">
            <v>Lapp Infra</v>
          </cell>
        </row>
        <row r="4706">
          <cell r="A4706" t="str">
            <v>8210023180 (ÖLFLEX® INFRA FRLSH 1X1 BU 180)</v>
          </cell>
          <cell r="B4706" t="str">
            <v>8210023180(ÖLFLEX® INFRA FRLSH 1X1 BU 180)</v>
          </cell>
          <cell r="C4706" t="str">
            <v>LAPP</v>
          </cell>
          <cell r="D4706" t="str">
            <v>Lapp Infra</v>
          </cell>
        </row>
        <row r="4707">
          <cell r="A4707" t="str">
            <v>8210023090 (ÖLFLEX® INFRA FRLSH 1X1 BU 90)</v>
          </cell>
          <cell r="B4707" t="str">
            <v>8210023090(ÖLFLEX® INFRA FRLSH 1X1 BU 90)</v>
          </cell>
          <cell r="C4707" t="str">
            <v>LAPP</v>
          </cell>
          <cell r="D4707" t="str">
            <v>Lapp Infra</v>
          </cell>
        </row>
        <row r="4708">
          <cell r="A4708" t="str">
            <v>8210123180 (ÖLFLEX® INFRA FRLSH 1X1 GN 180)</v>
          </cell>
          <cell r="B4708" t="str">
            <v>8210123180(ÖLFLEX® INFRA FRLSH 1X1 GN 180)</v>
          </cell>
          <cell r="C4708" t="str">
            <v>LAPP</v>
          </cell>
          <cell r="D4708" t="str">
            <v>Lapp Infra</v>
          </cell>
        </row>
        <row r="4709">
          <cell r="A4709" t="str">
            <v>8210123090 (ÖLFLEX® INFRA FRLSH 1X1 GN 90)</v>
          </cell>
          <cell r="B4709" t="str">
            <v>8210123090(ÖLFLEX® INFRA FRLSH 1X1 GN 90)</v>
          </cell>
          <cell r="C4709" t="str">
            <v>LAPP</v>
          </cell>
          <cell r="D4709" t="str">
            <v>Lapp Infra</v>
          </cell>
        </row>
        <row r="4710">
          <cell r="A4710" t="str">
            <v>8210003180 (ÖLFLEX® INFRA FRLSH 1X1 GNYE 180)</v>
          </cell>
          <cell r="B4710" t="str">
            <v>8210003180(ÖLFLEX® INFRA FRLSH 1X1 GNYE 180)</v>
          </cell>
          <cell r="C4710" t="str">
            <v>LAPP</v>
          </cell>
          <cell r="D4710" t="str">
            <v>Lapp Infra</v>
          </cell>
        </row>
        <row r="4711">
          <cell r="A4711" t="str">
            <v>8210003090 (ÖLFLEX® INFRA FRLSH 1X1 GNYE 90)</v>
          </cell>
          <cell r="B4711" t="str">
            <v>8210003090(ÖLFLEX® INFRA FRLSH 1X1 GNYE 90)</v>
          </cell>
          <cell r="C4711" t="str">
            <v>LAPP</v>
          </cell>
          <cell r="D4711" t="str">
            <v>Lapp Infra</v>
          </cell>
        </row>
        <row r="4712">
          <cell r="A4712" t="str">
            <v>8210063180 (ÖLFLEX® INFRA FRLSH 1X1 GY 180)</v>
          </cell>
          <cell r="B4712" t="str">
            <v>8210063180(ÖLFLEX® INFRA FRLSH 1X1 GY 180)</v>
          </cell>
          <cell r="C4712" t="str">
            <v>LAPP</v>
          </cell>
          <cell r="D4712" t="str">
            <v>Lapp Infra</v>
          </cell>
        </row>
        <row r="4713">
          <cell r="A4713" t="str">
            <v>8210063090 (ÖLFLEX® INFRA FRLSH 1X1 GY 90)</v>
          </cell>
          <cell r="B4713" t="str">
            <v>8210063090(ÖLFLEX® INFRA FRLSH 1X1 GY 90)</v>
          </cell>
          <cell r="C4713" t="str">
            <v>LAPP</v>
          </cell>
          <cell r="D4713" t="str">
            <v>Lapp Infra</v>
          </cell>
        </row>
        <row r="4714">
          <cell r="A4714" t="str">
            <v>8210043180 (ÖLFLEX® INFRA FRLSH 1X1 RD 180)</v>
          </cell>
          <cell r="B4714" t="str">
            <v>8210043180(ÖLFLEX® INFRA FRLSH 1X1 RD 180)</v>
          </cell>
          <cell r="C4714" t="str">
            <v>LAPP</v>
          </cell>
          <cell r="D4714" t="str">
            <v>Lapp Infra</v>
          </cell>
        </row>
        <row r="4715">
          <cell r="A4715" t="str">
            <v>8210043090 (ÖLFLEX® INFRA FRLSH 1X1 RD 90)</v>
          </cell>
          <cell r="B4715" t="str">
            <v>8210043090(ÖLFLEX® INFRA FRLSH 1X1 RD 90)</v>
          </cell>
          <cell r="C4715" t="str">
            <v>LAPP</v>
          </cell>
          <cell r="D4715" t="str">
            <v>Lapp Infra</v>
          </cell>
        </row>
        <row r="4716">
          <cell r="A4716" t="str">
            <v>8210053180 (ÖLFLEX® INFRA FRLSH 1X1 WH 180)</v>
          </cell>
          <cell r="B4716" t="str">
            <v>8210053180(ÖLFLEX® INFRA FRLSH 1X1 WH 180)</v>
          </cell>
          <cell r="C4716" t="str">
            <v>LAPP</v>
          </cell>
          <cell r="D4716" t="str">
            <v>Lapp Infra</v>
          </cell>
        </row>
        <row r="4717">
          <cell r="A4717" t="str">
            <v>8210053090 (ÖLFLEX® INFRA FRLSH 1X1 WH 90)</v>
          </cell>
          <cell r="B4717" t="str">
            <v>8210053090(ÖLFLEX® INFRA FRLSH 1X1 WH 90)</v>
          </cell>
          <cell r="C4717" t="str">
            <v>LAPP</v>
          </cell>
          <cell r="D4717" t="str">
            <v>Lapp Infra</v>
          </cell>
        </row>
        <row r="4718">
          <cell r="A4718" t="str">
            <v>8210113180 (ÖLFLEX® INFRA FRLSH 1X1 YE 180)</v>
          </cell>
          <cell r="B4718" t="str">
            <v>8210113180(ÖLFLEX® INFRA FRLSH 1X1 YE 180)</v>
          </cell>
          <cell r="C4718" t="str">
            <v>LAPP</v>
          </cell>
          <cell r="D4718" t="str">
            <v>Lapp Infra</v>
          </cell>
        </row>
        <row r="4719">
          <cell r="A4719" t="str">
            <v>8210113090 _x000D_
 (ÖLFLEX® INFRA FRLSH 1X1 YE 90)</v>
          </cell>
          <cell r="B4719" t="str">
            <v>8210113090 _x000D_
(ÖLFLEX® INFRA FRLSH 1X1 YE 90)</v>
          </cell>
          <cell r="C4719" t="str">
            <v>LAPP</v>
          </cell>
          <cell r="D4719" t="str">
            <v>Lapp Infra</v>
          </cell>
        </row>
        <row r="4720">
          <cell r="A4720" t="str">
            <v>8220012180 (ÖLFLEX® INFRA FRLSH 1X2.5 BK 180)</v>
          </cell>
          <cell r="B4720" t="str">
            <v>8220012180(ÖLFLEX® INFRA FRLSH 1X2.5 BK 180)</v>
          </cell>
          <cell r="C4720" t="str">
            <v>LAPP</v>
          </cell>
          <cell r="D4720" t="str">
            <v>Lapp Infra</v>
          </cell>
        </row>
        <row r="4721">
          <cell r="A4721" t="str">
            <v>8220012090 (ÖLFLEX® INFRA FRLSH 1X2.5 BK 90)</v>
          </cell>
          <cell r="B4721" t="str">
            <v>8220012090(ÖLFLEX® INFRA FRLSH 1X2.5 BK 90)</v>
          </cell>
          <cell r="C4721" t="str">
            <v>LAPP</v>
          </cell>
          <cell r="D4721" t="str">
            <v>Lapp Infra</v>
          </cell>
        </row>
        <row r="4722">
          <cell r="A4722" t="str">
            <v>8220022180 (ÖLFLEX® INFRA FRLSH 1X2.5 BU 180)</v>
          </cell>
          <cell r="B4722" t="str">
            <v>8220022180(ÖLFLEX® INFRA FRLSH 1X2.5 BU 180)</v>
          </cell>
          <cell r="C4722" t="str">
            <v>LAPP</v>
          </cell>
          <cell r="D4722" t="str">
            <v>Lapp Infra</v>
          </cell>
        </row>
        <row r="4723">
          <cell r="A4723" t="str">
            <v>8220022090 (ÖLFLEX® INFRA FRLSH 1X2.5 BU 90)</v>
          </cell>
          <cell r="B4723" t="str">
            <v>8220022090(ÖLFLEX® INFRA FRLSH 1X2.5 BU 90)</v>
          </cell>
          <cell r="C4723" t="str">
            <v>LAPP</v>
          </cell>
          <cell r="D4723" t="str">
            <v>Lapp Infra</v>
          </cell>
        </row>
        <row r="4724">
          <cell r="A4724" t="str">
            <v>8220122180 (ÖLFLEX® INFRA FRLSH 1X2.5 GN 180)</v>
          </cell>
          <cell r="B4724" t="str">
            <v>8220122180(ÖLFLEX® INFRA FRLSH 1X2.5 GN 180)</v>
          </cell>
          <cell r="C4724" t="str">
            <v>LAPP</v>
          </cell>
          <cell r="D4724" t="str">
            <v>Lapp Infra</v>
          </cell>
        </row>
        <row r="4725">
          <cell r="A4725" t="str">
            <v>8220122090 (ÖLFLEX® INFRA FRLSH 1X2.5 GN 90)</v>
          </cell>
          <cell r="B4725" t="str">
            <v>8220122090(ÖLFLEX® INFRA FRLSH 1X2.5 GN 90)</v>
          </cell>
          <cell r="C4725" t="str">
            <v>LAPP</v>
          </cell>
          <cell r="D4725" t="str">
            <v>Lapp Infra</v>
          </cell>
        </row>
        <row r="4726">
          <cell r="A4726" t="str">
            <v>8220062180 (ÖLFLEX® INFRA FRLSH 1X2.5 GY 180)</v>
          </cell>
          <cell r="B4726" t="str">
            <v>8220062180(ÖLFLEX® INFRA FRLSH 1X2.5 GY 180)</v>
          </cell>
          <cell r="C4726" t="str">
            <v>LAPP</v>
          </cell>
          <cell r="D4726" t="str">
            <v>Lapp Infra</v>
          </cell>
        </row>
        <row r="4727">
          <cell r="A4727" t="str">
            <v>8220042180 (ÖLFLEX® INFRA FRLSH 1X2.5 RD 180)</v>
          </cell>
          <cell r="B4727" t="str">
            <v>8220042180(ÖLFLEX® INFRA FRLSH 1X2.5 RD 180)</v>
          </cell>
          <cell r="C4727" t="str">
            <v>LAPP</v>
          </cell>
          <cell r="D4727" t="str">
            <v>Lapp Infra</v>
          </cell>
        </row>
        <row r="4728">
          <cell r="A4728" t="str">
            <v>8220042090 (ÖLFLEX® INFRA FRLSH 1X2.5 RD 90)</v>
          </cell>
          <cell r="B4728" t="str">
            <v>8220042090(ÖLFLEX® INFRA FRLSH 1X2.5 RD 90)</v>
          </cell>
          <cell r="C4728" t="str">
            <v>LAPP</v>
          </cell>
          <cell r="D4728" t="str">
            <v>Lapp Infra</v>
          </cell>
        </row>
        <row r="4729">
          <cell r="A4729" t="str">
            <v>8220052180 (ÖLFLEX® INFRA FRLSH 1X2.5 WH 180)</v>
          </cell>
          <cell r="B4729" t="str">
            <v>8220052180(ÖLFLEX® INFRA FRLSH 1X2.5 WH 180)</v>
          </cell>
          <cell r="C4729" t="str">
            <v>LAPP</v>
          </cell>
          <cell r="D4729" t="str">
            <v>Lapp Infra</v>
          </cell>
        </row>
        <row r="4730">
          <cell r="A4730" t="str">
            <v>8220112180 (ÖLFLEX® INFRA FRLSH 1X2.5 YE 180)</v>
          </cell>
          <cell r="B4730" t="str">
            <v>8220112180(ÖLFLEX® INFRA FRLSH 1X2.5 YE 180)</v>
          </cell>
          <cell r="C4730" t="str">
            <v>LAPP</v>
          </cell>
          <cell r="D4730" t="str">
            <v>Lapp Infra</v>
          </cell>
        </row>
        <row r="4731">
          <cell r="A4731" t="str">
            <v>8220112090 (ÖLFLEX® INFRA FRLSH 1X2.5 YE 90)</v>
          </cell>
          <cell r="B4731" t="str">
            <v>8220112090(ÖLFLEX® INFRA FRLSH 1X2.5 YE 90)</v>
          </cell>
          <cell r="C4731" t="str">
            <v>LAPP</v>
          </cell>
          <cell r="D4731" t="str">
            <v>Lapp Infra</v>
          </cell>
        </row>
        <row r="4732">
          <cell r="A4732" t="str">
            <v>8220013180 (ÖLFLEX® INFRA FRLSH 1X4 BK 180)</v>
          </cell>
          <cell r="B4732" t="str">
            <v>8220013180(ÖLFLEX® INFRA FRLSH 1X4 BK 180)</v>
          </cell>
          <cell r="C4732" t="str">
            <v>LAPP</v>
          </cell>
          <cell r="D4732" t="str">
            <v>Lapp Infra</v>
          </cell>
        </row>
        <row r="4733">
          <cell r="A4733" t="str">
            <v>8220013090 (ÖLFLEX® INFRA FRLSH 1X4 BK 90)</v>
          </cell>
          <cell r="B4733" t="str">
            <v>8220013090(ÖLFLEX® INFRA FRLSH 1X4 BK 90)</v>
          </cell>
          <cell r="C4733" t="str">
            <v>LAPP</v>
          </cell>
          <cell r="D4733" t="str">
            <v>Lapp Infra</v>
          </cell>
        </row>
        <row r="4734">
          <cell r="A4734" t="str">
            <v>8220023180 (ÖLFLEX® INFRA FRLSH 1X4 BU 180)</v>
          </cell>
          <cell r="B4734" t="str">
            <v>8220023180(ÖLFLEX® INFRA FRLSH 1X4 BU 180)</v>
          </cell>
          <cell r="C4734" t="str">
            <v>LAPP</v>
          </cell>
          <cell r="D4734" t="str">
            <v>Lapp Infra</v>
          </cell>
        </row>
        <row r="4735">
          <cell r="A4735" t="str">
            <v>8220023090 (ÖLFLEX® INFRA FRLSH 1X4 BU 90)</v>
          </cell>
          <cell r="B4735" t="str">
            <v>8220023090(ÖLFLEX® INFRA FRLSH 1X4 BU 90)</v>
          </cell>
          <cell r="C4735" t="str">
            <v>LAPP</v>
          </cell>
          <cell r="D4735" t="str">
            <v>Lapp Infra</v>
          </cell>
        </row>
        <row r="4736">
          <cell r="A4736" t="str">
            <v>8220123180_x000D_
 (ÖLFLEX® INFRA FRLSH 1X4 GN 180)</v>
          </cell>
          <cell r="B4736" t="str">
            <v>8220123180 (ÖLFLEX® INFRA FRLSH 1X4 GN 180)</v>
          </cell>
          <cell r="C4736" t="str">
            <v>LAPP</v>
          </cell>
          <cell r="D4736" t="str">
            <v>Lapp Infra</v>
          </cell>
        </row>
        <row r="4737">
          <cell r="A4737" t="str">
            <v>8220123090 (ÖLFLEX® INFRA FRLSH 1X4 GN 90)</v>
          </cell>
          <cell r="B4737" t="str">
            <v>8220123090(ÖLFLEX® INFRA FRLSH 1X4 GN 90)</v>
          </cell>
          <cell r="C4737" t="str">
            <v>LAPP</v>
          </cell>
          <cell r="D4737" t="str">
            <v>Lapp Infra</v>
          </cell>
        </row>
        <row r="4738">
          <cell r="A4738" t="str">
            <v>8220063090 (ÖLFLEX® INFRA FRLSH 1X4 GY 90)</v>
          </cell>
          <cell r="B4738" t="str">
            <v>8220063090(ÖLFLEX® INFRA FRLSH 1X4 GY 90)</v>
          </cell>
          <cell r="C4738" t="str">
            <v>LAPP</v>
          </cell>
          <cell r="D4738" t="str">
            <v>Lapp Infra</v>
          </cell>
        </row>
        <row r="4739">
          <cell r="A4739" t="str">
            <v>8220043180 (ÖLFLEX® INFRA FRLSH 1X4 RD 180)</v>
          </cell>
          <cell r="B4739" t="str">
            <v>8220043180(ÖLFLEX® INFRA FRLSH 1X4 RD 180)</v>
          </cell>
          <cell r="C4739" t="str">
            <v>LAPP</v>
          </cell>
          <cell r="D4739" t="str">
            <v>Lapp Infra</v>
          </cell>
        </row>
        <row r="4740">
          <cell r="A4740" t="str">
            <v>8220043090 (ÖLFLEX® INFRA FRLSH 1X4 RD 90)</v>
          </cell>
          <cell r="B4740" t="str">
            <v>8220043090(ÖLFLEX® INFRA FRLSH 1X4 RD 90)</v>
          </cell>
          <cell r="C4740" t="str">
            <v>LAPP</v>
          </cell>
          <cell r="D4740" t="str">
            <v>Lapp Infra</v>
          </cell>
        </row>
        <row r="4741">
          <cell r="A4741" t="str">
            <v>8220113180 (ÖLFLEX® INFRA FRLSH 1X4 YE 180)</v>
          </cell>
          <cell r="B4741" t="str">
            <v>8220113180(ÖLFLEX® INFRA FRLSH 1X4 YE 180)</v>
          </cell>
          <cell r="C4741" t="str">
            <v>LAPP</v>
          </cell>
          <cell r="D4741" t="str">
            <v>Lapp Infra</v>
          </cell>
        </row>
        <row r="4742">
          <cell r="A4742" t="str">
            <v>8220113090 (ÖLFLEX® INFRA FRLSH 1X4 YE 90)</v>
          </cell>
          <cell r="B4742" t="str">
            <v>8220113090(ÖLFLEX® INFRA FRLSH 1X4 YE 90)</v>
          </cell>
          <cell r="C4742" t="str">
            <v>LAPP</v>
          </cell>
          <cell r="D4742" t="str">
            <v>Lapp Infra</v>
          </cell>
        </row>
        <row r="4743">
          <cell r="A4743" t="str">
            <v>8220014180 (ÖLFLEX® INFRA FRLSH 1X6 BK 180)</v>
          </cell>
          <cell r="B4743" t="str">
            <v>8220014180(ÖLFLEX® INFRA FRLSH 1X6 BK 180)</v>
          </cell>
          <cell r="C4743" t="str">
            <v>LAPP</v>
          </cell>
          <cell r="D4743" t="str">
            <v>Lapp Infra</v>
          </cell>
        </row>
        <row r="4744">
          <cell r="A4744" t="str">
            <v>8220014090 (ÖLFLEX® INFRA FRLSH 1X6 BK 90)</v>
          </cell>
          <cell r="B4744" t="str">
            <v>8220014090(ÖLFLEX® INFRA FRLSH 1X6 BK 90)</v>
          </cell>
          <cell r="C4744" t="str">
            <v>LAPP</v>
          </cell>
          <cell r="D4744" t="str">
            <v>Lapp Infra</v>
          </cell>
        </row>
        <row r="4745">
          <cell r="A4745" t="str">
            <v>8220024180 (ÖLFLEX® INFRA FRLSH 1X6 BU 180)</v>
          </cell>
          <cell r="B4745" t="str">
            <v>8220024180(ÖLFLEX® INFRA FRLSH 1X6 BU 180)</v>
          </cell>
          <cell r="C4745" t="str">
            <v>LAPP</v>
          </cell>
          <cell r="D4745" t="str">
            <v>Lapp Infra</v>
          </cell>
        </row>
        <row r="4746">
          <cell r="A4746" t="str">
            <v>8220024090 (ÖLFLEX® INFRA FRLSH 1X6 BU 90)</v>
          </cell>
          <cell r="B4746" t="str">
            <v>8220024090(ÖLFLEX® INFRA FRLSH 1X6 BU 90)</v>
          </cell>
          <cell r="C4746" t="str">
            <v>LAPP</v>
          </cell>
          <cell r="D4746" t="str">
            <v>Lapp Infra</v>
          </cell>
        </row>
        <row r="4747">
          <cell r="A4747" t="str">
            <v>8220124180 (ÖLFLEX® INFRA FRLSH 1X6 GN 180)</v>
          </cell>
          <cell r="B4747" t="str">
            <v>8220124180(ÖLFLEX® INFRA FRLSH 1X6 GN 180)</v>
          </cell>
          <cell r="C4747" t="str">
            <v>LAPP</v>
          </cell>
          <cell r="D4747" t="str">
            <v>Lapp Infra</v>
          </cell>
        </row>
        <row r="4748">
          <cell r="A4748" t="str">
            <v>8220124090 (ÖLFLEX® INFRA FRLSH 1X6 GN 90)</v>
          </cell>
          <cell r="B4748" t="str">
            <v>8220124090(ÖLFLEX® INFRA FRLSH 1X6 GN 90)</v>
          </cell>
          <cell r="C4748" t="str">
            <v>LAPP</v>
          </cell>
          <cell r="D4748" t="str">
            <v>Lapp Infra</v>
          </cell>
        </row>
        <row r="4749">
          <cell r="A4749" t="str">
            <v>8220044180 (ÖLFLEX® INFRA FRLSH 1X6 RD 180)</v>
          </cell>
          <cell r="B4749" t="str">
            <v>8220044180(ÖLFLEX® INFRA FRLSH 1X6 RD 180)</v>
          </cell>
          <cell r="C4749" t="str">
            <v>LAPP</v>
          </cell>
          <cell r="D4749" t="str">
            <v>Lapp Infra</v>
          </cell>
        </row>
        <row r="4750">
          <cell r="A4750" t="str">
            <v>8220044090 (ÖLFLEX® INFRA FRLSH 1X6 RD 90)</v>
          </cell>
          <cell r="B4750" t="str">
            <v>8220044090(ÖLFLEX® INFRA FRLSH 1X6 RD 90)</v>
          </cell>
          <cell r="C4750" t="str">
            <v>LAPP</v>
          </cell>
          <cell r="D4750" t="str">
            <v>Lapp Infra</v>
          </cell>
        </row>
        <row r="4751">
          <cell r="A4751" t="str">
            <v>8220054180 (ÖLFLEX® INFRA FRLSH 1X6 WH 180)</v>
          </cell>
          <cell r="B4751" t="str">
            <v>8220054180(ÖLFLEX® INFRA FRLSH 1X6 WH 180)</v>
          </cell>
          <cell r="C4751" t="str">
            <v>LAPP</v>
          </cell>
          <cell r="D4751" t="str">
            <v>Lapp Infra</v>
          </cell>
        </row>
        <row r="4752">
          <cell r="A4752" t="str">
            <v>8220114180 (ÖLFLEX® INFRA FRLSH 1X6 YE 180)</v>
          </cell>
          <cell r="B4752" t="str">
            <v>8220114180(ÖLFLEX® INFRA FRLSH 1X6 YE 180)</v>
          </cell>
          <cell r="C4752" t="str">
            <v>LAPP</v>
          </cell>
          <cell r="D4752" t="str">
            <v>Lapp Infra</v>
          </cell>
        </row>
        <row r="4753">
          <cell r="A4753" t="str">
            <v>8220114090 (ÖLFLEX® INFRA FRLSH 1X6 YE 90)</v>
          </cell>
          <cell r="B4753" t="str">
            <v>8220114090(ÖLFLEX® INFRA FRLSH 1X6 YE 90)</v>
          </cell>
          <cell r="C4753" t="str">
            <v>LAPP</v>
          </cell>
          <cell r="D4753" t="str">
            <v>Lapp Infra</v>
          </cell>
        </row>
        <row r="4754">
          <cell r="A4754" t="str">
            <v>8410003180_x000D_
 (ÖLFLEX® INFRA HFFR 1X1 GNYE_x000D_
)</v>
          </cell>
          <cell r="B4754" t="str">
            <v>8410003180_x000D_
(ÖLFLEX® INFRA HFFR 1X1 GNYE_x000D_
)</v>
          </cell>
          <cell r="C4754" t="str">
            <v>LAPP</v>
          </cell>
          <cell r="D4754" t="str">
            <v>Lapp Infra</v>
          </cell>
        </row>
        <row r="4755">
          <cell r="A4755" t="str">
            <v>8420003180 (ÖLFLEX® INFRA HFFR 1X4GNYE)</v>
          </cell>
          <cell r="B4755" t="str">
            <v>8420003180(ÖLFLEX® INFRA HFFR 1X4GNYE)</v>
          </cell>
          <cell r="C4755" t="str">
            <v>LAPP</v>
          </cell>
          <cell r="D4755" t="str">
            <v>Lapp Infra</v>
          </cell>
        </row>
        <row r="4756">
          <cell r="A4756" t="str">
            <v>3821002052 (ÖLFLEX® INFRA HFFR Z 1 x 2.5 BU)</v>
          </cell>
          <cell r="B4756" t="str">
            <v>3821002052(ÖLFLEX® INFRA HFFR Z 1 x 2.5 BU)</v>
          </cell>
          <cell r="C4756" t="str">
            <v>LAPP</v>
          </cell>
          <cell r="D4756" t="str">
            <v>Lapp Infra</v>
          </cell>
        </row>
        <row r="4757">
          <cell r="A4757" t="str">
            <v>8253000742 (ÖLFLEX® INFRA MC FR-LSH 3G2.5-BK-500)</v>
          </cell>
          <cell r="B4757" t="str">
            <v>8253000742(ÖLFLEX® INFRA MC FR-LSH 3G2.5-BK-500)</v>
          </cell>
          <cell r="C4757" t="str">
            <v>LAPP</v>
          </cell>
          <cell r="D4757" t="str">
            <v>Lapp Infra</v>
          </cell>
        </row>
        <row r="4758">
          <cell r="A4758" t="str">
            <v>8253000731 (ÖLFLEX® INFRA MC FR-LSH 3G2.5-GY-100)</v>
          </cell>
          <cell r="B4758" t="str">
            <v>8253000731(ÖLFLEX® INFRA MC FR-LSH 3G2.5-GY-100)</v>
          </cell>
          <cell r="C4758" t="str">
            <v>LAPP</v>
          </cell>
          <cell r="D4758" t="str">
            <v>Lapp Infra</v>
          </cell>
        </row>
        <row r="4759">
          <cell r="A4759" t="str">
            <v>8253000952 (ÖLFLEX® INFRA MC FR-LSH 3G4.0-BK-500)</v>
          </cell>
          <cell r="B4759" t="str">
            <v>8253000952(ÖLFLEX® INFRA MC FR-LSH 3G4.0-BK-500)</v>
          </cell>
          <cell r="C4759" t="str">
            <v>LAPP</v>
          </cell>
          <cell r="D4759" t="str">
            <v>Lapp Infra</v>
          </cell>
        </row>
        <row r="4760">
          <cell r="A4760" t="str">
            <v>8253000712 (ÖLFLEX® INFRA MC FR-LSH 3x2.5-BK-500)</v>
          </cell>
          <cell r="B4760" t="str">
            <v>8253000712(ÖLFLEX® INFRA MC FR-LSH 3x2.5-BK-500)</v>
          </cell>
          <cell r="C4760" t="str">
            <v>LAPP</v>
          </cell>
          <cell r="D4760" t="str">
            <v>Lapp Infra</v>
          </cell>
        </row>
        <row r="4761">
          <cell r="A4761" t="str">
            <v>8253000922 (ÖLFLEX® INFRA MC FR-LSH 3x4.0-BK-500)</v>
          </cell>
          <cell r="B4761" t="str">
            <v>8253000922(ÖLFLEX® INFRA MC FR-LSH 3x4.0-BK-500)</v>
          </cell>
          <cell r="C4761" t="str">
            <v>LAPP</v>
          </cell>
          <cell r="D4761" t="str">
            <v>Lapp Infra</v>
          </cell>
        </row>
        <row r="4762">
          <cell r="A4762" t="str">
            <v>8253001372 (ÖLFLEX®INFRA MC FR-LSH 4G10.0-BK-500 10)</v>
          </cell>
          <cell r="B4762" t="str">
            <v>8253001372(ÖLFLEX®INFRA MC FR-LSH 4G10.0-BK-500 10)</v>
          </cell>
          <cell r="C4762" t="str">
            <v>LAPP</v>
          </cell>
          <cell r="D4762" t="str">
            <v>Lapp Infra</v>
          </cell>
        </row>
        <row r="4763">
          <cell r="A4763" t="str">
            <v>8253001362 (ÖLFLEX® INFRA MC FR-LSH 4G10.0-GY-500)</v>
          </cell>
          <cell r="B4763" t="str">
            <v>8253001362(ÖLFLEX® INFRA MC FR-LSH 4G10.0-GY-500)</v>
          </cell>
          <cell r="C4763" t="str">
            <v>LAPP</v>
          </cell>
          <cell r="D4763" t="str">
            <v>Lapp Infra</v>
          </cell>
        </row>
        <row r="4764">
          <cell r="A4764" t="str">
            <v>55506475_x000D_
 ("SILVYN FPAG-M 63/2x1,5 BLACK"_x000D_
)</v>
          </cell>
          <cell r="B4764" t="str">
            <v>55506475_x000D_
("SILVYN FPAG-M 63/2x1,5 BLACK"_x000D_
)</v>
          </cell>
          <cell r="C4764" t="str">
            <v>LAPP</v>
          </cell>
          <cell r="D4764" t="str">
            <v>Lapp-Kennametal</v>
          </cell>
        </row>
        <row r="4765">
          <cell r="A4765" t="str">
            <v>55506685 (SILVYN FPAG PG 36 BK)</v>
          </cell>
          <cell r="B4765" t="str">
            <v>55506685(SILVYN FPAG PG 36 BK)</v>
          </cell>
          <cell r="C4765" t="str">
            <v>LAPP</v>
          </cell>
          <cell r="D4765" t="str">
            <v>Lapp-Kennametal</v>
          </cell>
        </row>
        <row r="4766">
          <cell r="A4766" t="str">
            <v>55506695 (SILVYN FPAG PG 48/1 BK)</v>
          </cell>
          <cell r="B4766" t="str">
            <v>55506695(SILVYN FPAG PG 48/1 BK)</v>
          </cell>
          <cell r="C4766" t="str">
            <v>LAPP</v>
          </cell>
          <cell r="D4766" t="str">
            <v>Lapp-Kennametal</v>
          </cell>
        </row>
        <row r="4767">
          <cell r="A4767" t="str">
            <v>61754305_x000D_
 (SILVYN FPAS 67 BK_x000D_
)</v>
          </cell>
          <cell r="B4767" t="str">
            <v>61754305_x000D_
(SILVYN FPAS 67 BK_x000D_
)</v>
          </cell>
          <cell r="C4767" t="str">
            <v>LAPP</v>
          </cell>
          <cell r="D4767" t="str">
            <v>Lapp-Kennametal</v>
          </cell>
        </row>
        <row r="4768">
          <cell r="A4768" t="str">
            <v>61800625_x000D_
 (SILVYN KLICK-GP IP66 PG 11 BK_x000D_
)</v>
          </cell>
          <cell r="B4768" t="str">
            <v>61800625_x000D_
(SILVYN KLICK-GP IP66 PG 11 BK_x000D_
)</v>
          </cell>
          <cell r="C4768" t="str">
            <v>LAPP</v>
          </cell>
          <cell r="D4768" t="str">
            <v>Lapp-Kennametal</v>
          </cell>
        </row>
        <row r="4769">
          <cell r="A4769" t="str">
            <v>61800635_x000D_
 (SILVYN KLICK-GP IP66 PG 16 BK_x000D_
)</v>
          </cell>
          <cell r="B4769" t="str">
            <v>61800635_x000D_
(SILVYN KLICK-GP IP66 PG 16 BK_x000D_
)</v>
          </cell>
          <cell r="C4769" t="str">
            <v>LAPP</v>
          </cell>
          <cell r="D4769" t="str">
            <v>Lapp-Kennametal</v>
          </cell>
        </row>
        <row r="4770">
          <cell r="A4770" t="str">
            <v>61800645_x000D_
 (SILVYN KLICK-GP IP66 PG 21 BK_x000D_
)</v>
          </cell>
          <cell r="B4770" t="str">
            <v>61800645_x000D_
(SILVYN KLICK-GP IP66 PG 21 BK_x000D_
)</v>
          </cell>
          <cell r="C4770" t="str">
            <v>LAPP</v>
          </cell>
          <cell r="D4770" t="str">
            <v>Lapp-Kennametal</v>
          </cell>
        </row>
        <row r="4771">
          <cell r="A4771" t="str">
            <v>61800605_x000D_
 (SILVYN KLICK-GP IP66 PG 7 BK_x000D_
)</v>
          </cell>
          <cell r="B4771" t="str">
            <v>61800605_x000D_
(SILVYN KLICK-GP IP66 PG 7 BK_x000D_
)</v>
          </cell>
          <cell r="C4771" t="str">
            <v>LAPP</v>
          </cell>
          <cell r="D4771" t="str">
            <v>Lapp-Kennametal</v>
          </cell>
        </row>
        <row r="4772">
          <cell r="A4772" t="str">
            <v>61800615_x000D_
 (SILVYN KLICK-GP IP66 PG 9 BK_x000D_
)</v>
          </cell>
          <cell r="B4772" t="str">
            <v>61800615_x000D_
(SILVYN KLICK-GP IP66 PG 9 BK_x000D_
)</v>
          </cell>
          <cell r="C4772" t="str">
            <v>LAPP</v>
          </cell>
          <cell r="D4772" t="str">
            <v>Lapp-Kennametal</v>
          </cell>
        </row>
        <row r="4773">
          <cell r="A4773" t="str">
            <v>61800885 (SILVYN KLICK-GP  PG 11  SCHWARZ_x000D_
)</v>
          </cell>
          <cell r="B4773" t="str">
            <v>61800885(SILVYN KLICK-GP  PG 11  SCHWARZ_x000D_
)</v>
          </cell>
          <cell r="C4773" t="str">
            <v>LAPP</v>
          </cell>
          <cell r="D4773" t="str">
            <v>Lapp-Kennametal</v>
          </cell>
        </row>
        <row r="4774">
          <cell r="A4774" t="str">
            <v>61800895_x000D_
 (SILVYN KLICK-GP  PG 16 Schwarz_x000D_
)</v>
          </cell>
          <cell r="B4774" t="str">
            <v>61800895_x000D_
(SILVYN KLICK-GP  PG 16 Schwarz_x000D_
)</v>
          </cell>
          <cell r="C4774" t="str">
            <v>LAPP</v>
          </cell>
          <cell r="D4774" t="str">
            <v>Lapp-Kennametal</v>
          </cell>
        </row>
        <row r="4775">
          <cell r="A4775" t="str">
            <v>61800915 (SILVYN KLICK-GP  PG 29 SCHWARZ_x000D_
)</v>
          </cell>
          <cell r="B4775" t="str">
            <v>61800915(SILVYN KLICK-GP  PG 29 SCHWARZ_x000D_
)</v>
          </cell>
          <cell r="C4775" t="str">
            <v>LAPP</v>
          </cell>
          <cell r="D4775" t="str">
            <v>Lapp-Kennametal</v>
          </cell>
        </row>
        <row r="4776">
          <cell r="A4776" t="str">
            <v>61800875 (SILVYN KLICK GP PG 9 SCHWARZ_x000D_
)</v>
          </cell>
          <cell r="B4776" t="str">
            <v>61800875(SILVYN KLICK GP PG 9 SCHWARZ_x000D_
)</v>
          </cell>
          <cell r="C4776" t="str">
            <v>LAPP</v>
          </cell>
          <cell r="D4776" t="str">
            <v>Lapp-Kennametal</v>
          </cell>
        </row>
        <row r="4777">
          <cell r="A4777" t="str">
            <v>64400305 (SILVYN RILL PA6 L 10 BLACK)</v>
          </cell>
          <cell r="B4777" t="str">
            <v>64400305(SILVYN RILL PA6 L 10 BLACK)</v>
          </cell>
          <cell r="C4777" t="str">
            <v>LAPP</v>
          </cell>
          <cell r="D4777" t="str">
            <v>Lapp-Kennametal</v>
          </cell>
        </row>
        <row r="4778">
          <cell r="A4778" t="str">
            <v>64400315_x000D_
 (SILVYN RILL PA6 L 13 BLACK_x000D_
)</v>
          </cell>
          <cell r="B4778" t="str">
            <v>64400315_x000D_
(SILVYN RILL PA6 L 13 BLACK_x000D_
)</v>
          </cell>
          <cell r="C4778" t="str">
            <v>LAPP</v>
          </cell>
          <cell r="D4778" t="str">
            <v>Lapp-Kennametal</v>
          </cell>
        </row>
        <row r="4779">
          <cell r="A4779" t="str">
            <v>64400325_x000D_
 (SILVYN RILL PA6 L 15,8 BLACK_x000D_
)</v>
          </cell>
          <cell r="B4779" t="str">
            <v>64400325_x000D_
(SILVYN RILL PA6 L 15,8 BLACK_x000D_
)</v>
          </cell>
          <cell r="C4779" t="str">
            <v>LAPP</v>
          </cell>
          <cell r="D4779" t="str">
            <v>Lapp-Kennametal</v>
          </cell>
        </row>
        <row r="4780">
          <cell r="A4780" t="str">
            <v>64400345 (SILVYN RILL PA6 L 21,2 BLACK)</v>
          </cell>
          <cell r="B4780" t="str">
            <v>64400345(SILVYN RILL PA6 L 21,2 BLACK)</v>
          </cell>
          <cell r="C4780" t="str">
            <v>LAPP</v>
          </cell>
          <cell r="D4780" t="str">
            <v>Lapp-Kennametal</v>
          </cell>
        </row>
        <row r="4781">
          <cell r="A4781" t="str">
            <v>64400355 (SILVYN RILL PA6 L-B 28,5 BLACK)</v>
          </cell>
          <cell r="B4781" t="str">
            <v>64400355(SILVYN RILL PA6 L-B 28,5 BLACK)</v>
          </cell>
          <cell r="C4781" t="str">
            <v>LAPP</v>
          </cell>
          <cell r="D4781" t="str">
            <v>Lapp-Kennametal</v>
          </cell>
        </row>
        <row r="4782">
          <cell r="A4782" t="str">
            <v>64400365 (SILVYN RILL PA6 L-B 34,5 BLACK)</v>
          </cell>
          <cell r="B4782" t="str">
            <v>64400365(SILVYN RILL PA6 L-B 34,5 BLACK)</v>
          </cell>
          <cell r="C4782" t="str">
            <v>LAPP</v>
          </cell>
          <cell r="D4782" t="str">
            <v>Lapp-Kennametal</v>
          </cell>
        </row>
        <row r="4783">
          <cell r="A4783" t="str">
            <v>64400375 (SILVYN RILL PA6 L-B 42,5 BLACK)</v>
          </cell>
          <cell r="B4783" t="str">
            <v>64400375(SILVYN RILL PA6 L-B 42,5 BLACK)</v>
          </cell>
          <cell r="C4783" t="str">
            <v>LAPP</v>
          </cell>
          <cell r="D4783" t="str">
            <v>Lapp-Kennametal</v>
          </cell>
        </row>
        <row r="4784">
          <cell r="A4784" t="str">
            <v>64400385 (SILVYN RILL PA6 L -B 54,5 BLACK)</v>
          </cell>
          <cell r="B4784" t="str">
            <v>64400385(SILVYN RILL PA6 L -B 54,5 BLACK)</v>
          </cell>
          <cell r="C4784" t="str">
            <v>LAPP</v>
          </cell>
          <cell r="D4784" t="str">
            <v>Lapp-Kennametal</v>
          </cell>
        </row>
        <row r="4785">
          <cell r="A4785" t="str">
            <v>61804632 (SILVYN® SSU 12 / 10.2X13.0 25M)</v>
          </cell>
          <cell r="B4785" t="str">
            <v>61804632(SILVYN® SSU 12 / 10.2X13.0 25M)</v>
          </cell>
          <cell r="C4785" t="str">
            <v>LAPP</v>
          </cell>
          <cell r="D4785" t="str">
            <v>Lapp-Kennametal</v>
          </cell>
        </row>
        <row r="4786">
          <cell r="A4786" t="str">
            <v>53119170_x000D_
 (SKINTOP GMP-GL-M 63x1,5 RAL 9005 BK_x000D_
)</v>
          </cell>
          <cell r="B4786" t="str">
            <v>53119170_x000D_
(SKINTOP GMP-GL-M 63x1,5 RAL 9005 BK_x000D_
)</v>
          </cell>
          <cell r="C4786" t="str">
            <v>LAPP</v>
          </cell>
          <cell r="D4786" t="str">
            <v>Lapp-Kennametal</v>
          </cell>
        </row>
        <row r="4787">
          <cell r="A4787" t="str">
            <v>53019240 (SKINTOP GMP-GL PG 16 RAL 9005 BK)</v>
          </cell>
          <cell r="B4787" t="str">
            <v>53019240(SKINTOP GMP-GL PG 16 RAL 9005 BK)</v>
          </cell>
          <cell r="C4787" t="str">
            <v>LAPP</v>
          </cell>
          <cell r="D4787" t="str">
            <v>Lapp-Kennametal</v>
          </cell>
        </row>
        <row r="4788">
          <cell r="A4788" t="str">
            <v>53019250 (SKINTOP GMP-GL PG 21 RAL 9005 BK)</v>
          </cell>
          <cell r="B4788" t="str">
            <v>53019250(SKINTOP GMP-GL PG 21 RAL 9005 BK)</v>
          </cell>
          <cell r="C4788" t="str">
            <v>LAPP</v>
          </cell>
          <cell r="D4788" t="str">
            <v>Lapp-Kennametal</v>
          </cell>
        </row>
        <row r="4789">
          <cell r="A4789" t="str">
            <v>53019260 (SKINTOP GMP-GL PG 29 RAL 9005 BK)</v>
          </cell>
          <cell r="B4789" t="str">
            <v>53019260(SKINTOP GMP-GL PG 29 RAL 9005 BK)</v>
          </cell>
          <cell r="C4789" t="str">
            <v>LAPP</v>
          </cell>
          <cell r="D4789" t="str">
            <v>Lapp-Kennametal</v>
          </cell>
        </row>
        <row r="4790">
          <cell r="A4790" t="str">
            <v>53019270 (SKINTOP GMP-GL PG 36 RAL 9005 BK)</v>
          </cell>
          <cell r="B4790" t="str">
            <v>53019270(SKINTOP GMP-GL PG 36 RAL 9005 BK)</v>
          </cell>
          <cell r="C4790" t="str">
            <v>LAPP</v>
          </cell>
          <cell r="D4790" t="str">
            <v>Lapp-Kennametal</v>
          </cell>
        </row>
        <row r="4791">
          <cell r="A4791" t="str">
            <v>53019290 (SKINTOP GMP-GL PG 48 RAL 9005 BK)</v>
          </cell>
          <cell r="B4791" t="str">
            <v>53019290(SKINTOP GMP-GL PG 48 RAL 9005 BK)</v>
          </cell>
          <cell r="C4791" t="str">
            <v>LAPP</v>
          </cell>
          <cell r="D4791" t="str">
            <v>Lapp-Kennametal</v>
          </cell>
        </row>
        <row r="4792">
          <cell r="A4792" t="str">
            <v>53015220 (SKINTOP ST PG 11 RAL 9005 BK)</v>
          </cell>
          <cell r="B4792" t="str">
            <v>53015220(SKINTOP ST PG 11 RAL 9005 BK)</v>
          </cell>
          <cell r="C4792" t="str">
            <v>LAPP</v>
          </cell>
          <cell r="D4792" t="str">
            <v>Lapp-Kennametal</v>
          </cell>
        </row>
        <row r="4793">
          <cell r="A4793" t="str">
            <v>53015240 (SKINTOP ST PG 16 RAL 9005 BK)</v>
          </cell>
          <cell r="B4793" t="str">
            <v>53015240(SKINTOP ST PG 16 RAL 9005 BK)</v>
          </cell>
          <cell r="C4793" t="str">
            <v>LAPP</v>
          </cell>
          <cell r="D4793" t="str">
            <v>Lapp-Kennametal</v>
          </cell>
        </row>
        <row r="4794">
          <cell r="A4794" t="str">
            <v>53015260_x000D_
 (SKINTOP ST PG 29 RAL 9005 BK_x000D_
)</v>
          </cell>
          <cell r="B4794" t="str">
            <v>53015260_x000D_
(SKINTOP ST PG 29 RAL 9005 BK_x000D_
)</v>
          </cell>
          <cell r="C4794" t="str">
            <v>LAPP</v>
          </cell>
          <cell r="D4794" t="str">
            <v>Lapp-Kennametal</v>
          </cell>
        </row>
        <row r="4795">
          <cell r="A4795" t="str">
            <v>53015210 (SKINTOP ST PG 9 RAL 9005 BK)</v>
          </cell>
          <cell r="B4795" t="str">
            <v>53015210(SKINTOP ST PG 9 RAL 9005 BK)</v>
          </cell>
          <cell r="C4795" t="str">
            <v>LAPP</v>
          </cell>
          <cell r="D4795" t="str">
            <v>Lapp-Kennametal</v>
          </cell>
        </row>
        <row r="4796">
          <cell r="A4796" t="str">
            <v>53015250 (SKINTOP® ST PG 21 RAL 9005 BK)</v>
          </cell>
          <cell r="B4796" t="e">
            <v>#N/A</v>
          </cell>
          <cell r="C4796" t="str">
            <v>LAPP</v>
          </cell>
          <cell r="D4796" t="str">
            <v>Lapp-Kennametal</v>
          </cell>
        </row>
        <row r="4797">
          <cell r="A4797" t="str">
            <v>7038865 (UNITRONIC SENSOR FD Li9Y11Y/Li12Y11Y  4X0,34)</v>
          </cell>
          <cell r="B4797" t="str">
            <v>7038865(UNITRONIC SENSOR FD Li9Y11Y/Li12Y11Y  4X0,34)</v>
          </cell>
          <cell r="C4797" t="str">
            <v>LAPP</v>
          </cell>
          <cell r="D4797" t="str">
            <v>Lapp-Kennametal</v>
          </cell>
        </row>
        <row r="4798">
          <cell r="A4798" t="str">
            <v>1119903_x000D_
 ("ÖLFLEX CLASSIC 110 3X1,5"_x000D_
)</v>
          </cell>
          <cell r="B4798" t="str">
            <v>1119903_x000D_
("ÖLFLEX CLASSIC 110 3X1,5"_x000D_
)</v>
          </cell>
          <cell r="C4798" t="str">
            <v>LAPP</v>
          </cell>
          <cell r="D4798" t="str">
            <v>Lapp-Mach Mind</v>
          </cell>
        </row>
        <row r="4799">
          <cell r="A4799" t="str">
            <v>281005CY (OLFLEX CONTROL TM CY 5G6)</v>
          </cell>
          <cell r="B4799" t="str">
            <v>281005CY(OLFLEX CONTROL TM CY 5G6)</v>
          </cell>
          <cell r="C4799" t="str">
            <v>LAPP</v>
          </cell>
          <cell r="D4799" t="str">
            <v>Lapp-Mach Mind</v>
          </cell>
        </row>
        <row r="4800">
          <cell r="A4800" t="str">
            <v>0027429_x000D_
 (UNITRONIC FD CY 7x0,25)</v>
          </cell>
          <cell r="B4800" t="str">
            <v>0027429_x000D_
(UNITRONIC FD CY 7x0,25)</v>
          </cell>
          <cell r="C4800" t="str">
            <v>LAPP</v>
          </cell>
          <cell r="D4800" t="str">
            <v>Lapp-Mach Mind</v>
          </cell>
        </row>
        <row r="4801">
          <cell r="A4801" t="str">
            <v>0040434 (UNITRONIC® SENSOR P 4X0,34 DESINA)</v>
          </cell>
          <cell r="B4801" t="str">
            <v>0040434(UNITRONIC® SENSOR P 4X0,34 DESINA)</v>
          </cell>
          <cell r="C4801" t="str">
            <v>LAPP</v>
          </cell>
          <cell r="D4801" t="str">
            <v>Lapp-Mach Mind</v>
          </cell>
        </row>
        <row r="4802">
          <cell r="A4802" t="str">
            <v>1125205 (ÖLFLEX CLASSIC 110 SY 5G1)</v>
          </cell>
          <cell r="B4802" t="str">
            <v>1125205(ÖLFLEX CLASSIC 110 SY 5G1)</v>
          </cell>
          <cell r="C4802" t="str">
            <v>LAPP</v>
          </cell>
          <cell r="D4802" t="str">
            <v>Lapp-Mach Mind</v>
          </cell>
        </row>
        <row r="4803">
          <cell r="A4803" t="str">
            <v>281803CY (ÖLFLEX® CONTROL TM CY 3G1 18/3C)</v>
          </cell>
          <cell r="B4803" t="str">
            <v>281803CY(ÖLFLEX® CONTROL TM CY 3G1 18/3C)</v>
          </cell>
          <cell r="C4803" t="str">
            <v>LAPP</v>
          </cell>
          <cell r="D4803" t="str">
            <v>Lapp-Mach Mind</v>
          </cell>
        </row>
        <row r="4804">
          <cell r="A4804" t="str">
            <v>281004CY (ÖLFLEX® CONTROL TM CY 4G6 10/4C)</v>
          </cell>
          <cell r="B4804" t="str">
            <v>281004CY(ÖLFLEX® CONTROL TM CY 4G6 10/4C)</v>
          </cell>
          <cell r="C4804" t="str">
            <v>LAPP</v>
          </cell>
          <cell r="D4804" t="str">
            <v>Lapp-Mach Mind</v>
          </cell>
        </row>
        <row r="4805">
          <cell r="A4805" t="str">
            <v>8100611 (CABLE TIE 100 X 2.5 NAT)</v>
          </cell>
          <cell r="B4805" t="str">
            <v>8100611(CABLE TIE 100 X 2.5 NAT)</v>
          </cell>
          <cell r="C4805" t="str">
            <v>LAPP</v>
          </cell>
          <cell r="D4805" t="str">
            <v>Lapp-Non Moving Stocks</v>
          </cell>
        </row>
        <row r="4806">
          <cell r="A4806" t="str">
            <v>8100615 (CABLE TIE 200 X 3.6 NAT)</v>
          </cell>
          <cell r="B4806" t="str">
            <v>8100615(CABLE TIE 200 X 3.6 NAT)</v>
          </cell>
          <cell r="C4806" t="str">
            <v>LAPP</v>
          </cell>
          <cell r="D4806" t="str">
            <v>Lapp-Non Moving Stocks</v>
          </cell>
        </row>
        <row r="4807">
          <cell r="A4807" t="str">
            <v>61850262 (Cable tie I - 100 x 2.5 NR_x000D_
)</v>
          </cell>
          <cell r="B4807" t="str">
            <v>61850262(Cable tie I - 100 x 2.5 NR_x000D_
)</v>
          </cell>
          <cell r="C4807" t="str">
            <v>LAPP</v>
          </cell>
          <cell r="D4807" t="str">
            <v>Lapp-Non Moving Stocks</v>
          </cell>
        </row>
        <row r="4808">
          <cell r="A4808" t="str">
            <v>61850263 (Cable tie I - 150 x 2.5 NR_x000D_
)</v>
          </cell>
          <cell r="B4808" t="str">
            <v>61850263(Cable tie I - 150 x 2.5 NR_x000D_
)</v>
          </cell>
          <cell r="C4808" t="str">
            <v>LAPP</v>
          </cell>
          <cell r="D4808" t="str">
            <v>Lapp-Non Moving Stocks</v>
          </cell>
        </row>
        <row r="4809">
          <cell r="A4809" t="str">
            <v>61850264 (Cable tie I - 200 x 2.5 NR)</v>
          </cell>
          <cell r="B4809" t="str">
            <v>61850264(Cable tie I - 200 x 2.5 NR)</v>
          </cell>
          <cell r="C4809" t="str">
            <v>LAPP</v>
          </cell>
          <cell r="D4809" t="str">
            <v>Lapp-Non Moving Stocks</v>
          </cell>
        </row>
        <row r="4810">
          <cell r="A4810" t="str">
            <v>61850266 (Cable tie I - 200 x 3.6 NR_x000D_
)</v>
          </cell>
          <cell r="B4810" t="str">
            <v>61850266(Cable tie I - 200 x 3.6 NR_x000D_
)</v>
          </cell>
          <cell r="C4810" t="str">
            <v>LAPP</v>
          </cell>
          <cell r="D4810" t="str">
            <v>Lapp-Non Moving Stocks</v>
          </cell>
        </row>
        <row r="4811">
          <cell r="A4811" t="str">
            <v>383300348 (Cable Tie I - 200 x 4.8 NR)</v>
          </cell>
          <cell r="B4811" t="str">
            <v>383300348(Cable Tie I - 200 x 4.8 NR)</v>
          </cell>
          <cell r="C4811" t="str">
            <v>LAPP</v>
          </cell>
          <cell r="D4811" t="str">
            <v>Lapp-Non Moving Stocks</v>
          </cell>
        </row>
        <row r="4812">
          <cell r="A4812" t="str">
            <v>61850269 (Cable tie I - 200 x 4.8 NR_x000D_
)</v>
          </cell>
          <cell r="B4812" t="str">
            <v>61850269(Cable tie I - 200 x 4.8 NR_x000D_
)</v>
          </cell>
          <cell r="C4812" t="str">
            <v>LAPP</v>
          </cell>
          <cell r="D4812" t="str">
            <v>Lapp-Non Moving Stocks</v>
          </cell>
        </row>
        <row r="4813">
          <cell r="A4813" t="str">
            <v>61850267 (Cable tie I - 250 x 3.6 NR_x000D_
)</v>
          </cell>
          <cell r="B4813" t="str">
            <v>61850267(Cable tie I - 250 x 3.6 NR_x000D_
)</v>
          </cell>
          <cell r="C4813" t="str">
            <v>LAPP</v>
          </cell>
          <cell r="D4813" t="str">
            <v>Lapp-Non Moving Stocks</v>
          </cell>
        </row>
        <row r="4814">
          <cell r="A4814" t="str">
            <v>61850268 (Cable tie I - 300 x 3.6 NR_x000D_
)</v>
          </cell>
          <cell r="B4814" t="str">
            <v>61850268(Cable tie I - 300 x 3.6 NR_x000D_
)</v>
          </cell>
          <cell r="C4814" t="str">
            <v>LAPP</v>
          </cell>
          <cell r="D4814" t="str">
            <v>Lapp-Non Moving Stocks</v>
          </cell>
        </row>
        <row r="4815">
          <cell r="A4815" t="str">
            <v>383300350 (Cable Tie I - 300 x 4.8 NR)</v>
          </cell>
          <cell r="B4815" t="str">
            <v>383300350(Cable Tie I - 300 x 4.8 NR)</v>
          </cell>
          <cell r="C4815" t="str">
            <v>LAPP</v>
          </cell>
          <cell r="D4815" t="str">
            <v>Lapp-Non Moving Stocks</v>
          </cell>
        </row>
        <row r="4816">
          <cell r="A4816" t="str">
            <v>61850271 (Cable tie I - 300 x 4.8 NR_x000D_
)</v>
          </cell>
          <cell r="B4816" t="str">
            <v>61850271(Cable tie I - 300 x 4.8 NR_x000D_
)</v>
          </cell>
          <cell r="C4816" t="str">
            <v>LAPP</v>
          </cell>
          <cell r="D4816" t="str">
            <v>Lapp-Non Moving Stocks</v>
          </cell>
        </row>
        <row r="4817">
          <cell r="A4817" t="str">
            <v>61724510 (TIE MOUNTING SOCKET TC 141_x000D_
)</v>
          </cell>
          <cell r="B4817" t="str">
            <v>61724510(TIE MOUNTING SOCKET TC 141_x000D_
)</v>
          </cell>
          <cell r="C4817" t="str">
            <v>LAPP</v>
          </cell>
          <cell r="D4817" t="str">
            <v>Lapp-Non Moving Stocks</v>
          </cell>
        </row>
        <row r="4818">
          <cell r="A4818" t="str">
            <v>61724910 (TIE MOUNTING SOCKET TC 142_x000D_
)</v>
          </cell>
          <cell r="B4818" t="str">
            <v>61724910(TIE MOUNTING SOCKET TC 142_x000D_
)</v>
          </cell>
          <cell r="C4818" t="str">
            <v>LAPP</v>
          </cell>
          <cell r="D4818" t="str">
            <v>Lapp-Non Moving Stocks</v>
          </cell>
        </row>
        <row r="4819">
          <cell r="A4819" t="str">
            <v>63111010 (CONNECTOR SLEEVE L-RAB)</v>
          </cell>
          <cell r="B4819" t="str">
            <v>63111010(CONNECTOR SLEEVE L-RAB)</v>
          </cell>
          <cell r="C4819" t="str">
            <v>LAPP</v>
          </cell>
          <cell r="D4819" t="str">
            <v>Lapp-Non Moving Stocks</v>
          </cell>
        </row>
        <row r="4820">
          <cell r="A4820" t="str">
            <v>63111020 (CONNECTOR SLEEVE L-RB 5 B)</v>
          </cell>
          <cell r="B4820" t="str">
            <v>63111020(CONNECTOR SLEEVE L-RB 5 B)</v>
          </cell>
          <cell r="C4820" t="str">
            <v>LAPP</v>
          </cell>
          <cell r="D4820" t="str">
            <v>Lapp-Non Moving Stocks</v>
          </cell>
        </row>
        <row r="4821">
          <cell r="A4821" t="str">
            <v>21700605 (ED-IE-AX-5-PN-20-FC)</v>
          </cell>
          <cell r="B4821" t="str">
            <v>21700605(ED-IE-AX-5-PN-20-FC)</v>
          </cell>
          <cell r="C4821" t="str">
            <v>LAPP</v>
          </cell>
          <cell r="D4821" t="str">
            <v>Lapp-Non Moving Stocks</v>
          </cell>
        </row>
        <row r="4822">
          <cell r="A4822" t="str">
            <v>CONNECTORS (LAPP ETHERLINE® CABLE WITH CONNCECTORS)</v>
          </cell>
          <cell r="B4822" t="str">
            <v>CONNECTORS(LAPP ETHERLINE® CABLE WITH CONNCECTORS)</v>
          </cell>
          <cell r="C4822" t="str">
            <v>LAPP</v>
          </cell>
          <cell r="D4822" t="str">
            <v>Lapp-Non Moving Stocks</v>
          </cell>
        </row>
        <row r="4823">
          <cell r="A4823" t="str">
            <v>63300140_x000D_
 (PANEL CONNECTORS 408-2 F_x000D_
)</v>
          </cell>
          <cell r="B4823" t="str">
            <v>63300140_x000D_
(PANEL CONNECTORS 408-2 F_x000D_
)</v>
          </cell>
          <cell r="C4823" t="str">
            <v>LAPP</v>
          </cell>
          <cell r="D4823" t="str">
            <v>Lapp-Non Moving Stocks</v>
          </cell>
        </row>
        <row r="4824">
          <cell r="A4824" t="str">
            <v>63300100 (PANEL CONNECTORS 408-2 M)</v>
          </cell>
          <cell r="B4824" t="str">
            <v>63300100(PANEL CONNECTORS 408-2 M)</v>
          </cell>
          <cell r="C4824" t="str">
            <v>LAPP</v>
          </cell>
          <cell r="D4824" t="str">
            <v>Lapp-Non Moving Stocks</v>
          </cell>
        </row>
        <row r="4825">
          <cell r="A4825" t="str">
            <v>63101010 (PANEL CONNECTORS L-RA 28_x000D_
)</v>
          </cell>
          <cell r="B4825" t="str">
            <v>63101010(PANEL CONNECTORS L-RA 28_x000D_
)</v>
          </cell>
          <cell r="C4825" t="str">
            <v>LAPP</v>
          </cell>
          <cell r="D4825" t="str">
            <v>Lapp-Non Moving Stocks</v>
          </cell>
        </row>
        <row r="4826">
          <cell r="A4826" t="str">
            <v>63101020 (PANEL CONNECTORS L-RA 29)</v>
          </cell>
          <cell r="B4826" t="str">
            <v>63101020(PANEL CONNECTORS L-RA 29)</v>
          </cell>
          <cell r="C4826" t="str">
            <v>LAPP</v>
          </cell>
          <cell r="D4826" t="str">
            <v>Lapp-Non Moving Stocks</v>
          </cell>
        </row>
        <row r="4827">
          <cell r="A4827" t="str">
            <v>61794951 (PANEL CONNECTORS L-RA 29 V_x000D_
)</v>
          </cell>
          <cell r="B4827" t="str">
            <v>61794951(PANEL CONNECTORS L-RA 29 V_x000D_
)</v>
          </cell>
          <cell r="C4827" t="str">
            <v>LAPP</v>
          </cell>
          <cell r="D4827" t="str">
            <v>Lapp-Non Moving Stocks</v>
          </cell>
        </row>
        <row r="4828">
          <cell r="A4828" t="str">
            <v>61794960 (PANEL CONNECTORS L-RA 63 V_x000D_
)</v>
          </cell>
          <cell r="B4828" t="str">
            <v>61794960(PANEL CONNECTORS L-RA 63 V_x000D_
)</v>
          </cell>
          <cell r="C4828" t="str">
            <v>LAPP</v>
          </cell>
          <cell r="D4828" t="str">
            <v>Lapp-Non Moving Stocks</v>
          </cell>
        </row>
        <row r="4829">
          <cell r="A4829" t="str">
            <v>61794970 (PANEL CONNECTORS L-RB 63 V_x000D_
)</v>
          </cell>
          <cell r="B4829" t="str">
            <v>61794970(PANEL CONNECTORS L-RB 63 V_x000D_
)</v>
          </cell>
          <cell r="C4829" t="str">
            <v>LAPP</v>
          </cell>
          <cell r="D4829" t="str">
            <v>Lapp-Non Moving Stocks</v>
          </cell>
        </row>
        <row r="4830">
          <cell r="A4830" t="str">
            <v>21700600 (RJ45 connector Cat.6A fieldmount TIA568A_x000D_
)</v>
          </cell>
          <cell r="B4830" t="str">
            <v>21700600(RJ45 connector Cat.6A fieldmount TIA568A_x000D_
)</v>
          </cell>
          <cell r="C4830" t="str">
            <v>LAPP</v>
          </cell>
          <cell r="D4830" t="str">
            <v>Lapp-Non Moving Stocks</v>
          </cell>
        </row>
        <row r="4831">
          <cell r="A4831" t="str">
            <v>61801760_x000D_
 ("END SLEEVES AHI DIN HL2,5/12BU"_x000D_
)</v>
          </cell>
          <cell r="B4831" t="str">
            <v>61801760_x000D_
("END SLEEVES AHI DIN HL2,5/12BU"_x000D_
)</v>
          </cell>
          <cell r="C4831" t="str">
            <v>LAPP</v>
          </cell>
          <cell r="D4831" t="str">
            <v>Lapp-Non Moving Stocks</v>
          </cell>
        </row>
        <row r="4832">
          <cell r="A4832" t="str">
            <v>61802000_x000D_
 ("TWIN-END SLEEVES AHI 2x0,75 GY"_x000D_
)</v>
          </cell>
          <cell r="B4832" t="str">
            <v>61802000_x000D_
("TWIN-END SLEEVES AHI 2x0,75 GY"_x000D_
)</v>
          </cell>
          <cell r="C4832" t="str">
            <v>LAPP</v>
          </cell>
          <cell r="D4832" t="str">
            <v>Lapp-Non Moving Stocks</v>
          </cell>
        </row>
        <row r="4833">
          <cell r="A4833" t="str">
            <v>61802033 ("TWIN-END SLEEVES AHI 2X6,00 YE")</v>
          </cell>
          <cell r="B4833" t="str">
            <v>61802033("TWIN-END SLEEVES AHI 2X6,00 YE")</v>
          </cell>
          <cell r="C4833" t="str">
            <v>LAPP</v>
          </cell>
          <cell r="D4833" t="str">
            <v>Lapp-Non Moving Stocks</v>
          </cell>
        </row>
        <row r="4834">
          <cell r="A4834" t="str">
            <v>61802041 (DIN ASSORTMENT BOX II END SLEEVE_x000D_
)</v>
          </cell>
          <cell r="B4834" t="str">
            <v>61802041(DIN ASSORTMENT BOX II END SLEEVE_x000D_
)</v>
          </cell>
          <cell r="C4834" t="str">
            <v>LAPP</v>
          </cell>
          <cell r="D4834" t="str">
            <v>Lapp-Non Moving Stocks</v>
          </cell>
        </row>
        <row r="4835">
          <cell r="A4835" t="str">
            <v>61801600 (END SLEEVE AHI DIN HL 0,5/10WH)</v>
          </cell>
          <cell r="B4835" t="str">
            <v>61801600(END SLEEVE AHI DIN HL 0,5/10WH)</v>
          </cell>
          <cell r="C4835" t="str">
            <v>LAPP</v>
          </cell>
          <cell r="D4835" t="str">
            <v>Lapp-Non Moving Stocks</v>
          </cell>
        </row>
        <row r="4836">
          <cell r="A4836" t="str">
            <v>61801640 (END SLEEVE AHI DIN HL0,75/10GY_x000D_
)</v>
          </cell>
          <cell r="B4836" t="str">
            <v>61801640(END SLEEVE AHI DIN HL0,75/10GY_x000D_
)</v>
          </cell>
          <cell r="C4836" t="str">
            <v>LAPP</v>
          </cell>
          <cell r="D4836" t="str">
            <v>Lapp-Non Moving Stocks</v>
          </cell>
        </row>
        <row r="4837">
          <cell r="A4837" t="str">
            <v>61801620 (END SLEEVE AHI DIN K 0,75/6GY_x000D_
)</v>
          </cell>
          <cell r="B4837" t="str">
            <v>61801620(END SLEEVE AHI DIN K 0,75/6GY_x000D_
)</v>
          </cell>
          <cell r="C4837" t="str">
            <v>LAPP</v>
          </cell>
          <cell r="D4837" t="str">
            <v>Lapp-Non Moving Stocks</v>
          </cell>
        </row>
        <row r="4838">
          <cell r="A4838" t="str">
            <v>61801650 (END SLEEVE AHI DIN L 0,75/12GY)</v>
          </cell>
          <cell r="B4838" t="str">
            <v>61801650(END SLEEVE AHI DIN L 0,75/12GY)</v>
          </cell>
          <cell r="C4838" t="str">
            <v>LAPP</v>
          </cell>
          <cell r="D4838" t="str">
            <v>Lapp-Non Moving Stocks</v>
          </cell>
        </row>
        <row r="4839">
          <cell r="A4839" t="str">
            <v>61801680 (END SLEEVES AHI DIN HL 1/10 RD)</v>
          </cell>
          <cell r="B4839" t="str">
            <v>61801680(END SLEEVES AHI DIN HL 1/10 RD)</v>
          </cell>
          <cell r="C4839" t="str">
            <v>LAPP</v>
          </cell>
          <cell r="D4839" t="str">
            <v>Lapp-Non Moving Stocks</v>
          </cell>
        </row>
        <row r="4840">
          <cell r="A4840" t="str">
            <v>61801720 (END SLEEVES AHI DIN HL1,5/10BK)</v>
          </cell>
          <cell r="B4840" t="str">
            <v>61801720(END SLEEVES AHI DIN HL1,5/10BK)</v>
          </cell>
          <cell r="C4840" t="str">
            <v>LAPP</v>
          </cell>
          <cell r="D4840" t="str">
            <v>Lapp-Non Moving Stocks</v>
          </cell>
        </row>
        <row r="4841">
          <cell r="A4841" t="str">
            <v>61801790 (END SLEEVES AHI DIN HL 4/12 GY)</v>
          </cell>
          <cell r="B4841" t="str">
            <v>61801790(END SLEEVES AHI DIN HL 4/12 GY)</v>
          </cell>
          <cell r="C4841" t="str">
            <v>LAPP</v>
          </cell>
          <cell r="D4841" t="str">
            <v>Lapp-Non Moving Stocks</v>
          </cell>
        </row>
        <row r="4842">
          <cell r="A4842" t="str">
            <v>61801580 (END SLEEVES AHI DIN K 0,5/6 WH_x000D_
)</v>
          </cell>
          <cell r="B4842" t="str">
            <v>61801580(END SLEEVES AHI DIN K 0,5/6 WH_x000D_
)</v>
          </cell>
          <cell r="C4842" t="str">
            <v>LAPP</v>
          </cell>
          <cell r="D4842" t="str">
            <v>Lapp-Non Moving Stocks</v>
          </cell>
        </row>
        <row r="4843">
          <cell r="A4843" t="str">
            <v>61801840 (END SLEEVES AHI DIN L 10/18 RD_x000D_
)</v>
          </cell>
          <cell r="B4843" t="str">
            <v>61801840(END SLEEVES AHI DIN L 10/18 RD_x000D_
)</v>
          </cell>
          <cell r="C4843" t="str">
            <v>LAPP</v>
          </cell>
          <cell r="D4843" t="str">
            <v>Lapp-Non Moving Stocks</v>
          </cell>
        </row>
        <row r="4844">
          <cell r="A4844" t="str">
            <v>61801690 (END SLEEVES AHI DIN L 1/12 RD)</v>
          </cell>
          <cell r="B4844" t="str">
            <v>61801690(END SLEEVES AHI DIN L 1/12 RD)</v>
          </cell>
          <cell r="C4844" t="str">
            <v>LAPP</v>
          </cell>
          <cell r="D4844" t="str">
            <v>Lapp-Non Moving Stocks</v>
          </cell>
        </row>
        <row r="4845">
          <cell r="A4845" t="str">
            <v>61801730 (END SLEEVES AHI DIN L 1,5/18BK)</v>
          </cell>
          <cell r="B4845" t="str">
            <v>61801730(END SLEEVES AHI DIN L 1,5/18BK)</v>
          </cell>
          <cell r="C4845" t="str">
            <v>LAPP</v>
          </cell>
          <cell r="D4845" t="str">
            <v>Lapp-Non Moving Stocks</v>
          </cell>
        </row>
        <row r="4846">
          <cell r="A4846" t="str">
            <v>61801860 (END SLEEVES AHI DIN L 16/18 BU_x000D_
)</v>
          </cell>
          <cell r="B4846" t="str">
            <v>61801860(END SLEEVES AHI DIN L 16/18 BU_x000D_
)</v>
          </cell>
          <cell r="C4846" t="str">
            <v>LAPP</v>
          </cell>
          <cell r="D4846" t="str">
            <v>Lapp-Non Moving Stocks</v>
          </cell>
        </row>
        <row r="4847">
          <cell r="A4847" t="str">
            <v>61801770 (END SLEEVES AHI DIN L2,5/18 BU)</v>
          </cell>
          <cell r="B4847" t="str">
            <v>61801770(END SLEEVES AHI DIN L2,5/18 BU)</v>
          </cell>
          <cell r="C4847" t="str">
            <v>LAPP</v>
          </cell>
          <cell r="D4847" t="str">
            <v>Lapp-Non Moving Stocks</v>
          </cell>
        </row>
        <row r="4848">
          <cell r="A4848" t="str">
            <v>61801800 (END SLEEVES AHI DIN L 4/18 GY)</v>
          </cell>
          <cell r="B4848" t="str">
            <v>61801800(END SLEEVES AHI DIN L 4/18 GY)</v>
          </cell>
          <cell r="C4848" t="str">
            <v>LAPP</v>
          </cell>
          <cell r="D4848" t="str">
            <v>Lapp-Non Moving Stocks</v>
          </cell>
        </row>
        <row r="4849">
          <cell r="A4849" t="str">
            <v>61801830 (End Sleeves AHI DIN N 10/12 RD)</v>
          </cell>
          <cell r="B4849" t="str">
            <v>61801830(End Sleeves AHI DIN N 10/12 RD)</v>
          </cell>
          <cell r="C4849" t="str">
            <v>LAPP</v>
          </cell>
          <cell r="D4849" t="str">
            <v>Lapp-Non Moving Stocks</v>
          </cell>
        </row>
        <row r="4850">
          <cell r="A4850" t="str">
            <v>61801710 (END SLEEVES AHI DIN N 1,5/8 BK)</v>
          </cell>
          <cell r="B4850" t="str">
            <v>61801710(END SLEEVES AHI DIN N 1,5/8 BK)</v>
          </cell>
          <cell r="C4850" t="str">
            <v>LAPP</v>
          </cell>
          <cell r="D4850" t="str">
            <v>Lapp-Non Moving Stocks</v>
          </cell>
        </row>
        <row r="4851">
          <cell r="A4851" t="str">
            <v>61801850_x000D_
 (END SLEEVES AHI DIN N 16/12 BU_x000D_
)</v>
          </cell>
          <cell r="B4851" t="str">
            <v>61801850_x000D_
(END SLEEVES AHI DIN N 16/12 BU_x000D_
)</v>
          </cell>
          <cell r="C4851" t="str">
            <v>LAPP</v>
          </cell>
          <cell r="D4851" t="str">
            <v>Lapp-Non Moving Stocks</v>
          </cell>
        </row>
        <row r="4852">
          <cell r="A4852" t="str">
            <v>61801870 (END SLEEVES AHI DIN N 25/16 YE_x000D_
)</v>
          </cell>
          <cell r="B4852" t="str">
            <v>61801870(END SLEEVES AHI DIN N 25/16 YE_x000D_
)</v>
          </cell>
          <cell r="C4852" t="str">
            <v>LAPP</v>
          </cell>
          <cell r="D4852" t="str">
            <v>Lapp-Non Moving Stocks</v>
          </cell>
        </row>
        <row r="4853">
          <cell r="A4853" t="str">
            <v>61801900 (END SLEEVES AHI DIN N 35/16 RD)</v>
          </cell>
          <cell r="B4853" t="str">
            <v>61801900(END SLEEVES AHI DIN N 35/16 RD)</v>
          </cell>
          <cell r="C4853" t="str">
            <v>LAPP</v>
          </cell>
          <cell r="D4853" t="str">
            <v>Lapp-Non Moving Stocks</v>
          </cell>
        </row>
        <row r="4854">
          <cell r="A4854" t="str">
            <v>61801930 (END SLEEVES AHI DIN N 50/20 BU)</v>
          </cell>
          <cell r="B4854" t="str">
            <v>61801930(END SLEEVES AHI DIN N 50/20 BU)</v>
          </cell>
          <cell r="C4854" t="str">
            <v>LAPP</v>
          </cell>
          <cell r="D4854" t="str">
            <v>Lapp-Non Moving Stocks</v>
          </cell>
        </row>
        <row r="4855">
          <cell r="A4855" t="str">
            <v>61721910 (END SLEEVES AHI HL 1,5/10 RD)</v>
          </cell>
          <cell r="B4855" t="str">
            <v>61721910(END SLEEVES AHI HL 1,5/10 RD)</v>
          </cell>
          <cell r="C4855" t="str">
            <v>LAPP</v>
          </cell>
          <cell r="D4855" t="str">
            <v>Lapp-Non Moving Stocks</v>
          </cell>
        </row>
        <row r="4856">
          <cell r="A4856" t="str">
            <v>61721867 (END SLEEVES AHI L 0,25/ 8 LBU_x000D_
)</v>
          </cell>
          <cell r="B4856" t="str">
            <v>61721867(END SLEEVES AHI L 0,25/ 8 LBU_x000D_
)</v>
          </cell>
          <cell r="C4856" t="str">
            <v>LAPP</v>
          </cell>
          <cell r="D4856" t="str">
            <v>Lapp-Non Moving Stocks</v>
          </cell>
        </row>
        <row r="4857">
          <cell r="A4857" t="str">
            <v>61721869 (END SLEEVES AHI L 0,34/ 8 TQ)</v>
          </cell>
          <cell r="B4857" t="str">
            <v>61721869(END SLEEVES AHI L 0,34/ 8 TQ)</v>
          </cell>
          <cell r="C4857" t="str">
            <v>LAPP</v>
          </cell>
          <cell r="D4857" t="str">
            <v>Lapp-Non Moving Stocks</v>
          </cell>
        </row>
        <row r="4858">
          <cell r="A4858" t="str">
            <v>61721866 (END SLEEVES AHI N 0,25/6 LBU)</v>
          </cell>
          <cell r="B4858" t="str">
            <v>61721866(END SLEEVES AHI N 0,25/6 LBU)</v>
          </cell>
          <cell r="C4858" t="str">
            <v>LAPP</v>
          </cell>
          <cell r="D4858" t="str">
            <v>Lapp-Non Moving Stocks</v>
          </cell>
        </row>
        <row r="4859">
          <cell r="A4859" t="str">
            <v>61721960 (END SLEEVES AHI N 10/12 IV_x000D_
)</v>
          </cell>
          <cell r="B4859" t="str">
            <v>61721960(END SLEEVES AHI N 10/12 IV_x000D_
)</v>
          </cell>
          <cell r="C4859" t="str">
            <v>LAPP</v>
          </cell>
          <cell r="D4859" t="str">
            <v>Lapp-Non Moving Stocks</v>
          </cell>
        </row>
        <row r="4860">
          <cell r="A4860" t="str">
            <v>61746770 (END SLEEVES AHI N 25/16 BN_x000D_
)</v>
          </cell>
          <cell r="B4860" t="str">
            <v>61746770(END SLEEVES AHI N 25/16 BN_x000D_
)</v>
          </cell>
          <cell r="C4860" t="str">
            <v>LAPP</v>
          </cell>
          <cell r="D4860" t="str">
            <v>Lapp-Non Moving Stocks</v>
          </cell>
        </row>
        <row r="4861">
          <cell r="A4861" t="str">
            <v>61746790 (END SLEEVES AHI N 35/16 BE)</v>
          </cell>
          <cell r="B4861" t="str">
            <v>61746790(END SLEEVES AHI N 35/16 BE)</v>
          </cell>
          <cell r="C4861" t="str">
            <v>LAPP</v>
          </cell>
          <cell r="D4861" t="str">
            <v>Lapp-Non Moving Stocks</v>
          </cell>
        </row>
        <row r="4862">
          <cell r="A4862" t="str">
            <v>61721940 (END SLEEVES AHI N 6/12 BK_x000D_
)</v>
          </cell>
          <cell r="B4862" t="str">
            <v>61721940(END SLEEVES AHI N 6/12 BK_x000D_
)</v>
          </cell>
          <cell r="C4862" t="str">
            <v>LAPP</v>
          </cell>
          <cell r="D4862" t="str">
            <v>Lapp-Non Moving Stocks</v>
          </cell>
        </row>
        <row r="4863">
          <cell r="A4863" t="str">
            <v>61802064 (END SLEEVES XL 0,75 GY 10_x000D_
)</v>
          </cell>
          <cell r="B4863" t="str">
            <v>61802064(END SLEEVES XL 0,75 GY 10_x000D_
)</v>
          </cell>
          <cell r="C4863" t="str">
            <v>LAPP</v>
          </cell>
          <cell r="D4863" t="str">
            <v>Lapp-Non Moving Stocks</v>
          </cell>
        </row>
        <row r="4864">
          <cell r="A4864" t="str">
            <v>61802046 (TWIN ASSORTED BOX END SLEEVE_x000D_
)</v>
          </cell>
          <cell r="B4864" t="str">
            <v>61802046(TWIN ASSORTED BOX END SLEEVE_x000D_
)</v>
          </cell>
          <cell r="C4864" t="str">
            <v>LAPP</v>
          </cell>
          <cell r="D4864" t="str">
            <v>Lapp-Non Moving Stocks</v>
          </cell>
        </row>
        <row r="4865">
          <cell r="A4865" t="str">
            <v>61802034 (TWIN-END SLEEVES AHI 2x10 RD_x000D_
)</v>
          </cell>
          <cell r="B4865" t="str">
            <v>61802034(TWIN-END SLEEVES AHI 2x10 RD_x000D_
)</v>
          </cell>
          <cell r="C4865" t="str">
            <v>LAPP</v>
          </cell>
          <cell r="D4865" t="str">
            <v>Lapp-Non Moving Stocks</v>
          </cell>
        </row>
        <row r="4866">
          <cell r="A4866" t="str">
            <v>61802020 (TWIN-END SLEEVES AHI 2x1,50 BK)</v>
          </cell>
          <cell r="B4866" t="str">
            <v>61802020(TWIN-END SLEEVES AHI 2x1,50 BK)</v>
          </cell>
          <cell r="C4866" t="str">
            <v>LAPP</v>
          </cell>
          <cell r="D4866" t="str">
            <v>Lapp-Non Moving Stocks</v>
          </cell>
        </row>
        <row r="4867">
          <cell r="A4867" t="str">
            <v>61802030_x000D_
 (TWIN-END SLEEVES AHI 2x2,50 BU_x000D_
)</v>
          </cell>
          <cell r="B4867" t="str">
            <v>61802030_x000D_
(TWIN-END SLEEVES AHI 2x2,50 BU_x000D_
)</v>
          </cell>
          <cell r="C4867" t="str">
            <v>LAPP</v>
          </cell>
          <cell r="D4867" t="str">
            <v>Lapp-Non Moving Stocks</v>
          </cell>
        </row>
        <row r="4868">
          <cell r="A4868" t="str">
            <v>61802032 (TWIN-END SLEEVES AHI 2x4,00 GY)</v>
          </cell>
          <cell r="B4868" t="str">
            <v>61802032(TWIN-END SLEEVES AHI 2x4,00 GY)</v>
          </cell>
          <cell r="C4868" t="str">
            <v>LAPP</v>
          </cell>
          <cell r="D4868" t="str">
            <v>Lapp-Non Moving Stocks</v>
          </cell>
        </row>
        <row r="4869">
          <cell r="A4869" t="str">
            <v>63106020 (BUTT JOINT L-RAA 15_x000D_
)</v>
          </cell>
          <cell r="B4869" t="str">
            <v>63106020(BUTT JOINT L-RAA 15_x000D_
)</v>
          </cell>
          <cell r="C4869" t="str">
            <v>LAPP</v>
          </cell>
          <cell r="D4869" t="str">
            <v>Lapp-Non Moving Stocks</v>
          </cell>
        </row>
        <row r="4870">
          <cell r="A4870" t="str">
            <v>63106040 (BUTT JOINT L-RBB 25_x000D_
)</v>
          </cell>
          <cell r="B4870" t="str">
            <v>63106040(BUTT JOINT L-RBB 25_x000D_
)</v>
          </cell>
          <cell r="C4870" t="str">
            <v>LAPP</v>
          </cell>
          <cell r="D4870" t="str">
            <v>Lapp-Non Moving Stocks</v>
          </cell>
        </row>
        <row r="4871">
          <cell r="A4871" t="str">
            <v>63106080 (BUTT JOINT L-RCC 6_x000D_
)</v>
          </cell>
          <cell r="B4871" t="str">
            <v>63106080(BUTT JOINT L-RCC 6_x000D_
)</v>
          </cell>
          <cell r="C4871" t="str">
            <v>LAPP</v>
          </cell>
          <cell r="D4871" t="str">
            <v>Lapp-Non Moving Stocks</v>
          </cell>
        </row>
        <row r="4872">
          <cell r="A4872" t="str">
            <v>63204235 (CABLE LUGS KB10-5R DIN 46234_x000D_
)</v>
          </cell>
          <cell r="B4872" t="str">
            <v>63204235(CABLE LUGS KB10-5R DIN 46234_x000D_
)</v>
          </cell>
          <cell r="C4872" t="str">
            <v>LAPP</v>
          </cell>
          <cell r="D4872" t="str">
            <v>Lapp-Non Moving Stocks</v>
          </cell>
        </row>
        <row r="4873">
          <cell r="A4873" t="str">
            <v>63204245 (CABLE LUGS KB10-6R DIN 46234_x000D_
)</v>
          </cell>
          <cell r="B4873" t="str">
            <v>63204245(CABLE LUGS KB10-6R DIN 46234_x000D_
)</v>
          </cell>
          <cell r="C4873" t="str">
            <v>LAPP</v>
          </cell>
          <cell r="D4873" t="str">
            <v>Lapp-Non Moving Stocks</v>
          </cell>
        </row>
        <row r="4874">
          <cell r="A4874" t="str">
            <v>63204255 (CABLE LUGS KB10-8R DIN 46234_x000D_
)</v>
          </cell>
          <cell r="B4874" t="str">
            <v>63204255(CABLE LUGS KB10-8R DIN 46234_x000D_
)</v>
          </cell>
          <cell r="C4874" t="str">
            <v>LAPP</v>
          </cell>
          <cell r="D4874" t="str">
            <v>Lapp-Non Moving Stocks</v>
          </cell>
        </row>
        <row r="4875">
          <cell r="A4875" t="str">
            <v>63204615_x000D_
 (CABLE LUGS KB120-16R DIN 46234_x000D_
)</v>
          </cell>
          <cell r="B4875" t="str">
            <v>63204615_x000D_
(CABLE LUGS KB120-16R DIN 46234_x000D_
)</v>
          </cell>
          <cell r="C4875" t="str">
            <v>LAPP</v>
          </cell>
          <cell r="D4875" t="str">
            <v>Lapp-Non Moving Stocks</v>
          </cell>
        </row>
        <row r="4876">
          <cell r="A4876" t="str">
            <v>63204585_x000D_
 (CABLE LUGS KB120-8R DIN 46234_x000D_
)</v>
          </cell>
          <cell r="B4876" t="str">
            <v>63204585_x000D_
(CABLE LUGS KB120-8R DIN 46234_x000D_
)</v>
          </cell>
          <cell r="C4876" t="str">
            <v>LAPP</v>
          </cell>
          <cell r="D4876" t="str">
            <v>Lapp-Non Moving Stocks</v>
          </cell>
        </row>
        <row r="4877">
          <cell r="A4877" t="str">
            <v>63204045 (CABLE LUGS KB 1-4R DIN 46234)</v>
          </cell>
          <cell r="B4877" t="str">
            <v>63204045(CABLE LUGS KB 1-4R DIN 46234)</v>
          </cell>
          <cell r="C4877" t="str">
            <v>LAPP</v>
          </cell>
          <cell r="D4877" t="str">
            <v>Lapp-Non Moving Stocks</v>
          </cell>
        </row>
        <row r="4878">
          <cell r="A4878" t="str">
            <v>63204645_x000D_
 (CABLE LUGS KB150-16R DIN 46234_x000D_
)</v>
          </cell>
          <cell r="B4878" t="str">
            <v>63204645_x000D_
(CABLE LUGS KB150-16R DIN 46234_x000D_
)</v>
          </cell>
          <cell r="C4878" t="str">
            <v>LAPP</v>
          </cell>
          <cell r="D4878" t="str">
            <v>Lapp-Non Moving Stocks</v>
          </cell>
        </row>
        <row r="4879">
          <cell r="A4879" t="str">
            <v>63204315 (CABLE LUGS KB16-10R DIN 46234_x000D_
)</v>
          </cell>
          <cell r="B4879" t="str">
            <v>63204315(CABLE LUGS KB16-10R DIN 46234_x000D_
)</v>
          </cell>
          <cell r="C4879" t="str">
            <v>LAPP</v>
          </cell>
          <cell r="D4879" t="str">
            <v>Lapp-Non Moving Stocks</v>
          </cell>
        </row>
        <row r="4880">
          <cell r="A4880" t="str">
            <v>63204295 (CABLE LUGS KB16-6R DIN 46234_x000D_
)</v>
          </cell>
          <cell r="B4880" t="str">
            <v>63204295(CABLE LUGS KB16-6R DIN 46234_x000D_
)</v>
          </cell>
          <cell r="C4880" t="str">
            <v>LAPP</v>
          </cell>
          <cell r="D4880" t="str">
            <v>Lapp-Non Moving Stocks</v>
          </cell>
        </row>
        <row r="4881">
          <cell r="A4881" t="str">
            <v>63204305 (CABLE LUGS KB16-8R DIN 46234_x000D_
)</v>
          </cell>
          <cell r="B4881" t="str">
            <v>63204305(CABLE LUGS KB16-8R DIN 46234_x000D_
)</v>
          </cell>
          <cell r="C4881" t="str">
            <v>LAPP</v>
          </cell>
          <cell r="D4881" t="str">
            <v>Lapp-Non Moving Stocks</v>
          </cell>
        </row>
        <row r="4882">
          <cell r="A4882" t="str">
            <v>63204365 (CABLE LUGS KB25-10R DIN 46234_x000D_
)</v>
          </cell>
          <cell r="B4882" t="str">
            <v>63204365(CABLE LUGS KB25-10R DIN 46234_x000D_
)</v>
          </cell>
          <cell r="C4882" t="str">
            <v>LAPP</v>
          </cell>
          <cell r="D4882" t="str">
            <v>Lapp-Non Moving Stocks</v>
          </cell>
        </row>
        <row r="4883">
          <cell r="A4883" t="str">
            <v>63204375_x000D_
 (CABLE LUGS KB25-12R DIN 46234_x000D_
)</v>
          </cell>
          <cell r="B4883" t="str">
            <v>63204375_x000D_
(CABLE LUGS KB25-12R DIN 46234_x000D_
)</v>
          </cell>
          <cell r="C4883" t="str">
            <v>LAPP</v>
          </cell>
          <cell r="D4883" t="str">
            <v>Lapp-Non Moving Stocks</v>
          </cell>
        </row>
        <row r="4884">
          <cell r="A4884" t="str">
            <v>63204125 (CABLE LUGS KB2,5-5R DIN 46234_x000D_
)</v>
          </cell>
          <cell r="B4884" t="str">
            <v>63204125(CABLE LUGS KB2,5-5R DIN 46234_x000D_
)</v>
          </cell>
          <cell r="C4884" t="str">
            <v>LAPP</v>
          </cell>
          <cell r="D4884" t="str">
            <v>Lapp-Non Moving Stocks</v>
          </cell>
        </row>
        <row r="4885">
          <cell r="A4885" t="str">
            <v>63204345 (CABLE LUGS KB25-6R DIN 46234)</v>
          </cell>
          <cell r="B4885" t="str">
            <v>63204345(CABLE LUGS KB25-6R DIN 46234)</v>
          </cell>
          <cell r="C4885" t="str">
            <v>LAPP</v>
          </cell>
          <cell r="D4885" t="str">
            <v>Lapp-Non Moving Stocks</v>
          </cell>
        </row>
        <row r="4886">
          <cell r="A4886" t="str">
            <v>63204415 (CABLE LUGS KB35-10R DIN 46234)</v>
          </cell>
          <cell r="B4886" t="str">
            <v>63204415(CABLE LUGS KB35-10R DIN 46234)</v>
          </cell>
          <cell r="C4886" t="str">
            <v>LAPP</v>
          </cell>
          <cell r="D4886" t="str">
            <v>Lapp-Non Moving Stocks</v>
          </cell>
        </row>
        <row r="4887">
          <cell r="A4887" t="str">
            <v>63204425 (CABLE LUGS KB35-12R DIN 46234_x000D_
)</v>
          </cell>
          <cell r="B4887" t="str">
            <v>63204425(CABLE LUGS KB35-12R DIN 46234_x000D_
)</v>
          </cell>
          <cell r="C4887" t="str">
            <v>LAPP</v>
          </cell>
          <cell r="D4887" t="str">
            <v>Lapp-Non Moving Stocks</v>
          </cell>
        </row>
        <row r="4888">
          <cell r="A4888" t="str">
            <v>63204395 (CABLE LUGS KB35-6R DIN 46234_x000D_
)</v>
          </cell>
          <cell r="B4888" t="str">
            <v>63204395(CABLE LUGS KB35-6R DIN 46234_x000D_
)</v>
          </cell>
          <cell r="C4888" t="str">
            <v>LAPP</v>
          </cell>
          <cell r="D4888" t="str">
            <v>Lapp-Non Moving Stocks</v>
          </cell>
        </row>
        <row r="4889">
          <cell r="A4889" t="str">
            <v>63204465 (CABLE LUGS KB50-10R DIN 46234)</v>
          </cell>
          <cell r="B4889" t="str">
            <v>63204465(CABLE LUGS KB50-10R DIN 46234)</v>
          </cell>
          <cell r="C4889" t="str">
            <v>LAPP</v>
          </cell>
          <cell r="D4889" t="str">
            <v>Lapp-Non Moving Stocks</v>
          </cell>
        </row>
        <row r="4890">
          <cell r="A4890" t="str">
            <v>63204455 (CABLE LUGS KB50-8R DIN 46234)</v>
          </cell>
          <cell r="B4890" t="str">
            <v>63204455(CABLE LUGS KB50-8R DIN 46234)</v>
          </cell>
          <cell r="C4890" t="str">
            <v>LAPP</v>
          </cell>
          <cell r="D4890" t="str">
            <v>Lapp-Non Moving Stocks</v>
          </cell>
        </row>
        <row r="4891">
          <cell r="A4891" t="str">
            <v>63204215 (CABLE LUGS KB6-10R DIN 46234_x000D_
)</v>
          </cell>
          <cell r="B4891" t="str">
            <v>63204215(CABLE LUGS KB6-10R DIN 46234_x000D_
)</v>
          </cell>
          <cell r="C4891" t="str">
            <v>LAPP</v>
          </cell>
          <cell r="D4891" t="str">
            <v>Lapp-Non Moving Stocks</v>
          </cell>
        </row>
        <row r="4892">
          <cell r="A4892" t="str">
            <v>63204175 (CABLE LUGS KB6-4R DIN 46234)</v>
          </cell>
          <cell r="B4892" t="str">
            <v>63204175(CABLE LUGS KB6-4R DIN 46234)</v>
          </cell>
          <cell r="C4892" t="str">
            <v>LAPP</v>
          </cell>
          <cell r="D4892" t="str">
            <v>Lapp-Non Moving Stocks</v>
          </cell>
        </row>
        <row r="4893">
          <cell r="A4893" t="str">
            <v>63204195 (Cable LUGS KB6-6R DIN 46234)</v>
          </cell>
          <cell r="B4893" t="str">
            <v>63204195(Cable LUGS KB6-6R DIN 46234)</v>
          </cell>
          <cell r="C4893" t="str">
            <v>LAPP</v>
          </cell>
          <cell r="D4893" t="str">
            <v>Lapp-Non Moving Stocks</v>
          </cell>
        </row>
        <row r="4894">
          <cell r="A4894" t="str">
            <v>63204555_x000D_
 (CABLE LUGS KB95-10R DIN 46234_x000D_
)</v>
          </cell>
          <cell r="B4894" t="str">
            <v>63204555_x000D_
(CABLE LUGS KB95-10R DIN 46234_x000D_
)</v>
          </cell>
          <cell r="C4894" t="str">
            <v>LAPP</v>
          </cell>
          <cell r="D4894" t="str">
            <v>Lapp-Non Moving Stocks</v>
          </cell>
        </row>
        <row r="4895">
          <cell r="A4895" t="str">
            <v>63204565 (CABLE LUGS KB95-12R DIN 46234_x000D_
)</v>
          </cell>
          <cell r="B4895" t="str">
            <v>63204565(CABLE LUGS KB95-12R DIN 46234_x000D_
)</v>
          </cell>
          <cell r="C4895" t="str">
            <v>LAPP</v>
          </cell>
          <cell r="D4895" t="str">
            <v>Lapp-Non Moving Stocks</v>
          </cell>
        </row>
        <row r="4896">
          <cell r="A4896" t="str">
            <v>63204545_x000D_
 (CABLE LUGS KB95-8R DIN 46234_x000D_
)</v>
          </cell>
          <cell r="B4896" t="str">
            <v>63204545_x000D_
(CABLE LUGS KB95-8R DIN 46234_x000D_
)</v>
          </cell>
          <cell r="C4896" t="str">
            <v>LAPP</v>
          </cell>
          <cell r="D4896" t="str">
            <v>Lapp-Non Moving Stocks</v>
          </cell>
        </row>
        <row r="4897">
          <cell r="A4897" t="str">
            <v>61801920 (END SLEEVES AHI DIN L 35/25 RD_x000D_
)</v>
          </cell>
          <cell r="B4897" t="str">
            <v>61801920(END SLEEVES AHI DIN L 35/25 RD_x000D_
)</v>
          </cell>
          <cell r="C4897" t="str">
            <v>LAPP</v>
          </cell>
          <cell r="D4897" t="str">
            <v>Lapp-Non Moving Stocks</v>
          </cell>
        </row>
        <row r="4898">
          <cell r="A4898" t="str">
            <v>61801700 (END SLEEVES AHI K 1.5/6 BK)</v>
          </cell>
          <cell r="B4898" t="str">
            <v>61801700(END SLEEVES AHI K 1.5/6 BK)</v>
          </cell>
          <cell r="C4898" t="str">
            <v>LAPP</v>
          </cell>
          <cell r="D4898" t="str">
            <v>Lapp-Non Moving Stocks</v>
          </cell>
        </row>
        <row r="4899">
          <cell r="A4899" t="str">
            <v>63105040_x000D_
 (FORK CABLE LUGS L-RA 35F_x000D_
)</v>
          </cell>
          <cell r="B4899" t="str">
            <v>63105040_x000D_
(FORK CABLE LUGS L-RA 35F_x000D_
)</v>
          </cell>
          <cell r="C4899" t="str">
            <v>LAPP</v>
          </cell>
          <cell r="D4899" t="str">
            <v>Lapp-Non Moving Stocks</v>
          </cell>
        </row>
        <row r="4900">
          <cell r="A4900" t="str">
            <v>63105050 (FORK CABLE LUGS L-RA 4F_x000D_
)</v>
          </cell>
          <cell r="B4900" t="str">
            <v>63105050(FORK CABLE LUGS L-RA 4F_x000D_
)</v>
          </cell>
          <cell r="C4900" t="str">
            <v>LAPP</v>
          </cell>
          <cell r="D4900" t="str">
            <v>Lapp-Non Moving Stocks</v>
          </cell>
        </row>
        <row r="4901">
          <cell r="A4901" t="str">
            <v>63105060 (FORK CABLE LUGS L-RA 5F_x000D_
)</v>
          </cell>
          <cell r="B4901" t="str">
            <v>63105060(FORK CABLE LUGS L-RA 5F_x000D_
)</v>
          </cell>
          <cell r="C4901" t="str">
            <v>LAPP</v>
          </cell>
          <cell r="D4901" t="str">
            <v>Lapp-Non Moving Stocks</v>
          </cell>
        </row>
        <row r="4902">
          <cell r="A4902" t="str">
            <v>63105070 (FORK CABLE LUGS L-RA 6F_x000D_
)</v>
          </cell>
          <cell r="B4902" t="str">
            <v>63105070(FORK CABLE LUGS L-RA 6F_x000D_
)</v>
          </cell>
          <cell r="C4902" t="str">
            <v>LAPP</v>
          </cell>
          <cell r="D4902" t="str">
            <v>Lapp-Non Moving Stocks</v>
          </cell>
        </row>
        <row r="4903">
          <cell r="A4903" t="str">
            <v>63105120 (FORK CABLE LUGS L-RB 35F_x000D_
)</v>
          </cell>
          <cell r="B4903" t="str">
            <v>63105120(FORK CABLE LUGS L-RB 35F_x000D_
)</v>
          </cell>
          <cell r="C4903" t="str">
            <v>LAPP</v>
          </cell>
          <cell r="D4903" t="str">
            <v>Lapp-Non Moving Stocks</v>
          </cell>
        </row>
        <row r="4904">
          <cell r="A4904" t="str">
            <v>63105130_x000D_
 (FORK CABLE LUGS L-RB 4F_x000D_
)</v>
          </cell>
          <cell r="B4904" t="str">
            <v>63105130_x000D_
(FORK CABLE LUGS L-RB 4F_x000D_
)</v>
          </cell>
          <cell r="C4904" t="str">
            <v>LAPP</v>
          </cell>
          <cell r="D4904" t="str">
            <v>Lapp-Non Moving Stocks</v>
          </cell>
        </row>
        <row r="4905">
          <cell r="A4905" t="str">
            <v>63105140 (FORK CABLE LUGS L-RB 5F_x000D_
)</v>
          </cell>
          <cell r="B4905" t="str">
            <v>63105140(FORK CABLE LUGS L-RB 5F_x000D_
)</v>
          </cell>
          <cell r="C4905" t="str">
            <v>LAPP</v>
          </cell>
          <cell r="D4905" t="str">
            <v>Lapp-Non Moving Stocks</v>
          </cell>
        </row>
        <row r="4906">
          <cell r="A4906" t="str">
            <v>63105150 (FORK CABLE LUGS L-RB 6F_x000D_
)</v>
          </cell>
          <cell r="B4906" t="str">
            <v>63105150(FORK CABLE LUGS L-RB 6F_x000D_
)</v>
          </cell>
          <cell r="C4906" t="str">
            <v>LAPP</v>
          </cell>
          <cell r="D4906" t="str">
            <v>Lapp-Non Moving Stocks</v>
          </cell>
        </row>
        <row r="4907">
          <cell r="A4907" t="str">
            <v>63105220 (FORK CABLE LUGS L-RC 5F)</v>
          </cell>
          <cell r="B4907" t="str">
            <v>63105220(FORK CABLE LUGS L-RC 5F)</v>
          </cell>
          <cell r="C4907" t="str">
            <v>LAPP</v>
          </cell>
          <cell r="D4907" t="str">
            <v>Lapp-Non Moving Stocks</v>
          </cell>
        </row>
        <row r="4908">
          <cell r="A4908" t="str">
            <v>63105020 (FORK CABLE LUGS L-RZ 4F)</v>
          </cell>
          <cell r="B4908" t="str">
            <v>63105020(FORK CABLE LUGS L-RZ 4F)</v>
          </cell>
          <cell r="C4908" t="str">
            <v>LAPP</v>
          </cell>
          <cell r="D4908" t="str">
            <v>Lapp-Non Moving Stocks</v>
          </cell>
        </row>
        <row r="4909">
          <cell r="A4909" t="str">
            <v>63204475_x000D_
 (LUGS KB50-12R _x000D_
)</v>
          </cell>
          <cell r="B4909" t="str">
            <v>63204475_x000D_
(LUGS KB50-12R _x000D_
)</v>
          </cell>
          <cell r="C4909" t="str">
            <v>LAPP</v>
          </cell>
          <cell r="D4909" t="str">
            <v>Lapp-Non Moving Stocks</v>
          </cell>
        </row>
        <row r="4910">
          <cell r="A4910" t="str">
            <v>63107020 (PIN CABLE LUGS L-RAP_x000D_
)</v>
          </cell>
          <cell r="B4910" t="str">
            <v>63107020(PIN CABLE LUGS L-RAP_x000D_
)</v>
          </cell>
          <cell r="C4910" t="str">
            <v>LAPP</v>
          </cell>
          <cell r="D4910" t="str">
            <v>Lapp-Non Moving Stocks</v>
          </cell>
        </row>
        <row r="4911">
          <cell r="A4911" t="str">
            <v>63107040 (PIN CABLE LUGS L-RBP_x000D_
)</v>
          </cell>
          <cell r="B4911" t="str">
            <v>63107040(PIN CABLE LUGS L-RBP_x000D_
)</v>
          </cell>
          <cell r="C4911" t="str">
            <v>LAPP</v>
          </cell>
          <cell r="D4911" t="str">
            <v>Lapp-Non Moving Stocks</v>
          </cell>
        </row>
        <row r="4912">
          <cell r="A4912" t="str">
            <v>63107070_x000D_
 (PIN CABLE LUGS L-RCP_x000D_
)</v>
          </cell>
          <cell r="B4912" t="str">
            <v>63107070_x000D_
(PIN CABLE LUGS L-RCP_x000D_
)</v>
          </cell>
          <cell r="C4912" t="str">
            <v>LAPP</v>
          </cell>
          <cell r="D4912" t="str">
            <v>Lapp-Non Moving Stocks</v>
          </cell>
        </row>
        <row r="4913">
          <cell r="A4913" t="str">
            <v>63107010 (PIN CABLE LUGS L-RZP_x000D_
)</v>
          </cell>
          <cell r="B4913" t="str">
            <v>63107010(PIN CABLE LUGS L-RZP_x000D_
)</v>
          </cell>
          <cell r="C4913" t="str">
            <v>LAPP</v>
          </cell>
          <cell r="D4913" t="str">
            <v>Lapp-Non Moving Stocks</v>
          </cell>
        </row>
        <row r="4914">
          <cell r="A4914" t="str">
            <v>63104040_x000D_
 (RING CABLE LUGS L-RA 3_x000D_
)</v>
          </cell>
          <cell r="B4914" t="str">
            <v>63104040_x000D_
(RING CABLE LUGS L-RA 3_x000D_
)</v>
          </cell>
          <cell r="C4914" t="str">
            <v>LAPP</v>
          </cell>
          <cell r="D4914" t="str">
            <v>Lapp-Non Moving Stocks</v>
          </cell>
        </row>
        <row r="4915">
          <cell r="A4915" t="str">
            <v>63104060_x000D_
 (RING CABLE LUGS L-RA 4_x000D_
)</v>
          </cell>
          <cell r="B4915" t="str">
            <v>63104060_x000D_
(RING CABLE LUGS L-RA 4_x000D_
)</v>
          </cell>
          <cell r="C4915" t="str">
            <v>LAPP</v>
          </cell>
          <cell r="D4915" t="str">
            <v>Lapp-Non Moving Stocks</v>
          </cell>
        </row>
        <row r="4916">
          <cell r="A4916" t="str">
            <v>63104080 (RING CABLE LUGS L-RA 6_x000D_
)</v>
          </cell>
          <cell r="B4916" t="str">
            <v>63104080(RING CABLE LUGS L-RA 6_x000D_
)</v>
          </cell>
          <cell r="C4916" t="str">
            <v>LAPP</v>
          </cell>
          <cell r="D4916" t="str">
            <v>Lapp-Non Moving Stocks</v>
          </cell>
        </row>
        <row r="4917">
          <cell r="A4917" t="str">
            <v>63104160 (RING CABLE LUGS L-RB 3)</v>
          </cell>
          <cell r="B4917" t="str">
            <v>63104160(RING CABLE LUGS L-RB 3)</v>
          </cell>
          <cell r="C4917" t="str">
            <v>LAPP</v>
          </cell>
          <cell r="D4917" t="str">
            <v>Lapp-Non Moving Stocks</v>
          </cell>
        </row>
        <row r="4918">
          <cell r="A4918" t="str">
            <v>63104170 (RING CABLE LUGS L-RB 4)</v>
          </cell>
          <cell r="B4918" t="str">
            <v>63104170(RING CABLE LUGS L-RB 4)</v>
          </cell>
          <cell r="C4918" t="str">
            <v>LAPP</v>
          </cell>
          <cell r="D4918" t="str">
            <v>Lapp-Non Moving Stocks</v>
          </cell>
        </row>
        <row r="4919">
          <cell r="A4919" t="str">
            <v>63104190_x000D_
 (RING CABLE LUGS L-RB 6_x000D_
)</v>
          </cell>
          <cell r="B4919" t="str">
            <v>63104190_x000D_
(RING CABLE LUGS L-RB 6_x000D_
)</v>
          </cell>
          <cell r="C4919" t="str">
            <v>LAPP</v>
          </cell>
          <cell r="D4919" t="str">
            <v>Lapp-Non Moving Stocks</v>
          </cell>
        </row>
        <row r="4920">
          <cell r="A4920" t="str">
            <v>63104200 (RING CABLE LUGS L-RB 8)</v>
          </cell>
          <cell r="B4920" t="str">
            <v>63104200(RING CABLE LUGS L-RB 8)</v>
          </cell>
          <cell r="C4920" t="str">
            <v>LAPP</v>
          </cell>
          <cell r="D4920" t="str">
            <v>Lapp-Non Moving Stocks</v>
          </cell>
        </row>
        <row r="4921">
          <cell r="A4921" t="str">
            <v>63104380 (RING CABLE LUGS L-RC 10_x000D_
)</v>
          </cell>
          <cell r="B4921" t="str">
            <v>63104380(RING CABLE LUGS L-RC 10_x000D_
)</v>
          </cell>
          <cell r="C4921" t="str">
            <v>LAPP</v>
          </cell>
          <cell r="D4921" t="str">
            <v>Lapp-Non Moving Stocks</v>
          </cell>
        </row>
        <row r="4922">
          <cell r="A4922" t="str">
            <v>63104340 (RING CABLE LUGS L-RC 4)</v>
          </cell>
          <cell r="B4922" t="str">
            <v>63104340(RING CABLE LUGS L-RC 4)</v>
          </cell>
          <cell r="C4922" t="str">
            <v>LAPP</v>
          </cell>
          <cell r="D4922" t="str">
            <v>Lapp-Non Moving Stocks</v>
          </cell>
        </row>
        <row r="4923">
          <cell r="A4923" t="str">
            <v>63104360_x000D_
 (RING CABLE LUGS L-RC 6_x000D_
)</v>
          </cell>
          <cell r="B4923" t="str">
            <v>63104360_x000D_
(RING CABLE LUGS L-RC 6_x000D_
)</v>
          </cell>
          <cell r="C4923" t="str">
            <v>LAPP</v>
          </cell>
          <cell r="D4923" t="str">
            <v>Lapp-Non Moving Stocks</v>
          </cell>
        </row>
        <row r="4924">
          <cell r="A4924" t="str">
            <v>63104010 (RING CABLE LUGS L-RZ 3)</v>
          </cell>
          <cell r="B4924" t="str">
            <v>63104010(RING CABLE LUGS L-RZ 3)</v>
          </cell>
          <cell r="C4924" t="str">
            <v>LAPP</v>
          </cell>
          <cell r="D4924" t="str">
            <v>Lapp-Non Moving Stocks</v>
          </cell>
        </row>
        <row r="4925">
          <cell r="A4925" t="str">
            <v>63104030 (RING CABLE LUGS L-RZ 5)</v>
          </cell>
          <cell r="B4925" t="str">
            <v>63104030(RING CABLE LUGS L-RZ 5)</v>
          </cell>
          <cell r="C4925" t="str">
            <v>LAPP</v>
          </cell>
          <cell r="D4925" t="str">
            <v>Lapp-Non Moving Stocks</v>
          </cell>
        </row>
        <row r="4926">
          <cell r="A4926" t="str">
            <v>63108010 (TALON FORK CABLE LUG L-RA 35FF)</v>
          </cell>
          <cell r="B4926" t="str">
            <v>63108010(TALON FORK CABLE LUG L-RA 35FF)</v>
          </cell>
          <cell r="C4926" t="str">
            <v>LAPP</v>
          </cell>
          <cell r="D4926" t="str">
            <v>Lapp-Non Moving Stocks</v>
          </cell>
        </row>
        <row r="4927">
          <cell r="A4927" t="str">
            <v>63108040 (TALON FORK CABLE LUGS L-RB 4FF)</v>
          </cell>
          <cell r="B4927" t="str">
            <v>63108040(TALON FORK CABLE LUGS L-RB 4FF)</v>
          </cell>
          <cell r="C4927" t="str">
            <v>LAPP</v>
          </cell>
          <cell r="D4927" t="str">
            <v>Lapp-Non Moving Stocks</v>
          </cell>
        </row>
        <row r="4928">
          <cell r="A4928" t="str">
            <v>61803090 (TUBE CABLE LUGS KRF/25-12_x000D_
)</v>
          </cell>
          <cell r="B4928" t="str">
            <v>61803090(TUBE CABLE LUGS KRF/25-12_x000D_
)</v>
          </cell>
          <cell r="C4928" t="str">
            <v>LAPP</v>
          </cell>
          <cell r="D4928" t="str">
            <v>Lapp-Non Moving Stocks</v>
          </cell>
        </row>
        <row r="4929">
          <cell r="A4929" t="str">
            <v>61796660 (TUBE CABLE LUGS KRT/10-8_x000D_
)</v>
          </cell>
          <cell r="B4929" t="str">
            <v>61796660(TUBE CABLE LUGS KRT/10-8_x000D_
)</v>
          </cell>
          <cell r="C4929" t="str">
            <v>LAPP</v>
          </cell>
          <cell r="D4929" t="str">
            <v>Lapp-Non Moving Stocks</v>
          </cell>
        </row>
        <row r="4930">
          <cell r="A4930" t="str">
            <v>61796740 (TUBE CABLE LUGS KRT/25-6)</v>
          </cell>
          <cell r="B4930" t="str">
            <v>61796740(TUBE CABLE LUGS KRT/25-6)</v>
          </cell>
          <cell r="C4930" t="str">
            <v>LAPP</v>
          </cell>
          <cell r="D4930" t="str">
            <v>Lapp-Non Moving Stocks</v>
          </cell>
        </row>
        <row r="4931">
          <cell r="A4931" t="str">
            <v>61796750 (TUBE CABLE LUGS KRT/25-8)</v>
          </cell>
          <cell r="B4931" t="str">
            <v>61796750(TUBE CABLE LUGS KRT/25-8)</v>
          </cell>
          <cell r="C4931" t="str">
            <v>LAPP</v>
          </cell>
          <cell r="D4931" t="str">
            <v>Lapp-Non Moving Stocks</v>
          </cell>
        </row>
        <row r="4932">
          <cell r="A4932" t="str">
            <v>61796840 (TUBE CABLE LUGS KRT/50-10_x000D_
)</v>
          </cell>
          <cell r="B4932" t="str">
            <v>61796840(TUBE CABLE LUGS KRT/50-10_x000D_
)</v>
          </cell>
          <cell r="C4932" t="str">
            <v>LAPP</v>
          </cell>
          <cell r="D4932" t="str">
            <v>Lapp-Non Moving Stocks</v>
          </cell>
        </row>
        <row r="4933">
          <cell r="A4933" t="str">
            <v>52104504 ("SKINDICHT KU-M20X1,5/16X1,5 MOULD B FLA)</v>
          </cell>
          <cell r="B4933" t="str">
            <v>52104504("SKINDICHT KU-M20X1,5/16X1,5 MOULD B FLA)</v>
          </cell>
          <cell r="C4933" t="str">
            <v>LAPP</v>
          </cell>
          <cell r="D4933" t="str">
            <v>Lapp-Non Moving Stocks</v>
          </cell>
        </row>
        <row r="4934">
          <cell r="A4934" t="str">
            <v>51730040 ("SKINDICHT KU PG 21/13,5"_x000D_
)</v>
          </cell>
          <cell r="B4934" t="str">
            <v>51730040("SKINDICHT KU PG 21/13,5"_x000D_
)</v>
          </cell>
          <cell r="C4934" t="str">
            <v>LAPP</v>
          </cell>
          <cell r="D4934" t="str">
            <v>Lapp-Non Moving Stocks</v>
          </cell>
        </row>
        <row r="4935">
          <cell r="A4935" t="str">
            <v>61802066 (END SLEEVES XL 1.0 RD 10_x000D_
)</v>
          </cell>
          <cell r="B4935" t="str">
            <v>61802066(END SLEEVES XL 1.0 RD 10_x000D_
)</v>
          </cell>
          <cell r="C4935" t="str">
            <v>LAPP</v>
          </cell>
          <cell r="D4935" t="str">
            <v>Lapp-Non Moving Stocks</v>
          </cell>
        </row>
        <row r="4936">
          <cell r="A4936" t="str">
            <v>61802068 (END SLEEVES XL 1.5 BK 10_x000D_
)</v>
          </cell>
          <cell r="B4936" t="str">
            <v>61802068(END SLEEVES XL 1.5 BK 10_x000D_
)</v>
          </cell>
          <cell r="C4936" t="str">
            <v>LAPP</v>
          </cell>
          <cell r="D4936" t="str">
            <v>Lapp-Non Moving Stocks</v>
          </cell>
        </row>
        <row r="4937">
          <cell r="A4937" t="str">
            <v>52100326 (SKINDICHT A-PG/M11/20x1,5 HIGH_x000D_
)</v>
          </cell>
          <cell r="B4937" t="str">
            <v>52100326(SKINDICHT A-PG/M11/20x1,5 HIGH_x000D_
)</v>
          </cell>
          <cell r="C4937" t="str">
            <v>LAPP</v>
          </cell>
          <cell r="D4937" t="str">
            <v>Lapp-Non Moving Stocks</v>
          </cell>
        </row>
        <row r="4938">
          <cell r="A4938" t="str">
            <v>52100323 (SKINDICHT A-PG/M 9/16x1,5 HIGH_x000D_
)</v>
          </cell>
          <cell r="B4938" t="str">
            <v>52100323(SKINDICHT A-PG/M 9/16x1,5 HIGH_x000D_
)</v>
          </cell>
          <cell r="C4938" t="str">
            <v>LAPP</v>
          </cell>
          <cell r="D4938" t="str">
            <v>Lapp-Non Moving Stocks</v>
          </cell>
        </row>
        <row r="4939">
          <cell r="A4939" t="str">
            <v>52006126 (SKINDICHT BLK-GL-M 20x1,5 +O-RING BK_x000D_
)</v>
          </cell>
          <cell r="B4939" t="str">
            <v>52006126(SKINDICHT BLK-GL-M 20x1,5 +O-RING BK_x000D_
)</v>
          </cell>
          <cell r="C4939" t="str">
            <v>LAPP</v>
          </cell>
          <cell r="D4939" t="str">
            <v>Lapp-Non Moving Stocks</v>
          </cell>
        </row>
        <row r="4940">
          <cell r="A4940" t="str">
            <v>52006136 (SKINDICHT BLK-GL-M 25x1,5 +O-RING BK_x000D_
)</v>
          </cell>
          <cell r="B4940" t="str">
            <v>52006136(SKINDICHT BLK-GL-M 25x1,5 +O-RING BK_x000D_
)</v>
          </cell>
          <cell r="C4940" t="str">
            <v>LAPP</v>
          </cell>
          <cell r="D4940" t="str">
            <v>Lapp-Non Moving Stocks</v>
          </cell>
        </row>
        <row r="4941">
          <cell r="A4941" t="str">
            <v>52006156 (SKINDICHT BLK-GL-M 40x1,5 +O-RING BK_x000D_
)</v>
          </cell>
          <cell r="B4941" t="str">
            <v>52006156(SKINDICHT BLK-GL-M 40x1,5 +O-RING BK_x000D_
)</v>
          </cell>
          <cell r="C4941" t="str">
            <v>LAPP</v>
          </cell>
          <cell r="D4941" t="str">
            <v>Lapp-Non Moving Stocks</v>
          </cell>
        </row>
        <row r="4942">
          <cell r="A4942" t="str">
            <v>52006177 (SKINDICHT BLK-GL-M 63x1,5 +O-RING GY_x000D_
)</v>
          </cell>
          <cell r="B4942" t="str">
            <v>52006177(SKINDICHT BLK-GL-M 63x1,5 +O-RING GY_x000D_
)</v>
          </cell>
          <cell r="C4942" t="str">
            <v>LAPP</v>
          </cell>
          <cell r="D4942" t="str">
            <v>Lapp-Non Moving Stocks</v>
          </cell>
        </row>
        <row r="4943">
          <cell r="A4943" t="str">
            <v>52006170 (SKINDICHT BLK-GL-M 63x1,5 RAL 7035 LGY_x000D_
)</v>
          </cell>
          <cell r="B4943" t="str">
            <v>52006170(SKINDICHT BLK-GL-M 63x1,5 RAL 7035 LGY_x000D_
)</v>
          </cell>
          <cell r="C4943" t="str">
            <v>LAPP</v>
          </cell>
          <cell r="D4943" t="str">
            <v>Lapp-Non Moving Stocks</v>
          </cell>
        </row>
        <row r="4944">
          <cell r="A4944" t="str">
            <v>52006600 (SKINDICHT BLK-M 12x1,5 RAL 7035 LGY_x000D_
)</v>
          </cell>
          <cell r="B4944" t="str">
            <v>52006600(SKINDICHT BLK-M 12x1,5 RAL 7035 LGY_x000D_
)</v>
          </cell>
          <cell r="C4944" t="str">
            <v>LAPP</v>
          </cell>
          <cell r="D4944" t="str">
            <v>Lapp-Non Moving Stocks</v>
          </cell>
        </row>
        <row r="4945">
          <cell r="A4945" t="str">
            <v>52006610 (SKINDICHT BLK-M 16x1,5 RAL 7035 LGY_x000D_
)</v>
          </cell>
          <cell r="B4945" t="str">
            <v>52006610(SKINDICHT BLK-M 16x1,5 RAL 7035 LGY_x000D_
)</v>
          </cell>
          <cell r="C4945" t="str">
            <v>LAPP</v>
          </cell>
          <cell r="D4945" t="str">
            <v>Lapp-Non Moving Stocks</v>
          </cell>
        </row>
        <row r="4946">
          <cell r="A4946" t="str">
            <v>52006620 (SKINDICHT BLK-M 20x1,5 RAL 7035 LGY_x000D_
)</v>
          </cell>
          <cell r="B4946" t="str">
            <v>52006620(SKINDICHT BLK-M 20x1,5 RAL 7035 LGY_x000D_
)</v>
          </cell>
          <cell r="C4946" t="str">
            <v>LAPP</v>
          </cell>
          <cell r="D4946" t="str">
            <v>Lapp-Non Moving Stocks</v>
          </cell>
        </row>
        <row r="4947">
          <cell r="A4947" t="str">
            <v>52006630 (SKINDICHT BLK-M 25x1,5 RAL 7035 LGY)</v>
          </cell>
          <cell r="B4947" t="str">
            <v>52006630(SKINDICHT BLK-M 25x1,5 RAL 7035 LGY)</v>
          </cell>
          <cell r="C4947" t="str">
            <v>LAPP</v>
          </cell>
          <cell r="D4947" t="str">
            <v>Lapp-Non Moving Stocks</v>
          </cell>
        </row>
        <row r="4948">
          <cell r="A4948" t="str">
            <v>52005960_x000D_
 (SKINDICHT BLK PG 11 RAL 7035 LGY_x000D_
)</v>
          </cell>
          <cell r="B4948" t="str">
            <v>52005960_x000D_
(SKINDICHT BLK PG 11 RAL 7035 LGY_x000D_
)</v>
          </cell>
          <cell r="C4948" t="str">
            <v>LAPP</v>
          </cell>
          <cell r="D4948" t="str">
            <v>Lapp-Non Moving Stocks</v>
          </cell>
        </row>
        <row r="4949">
          <cell r="A4949" t="str">
            <v>52005970 (SKINDICHT BLK PG 13,5 RAL 7035 LGY_x000D_
)</v>
          </cell>
          <cell r="B4949" t="str">
            <v>52005970(SKINDICHT BLK PG 13,5 RAL 7035 LGY_x000D_
)</v>
          </cell>
          <cell r="C4949" t="str">
            <v>LAPP</v>
          </cell>
          <cell r="D4949" t="str">
            <v>Lapp-Non Moving Stocks</v>
          </cell>
        </row>
        <row r="4950">
          <cell r="A4950" t="str">
            <v>52005980 (SKINDICHT BLK PG 16 RAL 7035 LGY)</v>
          </cell>
          <cell r="B4950" t="str">
            <v>52005980(SKINDICHT BLK PG 16 RAL 7035 LGY)</v>
          </cell>
          <cell r="C4950" t="str">
            <v>LAPP</v>
          </cell>
          <cell r="D4950" t="str">
            <v>Lapp-Non Moving Stocks</v>
          </cell>
        </row>
        <row r="4951">
          <cell r="A4951" t="str">
            <v>52005990_x000D_
 (SKINDICHT BLK PG 21 RAL 7035 LGY_x000D_
)</v>
          </cell>
          <cell r="B4951" t="str">
            <v>52005990_x000D_
(SKINDICHT BLK PG 21 RAL 7035 LGY_x000D_
)</v>
          </cell>
          <cell r="C4951" t="str">
            <v>LAPP</v>
          </cell>
          <cell r="D4951" t="str">
            <v>Lapp-Non Moving Stocks</v>
          </cell>
        </row>
        <row r="4952">
          <cell r="A4952" t="str">
            <v>52006000 (SKINDICHT BLK PG 29 RAL 7035 LGY)</v>
          </cell>
          <cell r="B4952" t="str">
            <v>52006000(SKINDICHT BLK PG 29 RAL 7035 LGY)</v>
          </cell>
          <cell r="C4952" t="str">
            <v>LAPP</v>
          </cell>
          <cell r="D4952" t="str">
            <v>Lapp-Non Moving Stocks</v>
          </cell>
        </row>
        <row r="4953">
          <cell r="A4953" t="str">
            <v>52006010 (SKINDICHT BLK PG 36 RAL 7035 LGY_x000D_
)</v>
          </cell>
          <cell r="B4953" t="str">
            <v>52006010(SKINDICHT BLK PG 36 RAL 7035 LGY_x000D_
)</v>
          </cell>
          <cell r="C4953" t="str">
            <v>LAPP</v>
          </cell>
          <cell r="D4953" t="str">
            <v>Lapp-Non Moving Stocks</v>
          </cell>
        </row>
        <row r="4954">
          <cell r="A4954" t="str">
            <v>52006030 (SKINDICHT BLK PG 48 RAL 7035 LGY)</v>
          </cell>
          <cell r="B4954" t="str">
            <v>52006030(SKINDICHT BLK PG 48 RAL 7035 LGY)</v>
          </cell>
          <cell r="C4954" t="str">
            <v>LAPP</v>
          </cell>
          <cell r="D4954" t="str">
            <v>Lapp-Non Moving Stocks</v>
          </cell>
        </row>
        <row r="4955">
          <cell r="A4955" t="str">
            <v>52005949 (SKINDICHT BLK PG 7 RAL 7035 LGY)</v>
          </cell>
          <cell r="B4955" t="str">
            <v>52005949(SKINDICHT BLK PG 7 RAL 7035 LGY)</v>
          </cell>
          <cell r="C4955" t="str">
            <v>LAPP</v>
          </cell>
          <cell r="D4955" t="str">
            <v>Lapp-Non Moving Stocks</v>
          </cell>
        </row>
        <row r="4956">
          <cell r="A4956" t="str">
            <v>52005950 (SKINDICHT BLK PG 9 RAL 7035 LGY)</v>
          </cell>
          <cell r="B4956" t="str">
            <v>52005950(SKINDICHT BLK PG 9 RAL 7035 LGY)</v>
          </cell>
          <cell r="C4956" t="str">
            <v>LAPP</v>
          </cell>
          <cell r="D4956" t="str">
            <v>Lapp-Non Moving Stocks</v>
          </cell>
        </row>
        <row r="4957">
          <cell r="A4957" t="str">
            <v>52103100 (SKINDICHT BL-M 12x1,5)</v>
          </cell>
          <cell r="B4957" t="str">
            <v>52103100(SKINDICHT BL-M 12x1,5)</v>
          </cell>
          <cell r="C4957" t="str">
            <v>LAPP</v>
          </cell>
          <cell r="D4957" t="str">
            <v>Lapp-Non Moving Stocks</v>
          </cell>
        </row>
        <row r="4958">
          <cell r="A4958" t="str">
            <v>52103110 (SKINDICHT BL-M 16x1,5)</v>
          </cell>
          <cell r="B4958" t="str">
            <v>52103110(SKINDICHT BL-M 16x1,5)</v>
          </cell>
          <cell r="C4958" t="str">
            <v>LAPP</v>
          </cell>
          <cell r="D4958" t="str">
            <v>Lapp-Non Moving Stocks</v>
          </cell>
        </row>
        <row r="4959">
          <cell r="A4959" t="str">
            <v>52103120 (SKINDICHT BL-M 20x1,5)</v>
          </cell>
          <cell r="B4959" t="str">
            <v>52103120(SKINDICHT BL-M 20x1,5)</v>
          </cell>
          <cell r="C4959" t="str">
            <v>LAPP</v>
          </cell>
          <cell r="D4959" t="str">
            <v>Lapp-Non Moving Stocks</v>
          </cell>
        </row>
        <row r="4960">
          <cell r="A4960" t="str">
            <v>52103125 (SKINDICHT BL-M 20x1,5 +O-Ring)</v>
          </cell>
          <cell r="B4960" t="str">
            <v>52103125(SKINDICHT BL-M 20x1,5 +O-Ring)</v>
          </cell>
          <cell r="C4960" t="str">
            <v>LAPP</v>
          </cell>
          <cell r="D4960" t="str">
            <v>Lapp-Non Moving Stocks</v>
          </cell>
        </row>
        <row r="4961">
          <cell r="A4961" t="str">
            <v>52103130 (SKINDICHT BL-M 25x1,5)</v>
          </cell>
          <cell r="B4961" t="str">
            <v>52103130(SKINDICHT BL-M 25x1,5)</v>
          </cell>
          <cell r="C4961" t="str">
            <v>LAPP</v>
          </cell>
          <cell r="D4961" t="str">
            <v>Lapp-Non Moving Stocks</v>
          </cell>
        </row>
        <row r="4962">
          <cell r="A4962" t="str">
            <v>52103103 (SKINDICHT BL-M ATEX 12x1,5)</v>
          </cell>
          <cell r="B4962" t="str">
            <v>52103103(SKINDICHT BL-M ATEX 12x1,5)</v>
          </cell>
          <cell r="C4962" t="str">
            <v>LAPP</v>
          </cell>
          <cell r="D4962" t="str">
            <v>Lapp-Non Moving Stocks</v>
          </cell>
        </row>
        <row r="4963">
          <cell r="A4963" t="str">
            <v>52103113 (SKINDICHT BL-M ATEX 16x1,5)</v>
          </cell>
          <cell r="B4963" t="str">
            <v>52103113(SKINDICHT BL-M ATEX 16x1,5)</v>
          </cell>
          <cell r="C4963" t="str">
            <v>LAPP</v>
          </cell>
          <cell r="D4963" t="str">
            <v>Lapp-Non Moving Stocks</v>
          </cell>
        </row>
        <row r="4964">
          <cell r="A4964" t="str">
            <v>52103123 (SKINDICHT BL-M ATEX 20x1,5)</v>
          </cell>
          <cell r="B4964" t="str">
            <v>52103123(SKINDICHT BL-M ATEX 20x1,5)</v>
          </cell>
          <cell r="C4964" t="str">
            <v>LAPP</v>
          </cell>
          <cell r="D4964" t="str">
            <v>Lapp-Non Moving Stocks</v>
          </cell>
        </row>
        <row r="4965">
          <cell r="A4965" t="str">
            <v>52103133 (SKINDICHT BL-M ATEX 25x1,5)</v>
          </cell>
          <cell r="B4965" t="str">
            <v>52103133(SKINDICHT BL-M ATEX 25x1,5)</v>
          </cell>
          <cell r="C4965" t="str">
            <v>LAPP</v>
          </cell>
          <cell r="D4965" t="str">
            <v>Lapp-Non Moving Stocks</v>
          </cell>
        </row>
        <row r="4966">
          <cell r="A4966" t="str">
            <v>52103143 (SKINDICHT BL-M ATEX 32x1,5_x000D_
)</v>
          </cell>
          <cell r="B4966" t="str">
            <v>52103143(SKINDICHT BL-M ATEX 32x1,5_x000D_
)</v>
          </cell>
          <cell r="C4966" t="str">
            <v>LAPP</v>
          </cell>
          <cell r="D4966" t="str">
            <v>Lapp-Non Moving Stocks</v>
          </cell>
        </row>
        <row r="4967">
          <cell r="A4967" t="str">
            <v>52103153 (SKINDICHT BL-M ATEX 40x1,5)</v>
          </cell>
          <cell r="B4967" t="str">
            <v>52103153(SKINDICHT BL-M ATEX 40x1,5)</v>
          </cell>
          <cell r="C4967" t="str">
            <v>LAPP</v>
          </cell>
          <cell r="D4967" t="str">
            <v>Lapp-Non Moving Stocks</v>
          </cell>
        </row>
        <row r="4968">
          <cell r="A4968" t="str">
            <v>52032610 (SKINDICHT CN-M 16x1,5_x000D_
)</v>
          </cell>
          <cell r="B4968" t="str">
            <v>52032610(SKINDICHT CN-M 16x1,5_x000D_
)</v>
          </cell>
          <cell r="C4968" t="str">
            <v>LAPP</v>
          </cell>
          <cell r="D4968" t="str">
            <v>Lapp-Non Moving Stocks</v>
          </cell>
        </row>
        <row r="4969">
          <cell r="A4969" t="str">
            <v>52032620 (SKINDICHT CN-M 20x1,5_x000D_
)</v>
          </cell>
          <cell r="B4969" t="str">
            <v>52032620(SKINDICHT CN-M 20x1,5_x000D_
)</v>
          </cell>
          <cell r="C4969" t="str">
            <v>LAPP</v>
          </cell>
          <cell r="D4969" t="str">
            <v>Lapp-Non Moving Stocks</v>
          </cell>
        </row>
        <row r="4970">
          <cell r="A4970" t="str">
            <v>52100301 (SKINDICHT EKU-M 16x1,5/20x1,5)</v>
          </cell>
          <cell r="B4970" t="str">
            <v>52100301(SKINDICHT EKU-M 16x1,5/20x1,5)</v>
          </cell>
          <cell r="C4970" t="str">
            <v>LAPP</v>
          </cell>
          <cell r="D4970" t="str">
            <v>Lapp-Non Moving Stocks</v>
          </cell>
        </row>
        <row r="4971">
          <cell r="A4971" t="str">
            <v>52003720 (SKINDICHT E PG 21 incised seal_x000D_
)</v>
          </cell>
          <cell r="B4971" t="str">
            <v>52003720(SKINDICHT E PG 21 incised seal_x000D_
)</v>
          </cell>
          <cell r="C4971" t="str">
            <v>LAPP</v>
          </cell>
          <cell r="D4971" t="str">
            <v>Lapp-Non Moving Stocks</v>
          </cell>
        </row>
        <row r="4972">
          <cell r="A4972" t="str">
            <v>52008050_x000D_
 (SKINDICHT FL5_x000D_
)</v>
          </cell>
          <cell r="B4972" t="str">
            <v>52008050_x000D_
(SKINDICHT FL5_x000D_
)</v>
          </cell>
          <cell r="C4972" t="str">
            <v>LAPP</v>
          </cell>
          <cell r="D4972" t="str">
            <v>Lapp-Non Moving Stocks</v>
          </cell>
        </row>
        <row r="4973">
          <cell r="A4973" t="str">
            <v>52000140 (SKINDICHT GMK PG 13,5 RAL 7035 LGY_x000D_
)</v>
          </cell>
          <cell r="B4973" t="str">
            <v>52000140(SKINDICHT GMK PG 13,5 RAL 7035 LGY_x000D_
)</v>
          </cell>
          <cell r="C4973" t="str">
            <v>LAPP</v>
          </cell>
          <cell r="D4973" t="str">
            <v>Lapp-Non Moving Stocks</v>
          </cell>
        </row>
        <row r="4974">
          <cell r="A4974" t="str">
            <v>52000190 (SKINDICHT GMK PG 42 RAL 7035 LGY_x000D_
)</v>
          </cell>
          <cell r="B4974" t="str">
            <v>52000190(SKINDICHT GMK PG 42 RAL 7035 LGY_x000D_
)</v>
          </cell>
          <cell r="C4974" t="str">
            <v>LAPP</v>
          </cell>
          <cell r="D4974" t="str">
            <v>Lapp-Non Moving Stocks</v>
          </cell>
        </row>
        <row r="4975">
          <cell r="A4975" t="str">
            <v>52000110 (SKINDICHT GMK PG 7 RAL 7035 LGY_x000D_
)</v>
          </cell>
          <cell r="B4975" t="str">
            <v>52000110(SKINDICHT GMK PG 7 RAL 7035 LGY_x000D_
)</v>
          </cell>
          <cell r="C4975" t="str">
            <v>LAPP</v>
          </cell>
          <cell r="D4975" t="str">
            <v>Lapp-Non Moving Stocks</v>
          </cell>
        </row>
        <row r="4976">
          <cell r="A4976" t="str">
            <v>53801070 (SKINDICHT JT ÖLFLON M32)</v>
          </cell>
          <cell r="B4976" t="str">
            <v>53801070(SKINDICHT JT ÖLFLON M32)</v>
          </cell>
          <cell r="C4976" t="str">
            <v>LAPP</v>
          </cell>
          <cell r="D4976" t="str">
            <v>Lapp-Non Moving Stocks</v>
          </cell>
        </row>
        <row r="4977">
          <cell r="A4977" t="str">
            <v>51730030 (SKINDICHT KUK PG 16/11)</v>
          </cell>
          <cell r="B4977" t="str">
            <v>51730030(SKINDICHT KUK PG 16/11)</v>
          </cell>
          <cell r="C4977" t="str">
            <v>LAPP</v>
          </cell>
          <cell r="D4977" t="str">
            <v>Lapp-Non Moving Stocks</v>
          </cell>
        </row>
        <row r="4978">
          <cell r="A4978" t="str">
            <v>51730025 (SKINDICHT KUK PG 16/9_x000D_
)</v>
          </cell>
          <cell r="B4978" t="str">
            <v>51730025(SKINDICHT KUK PG 16/9_x000D_
)</v>
          </cell>
          <cell r="C4978" t="str">
            <v>LAPP</v>
          </cell>
          <cell r="D4978" t="str">
            <v>Lapp-Non Moving Stocks</v>
          </cell>
        </row>
        <row r="4979">
          <cell r="A4979" t="str">
            <v>51730090 (SKINDICHT KUK PG 21/16_x000D_
)</v>
          </cell>
          <cell r="B4979" t="str">
            <v>51730090(SKINDICHT KUK PG 21/16_x000D_
)</v>
          </cell>
          <cell r="C4979" t="str">
            <v>LAPP</v>
          </cell>
          <cell r="D4979" t="str">
            <v>Lapp-Non Moving Stocks</v>
          </cell>
        </row>
        <row r="4980">
          <cell r="A4980" t="str">
            <v>52104473 (SKINDICHT KU-M 25x1,5/16x1,5_x000D_
)</v>
          </cell>
          <cell r="B4980" t="str">
            <v>52104473(SKINDICHT KU-M 25x1,5/16x1,5_x000D_
)</v>
          </cell>
          <cell r="C4980" t="str">
            <v>LAPP</v>
          </cell>
          <cell r="D4980" t="str">
            <v>Lapp-Non Moving Stocks</v>
          </cell>
        </row>
        <row r="4981">
          <cell r="A4981" t="str">
            <v>52104474 (SKINDICHT KU-M 25x1,5/20x1,5_x000D_
)</v>
          </cell>
          <cell r="B4981" t="str">
            <v>52104474(SKINDICHT KU-M 25x1,5/20x1,5_x000D_
)</v>
          </cell>
          <cell r="C4981" t="str">
            <v>LAPP</v>
          </cell>
          <cell r="D4981" t="str">
            <v>Lapp-Non Moving Stocks</v>
          </cell>
        </row>
        <row r="4982">
          <cell r="A4982" t="str">
            <v>52104476 (SKINDICHT KU-M 32x1,5/16x1,5)</v>
          </cell>
          <cell r="B4982" t="str">
            <v>52104476(SKINDICHT KU-M 32x1,5/16x1,5)</v>
          </cell>
          <cell r="C4982" t="str">
            <v>LAPP</v>
          </cell>
          <cell r="D4982" t="str">
            <v>Lapp-Non Moving Stocks</v>
          </cell>
        </row>
        <row r="4983">
          <cell r="A4983" t="str">
            <v>52104477 (SKINDICHT KU-M 32x1,5/20x1,5)</v>
          </cell>
          <cell r="B4983" t="str">
            <v>52104477(SKINDICHT KU-M 32x1,5/20x1,5)</v>
          </cell>
          <cell r="C4983" t="str">
            <v>LAPP</v>
          </cell>
          <cell r="D4983" t="str">
            <v>Lapp-Non Moving Stocks</v>
          </cell>
        </row>
        <row r="4984">
          <cell r="A4984" t="str">
            <v>52104478 (SKINDICHT KU-M 32x1,5/25x1,5)</v>
          </cell>
          <cell r="B4984" t="str">
            <v>52104478(SKINDICHT KU-M 32x1,5/25x1,5)</v>
          </cell>
          <cell r="C4984" t="str">
            <v>LAPP</v>
          </cell>
          <cell r="D4984" t="str">
            <v>Lapp-Non Moving Stocks</v>
          </cell>
        </row>
        <row r="4985">
          <cell r="A4985" t="str">
            <v>52104532 (SKINDICHT KU-M 40/32 BK)</v>
          </cell>
          <cell r="B4985" t="str">
            <v>52104532(SKINDICHT KU-M 40/32 BK)</v>
          </cell>
          <cell r="C4985" t="str">
            <v>LAPP</v>
          </cell>
          <cell r="D4985" t="str">
            <v>Lapp-Non Moving Stocks</v>
          </cell>
        </row>
        <row r="4986">
          <cell r="A4986" t="str">
            <v>52104481 (SKINDICHT KU-M 40x1,5/25x1,5_x000D_
)</v>
          </cell>
          <cell r="B4986" t="str">
            <v>52104481(SKINDICHT KU-M 40x1,5/25x1,5_x000D_
)</v>
          </cell>
          <cell r="C4986" t="str">
            <v>LAPP</v>
          </cell>
          <cell r="D4986" t="str">
            <v>Lapp-Non Moving Stocks</v>
          </cell>
        </row>
        <row r="4987">
          <cell r="A4987" t="str">
            <v>52104482_x000D_
 (SKINDICHT KU-M 40x1,5/32x1,5_x000D_
)</v>
          </cell>
          <cell r="B4987" t="str">
            <v>52104482_x000D_
(SKINDICHT KU-M 40x1,5/32x1,5_x000D_
)</v>
          </cell>
          <cell r="C4987" t="str">
            <v>LAPP</v>
          </cell>
          <cell r="D4987" t="str">
            <v>Lapp-Non Moving Stocks</v>
          </cell>
        </row>
        <row r="4988">
          <cell r="A4988" t="str">
            <v>52104484 (SKINDICHT KU-M 50x1,5/25x1,5_x000D_
)</v>
          </cell>
          <cell r="B4988" t="str">
            <v>52104484(SKINDICHT KU-M 50x1,5/25x1,5_x000D_
)</v>
          </cell>
          <cell r="C4988" t="str">
            <v>LAPP</v>
          </cell>
          <cell r="D4988" t="str">
            <v>Lapp-Non Moving Stocks</v>
          </cell>
        </row>
        <row r="4989">
          <cell r="A4989" t="str">
            <v>52104485 (SKINDICHT KU-M 50x1,5/32x1,5)</v>
          </cell>
          <cell r="B4989" t="str">
            <v>52104485(SKINDICHT KU-M 50x1,5/32x1,5)</v>
          </cell>
          <cell r="C4989" t="str">
            <v>LAPP</v>
          </cell>
          <cell r="D4989" t="str">
            <v>Lapp-Non Moving Stocks</v>
          </cell>
        </row>
        <row r="4990">
          <cell r="A4990" t="str">
            <v>52104486 (SKINDICHT KU-M 50x1,5/40x1,5)</v>
          </cell>
          <cell r="B4990" t="str">
            <v>52104486(SKINDICHT KU-M 50x1,5/40x1,5)</v>
          </cell>
          <cell r="C4990" t="str">
            <v>LAPP</v>
          </cell>
          <cell r="D4990" t="str">
            <v>Lapp-Non Moving Stocks</v>
          </cell>
        </row>
        <row r="4991">
          <cell r="A4991" t="str">
            <v>52104489 (SKINDICHT KU-M 63x1,5/40x1,5)</v>
          </cell>
          <cell r="B4991" t="str">
            <v>52104489(SKINDICHT KU-M 63x1,5/40x1,5)</v>
          </cell>
          <cell r="C4991" t="str">
            <v>LAPP</v>
          </cell>
          <cell r="D4991" t="str">
            <v>Lapp-Non Moving Stocks</v>
          </cell>
        </row>
        <row r="4992">
          <cell r="A4992" t="str">
            <v>52025110 (SKINDICHT KU PG 16/9)</v>
          </cell>
          <cell r="B4992" t="str">
            <v>52025110(SKINDICHT KU PG 16/9)</v>
          </cell>
          <cell r="C4992" t="str">
            <v>LAPP</v>
          </cell>
          <cell r="D4992" t="str">
            <v>Lapp-Non Moving Stocks</v>
          </cell>
        </row>
        <row r="4993">
          <cell r="A4993" t="str">
            <v>52025120 (SKINDICHT KU PG 21/11)</v>
          </cell>
          <cell r="B4993" t="str">
            <v>52025120(SKINDICHT KU PG 21/11)</v>
          </cell>
          <cell r="C4993" t="str">
            <v>LAPP</v>
          </cell>
          <cell r="D4993" t="str">
            <v>Lapp-Non Moving Stocks</v>
          </cell>
        </row>
        <row r="4994">
          <cell r="A4994" t="str">
            <v>52025150 (SKINDICHT KU PG 36/21)</v>
          </cell>
          <cell r="B4994" t="str">
            <v>52025150(SKINDICHT KU PG 36/21)</v>
          </cell>
          <cell r="C4994" t="str">
            <v>LAPP</v>
          </cell>
          <cell r="D4994" t="str">
            <v>Lapp-Non Moving Stocks</v>
          </cell>
        </row>
        <row r="4995">
          <cell r="A4995" t="str">
            <v>52025060 (SKINDICHT KU PG 42/36)</v>
          </cell>
          <cell r="B4995" t="str">
            <v>52025060(SKINDICHT KU PG 42/36)</v>
          </cell>
          <cell r="C4995" t="str">
            <v>LAPP</v>
          </cell>
          <cell r="D4995" t="str">
            <v>Lapp-Non Moving Stocks</v>
          </cell>
        </row>
        <row r="4996">
          <cell r="A4996" t="str">
            <v>51730060 (SKINDICHT KUS PG 11/9_x000D_
)</v>
          </cell>
          <cell r="B4996" t="str">
            <v>51730060(SKINDICHT KUS PG 11/9_x000D_
)</v>
          </cell>
          <cell r="C4996" t="str">
            <v>LAPP</v>
          </cell>
          <cell r="D4996" t="str">
            <v>Lapp-Non Moving Stocks</v>
          </cell>
        </row>
        <row r="4997">
          <cell r="A4997" t="str">
            <v>52106220 (SKINDICHT KW-M 20x1,5)</v>
          </cell>
          <cell r="B4997" t="str">
            <v>52106220(SKINDICHT KW-M 20x1,5)</v>
          </cell>
          <cell r="C4997" t="str">
            <v>LAPP</v>
          </cell>
          <cell r="D4997" t="str">
            <v>Lapp-Non Moving Stocks</v>
          </cell>
        </row>
        <row r="4998">
          <cell r="A4998" t="str">
            <v>52104240 (SKINDICHT MA-M/PG 25x1,5/16_x000D_
)</v>
          </cell>
          <cell r="B4998" t="str">
            <v>52104240(SKINDICHT MA-M/PG 25x1,5/16_x000D_
)</v>
          </cell>
          <cell r="C4998" t="str">
            <v>LAPP</v>
          </cell>
          <cell r="D4998" t="str">
            <v>Lapp-Non Moving Stocks</v>
          </cell>
        </row>
        <row r="4999">
          <cell r="A4999" t="str">
            <v>52104270 (SKINDICHT MA-M/PG 40x1,5/21_x000D_
)</v>
          </cell>
          <cell r="B4999" t="str">
            <v>52104270(SKINDICHT MA-M/PG 40x1,5/21_x000D_
)</v>
          </cell>
          <cell r="C4999" t="str">
            <v>LAPP</v>
          </cell>
          <cell r="D4999" t="str">
            <v>Lapp-Non Moving Stocks</v>
          </cell>
        </row>
        <row r="5000">
          <cell r="A5000" t="str">
            <v>52104290 (SKINDICHT MA-M/PG 63x1,5/36_x000D_
)</v>
          </cell>
          <cell r="B5000" t="str">
            <v>52104290(SKINDICHT MA-M/PG 63x1,5/36_x000D_
)</v>
          </cell>
          <cell r="C5000" t="str">
            <v>LAPP</v>
          </cell>
          <cell r="D5000" t="str">
            <v>Lapp-Non Moving Stocks</v>
          </cell>
        </row>
        <row r="5001">
          <cell r="A5001" t="str">
            <v>52104494_x000D_
 (SKINDICHT MA-PG/M 13,5/20x1,5 high_x000D_
)</v>
          </cell>
          <cell r="B5001" t="str">
            <v>52104494_x000D_
(SKINDICHT MA-PG/M 13,5/20x1,5 high_x000D_
)</v>
          </cell>
          <cell r="C5001" t="str">
            <v>LAPP</v>
          </cell>
          <cell r="D5001" t="str">
            <v>Lapp-Non Moving Stocks</v>
          </cell>
        </row>
        <row r="5002">
          <cell r="A5002" t="str">
            <v>52104503 (SKINDICHT MA-PG/M 36/40x1,5 flat)</v>
          </cell>
          <cell r="B5002" t="str">
            <v>52104503(SKINDICHT MA-PG/M 36/40x1,5 flat)</v>
          </cell>
          <cell r="C5002" t="str">
            <v>LAPP</v>
          </cell>
          <cell r="D5002" t="str">
            <v>Lapp-Non Moving Stocks</v>
          </cell>
        </row>
        <row r="5003">
          <cell r="A5003" t="str">
            <v>52104452 (SKINDICHT ME-M 16x1,5/20x1,5)</v>
          </cell>
          <cell r="B5003" t="str">
            <v>52104452(SKINDICHT ME-M 16x1,5/20x1,5)</v>
          </cell>
          <cell r="C5003" t="str">
            <v>LAPP</v>
          </cell>
          <cell r="D5003" t="str">
            <v>Lapp-Non Moving Stocks</v>
          </cell>
        </row>
        <row r="5004">
          <cell r="A5004" t="str">
            <v>52104310 (SKINDICHT MR-M 16x1,5/12x1,5_x000D_
)</v>
          </cell>
          <cell r="B5004" t="str">
            <v>52104310(SKINDICHT MR-M 16x1,5/12x1,5_x000D_
)</v>
          </cell>
          <cell r="C5004" t="str">
            <v>LAPP</v>
          </cell>
          <cell r="D5004" t="str">
            <v>Lapp-Non Moving Stocks</v>
          </cell>
        </row>
        <row r="5005">
          <cell r="A5005" t="str">
            <v>52104311 (SKINDICHT MR-M 20x1,5/12x1,5)</v>
          </cell>
          <cell r="B5005" t="str">
            <v>52104311(SKINDICHT MR-M 20x1,5/12x1,5)</v>
          </cell>
          <cell r="C5005" t="str">
            <v>LAPP</v>
          </cell>
          <cell r="D5005" t="str">
            <v>Lapp-Non Moving Stocks</v>
          </cell>
        </row>
        <row r="5006">
          <cell r="A5006" t="str">
            <v>52104312 (SKINDICHT MR-M 20x1,5/16x1,5_x000D_
)</v>
          </cell>
          <cell r="B5006" t="str">
            <v>52104312(SKINDICHT MR-M 20x1,5/16x1,5_x000D_
)</v>
          </cell>
          <cell r="C5006" t="str">
            <v>LAPP</v>
          </cell>
          <cell r="D5006" t="str">
            <v>Lapp-Non Moving Stocks</v>
          </cell>
        </row>
        <row r="5007">
          <cell r="A5007" t="str">
            <v>52104314 (SKINDICHT MR-M 25x1,5/20x1,5)</v>
          </cell>
          <cell r="B5007" t="str">
            <v>52104314(SKINDICHT MR-M 25x1,5/20x1,5)</v>
          </cell>
          <cell r="C5007" t="str">
            <v>LAPP</v>
          </cell>
          <cell r="D5007" t="str">
            <v>Lapp-Non Moving Stocks</v>
          </cell>
        </row>
        <row r="5008">
          <cell r="A5008" t="str">
            <v>52104316 (SKINDICHT MR-M 32x1,5/25x1,5_x000D_
)</v>
          </cell>
          <cell r="B5008" t="str">
            <v>52104316(SKINDICHT MR-M 32x1,5/25x1,5_x000D_
)</v>
          </cell>
          <cell r="C5008" t="str">
            <v>LAPP</v>
          </cell>
          <cell r="D5008" t="str">
            <v>Lapp-Non Moving Stocks</v>
          </cell>
        </row>
        <row r="5009">
          <cell r="A5009" t="str">
            <v>52104317 (SKINDICHT MR-M 40x1,5/25x1,5_x000D_
)</v>
          </cell>
          <cell r="B5009" t="str">
            <v>52104317(SKINDICHT MR-M 40x1,5/25x1,5_x000D_
)</v>
          </cell>
          <cell r="C5009" t="str">
            <v>LAPP</v>
          </cell>
          <cell r="D5009" t="str">
            <v>Lapp-Non Moving Stocks</v>
          </cell>
        </row>
        <row r="5010">
          <cell r="A5010" t="str">
            <v>52104319 (SKINDICHT MR-M 50x1,5/32x1,5)</v>
          </cell>
          <cell r="B5010" t="str">
            <v>52104319(SKINDICHT MR-M 50x1,5/32x1,5)</v>
          </cell>
          <cell r="C5010" t="str">
            <v>LAPP</v>
          </cell>
          <cell r="D5010" t="str">
            <v>Lapp-Non Moving Stocks</v>
          </cell>
        </row>
        <row r="5011">
          <cell r="A5011" t="str">
            <v>52101966 (SKINDICHT MR-M 6kt. 20x1,5/16x1,5+O-RING)</v>
          </cell>
          <cell r="B5011" t="str">
            <v>52101966(SKINDICHT MR-M 6kt. 20x1,5/16x1,5+O-RING)</v>
          </cell>
          <cell r="C5011" t="str">
            <v>LAPP</v>
          </cell>
          <cell r="D5011" t="str">
            <v>Lapp-Non Moving Stocks</v>
          </cell>
        </row>
        <row r="5012">
          <cell r="A5012" t="str">
            <v>52101968 (SKINDICHT MR-M 6kt. 25x1.5/20x1.5+O-RING_x000D_
)</v>
          </cell>
          <cell r="B5012" t="str">
            <v>52101968(SKINDICHT MR-M 6kt. 25x1.5/20x1.5+O-RING_x000D_
)</v>
          </cell>
          <cell r="C5012" t="str">
            <v>LAPP</v>
          </cell>
          <cell r="D5012" t="str">
            <v>Lapp-Non Moving Stocks</v>
          </cell>
        </row>
        <row r="5013">
          <cell r="A5013" t="str">
            <v>52101973 (SKINDICHT MR-M 6kt. 32x1,5/25x1,5+O-RING)</v>
          </cell>
          <cell r="B5013" t="str">
            <v>52101973(SKINDICHT MR-M 6kt. 32x1,5/25x1,5+O-RING)</v>
          </cell>
          <cell r="C5013" t="str">
            <v>LAPP</v>
          </cell>
          <cell r="D5013" t="str">
            <v>Lapp-Non Moving Stocks</v>
          </cell>
        </row>
        <row r="5014">
          <cell r="A5014" t="str">
            <v>52101975 (SKINDICHT MR-M 6kt. 40x1,5/32x1,5+O-RING)</v>
          </cell>
          <cell r="B5014" t="str">
            <v>52101975(SKINDICHT MR-M 6kt. 40x1,5/32x1,5+O-RING)</v>
          </cell>
          <cell r="C5014" t="str">
            <v>LAPP</v>
          </cell>
          <cell r="D5014" t="str">
            <v>Lapp-Non Moving Stocks</v>
          </cell>
        </row>
        <row r="5015">
          <cell r="A5015" t="str">
            <v>52101976 (SKINDICHT MR-M 6KT. 50X1,5/40X1,5+O-RING)</v>
          </cell>
          <cell r="B5015" t="str">
            <v>52101976(SKINDICHT MR-M 6KT. 50X1,5/40X1,5+O-RING)</v>
          </cell>
          <cell r="C5015" t="str">
            <v>LAPP</v>
          </cell>
          <cell r="D5015" t="str">
            <v>Lapp-Non Moving Stocks</v>
          </cell>
        </row>
        <row r="5016">
          <cell r="A5016" t="str">
            <v>52104570 (SKINDICHT MR-M ATEX16x1,5/12x1,5)</v>
          </cell>
          <cell r="B5016" t="str">
            <v>52104570(SKINDICHT MR-M ATEX16x1,5/12x1,5)</v>
          </cell>
          <cell r="C5016" t="str">
            <v>LAPP</v>
          </cell>
          <cell r="D5016" t="str">
            <v>Lapp-Non Moving Stocks</v>
          </cell>
        </row>
        <row r="5017">
          <cell r="A5017" t="str">
            <v>52104572 (SKINDICHT MR-M ATEX 25x1,5/20x1,5)</v>
          </cell>
          <cell r="B5017" t="str">
            <v>52104572(SKINDICHT MR-M ATEX 25x1,5/20x1,5)</v>
          </cell>
          <cell r="C5017" t="str">
            <v>LAPP</v>
          </cell>
          <cell r="D5017" t="str">
            <v>Lapp-Non Moving Stocks</v>
          </cell>
        </row>
        <row r="5018">
          <cell r="A5018" t="str">
            <v>52104575 (SKINDICHT MR-M ATEX 50x1,5/40x1,5)</v>
          </cell>
          <cell r="B5018" t="str">
            <v>52104575(SKINDICHT MR-M ATEX 50x1,5/40x1,5)</v>
          </cell>
          <cell r="C5018" t="str">
            <v>LAPP</v>
          </cell>
          <cell r="D5018" t="str">
            <v>Lapp-Non Moving Stocks</v>
          </cell>
        </row>
        <row r="5019">
          <cell r="A5019" t="str">
            <v>52003830 (SKINDICHT MR PG 16/11)</v>
          </cell>
          <cell r="B5019" t="str">
            <v>52003830(SKINDICHT MR PG 16/11)</v>
          </cell>
          <cell r="C5019" t="str">
            <v>LAPP</v>
          </cell>
          <cell r="D5019" t="str">
            <v>Lapp-Non Moving Stocks</v>
          </cell>
        </row>
        <row r="5020">
          <cell r="A5020" t="str">
            <v>52003850_x000D_
 (SKINDICHT MR PG 21/11_x000D_
)</v>
          </cell>
          <cell r="B5020" t="str">
            <v>52003850_x000D_
(SKINDICHT MR PG 21/11_x000D_
)</v>
          </cell>
          <cell r="C5020" t="str">
            <v>LAPP</v>
          </cell>
          <cell r="D5020" t="str">
            <v>Lapp-Non Moving Stocks</v>
          </cell>
        </row>
        <row r="5021">
          <cell r="A5021" t="str">
            <v>52003860 (SKINDICHT MR PG 21/13.5)</v>
          </cell>
          <cell r="B5021" t="str">
            <v>52003860(SKINDICHT MR PG 21/13.5)</v>
          </cell>
          <cell r="C5021" t="str">
            <v>LAPP</v>
          </cell>
          <cell r="D5021" t="str">
            <v>Lapp-Non Moving Stocks</v>
          </cell>
        </row>
        <row r="5022">
          <cell r="A5022" t="str">
            <v>52003870_x000D_
 (SKINDICHT MR PG 21/16_x000D_
)</v>
          </cell>
          <cell r="B5022" t="str">
            <v>52003870_x000D_
(SKINDICHT MR PG 21/16_x000D_
)</v>
          </cell>
          <cell r="C5022" t="str">
            <v>LAPP</v>
          </cell>
          <cell r="D5022" t="str">
            <v>Lapp-Non Moving Stocks</v>
          </cell>
        </row>
        <row r="5023">
          <cell r="A5023" t="str">
            <v>53102000 (SKINDICHT O-RING M12/9x2_x000D_
)</v>
          </cell>
          <cell r="B5023" t="str">
            <v>53102000(SKINDICHT O-RING M12/9x2_x000D_
)</v>
          </cell>
          <cell r="C5023" t="str">
            <v>LAPP</v>
          </cell>
          <cell r="D5023" t="str">
            <v>Lapp-Non Moving Stocks</v>
          </cell>
        </row>
        <row r="5024">
          <cell r="A5024" t="str">
            <v>53102030 (SKINDICHT O-RING M25/22x2_x000D_
)</v>
          </cell>
          <cell r="B5024" t="str">
            <v>53102030(SKINDICHT O-RING M25/22x2_x000D_
)</v>
          </cell>
          <cell r="C5024" t="str">
            <v>LAPP</v>
          </cell>
          <cell r="D5024" t="str">
            <v>Lapp-Non Moving Stocks</v>
          </cell>
        </row>
        <row r="5025">
          <cell r="A5025" t="str">
            <v>53001020_x000D_
 (SKINDICHT O-RING PG 11 (16x1,5) NBR_x000D_
)</v>
          </cell>
          <cell r="B5025" t="str">
            <v>53001020_x000D_
(SKINDICHT O-RING PG 11(16x1,5) NBR_x000D_
)</v>
          </cell>
          <cell r="C5025" t="str">
            <v>LAPP</v>
          </cell>
          <cell r="D5025" t="str">
            <v>Lapp-Non Moving Stocks</v>
          </cell>
        </row>
        <row r="5026">
          <cell r="A5026" t="str">
            <v>52005740_x000D_
 (SKINDICHT O-RING PG 13,5 (18x1,5) NBR_x000D_
)</v>
          </cell>
          <cell r="B5026" t="str">
            <v>52005740_x000D_
(SKINDICHT O-RING PG 13,5(18x1,5) NBR_x000D_
)</v>
          </cell>
          <cell r="C5026" t="str">
            <v>LAPP</v>
          </cell>
          <cell r="D5026" t="str">
            <v>Lapp-Non Moving Stocks</v>
          </cell>
        </row>
        <row r="5027">
          <cell r="A5027" t="str">
            <v>52005750_x000D_
 (SKINDICHT O-RING PG 21 (26x2) NBR_x000D_
)</v>
          </cell>
          <cell r="B5027" t="str">
            <v>52005750_x000D_
(SKINDICHT O-RING PG 21(26x2) NBR_x000D_
)</v>
          </cell>
          <cell r="C5027" t="str">
            <v>LAPP</v>
          </cell>
          <cell r="D5027" t="str">
            <v>Lapp-Non Moving Stocks</v>
          </cell>
        </row>
        <row r="5028">
          <cell r="A5028" t="str">
            <v>53102011_x000D_
 (SKINDICHT O-RING PG 9/M16 (13x1,5) NBR_x000D_
)</v>
          </cell>
          <cell r="B5028" t="str">
            <v>53102011_x000D_
(SKINDICHT O-RING PG 9/M16(13x1,5) NBR_x000D_
)</v>
          </cell>
          <cell r="C5028" t="str">
            <v>LAPP</v>
          </cell>
          <cell r="D5028" t="str">
            <v>Lapp-Non Moving Stocks</v>
          </cell>
        </row>
        <row r="5029">
          <cell r="A5029" t="str">
            <v>52105320 (SKINDICHT SHV-M 20x1,5/13,5/9_x000D_
)</v>
          </cell>
          <cell r="B5029" t="str">
            <v>52105320(SKINDICHT SHV-M 20x1,5/13,5/9_x000D_
)</v>
          </cell>
          <cell r="C5029" t="str">
            <v>LAPP</v>
          </cell>
          <cell r="D5029" t="str">
            <v>Lapp-Non Moving Stocks</v>
          </cell>
        </row>
        <row r="5030">
          <cell r="A5030" t="str">
            <v>52032615 (SKINDICHT SM CrNi M 16x1,5_x000D_
)</v>
          </cell>
          <cell r="B5030" t="str">
            <v>52032615(SKINDICHT SM CrNi M 16x1,5_x000D_
)</v>
          </cell>
          <cell r="C5030" t="str">
            <v>LAPP</v>
          </cell>
          <cell r="D5030" t="str">
            <v>Lapp-Non Moving Stocks</v>
          </cell>
        </row>
        <row r="5031">
          <cell r="A5031" t="str">
            <v>52032625 (SKINDICHT SM CrNi M 20x1,5_x000D_
)</v>
          </cell>
          <cell r="B5031" t="str">
            <v>52032625(SKINDICHT SM CrNi M 20x1,5_x000D_
)</v>
          </cell>
          <cell r="C5031" t="str">
            <v>LAPP</v>
          </cell>
          <cell r="D5031" t="str">
            <v>Lapp-Non Moving Stocks</v>
          </cell>
        </row>
        <row r="5032">
          <cell r="A5032" t="str">
            <v>52103000 (SKINDICHT SM-M 12x1,5 Gegenmutter)</v>
          </cell>
          <cell r="B5032" t="str">
            <v>52103000(SKINDICHT SM-M 12x1,5 Gegenmutter)</v>
          </cell>
          <cell r="C5032" t="str">
            <v>LAPP</v>
          </cell>
          <cell r="D5032" t="str">
            <v>Lapp-Non Moving Stocks</v>
          </cell>
        </row>
        <row r="5033">
          <cell r="A5033" t="str">
            <v>52103010 (SKINDICHT SM-M 16x1,5 Gegenmutter)</v>
          </cell>
          <cell r="B5033" t="str">
            <v>52103010(SKINDICHT SM-M 16x1,5 Gegenmutter)</v>
          </cell>
          <cell r="C5033" t="str">
            <v>LAPP</v>
          </cell>
          <cell r="D5033" t="str">
            <v>Lapp-Non Moving Stocks</v>
          </cell>
        </row>
        <row r="5034">
          <cell r="A5034" t="str">
            <v>52103020_x000D_
 (SKINDICHT SM-M 20x1,5 Gegenmutter_x000D_
)</v>
          </cell>
          <cell r="B5034" t="str">
            <v>52103020_x000D_
(SKINDICHT SM-M 20x1,5 Gegenmutter_x000D_
)</v>
          </cell>
          <cell r="C5034" t="str">
            <v>LAPP</v>
          </cell>
          <cell r="D5034" t="str">
            <v>Lapp-Non Moving Stocks</v>
          </cell>
        </row>
        <row r="5035">
          <cell r="A5035" t="str">
            <v>52103030 (SKINDICHT SM-M 25x1,5 Gegenmutter)</v>
          </cell>
          <cell r="B5035" t="str">
            <v>52103030(SKINDICHT SM-M 25x1,5 Gegenmutter)</v>
          </cell>
          <cell r="C5035" t="str">
            <v>LAPP</v>
          </cell>
          <cell r="D5035" t="str">
            <v>Lapp-Non Moving Stocks</v>
          </cell>
        </row>
        <row r="5036">
          <cell r="A5036" t="str">
            <v>52103040 (SKINDICHT SM-M 32x1,5 Gegenmutter)</v>
          </cell>
          <cell r="B5036" t="str">
            <v>52103040(SKINDICHT SM-M 32x1,5 Gegenmutter)</v>
          </cell>
          <cell r="C5036" t="str">
            <v>LAPP</v>
          </cell>
          <cell r="D5036" t="str">
            <v>Lapp-Non Moving Stocks</v>
          </cell>
        </row>
        <row r="5037">
          <cell r="A5037" t="str">
            <v>52103050 (SKINDICHT SM-M 40x1,5 Gegenmutter)</v>
          </cell>
          <cell r="B5037" t="str">
            <v>52103050(SKINDICHT SM-M 40x1,5 Gegenmutter)</v>
          </cell>
          <cell r="C5037" t="str">
            <v>LAPP</v>
          </cell>
          <cell r="D5037" t="str">
            <v>Lapp-Non Moving Stocks</v>
          </cell>
        </row>
        <row r="5038">
          <cell r="A5038" t="str">
            <v>52103060 (SKINDICHT SM-M 50x1,5 Gegenmutter)</v>
          </cell>
          <cell r="B5038" t="str">
            <v>52103060(SKINDICHT SM-M 50x1,5 Gegenmutter)</v>
          </cell>
          <cell r="C5038" t="str">
            <v>LAPP</v>
          </cell>
          <cell r="D5038" t="str">
            <v>Lapp-Non Moving Stocks</v>
          </cell>
        </row>
        <row r="5039">
          <cell r="A5039" t="str">
            <v>52103070 (SKINDICHT SM-M 63x1,5 Gegenmutter)</v>
          </cell>
          <cell r="B5039" t="str">
            <v>52103070(SKINDICHT SM-M 63x1,5 Gegenmutter)</v>
          </cell>
          <cell r="C5039" t="str">
            <v>LAPP</v>
          </cell>
          <cell r="D5039" t="str">
            <v>Lapp-Non Moving Stocks</v>
          </cell>
        </row>
        <row r="5040">
          <cell r="A5040" t="str">
            <v>52103071 (SKINDICHT SM-M 75x1.5 COUNTER NUT_x000D_
)</v>
          </cell>
          <cell r="B5040" t="str">
            <v>52103071(SKINDICHT SM-M 75x1.5 COUNTER NUT_x000D_
)</v>
          </cell>
          <cell r="C5040" t="str">
            <v>LAPP</v>
          </cell>
          <cell r="D5040" t="str">
            <v>Lapp-Non Moving Stocks</v>
          </cell>
        </row>
        <row r="5041">
          <cell r="A5041" t="str">
            <v>52103300 (SKINDICHT SM-PE-M 12x1,5 counter nut_x000D_
)</v>
          </cell>
          <cell r="B5041" t="str">
            <v>52103300(SKINDICHT SM-PE-M 12x1,5 counter nut_x000D_
)</v>
          </cell>
          <cell r="C5041" t="str">
            <v>LAPP</v>
          </cell>
          <cell r="D5041" t="str">
            <v>Lapp-Non Moving Stocks</v>
          </cell>
        </row>
        <row r="5042">
          <cell r="A5042" t="str">
            <v>52103310 (SKINDICHT SM-PE-M 16x1,5 counter nut)</v>
          </cell>
          <cell r="B5042" t="str">
            <v>52103310(SKINDICHT SM-PE-M 16x1,5 counter nut)</v>
          </cell>
          <cell r="C5042" t="str">
            <v>LAPP</v>
          </cell>
          <cell r="D5042" t="str">
            <v>Lapp-Non Moving Stocks</v>
          </cell>
        </row>
        <row r="5043">
          <cell r="A5043" t="str">
            <v>52103320 (SKINDICHT SM-PE-M 20x1,5 counter nut)</v>
          </cell>
          <cell r="B5043" t="str">
            <v>52103320(SKINDICHT SM-PE-M 20x1,5 counter nut)</v>
          </cell>
          <cell r="C5043" t="str">
            <v>LAPP</v>
          </cell>
          <cell r="D5043" t="str">
            <v>Lapp-Non Moving Stocks</v>
          </cell>
        </row>
        <row r="5044">
          <cell r="A5044" t="str">
            <v>52103330 (SKINDICHT SM-PE-M 25x1,5 counter nut)</v>
          </cell>
          <cell r="B5044" t="str">
            <v>52103330(SKINDICHT SM-PE-M 25x1,5 counter nut)</v>
          </cell>
          <cell r="C5044" t="str">
            <v>LAPP</v>
          </cell>
          <cell r="D5044" t="str">
            <v>Lapp-Non Moving Stocks</v>
          </cell>
        </row>
        <row r="5045">
          <cell r="A5045" t="str">
            <v>52103340 (SKINDICHT SM-PE-M 32x1,5 counter nut_x000D_
)</v>
          </cell>
          <cell r="B5045" t="str">
            <v>52103340(SKINDICHT SM-PE-M 32x1,5 counter nut_x000D_
)</v>
          </cell>
          <cell r="C5045" t="str">
            <v>LAPP</v>
          </cell>
          <cell r="D5045" t="str">
            <v>Lapp-Non Moving Stocks</v>
          </cell>
        </row>
        <row r="5046">
          <cell r="A5046" t="str">
            <v>52103360 (SKINDICHT SM-PE-M 50x1,5 counter nut_x000D_
)</v>
          </cell>
          <cell r="B5046" t="str">
            <v>52103360(SKINDICHT SM-PE-M 50x1,5 counter nut_x000D_
)</v>
          </cell>
          <cell r="C5046" t="str">
            <v>LAPP</v>
          </cell>
          <cell r="D5046" t="str">
            <v>Lapp-Non Moving Stocks</v>
          </cell>
        </row>
        <row r="5047">
          <cell r="A5047" t="str">
            <v>52103370 (SKINDICHT SM-PE-M 63x1,5 counter nut)</v>
          </cell>
          <cell r="B5047" t="str">
            <v>52103370(SKINDICHT SM-PE-M 63x1,5 counter nut)</v>
          </cell>
          <cell r="C5047" t="str">
            <v>LAPP</v>
          </cell>
          <cell r="D5047" t="str">
            <v>Lapp-Non Moving Stocks</v>
          </cell>
        </row>
        <row r="5048">
          <cell r="A5048" t="str">
            <v>52103210 (SKINDICHT SM-PE PG 9 COUN. NUT)</v>
          </cell>
          <cell r="B5048" t="str">
            <v>52103210(SKINDICHT SM-PE PG 9 COUN. NUT)</v>
          </cell>
          <cell r="C5048" t="str">
            <v>LAPP</v>
          </cell>
          <cell r="D5048" t="str">
            <v>Lapp-Non Moving Stocks</v>
          </cell>
        </row>
        <row r="5049">
          <cell r="A5049" t="str">
            <v>52003510 (SKINDICHT SM PG 11 counter nut)</v>
          </cell>
          <cell r="B5049" t="str">
            <v>52003510(SKINDICHT SM PG 11 counter nut)</v>
          </cell>
          <cell r="C5049" t="str">
            <v>LAPP</v>
          </cell>
          <cell r="D5049" t="str">
            <v>Lapp-Non Moving Stocks</v>
          </cell>
        </row>
        <row r="5050">
          <cell r="A5050" t="str">
            <v>52003520 (SKINDICHT SM PG 13,5 counter nut)</v>
          </cell>
          <cell r="B5050" t="str">
            <v>52003520(SKINDICHT SM PG 13,5 counter nut)</v>
          </cell>
          <cell r="C5050" t="str">
            <v>LAPP</v>
          </cell>
          <cell r="D5050" t="str">
            <v>Lapp-Non Moving Stocks</v>
          </cell>
        </row>
        <row r="5051">
          <cell r="A5051" t="str">
            <v>52003530 (SKINDICHT SM PG 16 counter nut)</v>
          </cell>
          <cell r="B5051" t="str">
            <v>52003530(SKINDICHT SM PG 16 counter nut)</v>
          </cell>
          <cell r="C5051" t="str">
            <v>LAPP</v>
          </cell>
          <cell r="D5051" t="str">
            <v>Lapp-Non Moving Stocks</v>
          </cell>
        </row>
        <row r="5052">
          <cell r="A5052" t="str">
            <v>52003540 (SKINDICHT SM PG 21 counter nut_x000D_
)</v>
          </cell>
          <cell r="B5052" t="str">
            <v>52003540(SKINDICHT SM PG 21 counter nut_x000D_
)</v>
          </cell>
          <cell r="C5052" t="str">
            <v>LAPP</v>
          </cell>
          <cell r="D5052" t="str">
            <v>Lapp-Non Moving Stocks</v>
          </cell>
        </row>
        <row r="5053">
          <cell r="A5053" t="str">
            <v>52003550 (SKINDICHT SM PG 29 counter nut)</v>
          </cell>
          <cell r="B5053" t="str">
            <v>52003550(SKINDICHT SM PG 29 counter nut)</v>
          </cell>
          <cell r="C5053" t="str">
            <v>LAPP</v>
          </cell>
          <cell r="D5053" t="str">
            <v>Lapp-Non Moving Stocks</v>
          </cell>
        </row>
        <row r="5054">
          <cell r="A5054" t="str">
            <v>52003560 (SKINDICHT SM PG 36 counter nut)</v>
          </cell>
          <cell r="B5054" t="str">
            <v>52003560(SKINDICHT SM PG 36 counter nut)</v>
          </cell>
          <cell r="C5054" t="str">
            <v>LAPP</v>
          </cell>
          <cell r="D5054" t="str">
            <v>Lapp-Non Moving Stocks</v>
          </cell>
        </row>
        <row r="5055">
          <cell r="A5055" t="str">
            <v>52003580 (SKINDICHT SM PG 48 counter nut)</v>
          </cell>
          <cell r="B5055" t="str">
            <v>52003580(SKINDICHT SM PG 48 counter nut)</v>
          </cell>
          <cell r="C5055" t="str">
            <v>LAPP</v>
          </cell>
          <cell r="D5055" t="str">
            <v>Lapp-Non Moving Stocks</v>
          </cell>
        </row>
        <row r="5056">
          <cell r="A5056" t="str">
            <v>52003500 (SKINDICHT SM PG 9 counter nut)</v>
          </cell>
          <cell r="B5056" t="str">
            <v>52003500(SKINDICHT SM PG 9 counter nut)</v>
          </cell>
          <cell r="C5056" t="str">
            <v>LAPP</v>
          </cell>
          <cell r="D5056" t="str">
            <v>Lapp-Non Moving Stocks</v>
          </cell>
        </row>
        <row r="5057">
          <cell r="A5057" t="str">
            <v>52001100 (SKINDICHT SR PG 21/19_x000D_
)</v>
          </cell>
          <cell r="B5057" t="str">
            <v>52001100(SKINDICHT SR PG 21/19_x000D_
)</v>
          </cell>
          <cell r="C5057" t="str">
            <v>LAPP</v>
          </cell>
          <cell r="D5057" t="str">
            <v>Lapp-Non Moving Stocks</v>
          </cell>
        </row>
        <row r="5058">
          <cell r="A5058" t="str">
            <v>53111740 (SKINTOP® BS-M 32x1,5 RAL 9005 BK)</v>
          </cell>
          <cell r="B5058" t="str">
            <v>53111740(SKINTOP® BS-M 32x1,5 RAL 9005 BK)</v>
          </cell>
          <cell r="C5058" t="str">
            <v>LAPP</v>
          </cell>
          <cell r="D5058" t="str">
            <v>Lapp-Non Moving Stocks</v>
          </cell>
        </row>
        <row r="5059">
          <cell r="A5059" t="str">
            <v>61802010 (TWIN-END SLEEVES AHI 2x1,00 RD)</v>
          </cell>
          <cell r="B5059" t="str">
            <v>61802010(TWIN-END SLEEVES AHI 2x1,00 RD)</v>
          </cell>
          <cell r="C5059" t="str">
            <v>LAPP</v>
          </cell>
          <cell r="D5059" t="str">
            <v>Lapp-Non Moving Stocks</v>
          </cell>
        </row>
        <row r="5060">
          <cell r="A5060" t="str">
            <v>22260016 (AB-B8-M12-16-5,0PUR_x000D_
)</v>
          </cell>
          <cell r="B5060" t="str">
            <v>22260016(AB-B8-M12-16-5,0PUR_x000D_
)</v>
          </cell>
          <cell r="C5060" t="str">
            <v>LAPP</v>
          </cell>
          <cell r="D5060" t="str">
            <v>Lapp-Non Moving Stocks</v>
          </cell>
        </row>
        <row r="5061">
          <cell r="A5061" t="str">
            <v>22260466 (AB-C5-M12MS-5,0PUR-SH_x000D_
)</v>
          </cell>
          <cell r="B5061" t="str">
            <v>22260466(AB-C5-M12MS-5,0PUR-SH_x000D_
)</v>
          </cell>
          <cell r="C5061" t="str">
            <v>LAPP</v>
          </cell>
          <cell r="D5061" t="str">
            <v>Lapp-Non Moving Stocks</v>
          </cell>
        </row>
        <row r="5062">
          <cell r="A5062" t="str">
            <v>61800925_x000D_
 (SILVYN KLICK-GP PG 36 BK_x000D_
)</v>
          </cell>
          <cell r="B5062" t="str">
            <v>61800925_x000D_
(SILVYN KLICK-GP PG 36 BK_x000D_
)</v>
          </cell>
          <cell r="C5062" t="str">
            <v>LAPP</v>
          </cell>
          <cell r="D5062" t="str">
            <v>Lapp-Non Moving Stocks</v>
          </cell>
        </row>
        <row r="5063">
          <cell r="A5063" t="str">
            <v>KI00012M ("HA 3 , SEH,PMB,Metalic Version"_x000D_
)</v>
          </cell>
          <cell r="B5063" t="str">
            <v>KI00012M("HA 3 , SEH,PMB,Metalic Version"_x000D_
)</v>
          </cell>
          <cell r="C5063" t="str">
            <v>LAPP</v>
          </cell>
          <cell r="D5063" t="str">
            <v>Lapp-Non Moving Stocks</v>
          </cell>
        </row>
        <row r="5064">
          <cell r="A5064" t="str">
            <v>KI00081_x000D_
 ("HBE 24,SEH (PG 29), PMB with 2LL."_x000D_
)</v>
          </cell>
          <cell r="B5064" t="str">
            <v>KI00081_x000D_
("HBE 24,SEH(PG 29), PMB with 2LL."_x000D_
)</v>
          </cell>
          <cell r="C5064" t="str">
            <v>LAPP</v>
          </cell>
          <cell r="D5064" t="str">
            <v>Lapp-Non Moving Stocks</v>
          </cell>
        </row>
        <row r="5065">
          <cell r="A5065" t="str">
            <v>KI00148 ("HBE24,SEH,PG 29,SMB_x000D_
2LL,1CE,HV " 10_x000D_)</v>
          </cell>
          <cell r="B5065" t="str">
            <v>KI00148("HBE24,SEH,PG 29,SMB_x000D_
2LL,1CE,HV " 10_x000D_)</v>
          </cell>
          <cell r="C5065" t="str">
            <v>LAPP</v>
          </cell>
          <cell r="D5065" t="str">
            <v>Lapp-Non Moving Stocks</v>
          </cell>
        </row>
        <row r="5066">
          <cell r="A5066" t="str">
            <v>KI00258 ("H-BE 24,SEH (PG 29),SMB +2LL, 1CE,HV+DC)</v>
          </cell>
          <cell r="B5066" t="str">
            <v>KI00258("H-BE 24,SEH(PG 29),SMB +2LL, 1CE,HV+DC)</v>
          </cell>
          <cell r="C5066" t="str">
            <v>LAPP</v>
          </cell>
          <cell r="D5066" t="str">
            <v>Lapp-Non Moving Stocks</v>
          </cell>
        </row>
        <row r="5067">
          <cell r="A5067" t="str">
            <v>KI00051_x000D_
 ("HBE 6,SEH (PG 16), PMB with 1LL."_x000D_
)</v>
          </cell>
          <cell r="B5067" t="str">
            <v>KI00051_x000D_
("HBE 6,SEH(PG 16), PMB with 1LL."_x000D_
)</v>
          </cell>
          <cell r="C5067" t="str">
            <v>LAPP</v>
          </cell>
          <cell r="D5067" t="str">
            <v>Lapp-Non Moving Stocks</v>
          </cell>
        </row>
        <row r="5068">
          <cell r="A5068" t="str">
            <v>00008770 (201040AC+4015010A SO-CIRCULAR COMBIN.)</v>
          </cell>
          <cell r="B5068" t="str">
            <v>00008770(201040AC+4015010A SO-CIRCULAR COMBIN.)</v>
          </cell>
          <cell r="C5068" t="str">
            <v>LAPP</v>
          </cell>
          <cell r="D5068" t="str">
            <v>Lapp-Non Moving Stocks</v>
          </cell>
        </row>
        <row r="5069">
          <cell r="A5069" t="str">
            <v>00008747 (202010AA+4200121 CIRCUAR COMBIN)</v>
          </cell>
          <cell r="B5069" t="str">
            <v>00008747(202010AA+4200121 CIRCUAR COMBIN)</v>
          </cell>
          <cell r="C5069" t="str">
            <v>LAPP</v>
          </cell>
          <cell r="D5069" t="str">
            <v>Lapp-Non Moving Stocks</v>
          </cell>
        </row>
        <row r="5070">
          <cell r="A5070" t="str">
            <v>00008749 (202040AF+40250121 CIRCULAR COMBIN.)</v>
          </cell>
          <cell r="B5070" t="str">
            <v>00008749(202040AF+40250121 CIRCULAR COMBIN.)</v>
          </cell>
          <cell r="C5070" t="str">
            <v>LAPP</v>
          </cell>
          <cell r="D5070" t="str">
            <v>Lapp-Non Moving Stocks</v>
          </cell>
        </row>
        <row r="5071">
          <cell r="A5071" t="str">
            <v>10441100 (EPIC H-A 10 BS DR PH1)</v>
          </cell>
          <cell r="B5071" t="str">
            <v>10441100(EPIC H-A 10 BS DR PH1)</v>
          </cell>
          <cell r="C5071" t="str">
            <v>LAPP</v>
          </cell>
          <cell r="D5071" t="str">
            <v>Lapp-Non Moving Stocks</v>
          </cell>
        </row>
        <row r="5072">
          <cell r="A5072" t="str">
            <v>10440100 (EPIC H-A 10 SS DR PH1)</v>
          </cell>
          <cell r="B5072" t="str">
            <v>10440100(EPIC H-A 10 SS DR PH1)</v>
          </cell>
          <cell r="C5072" t="str">
            <v>LAPP</v>
          </cell>
          <cell r="D5072" t="str">
            <v>Lapp-Non Moving Stocks</v>
          </cell>
        </row>
        <row r="5073">
          <cell r="A5073" t="str">
            <v>10445000 (EPIC H-A 10 TS 16 ZW)</v>
          </cell>
          <cell r="B5073" t="str">
            <v>10445000(EPIC H-A 10 TS 16 ZW)</v>
          </cell>
          <cell r="C5073" t="str">
            <v>LAPP</v>
          </cell>
          <cell r="D5073" t="str">
            <v>Lapp-Non Moving Stocks</v>
          </cell>
        </row>
        <row r="5074">
          <cell r="A5074" t="str">
            <v>10564500 (EPIC H-A 16 TS 21 ZW.  HOOD)</v>
          </cell>
          <cell r="B5074" t="str">
            <v>10564500(EPIC H-A 16 TS 21 ZW. HOOD)</v>
          </cell>
          <cell r="C5074" t="str">
            <v>LAPP</v>
          </cell>
          <cell r="D5074" t="str">
            <v>Lapp-Non Moving Stocks</v>
          </cell>
        </row>
        <row r="5075">
          <cell r="A5075" t="str">
            <v>10421000 (EPIC H-A 3 BS_x000D_
)</v>
          </cell>
          <cell r="B5075" t="str">
            <v>10421000(EPIC H-A 3 BS_x000D_
)</v>
          </cell>
          <cell r="C5075" t="str">
            <v>LAPP</v>
          </cell>
          <cell r="D5075" t="str">
            <v>Lapp-Non Moving Stocks</v>
          </cell>
        </row>
        <row r="5076">
          <cell r="A5076" t="str">
            <v>44429015 (EPIC H-A 3 MAGD)</v>
          </cell>
          <cell r="B5076" t="str">
            <v>44429015(EPIC H-A 3 MAGD)</v>
          </cell>
          <cell r="C5076" t="str">
            <v>LAPP</v>
          </cell>
          <cell r="D5076" t="str">
            <v>Lapp-Non Moving Stocks</v>
          </cell>
        </row>
        <row r="5077">
          <cell r="A5077" t="str">
            <v>10420000 (EPIC H-A 3 SS -BG_x000D_
)</v>
          </cell>
          <cell r="B5077" t="str">
            <v>10420000(EPIC H-A 3 SS -BG_x000D_
)</v>
          </cell>
          <cell r="C5077" t="str">
            <v>LAPP</v>
          </cell>
          <cell r="D5077" t="str">
            <v>Lapp-Non Moving Stocks</v>
          </cell>
        </row>
        <row r="5078">
          <cell r="A5078" t="str">
            <v>10432000 (EPIC H-A 4 BS)</v>
          </cell>
          <cell r="B5078" t="str">
            <v>10432000(EPIC H-A 4 BS)</v>
          </cell>
          <cell r="C5078" t="str">
            <v>LAPP</v>
          </cell>
          <cell r="D5078" t="str">
            <v>Lapp-Non Moving Stocks</v>
          </cell>
        </row>
        <row r="5079">
          <cell r="A5079" t="str">
            <v>10431000 (EPIC H-A 4 SS)</v>
          </cell>
          <cell r="B5079" t="str">
            <v>10431000(EPIC H-A 4 SS)</v>
          </cell>
          <cell r="C5079" t="str">
            <v>LAPP</v>
          </cell>
          <cell r="D5079" t="str">
            <v>Lapp-Non Moving Stocks</v>
          </cell>
        </row>
        <row r="5080">
          <cell r="A5080" t="str">
            <v>10083000 (EPIC H-B 16 TSB 21 ZW 40)</v>
          </cell>
          <cell r="B5080" t="str">
            <v>10083000(EPIC H-B 16 TSB 21 ZW 40)</v>
          </cell>
          <cell r="C5080" t="str">
            <v>LAPP</v>
          </cell>
          <cell r="D5080" t="str">
            <v>Lapp-Non Moving Stocks</v>
          </cell>
        </row>
        <row r="5081">
          <cell r="A5081" t="str">
            <v>10123000 (EPIC H-B 24 TS 29 ZW.  HOOD_x000D_
)</v>
          </cell>
          <cell r="B5081" t="str">
            <v>10123000(EPIC H-B 24 TS 29 ZW. HOOD_x000D_
)</v>
          </cell>
          <cell r="C5081" t="str">
            <v>LAPP</v>
          </cell>
          <cell r="D5081" t="str">
            <v>Lapp-Non Moving Stocks</v>
          </cell>
        </row>
        <row r="5082">
          <cell r="A5082" t="str">
            <v>10193000 (EPIC H-BE 10 BS DR 500 PH1_x000D_
)</v>
          </cell>
          <cell r="B5082" t="str">
            <v>10193000(EPIC H-BE 10 BS DR 500 PH1_x000D_
)</v>
          </cell>
          <cell r="C5082" t="str">
            <v>LAPP</v>
          </cell>
          <cell r="D5082" t="str">
            <v>Lapp-Non Moving Stocks</v>
          </cell>
        </row>
        <row r="5083">
          <cell r="A5083" t="str">
            <v>10192000 (EPIC H-BE 10 SS DR 500 PH1_x000D_
)</v>
          </cell>
          <cell r="B5083" t="str">
            <v>10192000(EPIC H-BE 10 SS DR 500 PH1_x000D_
)</v>
          </cell>
          <cell r="C5083" t="str">
            <v>LAPP</v>
          </cell>
          <cell r="D5083" t="str">
            <v>Lapp-Non Moving Stocks</v>
          </cell>
        </row>
        <row r="5084">
          <cell r="A5084" t="str">
            <v>10195000 (EPIC H-BE 16 BS DR 500 PH1)</v>
          </cell>
          <cell r="B5084" t="str">
            <v>10195000(EPIC H-BE 16 BS DR 500 PH1)</v>
          </cell>
          <cell r="C5084" t="str">
            <v>LAPP</v>
          </cell>
          <cell r="D5084" t="str">
            <v>Lapp-Non Moving Stocks</v>
          </cell>
        </row>
        <row r="5085">
          <cell r="A5085" t="str">
            <v>10194000 (EPIC H-BE 16 SS DR 500 PH1_x000D_
)</v>
          </cell>
          <cell r="B5085" t="str">
            <v>10194000(EPIC H-BE 16 SS DR 500 PH1_x000D_
)</v>
          </cell>
          <cell r="C5085" t="str">
            <v>LAPP</v>
          </cell>
          <cell r="D5085" t="str">
            <v>Lapp-Non Moving Stocks</v>
          </cell>
        </row>
        <row r="5086">
          <cell r="A5086" t="str">
            <v>10197000 (EPIC H-BE 24 BS DR 500 PH1)</v>
          </cell>
          <cell r="B5086" t="str">
            <v>10197000(EPIC H-BE 24 BS DR 500 PH1)</v>
          </cell>
          <cell r="C5086" t="str">
            <v>LAPP</v>
          </cell>
          <cell r="D5086" t="str">
            <v>Lapp-Non Moving Stocks</v>
          </cell>
        </row>
        <row r="5087">
          <cell r="A5087" t="str">
            <v>10196000 (EPIC H-BE 24 SS DR 500 PH1_x000D_
)</v>
          </cell>
          <cell r="B5087" t="str">
            <v>10196000(EPIC H-BE 24 SS DR 500 PH1_x000D_
)</v>
          </cell>
          <cell r="C5087" t="str">
            <v>LAPP</v>
          </cell>
          <cell r="D5087" t="str">
            <v>Lapp-Non Moving Stocks</v>
          </cell>
        </row>
        <row r="5088">
          <cell r="A5088" t="str">
            <v>10191000 (EPIC H-BE 6 BS DR 500 PH1)</v>
          </cell>
          <cell r="B5088" t="str">
            <v>10191000(EPIC H-BE 6 BS DR 500 PH1)</v>
          </cell>
          <cell r="C5088" t="str">
            <v>LAPP</v>
          </cell>
          <cell r="D5088" t="str">
            <v>Lapp-Non Moving Stocks</v>
          </cell>
        </row>
        <row r="5089">
          <cell r="A5089" t="str">
            <v>10190000 (EPIC H-BE 6 SS DR 500 PH1_x000D_
)</v>
          </cell>
          <cell r="B5089" t="str">
            <v>10190000(EPIC H-BE 6 SS DR 500 PH1_x000D_
)</v>
          </cell>
          <cell r="C5089" t="str">
            <v>LAPP</v>
          </cell>
          <cell r="D5089" t="str">
            <v>Lapp-Non Moving Stocks</v>
          </cell>
        </row>
        <row r="5090">
          <cell r="A5090" t="str">
            <v>75009637 (EPIC KIT H-BE 6 BS AG)</v>
          </cell>
          <cell r="B5090" t="str">
            <v>75009637(EPIC KIT H-BE 6 BS AG)</v>
          </cell>
          <cell r="C5090" t="str">
            <v>LAPP</v>
          </cell>
          <cell r="D5090" t="str">
            <v>Lapp-Non Moving Stocks</v>
          </cell>
        </row>
        <row r="5091">
          <cell r="A5091" t="str">
            <v>75009638 (EPIC KIT H-BE 6 BS SGR-LB M20)</v>
          </cell>
          <cell r="B5091" t="str">
            <v>75009638(EPIC KIT H-BE 6 BS SGR-LB M20)</v>
          </cell>
          <cell r="C5091" t="str">
            <v>LAPP</v>
          </cell>
          <cell r="D5091" t="str">
            <v>Lapp-Non Moving Stocks</v>
          </cell>
        </row>
        <row r="5092">
          <cell r="A5092" t="str">
            <v>75009635 (EPIC KIT H-BE 6 SS TG M20)</v>
          </cell>
          <cell r="B5092" t="str">
            <v>75009635(EPIC KIT H-BE 6 SS TG M20)</v>
          </cell>
          <cell r="C5092" t="str">
            <v>LAPP</v>
          </cell>
          <cell r="D5092" t="str">
            <v>Lapp-Non Moving Stocks</v>
          </cell>
        </row>
        <row r="5093">
          <cell r="A5093" t="str">
            <v>75009636 (EPIC KIT H-BE 6 SS TS M20_x000D_
)</v>
          </cell>
          <cell r="B5093" t="str">
            <v>75009636(EPIC KIT H-BE 6 SS TS M20_x000D_
)</v>
          </cell>
          <cell r="C5093" t="str">
            <v>LAPP</v>
          </cell>
          <cell r="D5093" t="str">
            <v>Lapp-Non Moving Stocks</v>
          </cell>
        </row>
        <row r="5094">
          <cell r="A5094" t="str">
            <v>KI100091 (Epic Smart HBE 32 Rectangular Connector)</v>
          </cell>
          <cell r="B5094" t="str">
            <v>KI100091(Epic Smart HBE 32 Rectangular Connector)</v>
          </cell>
          <cell r="C5094" t="str">
            <v>LAPP</v>
          </cell>
          <cell r="D5094" t="str">
            <v>Lapp-Non Moving Stocks</v>
          </cell>
        </row>
        <row r="5095">
          <cell r="A5095" t="str">
            <v>KI10315_x000D_
 (EPIC® SMART H-BE 10 SEH PG 16, PMB, 2LL_x000D_
)</v>
          </cell>
          <cell r="B5095" t="str">
            <v>KI10315_x000D_
(EPIC® SMART H-BE 10 SEH PG 16, PMB, 2LL_x000D_
)</v>
          </cell>
          <cell r="C5095" t="str">
            <v>LAPP</v>
          </cell>
          <cell r="D5095" t="str">
            <v>Lapp-Non Moving Stocks</v>
          </cell>
        </row>
        <row r="5096">
          <cell r="A5096" t="str">
            <v>KI10071_x000D_
 (EPIC® SMART H-BE 16 SEH PG 21, PMB, 2LL_x000D_
)</v>
          </cell>
          <cell r="B5096" t="str">
            <v>KI10071_x000D_
(EPIC® SMART H-BE 16 SEH PG 21, PMB, 2LL_x000D_
)</v>
          </cell>
          <cell r="C5096" t="str">
            <v>LAPP</v>
          </cell>
          <cell r="D5096" t="str">
            <v>Lapp-Non Moving Stocks</v>
          </cell>
        </row>
        <row r="5097">
          <cell r="A5097" t="str">
            <v>KI10081PG21_x000D_
 (EPIC® SMART H-BE 24 SEH PG 21, PMB, 2LL_x000D_
)</v>
          </cell>
          <cell r="B5097" t="str">
            <v>KI10081PG21_x000D_
(EPIC® SMART H-BE 24 SEH PG 21, PMB, 2LL_x000D_
)</v>
          </cell>
          <cell r="C5097" t="str">
            <v>LAPP</v>
          </cell>
          <cell r="D5097" t="str">
            <v>Lapp-Non Moving Stocks</v>
          </cell>
        </row>
        <row r="5098">
          <cell r="A5098" t="str">
            <v>KI10051_x000D_
 (EPIC® SMART H-BE 6 SEH PG16, PMB, 1LL_x000D_
)</v>
          </cell>
          <cell r="B5098" t="str">
            <v>KI10051_x000D_
(EPIC® SMART H-BE 6 SEH PG16, PMB, 1LL_x000D_
)</v>
          </cell>
          <cell r="C5098" t="str">
            <v>LAPP</v>
          </cell>
          <cell r="D5098" t="str">
            <v>Lapp-Non Moving Stocks</v>
          </cell>
        </row>
        <row r="5099">
          <cell r="A5099" t="str">
            <v>1600189 (H07RN-F 1X70_x000D_
)</v>
          </cell>
          <cell r="B5099" t="str">
            <v>1600189(H07RN-F 1X70_x000D_
)</v>
          </cell>
          <cell r="C5099" t="str">
            <v>LAPP</v>
          </cell>
          <cell r="D5099" t="str">
            <v>Lapp-Non Moving Stocks</v>
          </cell>
        </row>
        <row r="5100">
          <cell r="A5100" t="str">
            <v>16001063 (H07RN-F 4G4 NCC_x000D_
)</v>
          </cell>
          <cell r="B5100" t="str">
            <v>16001063(H07RN-F 4G4 NCC_x000D_
)</v>
          </cell>
          <cell r="C5100" t="str">
            <v>LAPP</v>
          </cell>
          <cell r="D5100" t="str">
            <v>Lapp-Non Moving Stocks</v>
          </cell>
        </row>
        <row r="5101">
          <cell r="A5101" t="str">
            <v>4521044 (H07V-K 1X70 RD_x000D_
)</v>
          </cell>
          <cell r="B5101" t="str">
            <v>4521044(H07V-K 1X70 RD_x000D_
)</v>
          </cell>
          <cell r="C5101" t="str">
            <v>LAPP</v>
          </cell>
          <cell r="D5101" t="str">
            <v>Lapp-Non Moving Stocks</v>
          </cell>
        </row>
        <row r="5102">
          <cell r="A5102" t="str">
            <v>10442000 (H-A 10 AG  PANEL MOUNT BASE)</v>
          </cell>
          <cell r="B5102" t="str">
            <v>10442000(H-A 10 AG PANEL MOUNT BASE)</v>
          </cell>
          <cell r="C5102" t="str">
            <v>LAPP</v>
          </cell>
          <cell r="D5102" t="str">
            <v>Lapp-Non Moving Stocks</v>
          </cell>
        </row>
        <row r="5103">
          <cell r="A5103" t="str">
            <v>KI00013 (HA 10,SEH (PG 16) PMB &amp; Single Locking)</v>
          </cell>
          <cell r="B5103" t="str">
            <v>KI00013(HA 10,SEH (PG 16) PMB &amp; Single Locking)</v>
          </cell>
          <cell r="C5103" t="str">
            <v>LAPP</v>
          </cell>
          <cell r="D5103" t="str">
            <v>Lapp-Non Moving Stocks</v>
          </cell>
        </row>
        <row r="5104">
          <cell r="A5104" t="str">
            <v>10462000 (H-A 16 AG  PANEL MOUNT BASE)</v>
          </cell>
          <cell r="B5104" t="str">
            <v>10462000(H-A 16 AG PANEL MOUNT BASE)</v>
          </cell>
          <cell r="C5104" t="str">
            <v>LAPP</v>
          </cell>
          <cell r="D5104" t="str">
            <v>Lapp-Non Moving Stocks</v>
          </cell>
        </row>
        <row r="5105">
          <cell r="A5105" t="str">
            <v>KI00014_x000D_
 (HA 16,SEH (PG 16),PMB with 1LL._x000D_
)</v>
          </cell>
          <cell r="B5105" t="str">
            <v>KI00014 (HA 16,SEH (PG 16),PMB wi</v>
          </cell>
          <cell r="C5105" t="str">
            <v>LAPP</v>
          </cell>
          <cell r="D5105" t="str">
            <v>Lapp-Non Moving Stocks</v>
          </cell>
        </row>
        <row r="5106">
          <cell r="A5106" t="str">
            <v>10430400 (H-A 3 KDBF-S COVER)</v>
          </cell>
          <cell r="B5106" t="str">
            <v>10430400(H-A 3 KDBF-S COVER)</v>
          </cell>
          <cell r="C5106" t="str">
            <v>LAPP</v>
          </cell>
          <cell r="D5106" t="str">
            <v>Lapp-Non Moving Stocks</v>
          </cell>
        </row>
        <row r="5107">
          <cell r="A5107" t="str">
            <v>10422500 (H-A 3 MAG  PANEL MOUNT BASE_x000D_
)</v>
          </cell>
          <cell r="B5107" t="str">
            <v>10422500(H-A 3 MAG PANEL MOUNT BASE_x000D_
)</v>
          </cell>
          <cell r="C5107" t="str">
            <v>LAPP</v>
          </cell>
          <cell r="D5107" t="str">
            <v>Lapp-Non Moving Stocks</v>
          </cell>
        </row>
        <row r="5108">
          <cell r="A5108" t="str">
            <v>10424500 (H-A 3 MAGSV 11 KPL.  BOX MOUNT BASE_x000D_
)</v>
          </cell>
          <cell r="B5108" t="str">
            <v>10424500(H-A 3 MAGSV 11 KPL. BOX MOUNT BASE_x000D_
)</v>
          </cell>
          <cell r="C5108" t="str">
            <v>LAPP</v>
          </cell>
          <cell r="D5108" t="str">
            <v>Lapp-Non Moving Stocks</v>
          </cell>
        </row>
        <row r="5109">
          <cell r="A5109" t="str">
            <v>10426500 (H-A 3 MTGV 11 KPL.  HOOD_x000D_
)</v>
          </cell>
          <cell r="B5109" t="str">
            <v>10426500(H-A 3 MTGV 11 KPL. HOOD_x000D_
)</v>
          </cell>
          <cell r="C5109" t="str">
            <v>LAPP</v>
          </cell>
          <cell r="D5109" t="str">
            <v>Lapp-Non Moving Stocks</v>
          </cell>
        </row>
        <row r="5110">
          <cell r="A5110" t="str">
            <v>10512300 (H-A 3 MTS 11 N.GEW.  HOOD)</v>
          </cell>
          <cell r="B5110" t="str">
            <v>10512300(H-A 3 MTS 11 N.GEW. HOOD)</v>
          </cell>
          <cell r="C5110" t="str">
            <v>LAPP</v>
          </cell>
          <cell r="D5110" t="str">
            <v>Lapp-Non Moving Stocks</v>
          </cell>
        </row>
        <row r="5111">
          <cell r="A5111" t="str">
            <v>KI00002 (HA 4 , SEH with Gland, PMB , Metallic V)</v>
          </cell>
          <cell r="B5111" t="str">
            <v>KI00002(HA 4 , SEH with Gland, PMB , Metallic V)</v>
          </cell>
          <cell r="C5111" t="str">
            <v>LAPP</v>
          </cell>
          <cell r="D5111" t="str">
            <v>Lapp-Non Moving Stocks</v>
          </cell>
        </row>
        <row r="5112">
          <cell r="A5112" t="str">
            <v>KI00003 (HA 4 , TEH, PMB , thermoplastic version)</v>
          </cell>
          <cell r="B5112" t="str">
            <v>KI00003(HA 4 , TEH, PMB , thermoplastic version)</v>
          </cell>
          <cell r="C5112" t="str">
            <v>LAPP</v>
          </cell>
          <cell r="D5112" t="str">
            <v>Lapp-Non Moving Stocks</v>
          </cell>
        </row>
        <row r="5113">
          <cell r="A5113" t="str">
            <v>KI00004 (HA 4 , TEH with Gland, PMB , Metallic V)</v>
          </cell>
          <cell r="B5113" t="str">
            <v>KI00004(HA 4 , TEH with Gland, PMB , Metallic V)</v>
          </cell>
          <cell r="C5113" t="str">
            <v>LAPP</v>
          </cell>
          <cell r="D5113" t="str">
            <v>Lapp-Non Moving Stocks</v>
          </cell>
        </row>
        <row r="5114">
          <cell r="A5114" t="str">
            <v>10047000 (H-B 10 KDB COVER_x000D_
)</v>
          </cell>
          <cell r="B5114" t="str">
            <v>10047000(H-B 10 KDB COVER_x000D_
)</v>
          </cell>
          <cell r="C5114" t="str">
            <v>LAPP</v>
          </cell>
          <cell r="D5114" t="str">
            <v>Lapp-Non Moving Stocks</v>
          </cell>
        </row>
        <row r="5115">
          <cell r="A5115" t="str">
            <v>10036000 (H-B 10 SDR-BO 16 ZW.  BOX MOUNT BASE_x000D_
)</v>
          </cell>
          <cell r="B5115" t="str">
            <v>10036000(H-B 10 SDR-BO 16 ZW. BOX MOUNT BASE_x000D_
)</v>
          </cell>
          <cell r="C5115" t="str">
            <v>LAPP</v>
          </cell>
          <cell r="D5115" t="str">
            <v>Lapp-Non Moving Stocks</v>
          </cell>
        </row>
        <row r="5116">
          <cell r="A5116" t="str">
            <v>10046000 (H-B 10 TBF 16 ZW.  CABLE COUPLER HOOD_x000D_
)</v>
          </cell>
          <cell r="B5116" t="str">
            <v>10046000(H-B 10 TBF 16 ZW. CABLE COUPLER HOOD_x000D_
)</v>
          </cell>
          <cell r="C5116" t="str">
            <v>LAPP</v>
          </cell>
          <cell r="D5116" t="str">
            <v>Lapp-Non Moving Stocks</v>
          </cell>
        </row>
        <row r="5117">
          <cell r="A5117" t="str">
            <v>10040000 (H-B 10 TG 16 ZW.  HOOD_x000D_
)</v>
          </cell>
          <cell r="B5117" t="str">
            <v>10040000(H-B 10 TG 16 ZW. HOOD_x000D_
)</v>
          </cell>
          <cell r="C5117" t="str">
            <v>LAPP</v>
          </cell>
          <cell r="D5117" t="str">
            <v>Lapp-Non Moving Stocks</v>
          </cell>
        </row>
        <row r="5118">
          <cell r="A5118" t="str">
            <v>70057400 (H-B 10 TSBH 29 ZW.  HOOD_x000D_
)</v>
          </cell>
          <cell r="B5118" t="str">
            <v>70057400(H-B 10 TSBH 29 ZW. HOOD_x000D_
)</v>
          </cell>
          <cell r="C5118" t="str">
            <v>LAPP</v>
          </cell>
          <cell r="D5118" t="str">
            <v>Lapp-Non Moving Stocks</v>
          </cell>
        </row>
        <row r="5119">
          <cell r="A5119" t="str">
            <v>10042900 (H-B 10 TS-RO 16 ZW. HOOD)</v>
          </cell>
          <cell r="B5119" t="str">
            <v>10042900(H-B 10 TS-RO 16 ZW. HOOD)</v>
          </cell>
          <cell r="C5119" t="str">
            <v>LAPP</v>
          </cell>
          <cell r="D5119" t="str">
            <v>Lapp-Non Moving Stocks</v>
          </cell>
        </row>
        <row r="5120">
          <cell r="A5120" t="str">
            <v>10072900 (H-B 16 AG-LB  PANEL MOUNT BASE_x000D_
)</v>
          </cell>
          <cell r="B5120" t="str">
            <v>10072900(H-B 16 AG-LB  PANEL MOUNT BASE_x000D_
)</v>
          </cell>
          <cell r="C5120" t="str">
            <v>LAPP</v>
          </cell>
          <cell r="D5120" t="str">
            <v>Lapp-Non Moving Stocks</v>
          </cell>
        </row>
        <row r="5121">
          <cell r="A5121" t="str">
            <v>10087000 (H-B 16 KDB COVER_x000D_
)</v>
          </cell>
          <cell r="B5121" t="str">
            <v>10087000(H-B 16 KDB COVER_x000D_
)</v>
          </cell>
          <cell r="C5121" t="str">
            <v>LAPP</v>
          </cell>
          <cell r="D5121" t="str">
            <v>Lapp-Non Moving Stocks</v>
          </cell>
        </row>
        <row r="5122">
          <cell r="A5122" t="str">
            <v>10088500 (H-B 16 KDT-QB COVER)</v>
          </cell>
          <cell r="B5122" t="str">
            <v>10088500(H-B 16 KDT-QB COVER)</v>
          </cell>
          <cell r="C5122" t="str">
            <v>LAPP</v>
          </cell>
          <cell r="D5122" t="str">
            <v>Lapp-Non Moving Stocks</v>
          </cell>
        </row>
        <row r="5123">
          <cell r="A5123" t="str">
            <v>10076000 (H-B 16 SDR-BO 21 ZW. BOX_x000D_
MOUNT BASE 50_x000D_)</v>
          </cell>
          <cell r="B5123" t="str">
            <v>10076000(H-B 16 SDR-BO 21 ZW. BOX_x000D_
MOUNT BASE 50_x000D_)</v>
          </cell>
          <cell r="C5123" t="str">
            <v>LAPP</v>
          </cell>
          <cell r="D5123" t="str">
            <v>Lapp-Non Moving Stocks</v>
          </cell>
        </row>
        <row r="5124">
          <cell r="A5124" t="str">
            <v>19092900 (H-B 16 TS-RO M32 ZW.  HOOD_x000D_
)</v>
          </cell>
          <cell r="B5124" t="str">
            <v>19092900(H-B 16 TS-RO M32 ZW. HOOD_x000D_
)</v>
          </cell>
          <cell r="C5124" t="str">
            <v>LAPP</v>
          </cell>
          <cell r="D5124" t="str">
            <v>Lapp-Non Moving Stocks</v>
          </cell>
        </row>
        <row r="5125">
          <cell r="A5125" t="str">
            <v>10102900 (H-B 24 AG-LB  PANEL MOUNT BASE_x000D_
)</v>
          </cell>
          <cell r="B5125" t="str">
            <v>10102900(H-B 24 AG-LB  PANEL MOUNT BASE_x000D_
)</v>
          </cell>
          <cell r="C5125" t="str">
            <v>LAPP</v>
          </cell>
          <cell r="D5125" t="str">
            <v>Lapp-Non Moving Stocks</v>
          </cell>
        </row>
        <row r="5126">
          <cell r="A5126" t="str">
            <v>10118000 (H-B 24 KDB COVER_x000D_
)</v>
          </cell>
          <cell r="B5126" t="str">
            <v>10118000(H-B 24 KDB COVER_x000D_
)</v>
          </cell>
          <cell r="C5126" t="str">
            <v>LAPP</v>
          </cell>
          <cell r="D5126" t="str">
            <v>Lapp-Non Moving Stocks</v>
          </cell>
        </row>
        <row r="5127">
          <cell r="A5127" t="str">
            <v>10118600 (H-B 24 KDTF-LB COVER)</v>
          </cell>
          <cell r="B5127" t="str">
            <v>10118600(H-B 24 KDTF-LB COVER)</v>
          </cell>
          <cell r="C5127" t="str">
            <v>LAPP</v>
          </cell>
          <cell r="D5127" t="str">
            <v>Lapp-Non Moving Stocks</v>
          </cell>
        </row>
        <row r="5128">
          <cell r="A5128" t="str">
            <v>10119500 (H-B 24 KDT-QB COVER)</v>
          </cell>
          <cell r="B5128" t="str">
            <v>10119500(H-B 24 KDT-QB COVER)</v>
          </cell>
          <cell r="C5128" t="str">
            <v>LAPP</v>
          </cell>
          <cell r="D5128" t="str">
            <v>Lapp-Non Moving Stocks</v>
          </cell>
        </row>
        <row r="5129">
          <cell r="A5129" t="str">
            <v>70145400 (H-B 24 SDRH-BO 29 ZW.  BOX MOUNT BASE_x000D_
)</v>
          </cell>
          <cell r="B5129" t="str">
            <v>70145400(H-B 24 SDRH-BO 29 ZW. BOX MOUNT BASE_x000D_
)</v>
          </cell>
          <cell r="C5129" t="str">
            <v>LAPP</v>
          </cell>
          <cell r="D5129" t="str">
            <v>Lapp-Non Moving Stocks</v>
          </cell>
        </row>
        <row r="5130">
          <cell r="A5130" t="str">
            <v>10124000 (H-B 24 TSB 29 ZW.  HOOD_x000D_
)</v>
          </cell>
          <cell r="B5130" t="str">
            <v>10124000(H-B 24 TSB 29 ZW. HOOD_x000D_
)</v>
          </cell>
          <cell r="C5130" t="str">
            <v>LAPP</v>
          </cell>
          <cell r="D5130" t="str">
            <v>Lapp-Non Moving Stocks</v>
          </cell>
        </row>
        <row r="5131">
          <cell r="A5131" t="str">
            <v>10113900 (H-B 24 TS-RO 21 ZW.  HOOD)</v>
          </cell>
          <cell r="B5131" t="str">
            <v>10113900(H-B 24 TS-RO 21 ZW. HOOD)</v>
          </cell>
          <cell r="C5131" t="str">
            <v>LAPP</v>
          </cell>
          <cell r="D5131" t="str">
            <v>Lapp-Non Moving Stocks</v>
          </cell>
        </row>
        <row r="5132">
          <cell r="A5132" t="str">
            <v>10015000 (H-B 6 KDB COVER_x000D_
)</v>
          </cell>
          <cell r="B5132" t="str">
            <v>10015000(H-B 6 KDB COVER_x000D_
)</v>
          </cell>
          <cell r="C5132" t="str">
            <v>LAPP</v>
          </cell>
          <cell r="D5132" t="str">
            <v>Lapp-Non Moving Stocks</v>
          </cell>
        </row>
        <row r="5133">
          <cell r="A5133" t="str">
            <v>10024000 (H-B 6 TBF 16 ZW.  CABLE COUPLER HOOD_x000D_
)</v>
          </cell>
          <cell r="B5133" t="str">
            <v>10024000(H-B 6 TBF 16 ZW. CABLE COUPLER HOOD_x000D_
)</v>
          </cell>
          <cell r="C5133" t="str">
            <v>LAPP</v>
          </cell>
          <cell r="D5133" t="str">
            <v>Lapp-Non Moving Stocks</v>
          </cell>
        </row>
        <row r="5134">
          <cell r="A5134" t="str">
            <v>10021000 (H-B 6 TG 16 ZW.  HOOD_x000D_
)</v>
          </cell>
          <cell r="B5134" t="str">
            <v>10021000(H-B 6 TG 16 ZW. HOOD_x000D_
)</v>
          </cell>
          <cell r="C5134" t="str">
            <v>LAPP</v>
          </cell>
          <cell r="D5134" t="str">
            <v>Lapp-Non Moving Stocks</v>
          </cell>
        </row>
        <row r="5135">
          <cell r="A5135" t="str">
            <v>KI00287 (H-BE 10 pin,SHE PG 16,PMB 1LL)</v>
          </cell>
          <cell r="B5135" t="str">
            <v>KI00287(H-BE 10 pin,SHE PG 16,PMB 1LL)</v>
          </cell>
          <cell r="C5135" t="str">
            <v>LAPP</v>
          </cell>
          <cell r="D5135" t="str">
            <v>Lapp-Non Moving Stocks</v>
          </cell>
        </row>
        <row r="5136">
          <cell r="A5136" t="str">
            <v>KI00288 (H-BE 10 PIN, SHE PG 16, SMB 1CE, 1LL)</v>
          </cell>
          <cell r="B5136" t="str">
            <v>KI00288(H-BE 10 PIN, SHE PG 16, SMB 1CE, 1LL)</v>
          </cell>
          <cell r="C5136" t="str">
            <v>LAPP</v>
          </cell>
          <cell r="D5136" t="str">
            <v>Lapp-Non Moving Stocks</v>
          </cell>
        </row>
        <row r="5137">
          <cell r="A5137" t="str">
            <v>KI00064 (HBE10,SEH (PG 21), PMB,double locking)</v>
          </cell>
          <cell r="B5137" t="str">
            <v>KI00064(HBE10,SEH(PG 21), PMB,double locking)</v>
          </cell>
          <cell r="C5137" t="str">
            <v>LAPP</v>
          </cell>
          <cell r="D5137" t="str">
            <v>Lapp-Non Moving Stocks</v>
          </cell>
        </row>
        <row r="5138">
          <cell r="A5138" t="str">
            <v>KI00286 (H-BE 16 pin, SHE PG21,SMB 1CE,1LL_x000D_
)</v>
          </cell>
          <cell r="B5138" t="str">
            <v>KI00286(H-BE 16 pin, SHE PG21,SMB 1CE,1LL_x000D_
)</v>
          </cell>
          <cell r="C5138" t="str">
            <v>LAPP</v>
          </cell>
          <cell r="D5138" t="str">
            <v>Lapp-Non Moving Stocks</v>
          </cell>
        </row>
        <row r="5139">
          <cell r="A5139" t="str">
            <v>KI00071 (HBE 16, SEH (PG 21),PMB,2LL_x000D_
)</v>
          </cell>
          <cell r="B5139" t="str">
            <v>KI00071(HBE 16, SEH(PG 21),PMB,2LL_x000D_
)</v>
          </cell>
          <cell r="C5139" t="str">
            <v>LAPP</v>
          </cell>
          <cell r="D5139" t="str">
            <v>Lapp-Non Moving Stocks</v>
          </cell>
        </row>
        <row r="5140">
          <cell r="A5140" t="str">
            <v>KI00230 (H-BE 16,SEH (PG 21), PMB with 1LL)</v>
          </cell>
          <cell r="B5140" t="str">
            <v>KI00230(H-BE 16,SEH(PG 21), PMB with 1LL)</v>
          </cell>
          <cell r="C5140" t="str">
            <v>LAPP</v>
          </cell>
          <cell r="D5140" t="str">
            <v>Lapp-Non Moving Stocks</v>
          </cell>
        </row>
        <row r="5141">
          <cell r="A5141" t="str">
            <v>KI00072 (HBE16,SHE21PG,2LL,SMB,SEPG21),DC2stud._x000D_
)</v>
          </cell>
          <cell r="B5141" t="str">
            <v>KI00072(HBE16,SHE21PG,2LL,SMB,SEPG21),DC2stud._x000D_
)</v>
          </cell>
          <cell r="C5141" t="str">
            <v>LAPP</v>
          </cell>
          <cell r="D5141" t="str">
            <v>Lapp-Non Moving Stocks</v>
          </cell>
        </row>
        <row r="5142">
          <cell r="A5142" t="str">
            <v>KI00284 (H-BE 24 pin,SHE PG 21,PMB 1LL)</v>
          </cell>
          <cell r="B5142" t="str">
            <v>KI00284(H-BE 24 pin,SHE PG 21,PMB 1LL)</v>
          </cell>
          <cell r="C5142" t="str">
            <v>LAPP</v>
          </cell>
          <cell r="D5142" t="str">
            <v>Lapp-Non Moving Stocks</v>
          </cell>
        </row>
        <row r="5143">
          <cell r="A5143" t="str">
            <v>KI00285 (H-BE 24 pin ,SHE PG 21,SMB  ILL,1CE_x000D_
)</v>
          </cell>
          <cell r="B5143" t="str">
            <v>KI00285(H-BE 24 pin ,SHE PG 21,SMB ILL,1CE_x000D_
)</v>
          </cell>
          <cell r="C5143" t="str">
            <v>LAPP</v>
          </cell>
          <cell r="D5143" t="str">
            <v>Lapp-Non Moving Stocks</v>
          </cell>
        </row>
        <row r="5144">
          <cell r="A5144" t="str">
            <v>KI00056 (HBE 48, SEH (PG 36),SMB SE(PG 36) &amp; 1LL)</v>
          </cell>
          <cell r="B5144" t="str">
            <v>KI00056(HBE 48, SEH(PG 36),SMB SE(PG 36) &amp; 1LL)</v>
          </cell>
          <cell r="C5144" t="str">
            <v>LAPP</v>
          </cell>
          <cell r="D5144" t="str">
            <v>Lapp-Non Moving Stocks</v>
          </cell>
        </row>
        <row r="5145">
          <cell r="A5145" t="str">
            <v>KI00289 (H-BE 6 pin, SHE PG 16,SMB 1CE,1LL)</v>
          </cell>
          <cell r="B5145" t="str">
            <v>KI00289(H-BE 6 pin, SHE PG 16,SMB 1CE,1LL)</v>
          </cell>
          <cell r="C5145" t="str">
            <v>LAPP</v>
          </cell>
          <cell r="D5145" t="str">
            <v>Lapp-Non Moving Stocks</v>
          </cell>
        </row>
        <row r="5146">
          <cell r="A5146" t="str">
            <v>KI00215 (H-BE 6,TEH (PG 16), PMB with 1LL)</v>
          </cell>
          <cell r="B5146" t="str">
            <v>KI00215(H-BE 6,TEH(PG 16), PMB with 1LL)</v>
          </cell>
          <cell r="C5146" t="str">
            <v>LAPP</v>
          </cell>
          <cell r="D5146" t="str">
            <v>Lapp-Non Moving Stocks</v>
          </cell>
        </row>
        <row r="5147">
          <cell r="A5147" t="str">
            <v>KI00111_x000D_
 (HBS 6, SEH (PG 21), PMB with 1LL. _x000D_
)</v>
          </cell>
          <cell r="B5147" t="str">
            <v>KI00111_x000D_
(HBS 6, SEH(PG 21), PMB with 1LL. _x000D_
)</v>
          </cell>
          <cell r="C5147" t="str">
            <v>LAPP</v>
          </cell>
          <cell r="D5147" t="str">
            <v>Lapp-Non Moving Stocks</v>
          </cell>
        </row>
        <row r="5148">
          <cell r="A5148" t="str">
            <v>11265200 (H-D 40 SCM  MALE INSERT)</v>
          </cell>
          <cell r="B5148" t="str">
            <v>11265200(H-D 40 SCM MALE INSERT)</v>
          </cell>
          <cell r="C5148" t="str">
            <v>LAPP</v>
          </cell>
          <cell r="D5148" t="str">
            <v>Lapp-Non Moving Stocks</v>
          </cell>
        </row>
        <row r="5149">
          <cell r="A5149" t="str">
            <v>13162000 (H-D SCEM AG 0.14-0.37 MALE CONTACT)</v>
          </cell>
          <cell r="B5149" t="str">
            <v>13162000(H-D SCEM AG 0.14-0.37 MALE CONTACT)</v>
          </cell>
          <cell r="C5149" t="str">
            <v>LAPP</v>
          </cell>
          <cell r="D5149" t="str">
            <v>Lapp-Non Moving Stocks</v>
          </cell>
        </row>
        <row r="5150">
          <cell r="A5150" t="str">
            <v>2170464 (ETHERLINE Cat. 6A Y_x000D_
)</v>
          </cell>
          <cell r="B5150" t="str">
            <v>2170464(ETHERLINE Cat. 6A Y_x000D_
)</v>
          </cell>
          <cell r="C5150" t="str">
            <v>LAPP</v>
          </cell>
          <cell r="D5150" t="str">
            <v>Lapp-Non Moving Stocks</v>
          </cell>
        </row>
        <row r="5151">
          <cell r="A5151" t="str">
            <v>2170894 (ETHERLINE FD P FC UL CAT. 5 2x2x22/7AWG_x000D_
)</v>
          </cell>
          <cell r="B5151" t="str">
            <v>2170894(ETHERLINE FD P FC UL CAT. 5 2x2x22/7AWG_x000D_
)</v>
          </cell>
          <cell r="C5151" t="str">
            <v>LAPP</v>
          </cell>
          <cell r="D5151" t="str">
            <v>Lapp-Non Moving Stocks</v>
          </cell>
        </row>
        <row r="5152">
          <cell r="A5152" t="str">
            <v>2170936 (Etherline FESTOON PN Cat.5e/)</v>
          </cell>
          <cell r="B5152" t="str">
            <v>2170936(Etherline FESTOON PN Cat.5e/)</v>
          </cell>
          <cell r="C5152" t="str">
            <v>LAPP</v>
          </cell>
          <cell r="D5152" t="str">
            <v>Lapp-Non Moving Stocks</v>
          </cell>
        </row>
        <row r="5153">
          <cell r="A5153" t="str">
            <v>2170139 (UNITRONIC LAN UTP/BS-H 200 MHz CAT.5e_x000D_
)</v>
          </cell>
          <cell r="B5153" t="str">
            <v>2170139(UNITRONIC LAN UTP/BS-H 200 MHz CAT.5e_x000D_
)</v>
          </cell>
          <cell r="C5153" t="str">
            <v>LAPP</v>
          </cell>
          <cell r="D5153" t="str">
            <v>Lapp-Non Moving Stocks</v>
          </cell>
        </row>
        <row r="5154">
          <cell r="A5154" t="str">
            <v>3805611 (PATCHCORD CAT 6 F/UTP LSZH 10M BLACK)</v>
          </cell>
          <cell r="B5154" t="str">
            <v>3805611(PATCHCORD CAT 6 F/UTP LSZH 10M BLACK)</v>
          </cell>
          <cell r="C5154" t="str">
            <v>LAPP</v>
          </cell>
          <cell r="D5154" t="str">
            <v>Lapp-Non Moving Stocks</v>
          </cell>
        </row>
        <row r="5155">
          <cell r="A5155" t="str">
            <v>3805612 (PATCHCORD CAT 6 F/UTP LSZH 15M BLACK)</v>
          </cell>
          <cell r="B5155" t="str">
            <v>3805612(PATCHCORD CAT 6 F/UTP LSZH 15M BLACK)</v>
          </cell>
          <cell r="C5155" t="str">
            <v>LAPP</v>
          </cell>
          <cell r="D5155" t="str">
            <v>Lapp-Non Moving Stocks</v>
          </cell>
        </row>
        <row r="5156">
          <cell r="A5156" t="str">
            <v>3805605 (PATCHCORD CAT 6 F/UTP LSZH 1M BLACK)</v>
          </cell>
          <cell r="B5156" t="str">
            <v>3805605(PATCHCORD CAT 6 F/UTP LSZH 1M BLACK)</v>
          </cell>
          <cell r="C5156" t="str">
            <v>LAPP</v>
          </cell>
          <cell r="D5156" t="str">
            <v>Lapp-Non Moving Stocks</v>
          </cell>
        </row>
        <row r="5157">
          <cell r="A5157" t="str">
            <v>3805613 (PATCHCORD CAT 6 F/UTP LSZH 20M BLACK)</v>
          </cell>
          <cell r="B5157" t="str">
            <v>3805613(PATCHCORD CAT 6 F/UTP LSZH 20M BLACK)</v>
          </cell>
          <cell r="C5157" t="str">
            <v>LAPP</v>
          </cell>
          <cell r="D5157" t="str">
            <v>Lapp-Non Moving Stocks</v>
          </cell>
        </row>
        <row r="5158">
          <cell r="A5158" t="str">
            <v>3805607 (PATCHCORD CAT 6 F/UTP LSZH 2M BLACK)</v>
          </cell>
          <cell r="B5158" t="str">
            <v>3805607(PATCHCORD CAT 6 F/UTP LSZH 2M BLACK)</v>
          </cell>
          <cell r="C5158" t="str">
            <v>LAPP</v>
          </cell>
          <cell r="D5158" t="str">
            <v>Lapp-Non Moving Stocks</v>
          </cell>
        </row>
        <row r="5159">
          <cell r="A5159" t="str">
            <v>3805608 (PATCHCORD CAT 6 F/UTP LSZH 3M BLACK)</v>
          </cell>
          <cell r="B5159" t="str">
            <v>3805608(PATCHCORD CAT 6 F/UTP LSZH 3M BLACK)</v>
          </cell>
          <cell r="C5159" t="str">
            <v>LAPP</v>
          </cell>
          <cell r="D5159" t="str">
            <v>Lapp-Non Moving Stocks</v>
          </cell>
        </row>
        <row r="5160">
          <cell r="A5160" t="str">
            <v>3805609 (PATCHCORD CAT 6 F/UTP LSZH 5M BLACK)</v>
          </cell>
          <cell r="B5160" t="str">
            <v>3805609(PATCHCORD CAT 6 F/UTP LSZH 5M BLACK)</v>
          </cell>
          <cell r="C5160" t="str">
            <v>LAPP</v>
          </cell>
          <cell r="D5160" t="str">
            <v>Lapp-Non Moving Stocks</v>
          </cell>
        </row>
        <row r="5161">
          <cell r="A5161" t="str">
            <v>3805610 (PATCHCORD CAT 6 F/UTP LSZH 7.5M BLACK)</v>
          </cell>
          <cell r="B5161" t="str">
            <v>3805610(PATCHCORD CAT 6 F/UTP LSZH 7.5M BLACK)</v>
          </cell>
          <cell r="C5161" t="str">
            <v>LAPP</v>
          </cell>
          <cell r="D5161" t="str">
            <v>Lapp-Non Moving Stocks</v>
          </cell>
        </row>
        <row r="5162">
          <cell r="A5162" t="str">
            <v>2170143 (UNITRONIC LAN STP/S 500 MHz 4x2xAWG23_x000D_
)</v>
          </cell>
          <cell r="B5162" t="str">
            <v>2170143(UNITRONIC LAN STP/S 500 MHz 4x2xAWG23_x000D_
)</v>
          </cell>
          <cell r="C5162" t="str">
            <v>LAPP</v>
          </cell>
          <cell r="D5162" t="str">
            <v>Lapp-Non Moving Stocks</v>
          </cell>
        </row>
        <row r="5163">
          <cell r="A5163" t="str">
            <v>2170125 (UNITRONIC LAN UTP 200MHz CAT5e 4x2xAWG24_x000D_
)</v>
          </cell>
          <cell r="B5163" t="str">
            <v>2170125(UNITRONIC LAN UTP 200MHz CAT5e 4x2xAWG24_x000D_
)</v>
          </cell>
          <cell r="C5163" t="str">
            <v>LAPP</v>
          </cell>
          <cell r="D5163" t="str">
            <v>Lapp-Non Moving Stocks</v>
          </cell>
        </row>
        <row r="5164">
          <cell r="A5164" t="str">
            <v>2170127 (UNITRONIC LAN UTP/S 200MHz CAT.5e flex._x000D_
)</v>
          </cell>
          <cell r="B5164" t="str">
            <v>2170127(UNITRONIC LAN UTP/S 200MHz CAT.5e flex._x000D_
)</v>
          </cell>
          <cell r="C5164" t="str">
            <v>LAPP</v>
          </cell>
          <cell r="D5164" t="str">
            <v>Lapp-Non Moving Stocks</v>
          </cell>
        </row>
        <row r="5165">
          <cell r="A5165" t="str">
            <v>38059335 (2170144 LAPP/UNI LAN 500MHZ CAT 6E 18MTRS+CE6)</v>
          </cell>
          <cell r="B5165" t="str">
            <v>38059335(2170144 LAPP/UNI LAN 500MHZ CAT 6E 18MTRS+CE6)</v>
          </cell>
          <cell r="C5165" t="str">
            <v>LAPP</v>
          </cell>
          <cell r="D5165" t="str">
            <v>Lapp-Non Moving Stocks</v>
          </cell>
        </row>
        <row r="5166">
          <cell r="A5166" t="str">
            <v>38059325 (2170144 LAPP/UNI LAN 500MHZ CAT 6E 1 MTR+CE632)</v>
          </cell>
          <cell r="B5166" t="str">
            <v>38059325(2170144 LAPP/UNI LAN 500MHZ CAT 6E 1 MTR+CE632)</v>
          </cell>
          <cell r="C5166" t="str">
            <v>LAPP</v>
          </cell>
          <cell r="D5166" t="str">
            <v>Lapp-Non Moving Stocks</v>
          </cell>
        </row>
        <row r="5167">
          <cell r="A5167" t="str">
            <v>38059326 (2170144 LAPP/UNI LAN 500MHZ CAT 6E 2MTRS+CE63)</v>
          </cell>
          <cell r="B5167" t="str">
            <v>38059326(2170144 LAPP/UNI LAN 500MHZ CAT 6E 2MTRS+CE63)</v>
          </cell>
          <cell r="C5167" t="str">
            <v>LAPP</v>
          </cell>
          <cell r="D5167" t="str">
            <v>Lapp-Non Moving Stocks</v>
          </cell>
        </row>
        <row r="5168">
          <cell r="A5168" t="str">
            <v>2170962 (ETHERLINE LAN Cat.6A F/FTP 4x2xAWG23 LSZ)</v>
          </cell>
          <cell r="B5168" t="str">
            <v>2170962(ETHERLINE LAN Cat.6A F/FTP 4x2xAWG23 LSZ)</v>
          </cell>
          <cell r="C5168" t="str">
            <v>LAPP</v>
          </cell>
          <cell r="D5168" t="str">
            <v>Lapp-Non Moving Stocks</v>
          </cell>
        </row>
        <row r="5169">
          <cell r="A5169" t="str">
            <v>383300890H (Etherline LAN CAT6 UTP Arm 4x2x23AWG/1)</v>
          </cell>
          <cell r="B5169" t="str">
            <v>383300890H(Etherline LAN CAT6 UTP Arm 4x2x23AWG/1)</v>
          </cell>
          <cell r="C5169" t="str">
            <v>LAPP</v>
          </cell>
          <cell r="D5169" t="str">
            <v>Lapp-Non Moving Stocks</v>
          </cell>
        </row>
        <row r="5170">
          <cell r="A5170" t="str">
            <v>24441217 (ETHERLINE® LAN Cat.6A RJ45 1,0 GN)</v>
          </cell>
          <cell r="B5170" t="str">
            <v>24441217(ETHERLINE® LAN Cat.6A RJ45 1,0 GN)</v>
          </cell>
          <cell r="C5170" t="str">
            <v>LAPP</v>
          </cell>
          <cell r="D5170" t="str">
            <v>Lapp-Non Moving Stocks</v>
          </cell>
        </row>
        <row r="5171">
          <cell r="A5171" t="str">
            <v>24441219 (ETHERLINE® LAN Cat.6A RJ45 2,0 GN)</v>
          </cell>
          <cell r="B5171" t="str">
            <v>24441219(ETHERLINE® LAN Cat.6A RJ45 2,0 GN)</v>
          </cell>
          <cell r="C5171" t="str">
            <v>LAPP</v>
          </cell>
          <cell r="D5171" t="str">
            <v>Lapp-Non Moving Stocks</v>
          </cell>
        </row>
        <row r="5172">
          <cell r="A5172" t="str">
            <v>2170955 (ETHERLINE® LAN Cat.6 U/UTP 4x2xAWG)</v>
          </cell>
          <cell r="B5172" t="str">
            <v>2170955(ETHERLINE® LAN Cat.6 U/UTP 4x2xAWG)</v>
          </cell>
          <cell r="C5172" t="str">
            <v>LAPP</v>
          </cell>
          <cell r="D5172" t="str">
            <v>Lapp-Non Moving Stocks</v>
          </cell>
        </row>
        <row r="5173">
          <cell r="A5173" t="str">
            <v>24441256 (RJ45 Connector TM31 Hirose Cat.6A)</v>
          </cell>
          <cell r="B5173" t="str">
            <v>24441256(RJ45 Connector TM31 Hirose Cat.6A)</v>
          </cell>
          <cell r="C5173" t="str">
            <v>LAPP</v>
          </cell>
          <cell r="D5173" t="str">
            <v>Lapp-Non Moving Stocks</v>
          </cell>
        </row>
        <row r="5174">
          <cell r="A5174" t="str">
            <v>2170186 (UNITRONIC LAN 250 U/UTP Cat.6 Y_x000D_
)</v>
          </cell>
          <cell r="B5174" t="str">
            <v>2170186(UNITRONIC LAN 250 U/UTP Cat.6 Y_x000D_
)</v>
          </cell>
          <cell r="C5174" t="str">
            <v>LAPP</v>
          </cell>
          <cell r="D5174" t="str">
            <v>Lapp-Non Moving Stocks</v>
          </cell>
        </row>
        <row r="5175">
          <cell r="A5175" t="str">
            <v>2170195 (UNITRONIC® LAN 500 U/FTP Cat.6A LSZ)</v>
          </cell>
          <cell r="B5175" t="str">
            <v>2170195(UNITRONIC® LAN 500 U/FTP Cat.6A LSZ)</v>
          </cell>
          <cell r="C5175" t="str">
            <v>LAPP</v>
          </cell>
          <cell r="D5175" t="str">
            <v>Lapp-Non Moving Stocks</v>
          </cell>
        </row>
        <row r="5176">
          <cell r="A5176" t="str">
            <v>99999 (999999)</v>
          </cell>
          <cell r="B5176" t="str">
            <v>99999(999999)</v>
          </cell>
          <cell r="C5176" t="str">
            <v>LAPP</v>
          </cell>
          <cell r="D5176" t="str">
            <v>Lapp-Non Moving Stocks</v>
          </cell>
        </row>
        <row r="5177">
          <cell r="A5177" t="str">
            <v>2170016 (Coaxial - RG-6 A/U)</v>
          </cell>
          <cell r="B5177" t="str">
            <v>2170016(Coaxial - RG-6 A/U)</v>
          </cell>
          <cell r="C5177" t="str">
            <v>LAPP</v>
          </cell>
          <cell r="D5177" t="str">
            <v>Lapp-Non Moving Stocks</v>
          </cell>
        </row>
        <row r="5178">
          <cell r="A5178" t="str">
            <v>21700118 (ETHERLINE ACCESS U05T_x000D_
)</v>
          </cell>
          <cell r="B5178" t="str">
            <v>21700118(ETHERLINE ACCESS U05T_x000D_
)</v>
          </cell>
          <cell r="C5178" t="str">
            <v>LAPP</v>
          </cell>
          <cell r="D5178" t="str">
            <v>Lapp-Non Moving Stocks</v>
          </cell>
        </row>
        <row r="5179">
          <cell r="A5179" t="str">
            <v>21700119 (ETHERLINE ACCESS U08T_x000D_
)</v>
          </cell>
          <cell r="B5179" t="str">
            <v>21700119(ETHERLINE ACCESS U08T_x000D_
)</v>
          </cell>
          <cell r="C5179" t="str">
            <v>LAPP</v>
          </cell>
          <cell r="D5179" t="str">
            <v>Lapp-Non Moving Stocks</v>
          </cell>
        </row>
        <row r="5180">
          <cell r="A5180" t="str">
            <v>2170485 (ETHERLINE FD CAT.6A 4X2X24/7AWG_x000D_
)</v>
          </cell>
          <cell r="B5180" t="str">
            <v>2170485(ETHERLINE FD CAT.6A 4X2X24/7AWG_x000D_
)</v>
          </cell>
          <cell r="C5180" t="str">
            <v>LAPP</v>
          </cell>
          <cell r="D5180" t="str">
            <v>Lapp-Non Moving Stocks</v>
          </cell>
        </row>
        <row r="5181">
          <cell r="A5181" t="str">
            <v>2170289 (ETHERLINE FD P CAT. 5 2x2x26/19AWG_x000D_
)</v>
          </cell>
          <cell r="B5181" t="str">
            <v>2170289(ETHERLINE FD P CAT. 5 2x2x26/19AWG_x000D_
)</v>
          </cell>
          <cell r="C5181" t="str">
            <v>LAPP</v>
          </cell>
          <cell r="D5181" t="str">
            <v>Lapp-Non Moving Stocks</v>
          </cell>
        </row>
        <row r="5182">
          <cell r="A5182" t="str">
            <v>2170489 (ETHERLINE FD P CAT. 5 4x2x26/19AWG_x000D_
)</v>
          </cell>
          <cell r="B5182" t="str">
            <v>2170489(ETHERLINE FD P CAT. 5 4x2x26/19AWG_x000D_
)</v>
          </cell>
          <cell r="C5182" t="str">
            <v>LAPP</v>
          </cell>
          <cell r="D5182" t="str">
            <v>Lapp-Non Moving Stocks</v>
          </cell>
        </row>
        <row r="5183">
          <cell r="A5183" t="str">
            <v>2170280 (ETHERLINE H CAT.5e 2X2X24/1AWG)</v>
          </cell>
          <cell r="B5183" t="str">
            <v>2170280(ETHERLINE H CAT.5e 2X2X24/1AWG)</v>
          </cell>
          <cell r="C5183" t="str">
            <v>LAPP</v>
          </cell>
          <cell r="D5183" t="str">
            <v>Lapp-Non Moving Stocks</v>
          </cell>
        </row>
        <row r="5184">
          <cell r="A5184" t="str">
            <v>2170960 (ETHERLINE LAN Cat.6A S/FTP 4x2xAWG23)</v>
          </cell>
          <cell r="B5184" t="str">
            <v>2170960(ETHERLINE LAN Cat.6A S/FTP 4x2xAWG23)</v>
          </cell>
          <cell r="C5184" t="str">
            <v>LAPP</v>
          </cell>
          <cell r="D5184" t="str">
            <v>Lapp-Non Moving Stocks</v>
          </cell>
        </row>
        <row r="5185">
          <cell r="A5185" t="str">
            <v>2170954 (ETHERLINE LAN Cat.6 U/UTP 4x2xAWG24)</v>
          </cell>
          <cell r="B5185" t="str">
            <v>2170954(ETHERLINE LAN Cat.6 U/UTP 4x2xAWG24)</v>
          </cell>
          <cell r="C5185" t="str">
            <v>LAPP</v>
          </cell>
          <cell r="D5185" t="str">
            <v>Lapp-Non Moving Stocks</v>
          </cell>
        </row>
        <row r="5186">
          <cell r="A5186" t="str">
            <v>2170483 (ETHERLINE TORSION P CAT6A 4X2XAWG24/7_x000D_
)</v>
          </cell>
          <cell r="B5186" t="str">
            <v>2170483(ETHERLINE TORSION P CAT6A 4X2XAWG24/7_x000D_
)</v>
          </cell>
          <cell r="C5186" t="str">
            <v>LAPP</v>
          </cell>
          <cell r="D5186" t="str">
            <v>Lapp-Non Moving Stocks</v>
          </cell>
        </row>
        <row r="5187">
          <cell r="A5187" t="str">
            <v>2170482 (ETHERLINE TORSION Y CAT6A 4X2XAWG24/7)</v>
          </cell>
          <cell r="B5187" t="str">
            <v>2170482(ETHERLINE TORSION Y CAT6A 4X2XAWG24/7)</v>
          </cell>
          <cell r="C5187" t="str">
            <v>LAPP</v>
          </cell>
          <cell r="D5187" t="str">
            <v>Lapp-Non Moving Stocks</v>
          </cell>
        </row>
        <row r="5188">
          <cell r="A5188" t="str">
            <v>2170893_x000D_
 (ETHERLINE Y FC UL/CSA Cat.5 2x2x22/1AWG_x000D_
)</v>
          </cell>
          <cell r="B5188" t="str">
            <v>2170893_x000D_
(ETHERLINE Y FC UL/CSA Cat.5 2x2x22/1AWG_x000D_
)</v>
          </cell>
          <cell r="C5188" t="str">
            <v>LAPP</v>
          </cell>
          <cell r="D5188" t="str">
            <v>Lapp-Non Moving Stocks</v>
          </cell>
        </row>
        <row r="5189">
          <cell r="A5189" t="str">
            <v>2170886 (ETHERLINE Y FLEX FC UL Cat.5 2x2x22/7AWG_x000D_
)</v>
          </cell>
          <cell r="B5189" t="str">
            <v>2170886(ETHERLINE Y FLEX FC UL Cat.5 2x2x22/7AWG_x000D_
)</v>
          </cell>
          <cell r="C5189" t="str">
            <v>LAPP</v>
          </cell>
          <cell r="D5189" t="str">
            <v>Lapp-Non Moving Stocks</v>
          </cell>
        </row>
        <row r="5190">
          <cell r="A5190" t="str">
            <v>2170891 (ETHERLINE Y UL/CSA CAT. 5e 2x2x22/1AWG_x000D_
)</v>
          </cell>
          <cell r="B5190" t="str">
            <v>2170891(ETHERLINE Y UL/CSA CAT. 5e 2x2x22/1AWG_x000D_
)</v>
          </cell>
          <cell r="C5190" t="str">
            <v>LAPP</v>
          </cell>
          <cell r="D5190" t="str">
            <v>Lapp-Non Moving Stocks</v>
          </cell>
        </row>
        <row r="5191">
          <cell r="A5191" t="str">
            <v>24441318 (ETHERLINE® LAN Cat.6A 1,0 BK_x000D_
)</v>
          </cell>
          <cell r="B5191" t="str">
            <v>24441318(ETHERLINE® LAN Cat.6A 1,0 BK_x000D_
)</v>
          </cell>
          <cell r="C5191" t="str">
            <v>LAPP</v>
          </cell>
          <cell r="D5191" t="str">
            <v>Lapp-Non Moving Stocks</v>
          </cell>
        </row>
        <row r="5192">
          <cell r="A5192" t="str">
            <v>24441325 (ETHERLINE® LAN Cat.6A 15,0 BK_x000D_
)</v>
          </cell>
          <cell r="B5192" t="str">
            <v>24441325(ETHERLINE® LAN Cat.6A 15,0 BK_x000D_
)</v>
          </cell>
          <cell r="C5192" t="str">
            <v>LAPP</v>
          </cell>
          <cell r="D5192" t="str">
            <v>Lapp-Non Moving Stocks</v>
          </cell>
        </row>
        <row r="5193">
          <cell r="A5193" t="str">
            <v>24441329 (ETHERLINE® LAN Cat.6A 40,0 BK_x000D_
)</v>
          </cell>
          <cell r="B5193" t="str">
            <v>24441329(ETHERLINE® LAN Cat.6A 40,0 BK_x000D_
)</v>
          </cell>
          <cell r="C5193" t="str">
            <v>LAPP</v>
          </cell>
          <cell r="D5193" t="str">
            <v>Lapp-Non Moving Stocks</v>
          </cell>
        </row>
        <row r="5194">
          <cell r="A5194" t="str">
            <v>24441375 (ETHERLINE® LAN Cat.6A 50,0 GY)</v>
          </cell>
          <cell r="B5194" t="str">
            <v>24441375(ETHERLINE® LAN Cat.6A 50,0 GY)</v>
          </cell>
          <cell r="C5194" t="str">
            <v>LAPP</v>
          </cell>
          <cell r="D5194" t="str">
            <v>Lapp-Non Moving Stocks</v>
          </cell>
        </row>
        <row r="5195">
          <cell r="A5195" t="str">
            <v>2170961 (ETHERLINE® LAN Cat.6A F/UTP 4x2xAWG23)</v>
          </cell>
          <cell r="B5195" t="str">
            <v>2170961(ETHERLINE® LAN Cat.6A F/UTP 4x2xAWG23)</v>
          </cell>
          <cell r="C5195" t="str">
            <v>LAPP</v>
          </cell>
          <cell r="D5195" t="str">
            <v>Lapp-Non Moving Stocks</v>
          </cell>
        </row>
        <row r="5196">
          <cell r="A5196" t="str">
            <v>24441207 (ETHERLINE® LAN Cat.6A RJ45 10,0 GY)</v>
          </cell>
          <cell r="B5196" t="str">
            <v>24441207(ETHERLINE® LAN Cat.6A RJ45 10,0 GY)</v>
          </cell>
          <cell r="C5196" t="str">
            <v>LAPP</v>
          </cell>
          <cell r="D5196" t="str">
            <v>Lapp-Non Moving Stocks</v>
          </cell>
        </row>
        <row r="5197">
          <cell r="A5197" t="str">
            <v>24441201 (ETHERLINE® LAN Cat.6A RJ45 1,0 GY)</v>
          </cell>
          <cell r="B5197" t="str">
            <v>24441201(ETHERLINE® LAN Cat.6A RJ45 1,0 GY)</v>
          </cell>
          <cell r="C5197" t="str">
            <v>LAPP</v>
          </cell>
          <cell r="D5197" t="str">
            <v>Lapp-Non Moving Stocks</v>
          </cell>
        </row>
        <row r="5198">
          <cell r="A5198" t="str">
            <v>24441233 (ETHERLINE® LAN Cat.6A RJ45 1,0 YE)</v>
          </cell>
          <cell r="B5198" t="str">
            <v>24441233(ETHERLINE® LAN Cat.6A RJ45 1,0 YE)</v>
          </cell>
          <cell r="C5198" t="str">
            <v>LAPP</v>
          </cell>
          <cell r="D5198" t="str">
            <v>Lapp-Non Moving Stocks</v>
          </cell>
        </row>
        <row r="5199">
          <cell r="A5199" t="str">
            <v>24441227 (ETHERLINE® LAN Cat.6A RJ45 2,0 BU)</v>
          </cell>
          <cell r="B5199" t="str">
            <v>24441227(ETHERLINE® LAN Cat.6A RJ45 2,0 BU)</v>
          </cell>
          <cell r="C5199" t="str">
            <v>LAPP</v>
          </cell>
          <cell r="D5199" t="str">
            <v>Lapp-Non Moving Stocks</v>
          </cell>
        </row>
        <row r="5200">
          <cell r="A5200" t="str">
            <v>24441203 (ETHERLINE® LAN Cat.6A RJ45 2,0 GY)</v>
          </cell>
          <cell r="B5200" t="str">
            <v>24441203(ETHERLINE® LAN Cat.6A RJ45 2,0 GY)</v>
          </cell>
          <cell r="C5200" t="str">
            <v>LAPP</v>
          </cell>
          <cell r="D5200" t="str">
            <v>Lapp-Non Moving Stocks</v>
          </cell>
        </row>
        <row r="5201">
          <cell r="A5201" t="str">
            <v>2170888 (ETHERLINE® TORSION P CATS5 AWM 2X2XAWG22)</v>
          </cell>
          <cell r="B5201" t="str">
            <v>2170888(ETHERLINE® TORSION P CATS5 AWM 2X2XAWG22)</v>
          </cell>
          <cell r="C5201" t="str">
            <v>LAPP</v>
          </cell>
          <cell r="D5201" t="str">
            <v>Lapp-Non Moving Stocks</v>
          </cell>
        </row>
        <row r="5202">
          <cell r="A5202" t="str">
            <v>21700540 (Field-Terminable Conn. RJ45 CAT.5e FM 45_x000D_
)</v>
          </cell>
          <cell r="B5202" t="str">
            <v>21700540(Field-Terminable Conn. RJ45 CAT.5e FM 45_x000D_
)</v>
          </cell>
          <cell r="C5202" t="str">
            <v>LAPP</v>
          </cell>
          <cell r="D5202" t="str">
            <v>Lapp-Non Moving Stocks</v>
          </cell>
        </row>
        <row r="5203">
          <cell r="A5203" t="str">
            <v>2170193_x000D_
 (UNITRONIC LAN 250 U/UTP Cat.6 LSZH_x000D_
)</v>
          </cell>
          <cell r="B5203" t="str">
            <v>2170193_x000D_
(UNITRONIC LAN 250 U/UTP Cat.6 LSZH_x000D_
)</v>
          </cell>
          <cell r="C5203" t="str">
            <v>LAPP</v>
          </cell>
          <cell r="D5203" t="str">
            <v>Lapp-Non Moving Stocks</v>
          </cell>
        </row>
        <row r="5204">
          <cell r="A5204" t="str">
            <v>0010087_x000D_
 ("ÖLFLEX CLASSIC 100 3G2,5"_x000D_
)</v>
          </cell>
          <cell r="B5204" t="str">
            <v>0010087_x000D_
("ÖLFLEX CLASSIC 100 3G2,5"_x000D_
)</v>
          </cell>
          <cell r="C5204" t="str">
            <v>LAPP</v>
          </cell>
          <cell r="D5204" t="str">
            <v>Lapp-Non Moving Stocks</v>
          </cell>
        </row>
        <row r="5205">
          <cell r="A5205" t="str">
            <v>00101173_x000D_
 (OLFLEX CLASSIC 100 4G35 NCC_x000D_
)</v>
          </cell>
          <cell r="B5205" t="str">
            <v>00101173_x000D_
(OLFLEX CLASSIC 100 4G35 NCC_x000D_
)</v>
          </cell>
          <cell r="C5205" t="str">
            <v>LAPP</v>
          </cell>
          <cell r="D5205" t="str">
            <v>Lapp-Non Moving Stocks</v>
          </cell>
        </row>
        <row r="5206">
          <cell r="A5206" t="str">
            <v>0010007 (ÖLFLEX CLASSIC 100 10G0,5)</v>
          </cell>
          <cell r="B5206" t="str">
            <v>0010007(ÖLFLEX CLASSIC 100 10G0,5)</v>
          </cell>
          <cell r="C5206" t="str">
            <v>LAPP</v>
          </cell>
          <cell r="D5206" t="str">
            <v>Lapp-Non Moving Stocks</v>
          </cell>
        </row>
        <row r="5207">
          <cell r="A5207" t="str">
            <v>0010050 (ÖLFLEX CLASSIC 100 12G1_x000D_
)</v>
          </cell>
          <cell r="B5207" t="str">
            <v>0010050(ÖLFLEX CLASSIC 100 12G1_x000D_
)</v>
          </cell>
          <cell r="C5207" t="str">
            <v>LAPP</v>
          </cell>
          <cell r="D5207" t="str">
            <v>Lapp-Non Moving Stocks</v>
          </cell>
        </row>
        <row r="5208">
          <cell r="A5208" t="str">
            <v>00100004 (ÖLFLEX CLASSIC 100 2X0,5_x000D_
)</v>
          </cell>
          <cell r="B5208" t="str">
            <v>00100004(ÖLFLEX CLASSIC 100 2X0,5_x000D_
)</v>
          </cell>
          <cell r="C5208" t="str">
            <v>LAPP</v>
          </cell>
          <cell r="D5208" t="str">
            <v>Lapp-Non Moving Stocks</v>
          </cell>
        </row>
        <row r="5209">
          <cell r="A5209" t="str">
            <v>00100214 (ÖLFLEX CLASSIC 100 2X0.75_x000D_
)</v>
          </cell>
          <cell r="B5209" t="str">
            <v>00100214(ÖLFLEX CLASSIC 100 2X0.75_x000D_
)</v>
          </cell>
          <cell r="C5209" t="str">
            <v>LAPP</v>
          </cell>
          <cell r="D5209" t="str">
            <v>Lapp-Non Moving Stocks</v>
          </cell>
        </row>
        <row r="5210">
          <cell r="A5210" t="str">
            <v>00100414 (ÖLFLEX CLASSIC 100 2x1_x000D_
)</v>
          </cell>
          <cell r="B5210" t="str">
            <v>00100414(ÖLFLEX CLASSIC 100 2x1_x000D_
)</v>
          </cell>
          <cell r="C5210" t="str">
            <v>LAPP</v>
          </cell>
          <cell r="D5210" t="str">
            <v>Lapp-Non Moving Stocks</v>
          </cell>
        </row>
        <row r="5211">
          <cell r="A5211" t="str">
            <v>0010100 (ÖLFLEX CLASSIC 100 2X4_x000D_
)</v>
          </cell>
          <cell r="B5211" t="str">
            <v>0010100(ÖLFLEX CLASSIC 100 2X4_x000D_
)</v>
          </cell>
          <cell r="C5211" t="str">
            <v>LAPP</v>
          </cell>
          <cell r="D5211" t="str">
            <v>Lapp-Non Moving Stocks</v>
          </cell>
        </row>
        <row r="5212">
          <cell r="A5212" t="str">
            <v>1120801 (ÖLFLEX CLASSIC 100 300/500V 3G2,5)</v>
          </cell>
          <cell r="B5212" t="str">
            <v>1120801(ÖLFLEX CLASSIC 100 300/500V 3G2,5)</v>
          </cell>
          <cell r="C5212" t="str">
            <v>LAPP</v>
          </cell>
          <cell r="D5212" t="str">
            <v>Lapp-Non Moving Stocks</v>
          </cell>
        </row>
        <row r="5213">
          <cell r="A5213" t="str">
            <v>0010004 (ÖLFLEX CLASSIC 100 300/500V 6G0,5)</v>
          </cell>
          <cell r="B5213" t="str">
            <v>0010004(ÖLFLEX CLASSIC 100 300/500V 6G0,5)</v>
          </cell>
          <cell r="C5213" t="str">
            <v>LAPP</v>
          </cell>
          <cell r="D5213" t="str">
            <v>Lapp-Non Moving Stocks</v>
          </cell>
        </row>
        <row r="5214">
          <cell r="A5214" t="str">
            <v>00100014 (ÖLFLEX CLASSIC 100 3G0.5_x000D_
)</v>
          </cell>
          <cell r="B5214" t="str">
            <v>00100014(ÖLFLEX CLASSIC 100 3G0.5_x000D_
)</v>
          </cell>
          <cell r="C5214" t="str">
            <v>LAPP</v>
          </cell>
          <cell r="D5214" t="str">
            <v>Lapp-Non Moving Stocks</v>
          </cell>
        </row>
        <row r="5215">
          <cell r="A5215" t="str">
            <v>00100224_x000D_
 (ÖLFLEX CLASSIC 100 3G0.75_x000D_
)</v>
          </cell>
          <cell r="B5215" t="str">
            <v>00100224_x000D_
(ÖLFLEX CLASSIC 100 3G0.75_x000D_
)</v>
          </cell>
          <cell r="C5215" t="str">
            <v>LAPP</v>
          </cell>
          <cell r="D5215" t="str">
            <v>Lapp-Non Moving Stocks</v>
          </cell>
        </row>
        <row r="5216">
          <cell r="A5216" t="str">
            <v>00100424 (ÖLFLEX CLASSIC 100 3G1_x000D_
)</v>
          </cell>
          <cell r="B5216" t="str">
            <v>00100424(ÖLFLEX CLASSIC 100 3G1_x000D_
)</v>
          </cell>
          <cell r="C5216" t="str">
            <v>LAPP</v>
          </cell>
          <cell r="D5216" t="str">
            <v>Lapp-Non Moving Stocks</v>
          </cell>
        </row>
        <row r="5217">
          <cell r="A5217" t="str">
            <v>00100644_x000D_
 (ÖLFLEX CLASSIC 100 3G1.5_x000D_
)</v>
          </cell>
          <cell r="B5217" t="str">
            <v>00100644_x000D_
(ÖLFLEX CLASSIC 100 3G1.5_x000D_
)</v>
          </cell>
          <cell r="C5217" t="str">
            <v>LAPP</v>
          </cell>
          <cell r="D5217" t="str">
            <v>Lapp-Non Moving Stocks</v>
          </cell>
        </row>
        <row r="5218">
          <cell r="A5218" t="str">
            <v>0010305 (ÖLFLEX CLASSIC 100 3G50_x000D_
)</v>
          </cell>
          <cell r="B5218" t="str">
            <v>0010305(ÖLFLEX CLASSIC 100 3G50_x000D_
)</v>
          </cell>
          <cell r="C5218" t="str">
            <v>LAPP</v>
          </cell>
          <cell r="D5218" t="str">
            <v>Lapp-Non Moving Stocks</v>
          </cell>
        </row>
        <row r="5219">
          <cell r="A5219" t="str">
            <v>0010210 (ÖLFLEX CLASSIC 100 450/750V 3G4)</v>
          </cell>
          <cell r="B5219" t="str">
            <v>0010210(ÖLFLEX CLASSIC 100 450/750V 3G4)</v>
          </cell>
          <cell r="C5219" t="str">
            <v>LAPP</v>
          </cell>
          <cell r="D5219" t="str">
            <v>Lapp-Non Moving Stocks</v>
          </cell>
        </row>
        <row r="5220">
          <cell r="A5220" t="str">
            <v>0010306 (ÖLFLEX CLASSIC 100 450/750V 3G70)</v>
          </cell>
          <cell r="B5220" t="str">
            <v>0010306(ÖLFLEX CLASSIC 100 450/750V 3G70)</v>
          </cell>
          <cell r="C5220" t="str">
            <v>LAPP</v>
          </cell>
          <cell r="D5220" t="str">
            <v>Lapp-Non Moving Stocks</v>
          </cell>
        </row>
        <row r="5221">
          <cell r="A5221" t="str">
            <v>0010307 (ÖLFLEX CLASSIC 100 450/750V 3G95)</v>
          </cell>
          <cell r="B5221" t="str">
            <v>0010307(ÖLFLEX CLASSIC 100 450/750V 3G95)</v>
          </cell>
          <cell r="C5221" t="str">
            <v>LAPP</v>
          </cell>
          <cell r="D5221" t="str">
            <v>Lapp-Non Moving Stocks</v>
          </cell>
        </row>
        <row r="5222">
          <cell r="A5222" t="str">
            <v>00103113 (ÖLFLEX CLASSIC 100 450/750V 4G150)</v>
          </cell>
          <cell r="B5222" t="str">
            <v>00103113(ÖLFLEX CLASSIC 100 450/750V 4G150)</v>
          </cell>
          <cell r="C5222" t="str">
            <v>LAPP</v>
          </cell>
          <cell r="D5222" t="str">
            <v>Lapp-Non Moving Stocks</v>
          </cell>
        </row>
        <row r="5223">
          <cell r="A5223" t="str">
            <v>00101103 (ÖLFLEX CLASSIC 100 450/750V 5G10_x000D_
)</v>
          </cell>
          <cell r="B5223" t="str">
            <v>00101103(ÖLFLEX CLASSIC 100 450/750V 5G10_x000D_
)</v>
          </cell>
          <cell r="C5223" t="str">
            <v>LAPP</v>
          </cell>
          <cell r="D5223" t="str">
            <v>Lapp-Non Moving Stocks</v>
          </cell>
        </row>
        <row r="5224">
          <cell r="A5224" t="str">
            <v>00101073 (ÖLFLEX CLASSIC 100 450/750V 5G6)</v>
          </cell>
          <cell r="B5224" t="str">
            <v>00101073(ÖLFLEX CLASSIC 100 450/750V 5G6)</v>
          </cell>
          <cell r="C5224" t="str">
            <v>LAPP</v>
          </cell>
          <cell r="D5224" t="str">
            <v>Lapp-Non Moving Stocks</v>
          </cell>
        </row>
        <row r="5225">
          <cell r="A5225" t="str">
            <v>00100024 (ÖLFLEX CLASSIC 100 4G0,5_x000D_
)</v>
          </cell>
          <cell r="B5225" t="str">
            <v>00100024(ÖLFLEX CLASSIC 100 4G0,5_x000D_
)</v>
          </cell>
          <cell r="C5225" t="str">
            <v>LAPP</v>
          </cell>
          <cell r="D5225" t="str">
            <v>Lapp-Non Moving Stocks</v>
          </cell>
        </row>
        <row r="5226">
          <cell r="A5226" t="str">
            <v>100434 (ÖLFLEX CLASSIC 100 4G1_x000D_
)</v>
          </cell>
          <cell r="B5226" t="str">
            <v>100434(ÖLFLEX CLASSIC 100 4G1_x000D_
)</v>
          </cell>
          <cell r="C5226" t="str">
            <v>LAPP</v>
          </cell>
          <cell r="D5226" t="str">
            <v>Lapp-Non Moving Stocks</v>
          </cell>
        </row>
        <row r="5227">
          <cell r="A5227" t="str">
            <v>00101153 (ÖLFLEX CLASSIC 100 4G25 NCC_x000D_
)</v>
          </cell>
          <cell r="B5227" t="str">
            <v>00101153(ÖLFLEX CLASSIC 100 4G25 NCC_x000D_
)</v>
          </cell>
          <cell r="C5227" t="str">
            <v>LAPP</v>
          </cell>
          <cell r="D5227" t="str">
            <v>Lapp-Non Moving Stocks</v>
          </cell>
        </row>
        <row r="5228">
          <cell r="A5228" t="str">
            <v>00101193 (ÖLFLEX CLASSIC 100 4G50 NCC)</v>
          </cell>
          <cell r="B5228" t="str">
            <v>00101193(ÖLFLEX CLASSIC 100 4G50 NCC)</v>
          </cell>
          <cell r="C5228" t="str">
            <v>LAPP</v>
          </cell>
          <cell r="D5228" t="str">
            <v>Lapp-Non Moving Stocks</v>
          </cell>
        </row>
        <row r="5229">
          <cell r="A5229" t="str">
            <v>00101203 (ÖLFLEX CLASSIC 100 4G70 NCC_x000D_
)</v>
          </cell>
          <cell r="B5229" t="str">
            <v>00101203(ÖLFLEX CLASSIC 100 4G70 NCC_x000D_
)</v>
          </cell>
          <cell r="C5229" t="str">
            <v>LAPP</v>
          </cell>
          <cell r="D5229" t="str">
            <v>Lapp-Non Moving Stocks</v>
          </cell>
        </row>
        <row r="5230">
          <cell r="A5230" t="str">
            <v>00101213 (ÖLFLEX CLASSIC 100 4G95 NCC_x000D_
)</v>
          </cell>
          <cell r="B5230" t="str">
            <v>00101213(ÖLFLEX CLASSIC 100 4G95 NCC_x000D_
)</v>
          </cell>
          <cell r="C5230" t="str">
            <v>LAPP</v>
          </cell>
          <cell r="D5230" t="str">
            <v>Lapp-Non Moving Stocks</v>
          </cell>
        </row>
        <row r="5231">
          <cell r="A5231" t="str">
            <v>00101234_x000D_
 (ÖLFLEX CLASSIC 100 4X0.5_x000D_
)</v>
          </cell>
          <cell r="B5231" t="str">
            <v>00101234_x000D_
(ÖLFLEX CLASSIC 100 4X0.5_x000D_
)</v>
          </cell>
          <cell r="C5231" t="str">
            <v>LAPP</v>
          </cell>
          <cell r="D5231" t="str">
            <v>Lapp-Non Moving Stocks</v>
          </cell>
        </row>
        <row r="5232">
          <cell r="A5232" t="str">
            <v>00101264 (ÖLFLEX CLASSIC 100 4X0.75)</v>
          </cell>
          <cell r="B5232" t="str">
            <v>00101264(ÖLFLEX CLASSIC 100 4X0.75)</v>
          </cell>
          <cell r="C5232" t="str">
            <v>LAPP</v>
          </cell>
          <cell r="D5232" t="str">
            <v>Lapp-Non Moving Stocks</v>
          </cell>
        </row>
        <row r="5233">
          <cell r="A5233" t="str">
            <v>00100034 (ÖLFLEX CLASSIC 100 5G0,5_x000D_
)</v>
          </cell>
          <cell r="B5233" t="str">
            <v>00100034(ÖLFLEX CLASSIC 100 5G0,5_x000D_
)</v>
          </cell>
          <cell r="C5233" t="str">
            <v>LAPP</v>
          </cell>
          <cell r="D5233" t="str">
            <v>Lapp-Non Moving Stocks</v>
          </cell>
        </row>
        <row r="5234">
          <cell r="A5234" t="str">
            <v>0010045 (ÖLFLEX CLASSIC 100 6G1_x000D_
)</v>
          </cell>
          <cell r="B5234" t="str">
            <v>0010045(ÖLFLEX CLASSIC 100 6G1_x000D_
)</v>
          </cell>
          <cell r="C5234" t="str">
            <v>LAPP</v>
          </cell>
          <cell r="D5234" t="str">
            <v>Lapp-Non Moving Stocks</v>
          </cell>
        </row>
        <row r="5235">
          <cell r="A5235" t="str">
            <v>0010006 (ÖLFLEX CLASSIC 100 8G0,5_x000D_
)</v>
          </cell>
          <cell r="B5235" t="str">
            <v>0010006(ÖLFLEX CLASSIC 100 8G0,5_x000D_
)</v>
          </cell>
          <cell r="C5235" t="str">
            <v>LAPP</v>
          </cell>
          <cell r="D5235" t="str">
            <v>Lapp-Non Moving Stocks</v>
          </cell>
        </row>
        <row r="5236">
          <cell r="A5236" t="str">
            <v>0014151 (ÖLFLEX CLASSIC 100 H 3G1,5_x000D_
)</v>
          </cell>
          <cell r="B5236" t="str">
            <v>0014151(ÖLFLEX CLASSIC 100 H 3G1,5_x000D_
)</v>
          </cell>
          <cell r="C5236" t="str">
            <v>LAPP</v>
          </cell>
          <cell r="D5236" t="str">
            <v>Lapp-Non Moving Stocks</v>
          </cell>
        </row>
        <row r="5237">
          <cell r="A5237" t="str">
            <v>0014171 (ÖLFLEX CLASSIC 100 H 5G10)</v>
          </cell>
          <cell r="B5237" t="str">
            <v>0014171(ÖLFLEX CLASSIC 100 H 5G10)</v>
          </cell>
          <cell r="C5237" t="str">
            <v>LAPP</v>
          </cell>
          <cell r="D5237" t="str">
            <v>Lapp-Non Moving Stocks</v>
          </cell>
        </row>
        <row r="5238">
          <cell r="A5238" t="str">
            <v>0014177 (ÖLFLEX CLASSIC 100 H 5G25)</v>
          </cell>
          <cell r="B5238" t="str">
            <v>0014177(ÖLFLEX CLASSIC 100 H 5G25)</v>
          </cell>
          <cell r="C5238" t="str">
            <v>LAPP</v>
          </cell>
          <cell r="D5238" t="str">
            <v>Lapp-Non Moving Stocks</v>
          </cell>
        </row>
        <row r="5239">
          <cell r="A5239" t="str">
            <v>1120463 (ÖLFLEX® CLASSIC 100 BK 0,6/1 KV 3G1,5)</v>
          </cell>
          <cell r="B5239" t="str">
            <v>1120463(ÖLFLEX® CLASSIC 100 BK 0,6/1 KV 3G1,5)</v>
          </cell>
          <cell r="C5239" t="str">
            <v>LAPP</v>
          </cell>
          <cell r="D5239" t="str">
            <v>Lapp-Non Moving Stocks</v>
          </cell>
        </row>
        <row r="5240">
          <cell r="A5240" t="str">
            <v>0034016 (UNITRONIC 100 CY 27x0,14_x000D_
)</v>
          </cell>
          <cell r="B5240" t="str">
            <v>0034016(UNITRONIC 100 CY 27x0,14_x000D_
)</v>
          </cell>
          <cell r="C5240" t="str">
            <v>LAPP</v>
          </cell>
          <cell r="D5240" t="str">
            <v>Lapp-Non Moving Stocks</v>
          </cell>
        </row>
        <row r="5241">
          <cell r="A5241" t="str">
            <v>0035002_x000D_
 (ÖLFLEX CLASSIC 100 CY 3G0,5_x000D_
)</v>
          </cell>
          <cell r="B5241" t="str">
            <v>0035002_x000D_
(ÖLFLEX CLASSIC 100 CY 3G0,5_x000D_
)</v>
          </cell>
          <cell r="C5241" t="str">
            <v>LAPP</v>
          </cell>
          <cell r="D5241" t="str">
            <v>Lapp-Non Moving Stocks</v>
          </cell>
        </row>
        <row r="5242">
          <cell r="A5242" t="str">
            <v>00350063 (ÖLFLEX CLASSIC 100 CY 4G0,75 NCC)</v>
          </cell>
          <cell r="B5242" t="str">
            <v>00350063(ÖLFLEX CLASSIC 100 CY 4G0,75 NCC)</v>
          </cell>
          <cell r="C5242" t="str">
            <v>LAPP</v>
          </cell>
          <cell r="D5242" t="str">
            <v>Lapp-Non Moving Stocks</v>
          </cell>
        </row>
        <row r="5243">
          <cell r="A5243" t="str">
            <v>00354593 (ÖLFLEX CLASSIC 100 CY 4G1,5 NCC_x000D_
)</v>
          </cell>
          <cell r="B5243" t="str">
            <v>00354593(ÖLFLEX CLASSIC 100 CY 4G1,5 NCC_x000D_
)</v>
          </cell>
          <cell r="C5243" t="str">
            <v>LAPP</v>
          </cell>
          <cell r="D5243" t="str">
            <v>Lapp-Non Moving Stocks</v>
          </cell>
        </row>
        <row r="5244">
          <cell r="A5244" t="str">
            <v>00350223_x000D_
 (ÖLFLEX CLASSIC 100 CY 4G16 NCC_x000D_
)</v>
          </cell>
          <cell r="B5244" t="str">
            <v>00350223_x000D_
(ÖLFLEX CLASSIC 100 CY 4G16 NCC_x000D_
)</v>
          </cell>
          <cell r="C5244" t="str">
            <v>LAPP</v>
          </cell>
          <cell r="D5244" t="str">
            <v>Lapp-Non Moving Stocks</v>
          </cell>
        </row>
        <row r="5245">
          <cell r="A5245" t="str">
            <v>352223 (ÖLFLEX CLASSIC 100 CY 4G1 NCC_x000D_
)</v>
          </cell>
          <cell r="B5245" t="str">
            <v>352223(ÖLFLEX CLASSIC 100 CY 4G1 NCC_x000D_
)</v>
          </cell>
          <cell r="C5245" t="str">
            <v>LAPP</v>
          </cell>
          <cell r="D5245" t="str">
            <v>Lapp-Non Moving Stocks</v>
          </cell>
        </row>
        <row r="5246">
          <cell r="A5246" t="str">
            <v>00350173 (ÖLFLEX CLASSIC 100 CY 4G2,5 NCC_x000D_
)</v>
          </cell>
          <cell r="B5246" t="str">
            <v>00350173(ÖLFLEX CLASSIC 100 CY 4G2,5 NCC_x000D_
)</v>
          </cell>
          <cell r="C5246" t="str">
            <v>LAPP</v>
          </cell>
          <cell r="D5246" t="str">
            <v>Lapp-Non Moving Stocks</v>
          </cell>
        </row>
        <row r="5247">
          <cell r="A5247" t="str">
            <v>00350283 (ÖLFLEX CLASSIC 100 CY 4G70 NCC_x000D_
)</v>
          </cell>
          <cell r="B5247" t="str">
            <v>00350283(ÖLFLEX CLASSIC 100 CY 4G70 NCC_x000D_
)</v>
          </cell>
          <cell r="C5247" t="str">
            <v>LAPP</v>
          </cell>
          <cell r="D5247" t="str">
            <v>Lapp-Non Moving Stocks</v>
          </cell>
        </row>
        <row r="5248">
          <cell r="A5248" t="str">
            <v>00350293 (ÖLFLEX CLASSIC 100 CY 4G95 NCC_x000D_
)</v>
          </cell>
          <cell r="B5248" t="str">
            <v>00350293(ÖLFLEX CLASSIC 100 CY 4G95 NCC_x000D_
)</v>
          </cell>
          <cell r="C5248" t="str">
            <v>LAPP</v>
          </cell>
          <cell r="D5248" t="str">
            <v>Lapp-Non Moving Stocks</v>
          </cell>
        </row>
        <row r="5249">
          <cell r="A5249" t="str">
            <v>354603 (ÖLFLEX CLASSIC 100 CY 5G1,5 NCC_x000D_
)</v>
          </cell>
          <cell r="B5249" t="str">
            <v>354603(ÖLFLEX CLASSIC 100 CY 5G1,5 NCC_x000D_
)</v>
          </cell>
          <cell r="C5249" t="str">
            <v>LAPP</v>
          </cell>
          <cell r="D5249" t="str">
            <v>Lapp-Non Moving Stocks</v>
          </cell>
        </row>
        <row r="5250">
          <cell r="A5250" t="str">
            <v>0034954 (ÖLFLEX® CLASSIC 100 CY 450/750V 3G16)</v>
          </cell>
          <cell r="B5250" t="str">
            <v>0034954(ÖLFLEX® CLASSIC 100 CY 450/750V 3G16)</v>
          </cell>
          <cell r="C5250" t="str">
            <v>LAPP</v>
          </cell>
          <cell r="D5250" t="str">
            <v>Lapp-Non Moving Stocks</v>
          </cell>
        </row>
        <row r="5251">
          <cell r="A5251" t="str">
            <v>00350263_x000D_
 (ÖLFLEX® CLASSIC 100 CY 450/750V 5G35_x000D_
)</v>
          </cell>
          <cell r="B5251" t="str">
            <v>00350263_x000D_
(ÖLFLEX® CLASSIC 100 CY 450/750V 5G35_x000D_
)</v>
          </cell>
          <cell r="C5251" t="str">
            <v>LAPP</v>
          </cell>
          <cell r="D5251" t="str">
            <v>Lapp-Non Moving Stocks</v>
          </cell>
        </row>
        <row r="5252">
          <cell r="A5252" t="str">
            <v xml:space="preserve">100I 3x1.5_x000D_
</v>
          </cell>
          <cell r="B5252" t="str">
            <v xml:space="preserve">100I 3x1.5_x000D_
</v>
          </cell>
          <cell r="C5252" t="str">
            <v>LAPP</v>
          </cell>
          <cell r="D5252" t="str">
            <v>Lapp-Non Moving Stocks</v>
          </cell>
        </row>
        <row r="5253">
          <cell r="A5253" t="str">
            <v>38007077 (Olflex 100I 5G2,5)</v>
          </cell>
          <cell r="B5253" t="str">
            <v>38007077(Olflex 100I 5G2,5)</v>
          </cell>
          <cell r="C5253" t="str">
            <v>LAPP</v>
          </cell>
          <cell r="D5253" t="str">
            <v>Lapp-Non Moving Stocks</v>
          </cell>
        </row>
        <row r="5254">
          <cell r="A5254" t="str">
            <v>38009040 (ÖLFLEX 100 I  4 G 25_x000D_
)</v>
          </cell>
          <cell r="B5254" t="str">
            <v>38009040(ÖLFLEX 100 I  4 G 25_x000D_
)</v>
          </cell>
          <cell r="C5254" t="str">
            <v>LAPP</v>
          </cell>
          <cell r="D5254" t="str">
            <v>Lapp-Non Moving Stocks</v>
          </cell>
        </row>
        <row r="5255">
          <cell r="A5255" t="str">
            <v>38007084_x000D_
 (ÖLFLEX 100 I  4 G 35_x000D_
)</v>
          </cell>
          <cell r="B5255" t="str">
            <v>38007084_x000D_
(ÖLFLEX 100 I  4 G 35_x000D_
)</v>
          </cell>
          <cell r="C5255" t="str">
            <v>LAPP</v>
          </cell>
          <cell r="D5255" t="str">
            <v>Lapp-Non Moving Stocks</v>
          </cell>
        </row>
        <row r="5256">
          <cell r="A5256" t="str">
            <v>38001023 (ÖLFLEX 100 I  4 G 50.00)</v>
          </cell>
          <cell r="B5256" t="str">
            <v>38001023(ÖLFLEX 100 I  4 G 50.00)</v>
          </cell>
          <cell r="C5256" t="str">
            <v>LAPP</v>
          </cell>
          <cell r="D5256" t="str">
            <v>Lapp-Non Moving Stocks</v>
          </cell>
        </row>
        <row r="5257">
          <cell r="A5257" t="str">
            <v>38007068 (ÖLFLEX 100 I BLACK  3 G 1.5)</v>
          </cell>
          <cell r="B5257" t="str">
            <v>38007068(ÖLFLEX 100 I BLACK  3 G 1.5)</v>
          </cell>
          <cell r="C5257" t="str">
            <v>LAPP</v>
          </cell>
          <cell r="D5257" t="str">
            <v>Lapp-Non Moving Stocks</v>
          </cell>
        </row>
        <row r="5258">
          <cell r="A5258" t="str">
            <v>35007040 (ÖLFLEX Classic ICC   2 x 0.75_x000D_
)</v>
          </cell>
          <cell r="B5258" t="str">
            <v>35007040(ÖLFLEX Classic ICC 2 x 0.75_x000D_
)</v>
          </cell>
          <cell r="C5258" t="str">
            <v>LAPP</v>
          </cell>
          <cell r="D5258" t="str">
            <v>Lapp-Non Moving Stocks</v>
          </cell>
        </row>
        <row r="5259">
          <cell r="A5259" t="str">
            <v>38007064 (ÖLFLEX® 100 I  2 x 1.50)</v>
          </cell>
          <cell r="B5259" t="str">
            <v>38007064(ÖLFLEX® 100 I  2 x 1.50)</v>
          </cell>
          <cell r="C5259" t="str">
            <v>LAPP</v>
          </cell>
          <cell r="D5259" t="str">
            <v>Lapp-Non Moving Stocks</v>
          </cell>
        </row>
        <row r="5260">
          <cell r="A5260" t="str">
            <v>38007074 (ÖLFLEX® 100 I  2 x 2.50)</v>
          </cell>
          <cell r="B5260" t="str">
            <v>38007074(ÖLFLEX® 100 I  2 x 2.50)</v>
          </cell>
          <cell r="C5260" t="str">
            <v>LAPP</v>
          </cell>
          <cell r="D5260" t="str">
            <v>Lapp-Non Moving Stocks</v>
          </cell>
        </row>
        <row r="5261">
          <cell r="A5261" t="str">
            <v>38007094 (ÖLFLEX® 100 I  3 G 10.00)</v>
          </cell>
          <cell r="B5261" t="str">
            <v>38007094(ÖLFLEX® 100 I  3 G 10.00)</v>
          </cell>
          <cell r="C5261" t="str">
            <v>LAPP</v>
          </cell>
          <cell r="D5261" t="str">
            <v>Lapp-Non Moving Stocks</v>
          </cell>
        </row>
        <row r="5262">
          <cell r="A5262" t="str">
            <v>38007096 (ÖLFLEX® 100 I  3 G 16.00)</v>
          </cell>
          <cell r="B5262" t="str">
            <v>38007096(ÖLFLEX® 100 I  3 G 16.00)</v>
          </cell>
          <cell r="C5262" t="str">
            <v>LAPP</v>
          </cell>
          <cell r="D5262" t="str">
            <v>Lapp-Non Moving Stocks</v>
          </cell>
        </row>
        <row r="5263">
          <cell r="A5263" t="str">
            <v>38001018 (ÖLFLEX® 100 I 3 G 25_x000D_
)</v>
          </cell>
          <cell r="B5263" t="str">
            <v>38001018(ÖLFLEX® 100 I 3 G 25_x000D_
)</v>
          </cell>
          <cell r="C5263" t="str">
            <v>LAPP</v>
          </cell>
          <cell r="D5263" t="str">
            <v>Lapp-Non Moving Stocks</v>
          </cell>
        </row>
        <row r="5264">
          <cell r="A5264" t="str">
            <v>38001022 (ÖLFLEX® 100 I  3 G 50_x000D_
)</v>
          </cell>
          <cell r="B5264" t="str">
            <v>38001022(ÖLFLEX® 100 I  3 G 50_x000D_
)</v>
          </cell>
          <cell r="C5264" t="str">
            <v>LAPP</v>
          </cell>
          <cell r="D5264" t="str">
            <v>Lapp-Non Moving Stocks</v>
          </cell>
        </row>
        <row r="5265">
          <cell r="A5265" t="str">
            <v>38007092 (ÖLFLEX® 100 I  3 G 6.00_x000D_
)</v>
          </cell>
          <cell r="B5265" t="str">
            <v>38007092(ÖLFLEX® 100 I  3 G 6.00_x000D_
)</v>
          </cell>
          <cell r="C5265" t="str">
            <v>LAPP</v>
          </cell>
          <cell r="D5265" t="str">
            <v>Lapp-Non Moving Stocks</v>
          </cell>
        </row>
        <row r="5266">
          <cell r="A5266" t="str">
            <v>38007036 (ÖLFLEX® 100 I  4 G 0.50)</v>
          </cell>
          <cell r="B5266" t="str">
            <v>38007036(ÖLFLEX® 100 I  4 G 0.50)</v>
          </cell>
          <cell r="C5266" t="str">
            <v>LAPP</v>
          </cell>
          <cell r="D5266" t="str">
            <v>Lapp-Non Moving Stocks</v>
          </cell>
        </row>
        <row r="5267">
          <cell r="A5267" t="str">
            <v>38007045 (ÖLFLEX® 100 I  4 G 0.75)</v>
          </cell>
          <cell r="B5267" t="str">
            <v>38007045(ÖLFLEX® 100 I  4 G 0.75)</v>
          </cell>
          <cell r="C5267" t="str">
            <v>LAPP</v>
          </cell>
          <cell r="D5267" t="str">
            <v>Lapp-Non Moving Stocks</v>
          </cell>
        </row>
        <row r="5268">
          <cell r="A5268" t="str">
            <v>38007097 (ÖLFLEX® 100 I  4 G 16.00)</v>
          </cell>
          <cell r="B5268" t="str">
            <v>38007097(ÖLFLEX® 100 I  4 G 16.00)</v>
          </cell>
          <cell r="C5268" t="str">
            <v>LAPP</v>
          </cell>
          <cell r="D5268" t="str">
            <v>Lapp-Non Moving Stocks</v>
          </cell>
        </row>
        <row r="5269">
          <cell r="A5269" t="str">
            <v>38001016_x000D_
 (ÖLFLEX® 100 I 5 X 10 GY_x000D_
)</v>
          </cell>
          <cell r="B5269" t="str">
            <v>38001016_x000D_
(ÖLFLEX® 100 I 5 X 10 GY_x000D_
)</v>
          </cell>
          <cell r="C5269" t="str">
            <v>LAPP</v>
          </cell>
          <cell r="D5269" t="str">
            <v>Lapp-Non Moving Stocks</v>
          </cell>
        </row>
        <row r="5270">
          <cell r="A5270" t="str">
            <v>38007067 (ÖLFLEX® 100 I  5 x 1.50)</v>
          </cell>
          <cell r="B5270" t="str">
            <v>38007067(ÖLFLEX® 100 I  5 x 1.50)</v>
          </cell>
          <cell r="C5270" t="str">
            <v>LAPP</v>
          </cell>
          <cell r="D5270" t="str">
            <v>Lapp-Non Moving Stocks</v>
          </cell>
        </row>
        <row r="5271">
          <cell r="A5271" t="str">
            <v>38001017_x000D_
 (ÖLFLEX® 100 I 5 X 16  GY_x000D_
)</v>
          </cell>
          <cell r="B5271" t="str">
            <v>38001017_x000D_
(ÖLFLEX® 100 I 5 X 16 GY_x000D_
)</v>
          </cell>
          <cell r="C5271" t="str">
            <v>LAPP</v>
          </cell>
          <cell r="D5271" t="str">
            <v>Lapp-Non Moving Stocks</v>
          </cell>
        </row>
        <row r="5272">
          <cell r="A5272" t="str">
            <v>38001019_x000D_
 (ÖLFLEX® 100 I 5 X 25 GY_x000D_
)</v>
          </cell>
          <cell r="B5272" t="str">
            <v>38001019_x000D_
(ÖLFLEX® 100 I 5 X 25 GY_x000D_
)</v>
          </cell>
          <cell r="C5272" t="str">
            <v>LAPP</v>
          </cell>
          <cell r="D5272" t="str">
            <v>Lapp-Non Moving Stocks</v>
          </cell>
        </row>
        <row r="5273">
          <cell r="A5273" t="str">
            <v>38000997 (ÖLFLEX® 100 I  5 X 4.0_x000D_
)</v>
          </cell>
          <cell r="B5273" t="str">
            <v>38000997(ÖLFLEX® 100 I  5 X 4.0_x000D_
)</v>
          </cell>
          <cell r="C5273" t="str">
            <v>LAPP</v>
          </cell>
          <cell r="D5273" t="str">
            <v>Lapp-Non Moving Stocks</v>
          </cell>
        </row>
        <row r="5274">
          <cell r="A5274" t="str">
            <v>38001015 (ÖLFLEX® 100 I 5 X 6 GY)</v>
          </cell>
          <cell r="B5274" t="str">
            <v>38001015(ÖLFLEX® 100 I 5 X 6 GY)</v>
          </cell>
          <cell r="C5274" t="str">
            <v>LAPP</v>
          </cell>
          <cell r="D5274" t="str">
            <v>Lapp-Non Moving Stocks</v>
          </cell>
        </row>
        <row r="5275">
          <cell r="A5275" t="str">
            <v>380440410 (ÖLFLEX® 100 I CY 4 G 2.5 TRAN)</v>
          </cell>
          <cell r="B5275" t="str">
            <v>380440410(ÖLFLEX® 100 I CY 4 G 2.5 TRAN)</v>
          </cell>
          <cell r="C5275" t="str">
            <v>LAPP</v>
          </cell>
          <cell r="D5275" t="str">
            <v>Lapp-Non Moving Stocks</v>
          </cell>
        </row>
        <row r="5276">
          <cell r="A5276" t="str">
            <v>380450415 (ÖLFLEX® 100 I CY 4 G 4 GY)</v>
          </cell>
          <cell r="B5276" t="str">
            <v>380450415(ÖLFLEX® 100 I CY 4 G 4 GY)</v>
          </cell>
          <cell r="C5276" t="str">
            <v>LAPP</v>
          </cell>
          <cell r="D5276" t="str">
            <v>Lapp-Non Moving Stocks</v>
          </cell>
        </row>
        <row r="5277">
          <cell r="A5277" t="str">
            <v>380450410 (ÖLFLEX® 100 I CY 4 G 4 TRAN)</v>
          </cell>
          <cell r="B5277" t="str">
            <v>380450410(ÖLFLEX® 100 I CY 4 G 4 TRAN)</v>
          </cell>
          <cell r="C5277" t="str">
            <v>LAPP</v>
          </cell>
          <cell r="D5277" t="str">
            <v>Lapp-Non Moving Stocks</v>
          </cell>
        </row>
        <row r="5278">
          <cell r="A5278" t="str">
            <v>380865415 (ÖLFLEX® 100 I FR-LSH 4 G 50 GY)</v>
          </cell>
          <cell r="B5278" t="str">
            <v>380865415(ÖLFLEX® 100 I FR-LSH 4 G 50 GY)</v>
          </cell>
          <cell r="C5278" t="str">
            <v>LAPP</v>
          </cell>
          <cell r="D5278" t="str">
            <v>Lapp-Non Moving Stocks</v>
          </cell>
        </row>
        <row r="5279">
          <cell r="A5279" t="str">
            <v>3891103315 (ÖLFLEX® 100 I HFFR Z 3 G 1.5 GY)</v>
          </cell>
          <cell r="B5279" t="str">
            <v>3891103315(ÖLFLEX® 100 I HFFR Z 3 G 1.5 GY)</v>
          </cell>
          <cell r="C5279" t="str">
            <v>LAPP</v>
          </cell>
          <cell r="D5279" t="str">
            <v>Lapp-Non Moving Stocks</v>
          </cell>
        </row>
        <row r="5280">
          <cell r="A5280" t="str">
            <v>380800315 (ÖLFLEX® 100 I FR-LSH  3G 0.5  GY)</v>
          </cell>
          <cell r="B5280" t="str">
            <v>380800315(ÖLFLEX® 100 I FR-LSH 3G 0.5 GY)</v>
          </cell>
          <cell r="C5280" t="str">
            <v>LAPP</v>
          </cell>
          <cell r="D5280" t="str">
            <v>Lapp-Non Moving Stocks</v>
          </cell>
        </row>
        <row r="5281">
          <cell r="A5281" t="str">
            <v>3808065_x000D_
 (ÖLFLEX® 100 I  FR-LSH  3G 1.50  GY_x000D_
)</v>
          </cell>
          <cell r="B5281" t="str">
            <v>3808065_x000D_
(ÖLFLEX® 100 I FR-LSH 3G 1.50 GY_x000D_
)</v>
          </cell>
          <cell r="C5281" t="str">
            <v>LAPP</v>
          </cell>
          <cell r="D5281" t="str">
            <v>Lapp-Non Moving Stocks</v>
          </cell>
        </row>
        <row r="5282">
          <cell r="A5282" t="str">
            <v>380830319 (ÖLFLEX® 100 I FR-LSH 3G 1.5 BK)</v>
          </cell>
          <cell r="B5282" t="str">
            <v>380830319(ÖLFLEX® 100 I FR-LSH 3G 1.5 BK)</v>
          </cell>
          <cell r="C5282" t="str">
            <v>LAPP</v>
          </cell>
          <cell r="D5282" t="str">
            <v>Lapp-Non Moving Stocks</v>
          </cell>
        </row>
        <row r="5283">
          <cell r="A5283" t="str">
            <v>380830315 (ÖLFLEX® 100 I FR-LSH 3 G  1.5 GY _x000D_
)</v>
          </cell>
          <cell r="B5283" t="str">
            <v>380830315(ÖLFLEX® 100 I FR-LSH 3 G  1.5 GY _x000D_
)</v>
          </cell>
          <cell r="C5283" t="str">
            <v>LAPP</v>
          </cell>
          <cell r="D5283" t="str">
            <v>Lapp-Non Moving Stocks</v>
          </cell>
        </row>
        <row r="5284">
          <cell r="A5284" t="str">
            <v>3808054 (ÖLFLEX® 100 I FR-LSH 3G1 GY_x000D_
)</v>
          </cell>
          <cell r="B5284" t="str">
            <v>3808054(ÖLFLEX® 100 I FR-LSH 3G1 GY_x000D_
)</v>
          </cell>
          <cell r="C5284" t="str">
            <v>LAPP</v>
          </cell>
          <cell r="D5284" t="str">
            <v>Lapp-Non Moving Stocks</v>
          </cell>
        </row>
        <row r="5285">
          <cell r="A5285" t="str">
            <v>3808075_x000D_
 (ÖLFLEX® 100 I  FR-LSH 3 G 2.50 GY_x000D_
)</v>
          </cell>
          <cell r="B5285" t="str">
            <v>3808075_x000D_
(ÖLFLEX® 100 I FR-LSH 3 G 2.50 GY_x000D_
)</v>
          </cell>
          <cell r="C5285" t="str">
            <v>LAPP</v>
          </cell>
          <cell r="D5285" t="str">
            <v>Lapp-Non Moving Stocks</v>
          </cell>
        </row>
        <row r="5286">
          <cell r="A5286" t="str">
            <v>380840319 (ÖLFLEX® 100 I FR-LSH 3G 2.5 BK_x000D_
)</v>
          </cell>
          <cell r="B5286" t="str">
            <v>380840319(ÖLFLEX® 100 I FR-LSH 3G 2.5 BK_x000D_
)</v>
          </cell>
          <cell r="C5286" t="str">
            <v>LAPP</v>
          </cell>
          <cell r="D5286" t="str">
            <v>Lapp-Non Moving Stocks</v>
          </cell>
        </row>
        <row r="5287">
          <cell r="A5287" t="str">
            <v>380840315_x000D_
 (ÖLFLEX® 100 I FR-LSH  3G 2.5  GY_x000D_
)</v>
          </cell>
          <cell r="B5287" t="str">
            <v>380840315_x000D_
(ÖLFLEX® 100 I FR-LSH 3G 2.5 GY_x000D_
)</v>
          </cell>
          <cell r="C5287" t="str">
            <v>LAPP</v>
          </cell>
          <cell r="D5287" t="str">
            <v>Lapp-Non Moving Stocks</v>
          </cell>
        </row>
        <row r="5288">
          <cell r="A5288" t="str">
            <v>380850319 (ÖLFLEX® 100 I FR-LSH 3G 4 BK)</v>
          </cell>
          <cell r="B5288" t="str">
            <v>380850319(ÖLFLEX® 100 I FR-LSH 3G 4 BK)</v>
          </cell>
          <cell r="C5288" t="str">
            <v>LAPP</v>
          </cell>
          <cell r="D5288" t="str">
            <v>Lapp-Non Moving Stocks</v>
          </cell>
        </row>
        <row r="5289">
          <cell r="A5289" t="str">
            <v>380850315 (ÖLFLEX® 100 I FR-LSH 3 G  4 GY _x000D_
)</v>
          </cell>
          <cell r="B5289" t="str">
            <v>380850315(ÖLFLEX® 100 I FR-LSH 3 G 4 GY _x000D_
)</v>
          </cell>
          <cell r="C5289" t="str">
            <v>LAPP</v>
          </cell>
          <cell r="D5289" t="str">
            <v>Lapp-Non Moving Stocks</v>
          </cell>
        </row>
        <row r="5290">
          <cell r="A5290" t="str">
            <v>380860319 (ÖLFLEX® 100 I FR-LSH 3G 6 BK)</v>
          </cell>
          <cell r="B5290" t="str">
            <v>380860319(ÖLFLEX® 100 I FR-LSH 3G 6 BK)</v>
          </cell>
          <cell r="C5290" t="str">
            <v>LAPP</v>
          </cell>
          <cell r="D5290" t="str">
            <v>Lapp-Non Moving Stocks</v>
          </cell>
        </row>
        <row r="5291">
          <cell r="A5291" t="str">
            <v>380860315 (ÖLFLEX® 100 I FR-LSH 3 G  6 GY_x000D_
)</v>
          </cell>
          <cell r="B5291" t="str">
            <v>380860315(ÖLFLEX® 100 I FR-LSH 3 G 6 GY_x000D_
)</v>
          </cell>
          <cell r="C5291" t="str">
            <v>LAPP</v>
          </cell>
          <cell r="D5291" t="str">
            <v>Lapp-Non Moving Stocks</v>
          </cell>
        </row>
        <row r="5292">
          <cell r="A5292" t="str">
            <v>380800415 (ÖLFLEX® 100 I FR-LSH  4G 0.5  GY)</v>
          </cell>
          <cell r="B5292" t="str">
            <v>380800415(ÖLFLEX® 100 I FR-LSH 4G 0.5 GY)</v>
          </cell>
          <cell r="C5292" t="str">
            <v>LAPP</v>
          </cell>
          <cell r="D5292" t="str">
            <v>Lapp-Non Moving Stocks</v>
          </cell>
        </row>
        <row r="5293">
          <cell r="A5293" t="str">
            <v>38936545_x000D_
 (ÖLFLEX® 100 I  FR-LSH HR 85  4G 50 GY_x000D_
)</v>
          </cell>
          <cell r="B5293" t="str">
            <v>38936545_x000D_
(ÖLFLEX® 100 I FR-LSH HR 85 4G 50 GY_x000D_
)</v>
          </cell>
          <cell r="C5293" t="str">
            <v>LAPP</v>
          </cell>
          <cell r="D5293" t="str">
            <v>Lapp-Non Moving Stocks</v>
          </cell>
        </row>
        <row r="5294">
          <cell r="A5294" t="str">
            <v xml:space="preserve">100I SY 4G25 _x000D_
</v>
          </cell>
          <cell r="B5294" t="str">
            <v xml:space="preserve">100I SY 4G25 _x000D_
</v>
          </cell>
          <cell r="C5294" t="str">
            <v>LAPP</v>
          </cell>
          <cell r="D5294" t="str">
            <v>Lapp-Non Moving Stocks</v>
          </cell>
        </row>
        <row r="5295">
          <cell r="A5295" t="str">
            <v>380161410 (ÖLFLEX® 100 I SY 4G 10 TRAN_x000D_
)</v>
          </cell>
          <cell r="B5295" t="str">
            <v>380161410(ÖLFLEX® 100 I SY 4G 10 TRAN_x000D_
)</v>
          </cell>
          <cell r="C5295" t="str">
            <v>LAPP</v>
          </cell>
          <cell r="D5295" t="str">
            <v>Lapp-Non Moving Stocks</v>
          </cell>
        </row>
        <row r="5296">
          <cell r="A5296" t="str">
            <v>380140415 (ÖLFLEX® 100 I SY 4 G 2.5 GY)</v>
          </cell>
          <cell r="B5296" t="str">
            <v>380140415(ÖLFLEX® 100 I SY 4 G 2.5 GY)</v>
          </cell>
          <cell r="C5296" t="str">
            <v>LAPP</v>
          </cell>
          <cell r="D5296" t="str">
            <v>Lapp-Non Moving Stocks</v>
          </cell>
        </row>
        <row r="5297">
          <cell r="A5297" t="str">
            <v>380150415_x000D_
 (ÖLFLEX® 100 I SY 4 G  4 GY _x000D_
)</v>
          </cell>
          <cell r="B5297" t="str">
            <v>380150415_x000D_
(ÖLFLEX® 100 I SY 4 G 4 GY _x000D_
)</v>
          </cell>
          <cell r="C5297" t="str">
            <v>LAPP</v>
          </cell>
          <cell r="D5297" t="str">
            <v>Lapp-Non Moving Stocks</v>
          </cell>
        </row>
        <row r="5298">
          <cell r="A5298" t="str">
            <v>380150410 (ÖLFLEX® 100 I SY 4G 4 TRAN)</v>
          </cell>
          <cell r="B5298" t="str">
            <v>380150410(ÖLFLEX® 100 I SY 4G 4 TRAN)</v>
          </cell>
          <cell r="C5298" t="str">
            <v>LAPP</v>
          </cell>
          <cell r="D5298" t="str">
            <v>Lapp-Non Moving Stocks</v>
          </cell>
        </row>
        <row r="5299">
          <cell r="A5299" t="str">
            <v>380160410 (ÖLFLEX® 100 I SY 4G 6 TRAN)</v>
          </cell>
          <cell r="B5299" t="str">
            <v>380160410(ÖLFLEX® 100 I SY 4G 6 TRAN)</v>
          </cell>
          <cell r="C5299" t="str">
            <v>LAPP</v>
          </cell>
          <cell r="D5299" t="str">
            <v>Lapp-Non Moving Stocks</v>
          </cell>
        </row>
        <row r="5300">
          <cell r="A5300" t="str">
            <v>380140405 (ÖLFLEX® 100 I SY 4 X 2.5 GY)</v>
          </cell>
          <cell r="B5300" t="str">
            <v>380140405(ÖLFLEX® 100 I SY 4 X 2.5 GY)</v>
          </cell>
          <cell r="C5300" t="str">
            <v>LAPP</v>
          </cell>
          <cell r="D5300" t="str">
            <v>Lapp-Non Moving Stocks</v>
          </cell>
        </row>
        <row r="5301">
          <cell r="A5301" t="str">
            <v>380162510 (ÖLFLEX® 100 I SY 5G16 1100 V TRAN)</v>
          </cell>
          <cell r="B5301" t="str">
            <v>380162510(ÖLFLEX® 100 I SY 5G16 1100 V TRAN)</v>
          </cell>
          <cell r="C5301" t="str">
            <v>LAPP</v>
          </cell>
          <cell r="D5301" t="str">
            <v>Lapp-Non Moving Stocks</v>
          </cell>
        </row>
        <row r="5302">
          <cell r="A5302" t="str">
            <v>380164510 (ÖLFLEX® 100 I SY 5G 35 TRAN)</v>
          </cell>
          <cell r="B5302" t="str">
            <v>380164510(ÖLFLEX® 100 I SY 5G 35 TRAN)</v>
          </cell>
          <cell r="C5302" t="str">
            <v>LAPP</v>
          </cell>
          <cell r="D5302" t="str">
            <v>Lapp-Non Moving Stocks</v>
          </cell>
        </row>
        <row r="5303">
          <cell r="A5303" t="str">
            <v>380300315 (ÖLFLEX® 100 I SY FR-LSH 3G 0.5 GY)</v>
          </cell>
          <cell r="B5303" t="str">
            <v>380300315(ÖLFLEX® 100 I SY FR-LSH 3G 0.5 GY)</v>
          </cell>
          <cell r="C5303" t="str">
            <v>LAPP</v>
          </cell>
          <cell r="D5303" t="str">
            <v>Lapp-Non Moving Stocks</v>
          </cell>
        </row>
        <row r="5304">
          <cell r="A5304" t="str">
            <v>380350315 (ÖLFLEX® 100 I SY FR-LSH 3G 4 GY)</v>
          </cell>
          <cell r="B5304" t="str">
            <v>380350315(ÖLFLEX® 100 I SY FR-LSH 3G 4 GY)</v>
          </cell>
          <cell r="C5304" t="str">
            <v>LAPP</v>
          </cell>
          <cell r="D5304" t="str">
            <v>Lapp-Non Moving Stocks</v>
          </cell>
        </row>
        <row r="5305">
          <cell r="A5305" t="str">
            <v>380330305 (ÖLFLEX® 100 I SY FR-LSH 3 x 1.5 GY)</v>
          </cell>
          <cell r="B5305" t="str">
            <v>380330305(ÖLFLEX® 100 I SY FR-LSH 3 x 1.5 GY)</v>
          </cell>
          <cell r="C5305" t="str">
            <v>LAPP</v>
          </cell>
          <cell r="D5305" t="str">
            <v>Lapp-Non Moving Stocks</v>
          </cell>
        </row>
        <row r="5306">
          <cell r="A5306" t="str">
            <v>380300415 (ÖLFLEX® 100 I SY FR-LSH 4G 0.5 GY)</v>
          </cell>
          <cell r="B5306" t="str">
            <v>380300415(ÖLFLEX® 100 I SY FR-LSH 4G 0.5 GY)</v>
          </cell>
          <cell r="C5306" t="str">
            <v>LAPP</v>
          </cell>
          <cell r="D5306" t="str">
            <v>Lapp-Non Moving Stocks</v>
          </cell>
        </row>
        <row r="5307">
          <cell r="A5307" t="str">
            <v>380362415 (ÖLFLEX® 100 I SY FR-LSH 4G 16 GY)</v>
          </cell>
          <cell r="B5307" t="str">
            <v>380362415(ÖLFLEX® 100 I SY FR-LSH 4G 16 GY)</v>
          </cell>
          <cell r="C5307" t="str">
            <v>LAPP</v>
          </cell>
          <cell r="D5307" t="str">
            <v>Lapp-Non Moving Stocks</v>
          </cell>
        </row>
        <row r="5308">
          <cell r="A5308" t="str">
            <v>380340415 (ÖLFLEX® 100 I SY FR-LSH 4G 2.5 GY)</v>
          </cell>
          <cell r="B5308" t="str">
            <v>380340415(ÖLFLEX® 100 I SY FR-LSH 4G 2.5 GY)</v>
          </cell>
          <cell r="C5308" t="str">
            <v>LAPP</v>
          </cell>
          <cell r="D5308" t="str">
            <v>Lapp-Non Moving Stocks</v>
          </cell>
        </row>
        <row r="5309">
          <cell r="A5309" t="str">
            <v>380350415 (ÖLFLEX® 100 I SY FR-LSH 4G 4 GY)</v>
          </cell>
          <cell r="B5309" t="str">
            <v>380350415(ÖLFLEX® 100 I SY FR-LSH 4G 4 GY)</v>
          </cell>
          <cell r="C5309" t="str">
            <v>LAPP</v>
          </cell>
          <cell r="D5309" t="str">
            <v>Lapp-Non Moving Stocks</v>
          </cell>
        </row>
        <row r="5310">
          <cell r="A5310" t="str">
            <v>380360415 (ÖLFLEX® 100 I SY FR-LSH 4G 6 GY)</v>
          </cell>
          <cell r="B5310" t="str">
            <v>380360415(ÖLFLEX® 100 I SY FR-LSH 4G 6 GY)</v>
          </cell>
          <cell r="C5310" t="str">
            <v>LAPP</v>
          </cell>
          <cell r="D5310" t="str">
            <v>Lapp-Non Moving Stocks</v>
          </cell>
        </row>
        <row r="5311">
          <cell r="A5311" t="str">
            <v>380340405 (ÖLFLEX® 100 I SY FR-LSH  4 x 2.5  GY_x000D_
)</v>
          </cell>
          <cell r="B5311" t="str">
            <v>380340405(ÖLFLEX® 100 I SY FR-LSH 4 x 2.5 GY_x000D_
)</v>
          </cell>
          <cell r="C5311" t="str">
            <v>LAPP</v>
          </cell>
          <cell r="D5311" t="str">
            <v>Lapp-Non Moving Stocks</v>
          </cell>
        </row>
        <row r="5312">
          <cell r="A5312" t="str">
            <v>380360405 (ÖLFLEX® 100 I SY FR-LSH  4 x 6  GY)</v>
          </cell>
          <cell r="B5312" t="str">
            <v>380360405(ÖLFLEX® 100 I SY FR-LSH 4 x 6 GY)</v>
          </cell>
          <cell r="C5312" t="str">
            <v>LAPP</v>
          </cell>
          <cell r="D5312" t="str">
            <v>Lapp-Non Moving Stocks</v>
          </cell>
        </row>
        <row r="5313">
          <cell r="A5313" t="str">
            <v>0016064 (ÖLFLEX CLASSIC 100 SY 2X1,5)</v>
          </cell>
          <cell r="B5313" t="str">
            <v>0016064(ÖLFLEX CLASSIC 100 SY 2X1,5)</v>
          </cell>
          <cell r="C5313" t="str">
            <v>LAPP</v>
          </cell>
          <cell r="D5313" t="str">
            <v>Lapp-Non Moving Stocks</v>
          </cell>
        </row>
        <row r="5314">
          <cell r="A5314" t="str">
            <v>0016088 (ÖLFLEX CLASSIC 100 SY 3G2,5_x000D_
)</v>
          </cell>
          <cell r="B5314" t="str">
            <v>0016088(ÖLFLEX CLASSIC 100 SY 3G2,5_x000D_
)</v>
          </cell>
          <cell r="C5314" t="str">
            <v>LAPP</v>
          </cell>
          <cell r="D5314" t="str">
            <v>Lapp-Non Moving Stocks</v>
          </cell>
        </row>
        <row r="5315">
          <cell r="A5315" t="str">
            <v>00161103 (ÖLFLEX CLASSIC 100 SY 4G10 NCC)</v>
          </cell>
          <cell r="B5315" t="str">
            <v>00161103(ÖLFLEX CLASSIC 100 SY 4G10 NCC)</v>
          </cell>
          <cell r="C5315" t="str">
            <v>LAPP</v>
          </cell>
          <cell r="D5315" t="str">
            <v>Lapp-Non Moving Stocks</v>
          </cell>
        </row>
        <row r="5316">
          <cell r="A5316" t="str">
            <v>00161073 (ÖLFLEX CLASSIC 100 SY 4G6 NCC_x000D_
)</v>
          </cell>
          <cell r="B5316" t="str">
            <v>00161073(ÖLFLEX CLASSIC 100 SY 4G6 NCC_x000D_
)</v>
          </cell>
          <cell r="C5316" t="str">
            <v>LAPP</v>
          </cell>
          <cell r="D5316" t="str">
            <v>Lapp-Non Moving Stocks</v>
          </cell>
        </row>
        <row r="5317">
          <cell r="A5317" t="str">
            <v>11191341_x000D_
 ("ÖLFLEX  110 34G0,75"_x000D_
)</v>
          </cell>
          <cell r="B5317" t="str">
            <v>11191341_x000D_
("ÖLFLEX  110 34G0,75"_x000D_
)</v>
          </cell>
          <cell r="C5317" t="str">
            <v>LAPP</v>
          </cell>
          <cell r="D5317" t="str">
            <v>Lapp-Non Moving Stocks</v>
          </cell>
        </row>
        <row r="5318">
          <cell r="A5318" t="str">
            <v>1119040_x000D_
 ("ÖLFLEX CLASSIC 110 40G0,5"_x000D_
)</v>
          </cell>
          <cell r="B5318" t="str">
            <v>1119040_x000D_
("ÖLFLEX CLASSIC 110 40G0,5"_x000D_
)</v>
          </cell>
          <cell r="C5318" t="str">
            <v>LAPP</v>
          </cell>
          <cell r="D5318" t="str">
            <v>Lapp-Non Moving Stocks</v>
          </cell>
        </row>
        <row r="5319">
          <cell r="A5319" t="str">
            <v>1119151_x000D_
 ("ÖLFLEX CLASSIC 110 51G0,75"_x000D_
)</v>
          </cell>
          <cell r="B5319" t="str">
            <v>1119151_x000D_
("ÖLFLEX CLASSIC 110 51G0,75"_x000D_
)</v>
          </cell>
          <cell r="C5319" t="str">
            <v>LAPP</v>
          </cell>
          <cell r="D5319" t="str">
            <v>Lapp-Non Moving Stocks</v>
          </cell>
        </row>
        <row r="5320">
          <cell r="A5320" t="str">
            <v>11198121 (OLFLEX 110 12X0.75)</v>
          </cell>
          <cell r="B5320" t="str">
            <v>11198121(OLFLEX 110 12X0.75)</v>
          </cell>
          <cell r="C5320" t="str">
            <v>LAPP</v>
          </cell>
          <cell r="D5320" t="str">
            <v>Lapp-Non Moving Stocks</v>
          </cell>
        </row>
        <row r="5321">
          <cell r="A5321" t="str">
            <v>11192161 (Olflex 110 16G1)</v>
          </cell>
          <cell r="B5321" t="str">
            <v>11192161(Olflex 110 16G1)</v>
          </cell>
          <cell r="C5321" t="str">
            <v>LAPP</v>
          </cell>
          <cell r="D5321" t="str">
            <v>Lapp-Non Moving Stocks</v>
          </cell>
        </row>
        <row r="5322">
          <cell r="A5322" t="str">
            <v>11190191_x000D_
 (Olflex 110 19 G 0.50_x000D_
)</v>
          </cell>
          <cell r="B5322" t="str">
            <v>11190191_x000D_
(Olflex 110 19 G 0.50_x000D_
)</v>
          </cell>
          <cell r="C5322" t="str">
            <v>LAPP</v>
          </cell>
          <cell r="D5322" t="str">
            <v>Lapp-Non Moving Stocks</v>
          </cell>
        </row>
        <row r="5323">
          <cell r="A5323" t="str">
            <v>382300056 (OLFLEX 110 3G16)</v>
          </cell>
          <cell r="B5323" t="str">
            <v>382300056(OLFLEX 110 3G16)</v>
          </cell>
          <cell r="C5323" t="str">
            <v>LAPP</v>
          </cell>
          <cell r="D5323" t="str">
            <v>Lapp-Non Moving Stocks</v>
          </cell>
        </row>
        <row r="5324">
          <cell r="A5324" t="str">
            <v>11193091 (Olflex 110 9G1.5)</v>
          </cell>
          <cell r="B5324" t="str">
            <v>11193091(Olflex 110 9G1.5)</v>
          </cell>
          <cell r="C5324" t="str">
            <v>LAPP</v>
          </cell>
          <cell r="D5324" t="str">
            <v>Lapp-Non Moving Stocks</v>
          </cell>
        </row>
        <row r="5325">
          <cell r="A5325" t="str">
            <v>11192181 (OLFLEX CLASSIC 110 18G1)</v>
          </cell>
          <cell r="B5325" t="str">
            <v>11192181(OLFLEX CLASSIC 110 18G1)</v>
          </cell>
          <cell r="C5325" t="str">
            <v>LAPP</v>
          </cell>
          <cell r="D5325" t="str">
            <v>Lapp-Non Moving Stocks</v>
          </cell>
        </row>
        <row r="5326">
          <cell r="A5326" t="str">
            <v>1119234 (OLFLEX CLASSIC 110 34G1)</v>
          </cell>
          <cell r="B5326" t="str">
            <v>1119234(OLFLEX CLASSIC 110 34G1)</v>
          </cell>
          <cell r="C5326" t="str">
            <v>LAPP</v>
          </cell>
          <cell r="D5326" t="str">
            <v>Lapp-Non Moving Stocks</v>
          </cell>
        </row>
        <row r="5327">
          <cell r="A5327" t="str">
            <v>1119434 (OLFLEX CLASSIC 110 34G2,5)</v>
          </cell>
          <cell r="B5327" t="str">
            <v>1119434(OLFLEX CLASSIC 110 34G2,5)</v>
          </cell>
          <cell r="C5327" t="str">
            <v>LAPP</v>
          </cell>
          <cell r="D5327" t="str">
            <v>Lapp-Non Moving Stocks</v>
          </cell>
        </row>
        <row r="5328">
          <cell r="A5328" t="str">
            <v>1119141 (Olflex Classic 110 41G0,75)</v>
          </cell>
          <cell r="B5328" t="str">
            <v>1119141(Olflex Classic 110 41G0,75)</v>
          </cell>
          <cell r="C5328" t="str">
            <v>LAPP</v>
          </cell>
          <cell r="D5328" t="str">
            <v>Lapp-Non Moving Stocks</v>
          </cell>
        </row>
        <row r="5329">
          <cell r="A5329" t="str">
            <v>3860106X (OLFLEX® 110   6 X 0.75 SY FRLS GY)</v>
          </cell>
          <cell r="B5329" t="str">
            <v>3860106X(OLFLEX® 110 6 X 0.75 SY FRLS GY)</v>
          </cell>
          <cell r="C5329" t="str">
            <v>LAPP</v>
          </cell>
          <cell r="D5329" t="str">
            <v>Lapp-Non Moving Stocks</v>
          </cell>
        </row>
        <row r="5330">
          <cell r="A5330" t="str">
            <v>11197571 (ÖLFLEX 110 7X0.5)</v>
          </cell>
          <cell r="B5330" t="str">
            <v>11197571(ÖLFLEX 110 7X0.5)</v>
          </cell>
          <cell r="C5330" t="str">
            <v>LAPP</v>
          </cell>
          <cell r="D5330" t="str">
            <v>Lapp-Non Moving Stocks</v>
          </cell>
        </row>
        <row r="5331">
          <cell r="A5331" t="str">
            <v>11199071 (ÖLFLEX 110 7X1.5)</v>
          </cell>
          <cell r="B5331" t="str">
            <v>11199071(ÖLFLEX 110 7X1.5)</v>
          </cell>
          <cell r="C5331" t="str">
            <v>LAPP</v>
          </cell>
          <cell r="D5331" t="str">
            <v>Lapp-Non Moving Stocks</v>
          </cell>
        </row>
        <row r="5332">
          <cell r="A5332" t="str">
            <v>1119100 (ÖLFLEX CLASSIC 110 100G0,5)</v>
          </cell>
          <cell r="B5332" t="str">
            <v>1119100(ÖLFLEX CLASSIC 110 100G0,5)</v>
          </cell>
          <cell r="C5332" t="str">
            <v>LAPP</v>
          </cell>
          <cell r="D5332" t="str">
            <v>Lapp-Non Moving Stocks</v>
          </cell>
        </row>
        <row r="5333">
          <cell r="A5333" t="str">
            <v>1119410 (ÖLFLEX CLASSIC 110 10 G 2.5_x000D_
)</v>
          </cell>
          <cell r="B5333" t="str">
            <v>1119410(ÖLFLEX CLASSIC 110 10 G 2.5_x000D_
)</v>
          </cell>
          <cell r="C5333" t="str">
            <v>LAPP</v>
          </cell>
          <cell r="D5333" t="str">
            <v>Lapp-Non Moving Stocks</v>
          </cell>
        </row>
        <row r="5334">
          <cell r="A5334" t="str">
            <v>1119511 (ÖLFLEX CLASSIC 110 11G4_x000D_
)</v>
          </cell>
          <cell r="B5334" t="str">
            <v>1119511(ÖLFLEX CLASSIC 110 11G4_x000D_
)</v>
          </cell>
          <cell r="C5334" t="str">
            <v>LAPP</v>
          </cell>
          <cell r="D5334" t="str">
            <v>Lapp-Non Moving Stocks</v>
          </cell>
        </row>
        <row r="5335">
          <cell r="A5335" t="str">
            <v>1119412 (ÖLFLEX CLASSIC 110 12G2,5_x000D_
)</v>
          </cell>
          <cell r="B5335" t="str">
            <v>1119412(ÖLFLEX CLASSIC 110 12G2,5_x000D_
)</v>
          </cell>
          <cell r="C5335" t="str">
            <v>LAPP</v>
          </cell>
          <cell r="D5335" t="str">
            <v>Lapp-Non Moving Stocks</v>
          </cell>
        </row>
        <row r="5336">
          <cell r="A5336" t="str">
            <v>1119512_x000D_
 (ÖLFLEX CLASSIC 110 12G4_x000D_
)</v>
          </cell>
          <cell r="B5336" t="str">
            <v>1119512_x000D_
(ÖLFLEX CLASSIC 110 12G4_x000D_
)</v>
          </cell>
          <cell r="C5336" t="str">
            <v>LAPP</v>
          </cell>
          <cell r="D5336" t="str">
            <v>Lapp-Non Moving Stocks</v>
          </cell>
        </row>
        <row r="5337">
          <cell r="A5337" t="str">
            <v>1119912_x000D_
 (ÖLFLEX CLASSIC 110 12X1,5_x000D_
)</v>
          </cell>
          <cell r="B5337" t="str">
            <v>1119912_x000D_
(ÖLFLEX CLASSIC 110 12X1,5_x000D_
)</v>
          </cell>
          <cell r="C5337" t="str">
            <v>LAPP</v>
          </cell>
          <cell r="D5337" t="str">
            <v>Lapp-Non Moving Stocks</v>
          </cell>
        </row>
        <row r="5338">
          <cell r="A5338" t="str">
            <v>1119214 (ÖLFLEX CLASSIC 110 14G1_x000D_
)</v>
          </cell>
          <cell r="B5338" t="str">
            <v>1119214(ÖLFLEX CLASSIC 110 14G1_x000D_
)</v>
          </cell>
          <cell r="C5338" t="str">
            <v>LAPP</v>
          </cell>
          <cell r="D5338" t="str">
            <v>Lapp-Non Moving Stocks</v>
          </cell>
        </row>
        <row r="5339">
          <cell r="A5339" t="str">
            <v>1119414 (ÖLFLEX CLASSIC 110 14G2,5_x000D_
)</v>
          </cell>
          <cell r="B5339" t="str">
            <v>1119414(ÖLFLEX CLASSIC 110 14G2,5_x000D_
)</v>
          </cell>
          <cell r="C5339" t="str">
            <v>LAPP</v>
          </cell>
          <cell r="D5339" t="str">
            <v>Lapp-Non Moving Stocks</v>
          </cell>
        </row>
        <row r="5340">
          <cell r="A5340" t="str">
            <v>1119116_x000D_
 (ÖLFLEX CLASSIC 110 16G0,75_x000D_
)</v>
          </cell>
          <cell r="B5340" t="str">
            <v>1119116_x000D_
(ÖLFLEX CLASSIC 110 16G0,75_x000D_
)</v>
          </cell>
          <cell r="C5340" t="str">
            <v>LAPP</v>
          </cell>
          <cell r="D5340" t="str">
            <v>Lapp-Non Moving Stocks</v>
          </cell>
        </row>
        <row r="5341">
          <cell r="A5341" t="str">
            <v>1119868 (ÖLFLEX CLASSIC 110 18X1_x000D_
)</v>
          </cell>
          <cell r="B5341" t="str">
            <v>1119868(ÖLFLEX CLASSIC 110 18X1_x000D_
)</v>
          </cell>
          <cell r="C5341" t="str">
            <v>LAPP</v>
          </cell>
          <cell r="D5341" t="str">
            <v>Lapp-Non Moving Stocks</v>
          </cell>
        </row>
        <row r="5342">
          <cell r="A5342" t="str">
            <v>1119870 (ÖLFLEX CLASSIC 110 20X1_x000D_
)</v>
          </cell>
          <cell r="B5342" t="str">
            <v>1119870(ÖLFLEX CLASSIC 110 20X1_x000D_
)</v>
          </cell>
          <cell r="C5342" t="str">
            <v>LAPP</v>
          </cell>
          <cell r="D5342" t="str">
            <v>Lapp-Non Moving Stocks</v>
          </cell>
        </row>
        <row r="5343">
          <cell r="A5343" t="str">
            <v>1119021 (ÖLFLEX CLASSIC 110 21G0,5_x000D_
)</v>
          </cell>
          <cell r="B5343" t="str">
            <v>1119021(ÖLFLEX CLASSIC 110 21G0,5_x000D_
)</v>
          </cell>
          <cell r="C5343" t="str">
            <v>LAPP</v>
          </cell>
          <cell r="D5343" t="str">
            <v>Lapp-Non Moving Stocks</v>
          </cell>
        </row>
        <row r="5344">
          <cell r="A5344" t="str">
            <v>1119321_x000D_
 (ÖLFLEX CLASSIC 110 21G1,5_x000D_
)</v>
          </cell>
          <cell r="B5344" t="str">
            <v>1119321_x000D_
(ÖLFLEX CLASSIC 110 21G1,5_x000D_
)</v>
          </cell>
          <cell r="C5344" t="str">
            <v>LAPP</v>
          </cell>
          <cell r="D5344" t="str">
            <v>Lapp-Non Moving Stocks</v>
          </cell>
        </row>
        <row r="5345">
          <cell r="A5345" t="str">
            <v>1119425 (ÖLFLEX CLASSIC 110 25G2,5)</v>
          </cell>
          <cell r="B5345" t="str">
            <v>1119425(ÖLFLEX CLASSIC 110 25G2,5)</v>
          </cell>
          <cell r="C5345" t="str">
            <v>LAPP</v>
          </cell>
          <cell r="D5345" t="str">
            <v>Lapp-Non Moving Stocks</v>
          </cell>
        </row>
        <row r="5346">
          <cell r="A5346" t="str">
            <v>1119226 (ÖLFLEX CLASSIC 110 26G1_x000D_
)</v>
          </cell>
          <cell r="B5346" t="str">
            <v>1119226(ÖLFLEX CLASSIC 110 26G1_x000D_
)</v>
          </cell>
          <cell r="C5346" t="str">
            <v>LAPP</v>
          </cell>
          <cell r="D5346" t="str">
            <v>Lapp-Non Moving Stocks</v>
          </cell>
        </row>
        <row r="5347">
          <cell r="A5347" t="str">
            <v>1119612 (ÖLFLEX CLASSIC 110 2x10)</v>
          </cell>
          <cell r="B5347" t="str">
            <v>1119612(ÖLFLEX CLASSIC 110 2x10)</v>
          </cell>
          <cell r="C5347" t="str">
            <v>LAPP</v>
          </cell>
          <cell r="D5347" t="str">
            <v>Lapp-Non Moving Stocks</v>
          </cell>
        </row>
        <row r="5348">
          <cell r="A5348" t="str">
            <v>1119030 (ÖLFLEX CLASSIC 110 30G0,5)</v>
          </cell>
          <cell r="B5348" t="str">
            <v>1119030(ÖLFLEX CLASSIC 110 30G0,5)</v>
          </cell>
          <cell r="C5348" t="str">
            <v>LAPP</v>
          </cell>
          <cell r="D5348" t="str">
            <v>Lapp-Non Moving Stocks</v>
          </cell>
        </row>
        <row r="5349">
          <cell r="A5349" t="str">
            <v>1119332 (ÖLFLEX CLASSIC 110 32G1,5_x000D_
)</v>
          </cell>
          <cell r="B5349" t="str">
            <v>1119332(ÖLFLEX CLASSIC 110 32G1,5_x000D_
)</v>
          </cell>
          <cell r="C5349" t="str">
            <v>LAPP</v>
          </cell>
          <cell r="D5349" t="str">
            <v>Lapp-Non Moving Stocks</v>
          </cell>
        </row>
        <row r="5350">
          <cell r="A5350" t="str">
            <v>1119334 (ÖLFLEX CLASSIC 110 34G1,5)</v>
          </cell>
          <cell r="B5350" t="str">
            <v>1119334(ÖLFLEX CLASSIC 110 34G1,5)</v>
          </cell>
          <cell r="C5350" t="str">
            <v>LAPP</v>
          </cell>
          <cell r="D5350" t="str">
            <v>Lapp-Non Moving Stocks</v>
          </cell>
        </row>
        <row r="5351">
          <cell r="A5351" t="str">
            <v>1119035 (ÖLFLEX CLASSIC 110 35G0,5)</v>
          </cell>
          <cell r="B5351" t="str">
            <v>1119035(ÖLFLEX CLASSIC 110 35G0,5)</v>
          </cell>
          <cell r="C5351" t="str">
            <v>LAPP</v>
          </cell>
          <cell r="D5351" t="str">
            <v>Lapp-Non Moving Stocks</v>
          </cell>
        </row>
        <row r="5352">
          <cell r="A5352" t="str">
            <v>1119236_x000D_
 (ÖLFLEX CLASSIC 110 36G1_x000D_
)</v>
          </cell>
          <cell r="B5352" t="str">
            <v>1119236_x000D_
(ÖLFLEX CLASSIC 110 36G1_x000D_
)</v>
          </cell>
          <cell r="C5352" t="str">
            <v>LAPP</v>
          </cell>
          <cell r="D5352" t="str">
            <v>Lapp-Non Moving Stocks</v>
          </cell>
        </row>
        <row r="5353">
          <cell r="A5353" t="str">
            <v>1119613 (ÖLFLEX CLASSIC 110 3G10)</v>
          </cell>
          <cell r="B5353" t="str">
            <v>1119613(ÖLFLEX CLASSIC 110 3G10)</v>
          </cell>
          <cell r="C5353" t="str">
            <v>LAPP</v>
          </cell>
          <cell r="D5353" t="str">
            <v>Lapp-Non Moving Stocks</v>
          </cell>
        </row>
        <row r="5354">
          <cell r="A5354" t="str">
            <v>1119634 (ÖLFLEX CLASSIC 110 4G25)</v>
          </cell>
          <cell r="B5354" t="str">
            <v>1119634(ÖLFLEX CLASSIC 110 4G25)</v>
          </cell>
          <cell r="C5354" t="str">
            <v>LAPP</v>
          </cell>
          <cell r="D5354" t="str">
            <v>Lapp-Non Moving Stocks</v>
          </cell>
        </row>
        <row r="5355">
          <cell r="A5355" t="str">
            <v>1119644 (ÖLFLEX CLASSIC 110 4G35)</v>
          </cell>
          <cell r="B5355" t="str">
            <v>1119644(ÖLFLEX CLASSIC 110 4G35)</v>
          </cell>
          <cell r="C5355" t="str">
            <v>LAPP</v>
          </cell>
          <cell r="D5355" t="str">
            <v>Lapp-Non Moving Stocks</v>
          </cell>
        </row>
        <row r="5356">
          <cell r="A5356" t="str">
            <v>1119150_x000D_
 (ÖLFLEX CLASSIC 110 50G0,75_x000D_
)</v>
          </cell>
          <cell r="B5356" t="str">
            <v>1119150_x000D_
(ÖLFLEX CLASSIC 110 50G0,75_x000D_
)</v>
          </cell>
          <cell r="C5356" t="str">
            <v>LAPP</v>
          </cell>
          <cell r="D5356" t="str">
            <v>Lapp-Non Moving Stocks</v>
          </cell>
        </row>
        <row r="5357">
          <cell r="A5357" t="str">
            <v>1119350 (ÖLFLEX CLASSIC 110 50G1,5_x000D_
)</v>
          </cell>
          <cell r="B5357" t="str">
            <v>1119350(ÖLFLEX CLASSIC 110 50G1,5_x000D_
)</v>
          </cell>
          <cell r="C5357" t="str">
            <v>LAPP</v>
          </cell>
          <cell r="D5357" t="str">
            <v>Lapp-Non Moving Stocks</v>
          </cell>
        </row>
        <row r="5358">
          <cell r="A5358" t="str">
            <v>1119625 (ÖLFLEX CLASSIC 110 5G16)</v>
          </cell>
          <cell r="B5358" t="str">
            <v>1119625(ÖLFLEX CLASSIC 110 5G16)</v>
          </cell>
          <cell r="C5358" t="str">
            <v>LAPP</v>
          </cell>
          <cell r="D5358" t="str">
            <v>Lapp-Non Moving Stocks</v>
          </cell>
        </row>
        <row r="5359">
          <cell r="A5359" t="str">
            <v>1119635_x000D_
 (ÖLFLEX CLASSIC 110 5G25_x000D_
)</v>
          </cell>
          <cell r="B5359" t="str">
            <v>1119635_x000D_
(ÖLFLEX CLASSIC 110 5G25_x000D_
)</v>
          </cell>
          <cell r="C5359" t="str">
            <v>LAPP</v>
          </cell>
          <cell r="D5359" t="str">
            <v>Lapp-Non Moving Stocks</v>
          </cell>
        </row>
        <row r="5360">
          <cell r="A5360" t="str">
            <v>11196451_x000D_
 (ÖLFLEX CLASSIC 110 5G35_x000D_
)</v>
          </cell>
          <cell r="B5360" t="str">
            <v>11196451_x000D_
(ÖLFLEX CLASSIC 110 5G35_x000D_
)</v>
          </cell>
          <cell r="C5360" t="str">
            <v>LAPP</v>
          </cell>
          <cell r="D5360" t="str">
            <v>Lapp-Non Moving Stocks</v>
          </cell>
        </row>
        <row r="5361">
          <cell r="A5361" t="str">
            <v>1119065_x000D_
 (ÖLFLEX CLASSIC 110 65G0,5_x000D_
)</v>
          </cell>
          <cell r="B5361" t="str">
            <v>1119065_x000D_
(ÖLFLEX CLASSIC 110 65G0,5_x000D_
)</v>
          </cell>
          <cell r="C5361" t="str">
            <v>LAPP</v>
          </cell>
          <cell r="D5361" t="str">
            <v>Lapp-Non Moving Stocks</v>
          </cell>
        </row>
        <row r="5362">
          <cell r="A5362" t="str">
            <v>11193061 (ÖLFLEX CLASSIC 110 6G1.5_x000D_
)</v>
          </cell>
          <cell r="B5362" t="str">
            <v>11193061(ÖLFLEX CLASSIC 110 6G1.5_x000D_
)</v>
          </cell>
          <cell r="C5362" t="str">
            <v>LAPP</v>
          </cell>
          <cell r="D5362" t="str">
            <v>Lapp-Non Moving Stocks</v>
          </cell>
        </row>
        <row r="5363">
          <cell r="A5363" t="str">
            <v>1119627_x000D_
 (ÖLFLEX CLASSIC 110 7G16_x000D_
)</v>
          </cell>
          <cell r="B5363" t="str">
            <v>1119627_x000D_
(ÖLFLEX CLASSIC 110 7G16_x000D_
)</v>
          </cell>
          <cell r="C5363" t="str">
            <v>LAPP</v>
          </cell>
          <cell r="D5363" t="str">
            <v>Lapp-Non Moving Stocks</v>
          </cell>
        </row>
        <row r="5364">
          <cell r="A5364" t="str">
            <v>11192121 (Ölflex® 110 12G1)</v>
          </cell>
          <cell r="B5364" t="str">
            <v>11192121(Ölflex® 110 12G1)</v>
          </cell>
          <cell r="C5364" t="str">
            <v>LAPP</v>
          </cell>
          <cell r="D5364" t="str">
            <v>Lapp-Non Moving Stocks</v>
          </cell>
        </row>
        <row r="5365">
          <cell r="A5365" t="str">
            <v>11190141 (Ölflex® 110 14G0.5_x000D_
)</v>
          </cell>
          <cell r="B5365" t="str">
            <v>11190141(Ölflex® 110 14G0.5_x000D_
)</v>
          </cell>
          <cell r="C5365" t="str">
            <v>LAPP</v>
          </cell>
          <cell r="D5365" t="str">
            <v>Lapp-Non Moving Stocks</v>
          </cell>
        </row>
        <row r="5366">
          <cell r="A5366" t="str">
            <v>1119314_x000D_
 (Ölflex® 110 14G1.5_x000D_
)</v>
          </cell>
          <cell r="B5366" t="str">
            <v>1119314_x000D_
(Ölflex® 110 14G1.5_x000D_
)</v>
          </cell>
          <cell r="C5366" t="str">
            <v>LAPP</v>
          </cell>
          <cell r="D5366" t="str">
            <v>Lapp-Non Moving Stocks</v>
          </cell>
        </row>
        <row r="5367">
          <cell r="A5367" t="str">
            <v>11191151 (Ölflex® 110 15G0.75)</v>
          </cell>
          <cell r="B5367" t="str">
            <v>11191151(Ölflex® 110 15G0.75)</v>
          </cell>
          <cell r="C5367" t="str">
            <v>LAPP</v>
          </cell>
          <cell r="D5367" t="str">
            <v>Lapp-Non Moving Stocks</v>
          </cell>
        </row>
        <row r="5368">
          <cell r="A5368" t="str">
            <v>11193161 (Ölflex® 110  16 G 1.5 mm²)</v>
          </cell>
          <cell r="B5368" t="str">
            <v>11193161(Ölflex® 110  16 G 1.5 mm²)</v>
          </cell>
          <cell r="C5368" t="str">
            <v>LAPP</v>
          </cell>
          <cell r="D5368" t="str">
            <v>Lapp-Non Moving Stocks</v>
          </cell>
        </row>
        <row r="5369">
          <cell r="A5369" t="str">
            <v>11191191 (Ölflex® 110 19G0.75_x000D_
)</v>
          </cell>
          <cell r="B5369" t="str">
            <v>11191191(Ölflex® 110 19G0.75_x000D_
)</v>
          </cell>
          <cell r="C5369" t="str">
            <v>LAPP</v>
          </cell>
          <cell r="D5369" t="str">
            <v>Lapp-Non Moving Stocks</v>
          </cell>
        </row>
        <row r="5370">
          <cell r="A5370" t="str">
            <v>11192201_x000D_
 (Ölflex® 110 20G1_x000D_
)</v>
          </cell>
          <cell r="B5370" t="str">
            <v>11192201_x000D_
(Ölflex® 110 20G1_x000D_
)</v>
          </cell>
          <cell r="C5370" t="str">
            <v>LAPP</v>
          </cell>
          <cell r="D5370" t="str">
            <v>Lapp-Non Moving Stocks</v>
          </cell>
        </row>
        <row r="5371">
          <cell r="A5371" t="str">
            <v>11199521 (Ölflex® 110  2 x 2.5 mm²)</v>
          </cell>
          <cell r="B5371" t="str">
            <v>11199521(Ölflex® 110  2 x 2.5 mm²)</v>
          </cell>
          <cell r="C5371" t="str">
            <v>LAPP</v>
          </cell>
          <cell r="D5371" t="str">
            <v>Lapp-Non Moving Stocks</v>
          </cell>
        </row>
        <row r="5372">
          <cell r="A5372" t="str">
            <v>11195031 (Ölflex® 110  3 G 4.0 mm²)</v>
          </cell>
          <cell r="B5372" t="str">
            <v>11195031(Ölflex® 110  3 G 4.0 mm²)</v>
          </cell>
          <cell r="C5372" t="str">
            <v>LAPP</v>
          </cell>
          <cell r="D5372" t="str">
            <v>Lapp-Non Moving Stocks</v>
          </cell>
        </row>
        <row r="5373">
          <cell r="A5373" t="str">
            <v>11198541 (Ölflex® 110  - 4 x 1.0 mm²_x000D_
)</v>
          </cell>
          <cell r="B5373" t="str">
            <v>11198541(Ölflex® 110  - 4 x 1.0 mm²_x000D_
)</v>
          </cell>
          <cell r="C5373" t="str">
            <v>LAPP</v>
          </cell>
          <cell r="D5373" t="str">
            <v>Lapp-Non Moving Stocks</v>
          </cell>
        </row>
        <row r="5374">
          <cell r="A5374" t="str">
            <v>11199041 (Ölflex® 110  - 4 x 1.5 mm²)</v>
          </cell>
          <cell r="B5374" t="str">
            <v>11199041(Ölflex® 110  - 4 x 1.5 mm²)</v>
          </cell>
          <cell r="C5374" t="str">
            <v>LAPP</v>
          </cell>
          <cell r="D5374" t="str">
            <v>Lapp-Non Moving Stocks</v>
          </cell>
        </row>
        <row r="5375">
          <cell r="A5375" t="str">
            <v>11196151 (Ölflex® 110 5G10)</v>
          </cell>
          <cell r="B5375" t="str">
            <v>11196151(Ölflex® 110 5G10)</v>
          </cell>
          <cell r="C5375" t="str">
            <v>LAPP</v>
          </cell>
          <cell r="D5375" t="str">
            <v>Lapp-Non Moving Stocks</v>
          </cell>
        </row>
        <row r="5376">
          <cell r="A5376" t="str">
            <v>1119805 (Ölflex® 110  - 5 x 0.75 mm²_x000D_
)</v>
          </cell>
          <cell r="B5376" t="str">
            <v>1119805(Ölflex® 110  - 5 x 0.75 mm²_x000D_
)</v>
          </cell>
          <cell r="C5376" t="str">
            <v>LAPP</v>
          </cell>
          <cell r="D5376" t="str">
            <v>Lapp-Non Moving Stocks</v>
          </cell>
        </row>
        <row r="5377">
          <cell r="A5377" t="str">
            <v>11198551 (Ölflex® 110  - 5 x 1.0 mm²)</v>
          </cell>
          <cell r="B5377" t="str">
            <v>11198551(Ölflex® 110  - 5 x 1.0 mm²)</v>
          </cell>
          <cell r="C5377" t="str">
            <v>LAPP</v>
          </cell>
          <cell r="D5377" t="str">
            <v>Lapp-Non Moving Stocks</v>
          </cell>
        </row>
        <row r="5378">
          <cell r="A5378" t="str">
            <v>11199051 (Ölflex® 110  5 x 1.5 mm²)</v>
          </cell>
          <cell r="B5378" t="str">
            <v>11199051(Ölflex® 110  5 x 1.5 mm²)</v>
          </cell>
          <cell r="C5378" t="str">
            <v>LAPP</v>
          </cell>
          <cell r="D5378" t="str">
            <v>Lapp-Non Moving Stocks</v>
          </cell>
        </row>
        <row r="5379">
          <cell r="A5379" t="str">
            <v>11196171_x000D_
 (Ölflex® 110 7G10_x000D_
)</v>
          </cell>
          <cell r="B5379" t="str">
            <v>11196171_x000D_
(Ölflex® 110 7G10_x000D_
)</v>
          </cell>
          <cell r="C5379" t="str">
            <v>LAPP</v>
          </cell>
          <cell r="D5379" t="str">
            <v>Lapp-Non Moving Stocks</v>
          </cell>
        </row>
        <row r="5380">
          <cell r="A5380" t="str">
            <v>1119636 (Ölflex® 110. 7G25_x000D_
)</v>
          </cell>
          <cell r="B5380" t="str">
            <v>1119636(Ölflex® 110. 7G25_x000D_
)</v>
          </cell>
          <cell r="C5380" t="str">
            <v>LAPP</v>
          </cell>
          <cell r="D5380" t="str">
            <v>Lapp-Non Moving Stocks</v>
          </cell>
        </row>
        <row r="5381">
          <cell r="A5381" t="str">
            <v>11195071_x000D_
 (Ölflex® 110  7 G 4.0 Mm²_x000D_
)</v>
          </cell>
          <cell r="B5381" t="str">
            <v>11195071_x000D_
(Ölflex® 110  7 G 4.0 Mm²_x000D_
)</v>
          </cell>
          <cell r="C5381" t="str">
            <v>LAPP</v>
          </cell>
          <cell r="D5381" t="str">
            <v>Lapp-Non Moving Stocks</v>
          </cell>
        </row>
        <row r="5382">
          <cell r="A5382" t="str">
            <v>11196071 (Ölflex® 110  - 7 G 6.0 mm²)</v>
          </cell>
          <cell r="B5382" t="str">
            <v>11196071(Ölflex® 110  - 7 G 6.0 mm²)</v>
          </cell>
          <cell r="C5382" t="str">
            <v>LAPP</v>
          </cell>
          <cell r="D5382" t="str">
            <v>Lapp-Non Moving Stocks</v>
          </cell>
        </row>
        <row r="5383">
          <cell r="A5383" t="str">
            <v>11198071 (Ölflex® 110  - 7 x 0.75 mm²)</v>
          </cell>
          <cell r="B5383" t="str">
            <v>11198071(Ölflex® 110  - 7 x 0.75 mm²)</v>
          </cell>
          <cell r="C5383" t="str">
            <v>LAPP</v>
          </cell>
          <cell r="D5383" t="str">
            <v>Lapp-Non Moving Stocks</v>
          </cell>
        </row>
        <row r="5384">
          <cell r="A5384" t="str">
            <v>11198571 (Ölflex® 110  - 7 x 1.0 mm²)</v>
          </cell>
          <cell r="B5384" t="str">
            <v>11198571(Ölflex® 110  - 7 x 1.0 mm²)</v>
          </cell>
          <cell r="C5384" t="str">
            <v>LAPP</v>
          </cell>
          <cell r="D5384" t="str">
            <v>Lapp-Non Moving Stocks</v>
          </cell>
        </row>
        <row r="5385">
          <cell r="A5385" t="str">
            <v>11192081 (Ölflex® 110 8G1)</v>
          </cell>
          <cell r="B5385" t="str">
            <v>11192081(Ölflex® 110 8G1)</v>
          </cell>
          <cell r="C5385" t="str">
            <v>LAPP</v>
          </cell>
          <cell r="D5385" t="str">
            <v>Lapp-Non Moving Stocks</v>
          </cell>
        </row>
        <row r="5386">
          <cell r="A5386" t="str">
            <v>11193081_x000D_
 (Ölflex® 110 8G1.5_x000D_
)</v>
          </cell>
          <cell r="B5386" t="str">
            <v>11193081_x000D_
(Ölflex® 110 8G1.5_x000D_
)</v>
          </cell>
          <cell r="C5386" t="str">
            <v>LAPP</v>
          </cell>
          <cell r="D5386" t="str">
            <v>Lapp-Non Moving Stocks</v>
          </cell>
        </row>
        <row r="5387">
          <cell r="A5387" t="str">
            <v>11191091 (Ölflex® 110 9G0.75)</v>
          </cell>
          <cell r="B5387" t="str">
            <v>11191091(Ölflex® 110 9G0.75)</v>
          </cell>
          <cell r="C5387" t="str">
            <v>LAPP</v>
          </cell>
          <cell r="D5387" t="str">
            <v>Lapp-Non Moving Stocks</v>
          </cell>
        </row>
        <row r="5388">
          <cell r="A5388" t="str">
            <v>1119209 (Ölflex® 110 9G1)</v>
          </cell>
          <cell r="B5388" t="str">
            <v>1119209(Ölflex® 110 9G1)</v>
          </cell>
          <cell r="C5388" t="str">
            <v>LAPP</v>
          </cell>
          <cell r="D5388" t="str">
            <v>Lapp-Non Moving Stocks</v>
          </cell>
        </row>
        <row r="5389">
          <cell r="A5389" t="str">
            <v>1119241 (ÖLFLEX® CLASSIC 110 41G1)</v>
          </cell>
          <cell r="B5389" t="str">
            <v>1119241(ÖLFLEX® CLASSIC 110 41G1)</v>
          </cell>
          <cell r="C5389" t="str">
            <v>LAPP</v>
          </cell>
          <cell r="D5389" t="str">
            <v>Lapp-Non Moving Stocks</v>
          </cell>
        </row>
        <row r="5390">
          <cell r="A5390" t="str">
            <v>1119361 (ÖLFLEX® CLASSIC 110 61G1,5)</v>
          </cell>
          <cell r="B5390" t="str">
            <v>1119361(ÖLFLEX® CLASSIC 110 61G1,5)</v>
          </cell>
          <cell r="C5390" t="str">
            <v>LAPP</v>
          </cell>
          <cell r="D5390" t="str">
            <v>Lapp-Non Moving Stocks</v>
          </cell>
        </row>
        <row r="5391">
          <cell r="A5391" t="str">
            <v>10035030 (ÖLFLEX® CLASSIC 110 CH 2X0,5 N)</v>
          </cell>
          <cell r="B5391" t="str">
            <v>10035030(ÖLFLEX® CLASSIC 110 CH 2X0,5 N)</v>
          </cell>
          <cell r="C5391" t="str">
            <v>LAPP</v>
          </cell>
          <cell r="D5391" t="str">
            <v>Lapp-Non Moving Stocks</v>
          </cell>
        </row>
        <row r="5392">
          <cell r="A5392" t="str">
            <v>10035071 (ÖLFLEX® CLASSIC 110 CH 5G1,5 N)</v>
          </cell>
          <cell r="B5392" t="str">
            <v>10035071(ÖLFLEX® CLASSIC 110 CH 5G1,5 N)</v>
          </cell>
          <cell r="C5392" t="str">
            <v>LAPP</v>
          </cell>
          <cell r="D5392" t="str">
            <v>Lapp-Non Moving Stocks</v>
          </cell>
        </row>
        <row r="5393">
          <cell r="A5393" t="str">
            <v>382130305 (ÖLFLEX® CONTROL 110 LC FR-LSH 3 X 1.5 1100 V GY_x000D_
)</v>
          </cell>
          <cell r="B5393" t="str">
            <v>382130305(ÖLFLEX® CONTROL 110 LC FR-LSH 3 X 1.5 1100 V GY_x000D_
)</v>
          </cell>
          <cell r="C5393" t="str">
            <v>LAPP</v>
          </cell>
          <cell r="D5393" t="str">
            <v>Lapp-Non Moving Stocks</v>
          </cell>
        </row>
        <row r="5394">
          <cell r="A5394" t="str">
            <v>382130405 (ÖLFLEX® CONTROL 110 LC FR-LSH 4 X 1.5 1100 V GY)</v>
          </cell>
          <cell r="B5394" t="str">
            <v>382130405(ÖLFLEX® CONTROL 110 LC FR-LSH 4 X 1.5 1100 V GY)</v>
          </cell>
          <cell r="C5394" t="str">
            <v>LAPP</v>
          </cell>
          <cell r="D5394" t="str">
            <v>Lapp-Non Moving Stocks</v>
          </cell>
        </row>
        <row r="5395">
          <cell r="A5395" t="str">
            <v>1119020 (ÖLFLEX CLASSIC 110 3G1,5 BK)</v>
          </cell>
          <cell r="B5395" t="str">
            <v>1119020(ÖLFLEX CLASSIC 110 3G1,5 BK)</v>
          </cell>
          <cell r="C5395" t="str">
            <v>LAPP</v>
          </cell>
          <cell r="D5395" t="str">
            <v>Lapp-Non Moving Stocks</v>
          </cell>
        </row>
        <row r="5396">
          <cell r="A5396" t="str">
            <v>1119899 (ÖLFLEX CLASSIC 110 3X1,5 BK)</v>
          </cell>
          <cell r="B5396" t="str">
            <v>1119899(ÖLFLEX CLASSIC 110 3X1,5 BK)</v>
          </cell>
          <cell r="C5396" t="str">
            <v>LAPP</v>
          </cell>
          <cell r="D5396" t="str">
            <v>Lapp-Non Moving Stocks</v>
          </cell>
        </row>
        <row r="5397">
          <cell r="A5397" t="str">
            <v>1119886 (ÖLFLEX CLASSIC 110 4G2,5 BK)</v>
          </cell>
          <cell r="B5397" t="str">
            <v>1119886(ÖLFLEX CLASSIC 110 4G2,5 BK)</v>
          </cell>
          <cell r="C5397" t="str">
            <v>LAPP</v>
          </cell>
          <cell r="D5397" t="str">
            <v>Lapp-Non Moving Stocks</v>
          </cell>
        </row>
        <row r="5398">
          <cell r="A5398" t="str">
            <v>1119897 (ÖLFLEX CLASSIC 110 5X1 BK)</v>
          </cell>
          <cell r="B5398" t="str">
            <v>1119897(ÖLFLEX CLASSIC 110 5X1 BK)</v>
          </cell>
          <cell r="C5398" t="str">
            <v>LAPP</v>
          </cell>
          <cell r="D5398" t="str">
            <v>Lapp-Non Moving Stocks</v>
          </cell>
        </row>
        <row r="5399">
          <cell r="A5399" t="str">
            <v>1119874 (ÖLFLEX CLASSIC 110 7G0,75 BK)</v>
          </cell>
          <cell r="B5399" t="str">
            <v>1119874(ÖLFLEX CLASSIC 110 7G0,75 BK)</v>
          </cell>
          <cell r="C5399" t="str">
            <v>LAPP</v>
          </cell>
          <cell r="D5399" t="str">
            <v>Lapp-Non Moving Stocks</v>
          </cell>
        </row>
        <row r="5400">
          <cell r="A5400" t="str">
            <v>1119881 (ÖLFLEX CLASSIC 110 7G1,5 BK_x000D_
)</v>
          </cell>
          <cell r="B5400" t="str">
            <v>1119881(ÖLFLEX CLASSIC 110 7G1,5 BK_x000D_
)</v>
          </cell>
          <cell r="C5400" t="str">
            <v>LAPP</v>
          </cell>
          <cell r="D5400" t="str">
            <v>Lapp-Non Moving Stocks</v>
          </cell>
        </row>
        <row r="5401">
          <cell r="A5401" t="str">
            <v>1120339 (ÖLFLEX CLASSIC 110 Black 0,6/1kV 2X2,5_x000D_
)</v>
          </cell>
          <cell r="B5401" t="str">
            <v>1120339(ÖLFLEX CLASSIC 110 Black 0,6/1kV 2X2,5_x000D_
)</v>
          </cell>
          <cell r="C5401" t="str">
            <v>LAPP</v>
          </cell>
          <cell r="D5401" t="str">
            <v>Lapp-Non Moving Stocks</v>
          </cell>
        </row>
        <row r="5402">
          <cell r="A5402" t="str">
            <v>1120267 (ÖLFLEX CLASSIC 110 Black 0,6/1kV 3G1)</v>
          </cell>
          <cell r="B5402" t="str">
            <v>1120267(ÖLFLEX CLASSIC 110 Black 0,6/1kV 3G1)</v>
          </cell>
          <cell r="C5402" t="str">
            <v>LAPP</v>
          </cell>
          <cell r="D5402" t="str">
            <v>Lapp-Non Moving Stocks</v>
          </cell>
        </row>
        <row r="5403">
          <cell r="A5403" t="str">
            <v>1120269 (ÖLFLEX CLASSIC 110 Black 0,6/1kV 4G1)</v>
          </cell>
          <cell r="B5403" t="str">
            <v>1120269(ÖLFLEX CLASSIC 110 Black 0,6/1kV 4G1)</v>
          </cell>
          <cell r="C5403" t="str">
            <v>LAPP</v>
          </cell>
          <cell r="D5403" t="str">
            <v>Lapp-Non Moving Stocks</v>
          </cell>
        </row>
        <row r="5404">
          <cell r="A5404" t="str">
            <v>1120370 (ÖLFLEX CLASSIC 110 Black 0,6/1kV 4G10_x000D_
)</v>
          </cell>
          <cell r="B5404" t="str">
            <v>1120370(ÖLFLEX CLASSIC 110 Black 0,6/1kV 4G10_x000D_
)</v>
          </cell>
          <cell r="C5404" t="str">
            <v>LAPP</v>
          </cell>
          <cell r="D5404" t="str">
            <v>Lapp-Non Moving Stocks</v>
          </cell>
        </row>
        <row r="5405">
          <cell r="A5405" t="str">
            <v>1120390 (ÖLFLEX CLASSIC 110 Black 0,6/1kV 4G120)</v>
          </cell>
          <cell r="B5405" t="str">
            <v>1120390(ÖLFLEX CLASSIC 110 Black 0,6/1kV 4G120)</v>
          </cell>
          <cell r="C5405" t="str">
            <v>LAPP</v>
          </cell>
          <cell r="D5405" t="str">
            <v>Lapp-Non Moving Stocks</v>
          </cell>
        </row>
        <row r="5406">
          <cell r="A5406" t="str">
            <v>1120374 (ÖLFLEX CLASSIC 110 Black 0,6/1kV 4G16_x000D_
)</v>
          </cell>
          <cell r="B5406" t="str">
            <v>1120374(ÖLFLEX CLASSIC 110 Black 0,6/1kV 4G16_x000D_
)</v>
          </cell>
          <cell r="C5406" t="str">
            <v>LAPP</v>
          </cell>
          <cell r="D5406" t="str">
            <v>Lapp-Non Moving Stocks</v>
          </cell>
        </row>
        <row r="5407">
          <cell r="A5407" t="str">
            <v>1120342 (ÖLFLEX CLASSIC 110 Black 0,6/1kV 4G2,5_x000D_
)</v>
          </cell>
          <cell r="B5407" t="str">
            <v>1120342(ÖLFLEX CLASSIC 110 Black 0,6/1kV 4G2,5_x000D_
)</v>
          </cell>
          <cell r="C5407" t="str">
            <v>LAPP</v>
          </cell>
          <cell r="D5407" t="str">
            <v>Lapp-Non Moving Stocks</v>
          </cell>
        </row>
        <row r="5408">
          <cell r="A5408" t="str">
            <v>1120385 (ÖLFLEX CLASSIC 110 Black 0,6/1kV 4G50)</v>
          </cell>
          <cell r="B5408" t="str">
            <v>1120385(ÖLFLEX CLASSIC 110 Black 0,6/1kV 4G50)</v>
          </cell>
          <cell r="C5408" t="str">
            <v>LAPP</v>
          </cell>
          <cell r="D5408" t="str">
            <v>Lapp-Non Moving Stocks</v>
          </cell>
        </row>
        <row r="5409">
          <cell r="A5409" t="str">
            <v>1120343 (ÖLFLEX CLASSIC 110 Black 0,6/1kV 4X2,5_x000D_
)</v>
          </cell>
          <cell r="B5409" t="str">
            <v>1120343(ÖLFLEX CLASSIC 110 Black 0,6/1kV 4X2,5_x000D_
)</v>
          </cell>
          <cell r="C5409" t="str">
            <v>LAPP</v>
          </cell>
          <cell r="D5409" t="str">
            <v>Lapp-Non Moving Stocks</v>
          </cell>
        </row>
        <row r="5410">
          <cell r="A5410" t="str">
            <v>1120271 (ÖLFLEX CLASSIC 110 Black 0,6/1kV 5G1)</v>
          </cell>
          <cell r="B5410" t="str">
            <v>1120271(ÖLFLEX CLASSIC 110 Black 0,6/1kV 5G1)</v>
          </cell>
          <cell r="C5410" t="str">
            <v>LAPP</v>
          </cell>
          <cell r="D5410" t="str">
            <v>Lapp-Non Moving Stocks</v>
          </cell>
        </row>
        <row r="5411">
          <cell r="A5411" t="str">
            <v>1120371 (ÖLFLEX CLASSIC 110 Black 0,6/1kV 5G10)</v>
          </cell>
          <cell r="B5411" t="str">
            <v>1120371(ÖLFLEX CLASSIC 110 Black 0,6/1kV 5G10)</v>
          </cell>
          <cell r="C5411" t="str">
            <v>LAPP</v>
          </cell>
          <cell r="D5411" t="str">
            <v>Lapp-Non Moving Stocks</v>
          </cell>
        </row>
        <row r="5412">
          <cell r="A5412" t="str">
            <v>1120311 (ÖLFLEX CLASSIC 110 Black 0,6/1kV 5G1,5)</v>
          </cell>
          <cell r="B5412" t="str">
            <v>1120311(ÖLFLEX CLASSIC 110 Black 0,6/1kV 5G1,5)</v>
          </cell>
          <cell r="C5412" t="str">
            <v>LAPP</v>
          </cell>
          <cell r="D5412" t="str">
            <v>Lapp-Non Moving Stocks</v>
          </cell>
        </row>
        <row r="5413">
          <cell r="A5413" t="str">
            <v>1120344 (ÖLFLEX CLASSIC 110 Black 0,6/1kV 5G2,5)</v>
          </cell>
          <cell r="B5413" t="str">
            <v>1120344(ÖLFLEX CLASSIC 110 Black 0,6/1kV 5G2,5)</v>
          </cell>
          <cell r="C5413" t="str">
            <v>LAPP</v>
          </cell>
          <cell r="D5413" t="str">
            <v>Lapp-Non Moving Stocks</v>
          </cell>
        </row>
        <row r="5414">
          <cell r="A5414" t="str">
            <v>1120274_x000D_
 (ÖLFLEX CLASSIC 110 Black 0,6/1kV 7G1_x000D_
)</v>
          </cell>
          <cell r="B5414" t="str">
            <v>1120274_x000D_
(ÖLFLEX CLASSIC 110 Black 0,6/1kV 7G1_x000D_
)</v>
          </cell>
          <cell r="C5414" t="str">
            <v>LAPP</v>
          </cell>
          <cell r="D5414" t="str">
            <v>Lapp-Non Moving Stocks</v>
          </cell>
        </row>
        <row r="5415">
          <cell r="A5415" t="str">
            <v>1120314_x000D_
 (ÖLFLEX CLASSIC 110 Black 0,6/1kV 7G1,5_x000D_
)</v>
          </cell>
          <cell r="B5415" t="str">
            <v>1120314_x000D_
(ÖLFLEX CLASSIC 110 Black 0,6/1kV 7G1,5_x000D_
)</v>
          </cell>
          <cell r="C5415" t="str">
            <v>LAPP</v>
          </cell>
          <cell r="D5415" t="str">
            <v>Lapp-Non Moving Stocks</v>
          </cell>
        </row>
        <row r="5416">
          <cell r="A5416" t="str">
            <v>1120346 (ÖLFLEX CLASSIC 110 Black 0,6/1kV 7G2,5_x000D_
)</v>
          </cell>
          <cell r="B5416" t="str">
            <v>1120346(ÖLFLEX CLASSIC 110 Black 0,6/1kV 7G2,5_x000D_
)</v>
          </cell>
          <cell r="C5416" t="str">
            <v>LAPP</v>
          </cell>
          <cell r="D5416" t="str">
            <v>Lapp-Non Moving Stocks</v>
          </cell>
        </row>
        <row r="5417">
          <cell r="A5417" t="str">
            <v>1119892 (ÖLFLEX® CLASSIC 110 3X0,75 BK)</v>
          </cell>
          <cell r="B5417" t="str">
            <v>1119892(ÖLFLEX® CLASSIC 110 3X0,75 BK)</v>
          </cell>
          <cell r="C5417" t="str">
            <v>LAPP</v>
          </cell>
          <cell r="D5417" t="str">
            <v>Lapp-Non Moving Stocks</v>
          </cell>
        </row>
        <row r="5418">
          <cell r="A5418" t="str">
            <v>1120360 (ÖLFLEX® CLASSIC 110 Black 0,6/1kV 4G4)</v>
          </cell>
          <cell r="B5418" t="str">
            <v>1120360(ÖLFLEX® CLASSIC 110 Black 0,6/1kV 4G4)</v>
          </cell>
          <cell r="C5418" t="str">
            <v>LAPP</v>
          </cell>
          <cell r="D5418" t="str">
            <v>Lapp-Non Moving Stocks</v>
          </cell>
        </row>
        <row r="5419">
          <cell r="A5419" t="str">
            <v>1119670 (ÖLFLEX CLASSIC 110 COLD 18G0,75_x000D_
)</v>
          </cell>
          <cell r="B5419" t="str">
            <v>1119670(ÖLFLEX CLASSIC 110 COLD 18G0,75_x000D_
)</v>
          </cell>
          <cell r="C5419" t="str">
            <v>LAPP</v>
          </cell>
          <cell r="D5419" t="str">
            <v>Lapp-Non Moving Stocks</v>
          </cell>
        </row>
        <row r="5420">
          <cell r="A5420" t="str">
            <v>1135112_x000D_
 ("ÖLFLEX CLASSIC 110 CY 12G0,75"_x000D_
)</v>
          </cell>
          <cell r="B5420" t="str">
            <v>1135112_x000D_
("ÖLFLEX CLASSIC 110 CY 12G0,75"_x000D_
)</v>
          </cell>
          <cell r="C5420" t="str">
            <v>LAPP</v>
          </cell>
          <cell r="D5420" t="str">
            <v>Lapp-Non Moving Stocks</v>
          </cell>
        </row>
        <row r="5421">
          <cell r="A5421" t="str">
            <v>1135402_x000D_
 ("ÖLFLEX CLASSIC 110 CY 2X2,5"_x000D_
)</v>
          </cell>
          <cell r="B5421" t="str">
            <v>1135402_x000D_
("ÖLFLEX CLASSIC 110 CY 2X2,5"_x000D_
)</v>
          </cell>
          <cell r="C5421" t="str">
            <v>LAPP</v>
          </cell>
          <cell r="D5421" t="str">
            <v>Lapp-Non Moving Stocks</v>
          </cell>
        </row>
        <row r="5422">
          <cell r="A5422" t="str">
            <v>1135216 (Olflex 110CY 16G1)</v>
          </cell>
          <cell r="B5422" t="str">
            <v>1135216(Olflex 110CY 16G1)</v>
          </cell>
          <cell r="C5422" t="str">
            <v>LAPP</v>
          </cell>
          <cell r="D5422" t="str">
            <v>Lapp-Non Moving Stocks</v>
          </cell>
        </row>
        <row r="5423">
          <cell r="A5423" t="str">
            <v>1135603 (OLFLEX 110 CY 3G6)</v>
          </cell>
          <cell r="B5423" t="str">
            <v>1135603(OLFLEX 110 CY 3G6)</v>
          </cell>
          <cell r="C5423" t="str">
            <v>LAPP</v>
          </cell>
          <cell r="D5423" t="str">
            <v>Lapp-Non Moving Stocks</v>
          </cell>
        </row>
        <row r="5424">
          <cell r="A5424" t="str">
            <v>1135802 (ÖLFLEX 110 CY 2X0.75)</v>
          </cell>
          <cell r="B5424" t="str">
            <v>1135802(ÖLFLEX 110 CY 2X0.75)</v>
          </cell>
          <cell r="C5424" t="str">
            <v>LAPP</v>
          </cell>
          <cell r="D5424" t="str">
            <v>Lapp-Non Moving Stocks</v>
          </cell>
        </row>
        <row r="5425">
          <cell r="A5425" t="str">
            <v>1135212 (ÖLFLEX CLASSIC 110 CY 12G1_x000D_
)</v>
          </cell>
          <cell r="B5425" t="str">
            <v>1135212(ÖLFLEX CLASSIC 110 CY 12G1_x000D_
)</v>
          </cell>
          <cell r="C5425" t="str">
            <v>LAPP</v>
          </cell>
          <cell r="D5425" t="str">
            <v>Lapp-Non Moving Stocks</v>
          </cell>
        </row>
        <row r="5426">
          <cell r="A5426" t="str">
            <v>1135412 (ÖLFLEX CLASSIC 110 CY 12G2,5_x000D_
)</v>
          </cell>
          <cell r="B5426" t="str">
            <v>1135412(ÖLFLEX CLASSIC 110 CY 12G2,5_x000D_
)</v>
          </cell>
          <cell r="C5426" t="str">
            <v>LAPP</v>
          </cell>
          <cell r="D5426" t="str">
            <v>Lapp-Non Moving Stocks</v>
          </cell>
        </row>
        <row r="5427">
          <cell r="A5427" t="str">
            <v>1135018_x000D_
 (ÖLFLEX CLASSIC 110 CY 18G0,5)</v>
          </cell>
          <cell r="B5427" t="str">
            <v>1135018_x000D_
(ÖLFLEX CLASSIC 110 CY 18G0,5)</v>
          </cell>
          <cell r="C5427" t="str">
            <v>LAPP</v>
          </cell>
          <cell r="D5427" t="str">
            <v>Lapp-Non Moving Stocks</v>
          </cell>
        </row>
        <row r="5428">
          <cell r="A5428" t="str">
            <v>1135118 (ÖLFLEX CLASSIC 110 CY 18G0,75_x000D_
)</v>
          </cell>
          <cell r="B5428" t="str">
            <v>1135118(ÖLFLEX CLASSIC 110 CY 18G0,75_x000D_
)</v>
          </cell>
          <cell r="C5428" t="str">
            <v>LAPP</v>
          </cell>
          <cell r="D5428" t="str">
            <v>Lapp-Non Moving Stocks</v>
          </cell>
        </row>
        <row r="5429">
          <cell r="A5429" t="str">
            <v>1135218 (ÖLFLEX CLASSIC 110 CY 18G1_x000D_
)</v>
          </cell>
          <cell r="B5429" t="str">
            <v>1135218(ÖLFLEX CLASSIC 110 CY 18G1_x000D_
)</v>
          </cell>
          <cell r="C5429" t="str">
            <v>LAPP</v>
          </cell>
          <cell r="D5429" t="str">
            <v>Lapp-Non Moving Stocks</v>
          </cell>
        </row>
        <row r="5430">
          <cell r="A5430" t="str">
            <v>1135125 (ÖLFLEX CLASSIC 110 CY 25G0,75_x000D_
)</v>
          </cell>
          <cell r="B5430" t="str">
            <v>1135125(ÖLFLEX CLASSIC 110 CY 25G0,75_x000D_
)</v>
          </cell>
          <cell r="C5430" t="str">
            <v>LAPP</v>
          </cell>
          <cell r="D5430" t="str">
            <v>Lapp-Non Moving Stocks</v>
          </cell>
        </row>
        <row r="5431">
          <cell r="A5431" t="str">
            <v>1135225 (ÖLFLEX CLASSIC 110 CY 25G1_x000D_
)</v>
          </cell>
          <cell r="B5431" t="str">
            <v>1135225(ÖLFLEX CLASSIC 110 CY 25G1_x000D_
)</v>
          </cell>
          <cell r="C5431" t="str">
            <v>LAPP</v>
          </cell>
          <cell r="D5431" t="str">
            <v>Lapp-Non Moving Stocks</v>
          </cell>
        </row>
        <row r="5432">
          <cell r="A5432" t="str">
            <v>11359021 (ÖLFLEX CLASSIC 110 CY 2X1,5_x000D_
)</v>
          </cell>
          <cell r="B5432" t="str">
            <v>11359021(ÖLFLEX CLASSIC 110 CY 2X1,5_x000D_
)</v>
          </cell>
          <cell r="C5432" t="str">
            <v>LAPP</v>
          </cell>
          <cell r="D5432" t="str">
            <v>Lapp-Non Moving Stocks</v>
          </cell>
        </row>
        <row r="5433">
          <cell r="A5433" t="str">
            <v>1135502 (ÖLFLEX CLASSIC 110 CY 2X4_x000D_
)</v>
          </cell>
          <cell r="B5433" t="str">
            <v>1135502(ÖLFLEX CLASSIC 110 CY 2X4_x000D_
)</v>
          </cell>
          <cell r="C5433" t="str">
            <v>LAPP</v>
          </cell>
          <cell r="D5433" t="str">
            <v>Lapp-Non Moving Stocks</v>
          </cell>
        </row>
        <row r="5434">
          <cell r="A5434" t="str">
            <v>1135602 (ÖLFLEX CLASSIC 110 CY 2X6_x000D_
)</v>
          </cell>
          <cell r="B5434" t="str">
            <v>1135602(ÖLFLEX CLASSIC 110 CY 2X6_x000D_
)</v>
          </cell>
          <cell r="C5434" t="str">
            <v>LAPP</v>
          </cell>
          <cell r="D5434" t="str">
            <v>Lapp-Non Moving Stocks</v>
          </cell>
        </row>
        <row r="5435">
          <cell r="A5435" t="str">
            <v>1135030 (ÖLFLEX CLASSIC 110 CY 30G0,5_x000D_
)</v>
          </cell>
          <cell r="B5435" t="str">
            <v>1135030(ÖLFLEX CLASSIC 110 CY 30G0,5_x000D_
)</v>
          </cell>
          <cell r="C5435" t="str">
            <v>LAPP</v>
          </cell>
          <cell r="D5435" t="str">
            <v>Lapp-Non Moving Stocks</v>
          </cell>
        </row>
        <row r="5436">
          <cell r="A5436" t="str">
            <v>1135334 (ÖLFLEX CLASSIC 110 CY 34G1,5)</v>
          </cell>
          <cell r="B5436" t="str">
            <v>1135334(ÖLFLEX CLASSIC 110 CY 34G1,5)</v>
          </cell>
          <cell r="C5436" t="str">
            <v>LAPP</v>
          </cell>
          <cell r="D5436" t="str">
            <v>Lapp-Non Moving Stocks</v>
          </cell>
        </row>
        <row r="5437">
          <cell r="A5437" t="str">
            <v>1135753 (ÖLFLEX CLASSIC 110 CY 3X0,5_x000D_
)</v>
          </cell>
          <cell r="B5437" t="str">
            <v>1135753(ÖLFLEX CLASSIC 110 CY 3X0,5_x000D_
)</v>
          </cell>
          <cell r="C5437" t="str">
            <v>LAPP</v>
          </cell>
          <cell r="D5437" t="str">
            <v>Lapp-Non Moving Stocks</v>
          </cell>
        </row>
        <row r="5438">
          <cell r="A5438" t="str">
            <v>1135141 (ÖLFLEX CLASSIC 110 CY 41G0,75_x000D_
)</v>
          </cell>
          <cell r="B5438" t="str">
            <v>1135141(ÖLFLEX CLASSIC 110 CY 41G0,75_x000D_
)</v>
          </cell>
          <cell r="C5438" t="str">
            <v>LAPP</v>
          </cell>
          <cell r="D5438" t="str">
            <v>Lapp-Non Moving Stocks</v>
          </cell>
        </row>
        <row r="5439">
          <cell r="A5439" t="str">
            <v>1135614 (ÖLFLEX CLASSIC 110 CY 4G10)</v>
          </cell>
          <cell r="B5439" t="str">
            <v>1135614(ÖLFLEX CLASSIC 110 CY 4G10)</v>
          </cell>
          <cell r="C5439" t="str">
            <v>LAPP</v>
          </cell>
          <cell r="D5439" t="str">
            <v>Lapp-Non Moving Stocks</v>
          </cell>
        </row>
        <row r="5440">
          <cell r="A5440" t="str">
            <v>1135624_x000D_
 (ÖLFLEX CLASSIC 110 CY 4G16_x000D_
)</v>
          </cell>
          <cell r="B5440" t="str">
            <v>1135624 (ÖLFLEX CLASSIC 110 CY 4G16 )</v>
          </cell>
          <cell r="C5440" t="str">
            <v>LAPP</v>
          </cell>
          <cell r="D5440" t="str">
            <v>Lapp-Non Moving Stocks</v>
          </cell>
        </row>
        <row r="5441">
          <cell r="A5441" t="str">
            <v>1135626_x000D_
 (ÖLFLEX CLASSIC 110 CY 4G25_x000D_
)</v>
          </cell>
          <cell r="B5441" t="str">
            <v>1135626_x000D_
(ÖLFLEX CLASSIC 110 CY 4G25_x000D_
)</v>
          </cell>
          <cell r="C5441" t="str">
            <v>LAPP</v>
          </cell>
          <cell r="D5441" t="str">
            <v>Lapp-Non Moving Stocks</v>
          </cell>
        </row>
        <row r="5442">
          <cell r="A5442" t="str">
            <v>1135625 (ÖLFLEX CLASSIC 110 CY 4G35_x000D_
)</v>
          </cell>
          <cell r="B5442" t="str">
            <v>1135625(ÖLFLEX CLASSIC 110 CY 4G35_x000D_
)</v>
          </cell>
          <cell r="C5442" t="str">
            <v>LAPP</v>
          </cell>
          <cell r="D5442" t="str">
            <v>Lapp-Non Moving Stocks</v>
          </cell>
        </row>
        <row r="5443">
          <cell r="A5443" t="str">
            <v>1135754 (ÖLFLEX CLASSIC 110 CY 4X0,5_x000D_
)</v>
          </cell>
          <cell r="B5443" t="str">
            <v>1135754(ÖLFLEX CLASSIC 110 CY 4X0,5_x000D_
)</v>
          </cell>
          <cell r="C5443" t="str">
            <v>LAPP</v>
          </cell>
          <cell r="D5443" t="str">
            <v>Lapp-Non Moving Stocks</v>
          </cell>
        </row>
        <row r="5444">
          <cell r="A5444" t="str">
            <v>1135804 (ÖLFLEX CLASSIC 110 CY 4X0,75_x000D_
)</v>
          </cell>
          <cell r="B5444" t="str">
            <v>1135804(ÖLFLEX CLASSIC 110 CY 4X0,75_x000D_
)</v>
          </cell>
          <cell r="C5444" t="str">
            <v>LAPP</v>
          </cell>
          <cell r="D5444" t="str">
            <v>Lapp-Non Moving Stocks</v>
          </cell>
        </row>
        <row r="5445">
          <cell r="A5445" t="str">
            <v>1135005 (ÖLFLEX CLASSIC 110 CY 5G0,5_x000D_
)</v>
          </cell>
          <cell r="B5445" t="str">
            <v>1135005(ÖLFLEX CLASSIC 110 CY 5G0,5_x000D_
)</v>
          </cell>
          <cell r="C5445" t="str">
            <v>LAPP</v>
          </cell>
          <cell r="D5445" t="str">
            <v>Lapp-Non Moving Stocks</v>
          </cell>
        </row>
        <row r="5446">
          <cell r="A5446" t="str">
            <v>1135105 (ÖLFLEX CLASSIC 110 CY 5G0,75_x000D_
)</v>
          </cell>
          <cell r="B5446" t="str">
            <v>1135105(ÖLFLEX CLASSIC 110 CY 5G0,75_x000D_
)</v>
          </cell>
          <cell r="C5446" t="str">
            <v>LAPP</v>
          </cell>
          <cell r="D5446" t="str">
            <v>Lapp-Non Moving Stocks</v>
          </cell>
        </row>
        <row r="5447">
          <cell r="A5447" t="str">
            <v>1135405 (ÖLFLEX CLASSIC 110 CY 5G2,5_x000D_
)</v>
          </cell>
          <cell r="B5447" t="str">
            <v>1135405(ÖLFLEX CLASSIC 110 CY 5G2,5_x000D_
)</v>
          </cell>
          <cell r="C5447" t="str">
            <v>LAPP</v>
          </cell>
          <cell r="D5447" t="str">
            <v>Lapp-Non Moving Stocks</v>
          </cell>
        </row>
        <row r="5448">
          <cell r="A5448" t="str">
            <v>1135505 (ÖLFLEX CLASSIC 110 CY 5G4_x000D_
)</v>
          </cell>
          <cell r="B5448" t="str">
            <v>1135505(ÖLFLEX CLASSIC 110 CY 5G4_x000D_
)</v>
          </cell>
          <cell r="C5448" t="str">
            <v>LAPP</v>
          </cell>
          <cell r="D5448" t="str">
            <v>Lapp-Non Moving Stocks</v>
          </cell>
        </row>
        <row r="5449">
          <cell r="A5449" t="str">
            <v>1135605 (ÖLFLEX CLASSIC 110 CY 5G6_x000D_
)</v>
          </cell>
          <cell r="B5449" t="str">
            <v>1135605(ÖLFLEX CLASSIC 110 CY 5G6_x000D_
)</v>
          </cell>
          <cell r="C5449" t="str">
            <v>LAPP</v>
          </cell>
          <cell r="D5449" t="str">
            <v>Lapp-Non Moving Stocks</v>
          </cell>
        </row>
        <row r="5450">
          <cell r="A5450" t="str">
            <v>11352071 (ÖLFLEX CLASSIC 110 CY 7G1_x000D_
)</v>
          </cell>
          <cell r="B5450" t="str">
            <v>11352071(ÖLFLEX CLASSIC 110 CY 7G1_x000D_
)</v>
          </cell>
          <cell r="C5450" t="str">
            <v>LAPP</v>
          </cell>
          <cell r="D5450" t="str">
            <v>Lapp-Non Moving Stocks</v>
          </cell>
        </row>
        <row r="5451">
          <cell r="A5451" t="str">
            <v>1135307_x000D_
 (ÖLFLEX CLASSIC 110 CY 7G1,5_x000D_
)</v>
          </cell>
          <cell r="B5451" t="str">
            <v>1135307_x000D_
(ÖLFLEX CLASSIC 110 CY 7G1,5_x000D_
)</v>
          </cell>
          <cell r="C5451" t="str">
            <v>LAPP</v>
          </cell>
          <cell r="D5451" t="str">
            <v>Lapp-Non Moving Stocks</v>
          </cell>
        </row>
        <row r="5452">
          <cell r="A5452" t="str">
            <v>1135407 (ÖLFLEX CLASSIC 110 CY 7G2,5_x000D_
)</v>
          </cell>
          <cell r="B5452" t="str">
            <v>1135407(ÖLFLEX CLASSIC 110 CY 7G2,5_x000D_
)</v>
          </cell>
          <cell r="C5452" t="str">
            <v>LAPP</v>
          </cell>
          <cell r="D5452" t="str">
            <v>Lapp-Non Moving Stocks</v>
          </cell>
        </row>
        <row r="5453">
          <cell r="A5453" t="str">
            <v>1135757 (ÖLFLEX CLASSIC 110 CY 7X0,5_x000D_
)</v>
          </cell>
          <cell r="B5453" t="str">
            <v>1135757(ÖLFLEX CLASSIC 110 CY 7X0,5_x000D_
)</v>
          </cell>
          <cell r="C5453" t="str">
            <v>LAPP</v>
          </cell>
          <cell r="D5453" t="str">
            <v>Lapp-Non Moving Stocks</v>
          </cell>
        </row>
        <row r="5454">
          <cell r="A5454" t="str">
            <v>1121280 (ÖLFLEX CLASSIC 110 CY BK 0,6/1kV 12G1)</v>
          </cell>
          <cell r="B5454" t="str">
            <v>1121280(ÖLFLEX CLASSIC 110 CY BK 0,6/1kV 12G1)</v>
          </cell>
          <cell r="C5454" t="str">
            <v>LAPP</v>
          </cell>
          <cell r="D5454" t="str">
            <v>Lapp-Non Moving Stocks</v>
          </cell>
        </row>
        <row r="5455">
          <cell r="A5455" t="str">
            <v>1121274 (ÖLFLEX CLASSIC110 CY BK 0,6/1kV 7G1_x000D_
)</v>
          </cell>
          <cell r="B5455" t="str">
            <v>1121274(ÖLFLEX CLASSIC110 CY BK 0,6/1kV 7G1_x000D_
)</v>
          </cell>
          <cell r="C5455" t="str">
            <v>LAPP</v>
          </cell>
          <cell r="D5455" t="str">
            <v>Lapp-Non Moving Stocks</v>
          </cell>
        </row>
        <row r="5456">
          <cell r="A5456" t="str">
            <v>11350121 (Ölflex® 110 CY 12G0.5)</v>
          </cell>
          <cell r="B5456" t="str">
            <v>11350121(Ölflex® 110 CY 12G0.5)</v>
          </cell>
          <cell r="C5456" t="str">
            <v>LAPP</v>
          </cell>
          <cell r="D5456" t="str">
            <v>Lapp-Non Moving Stocks</v>
          </cell>
        </row>
        <row r="5457">
          <cell r="A5457" t="str">
            <v>11353121 (Ölflex® 110 CY 12G1.5)</v>
          </cell>
          <cell r="B5457" t="str">
            <v>11353121(Ölflex® 110 CY 12G1.5)</v>
          </cell>
          <cell r="C5457" t="str">
            <v>LAPP</v>
          </cell>
          <cell r="D5457" t="str">
            <v>Lapp-Non Moving Stocks</v>
          </cell>
        </row>
        <row r="5458">
          <cell r="A5458" t="str">
            <v>11353181 (Ölflex® 110 CY 18G1.5_x000D_
)</v>
          </cell>
          <cell r="B5458" t="str">
            <v>11353181(Ölflex® 110 CY 18G1.5_x000D_
)</v>
          </cell>
          <cell r="C5458" t="str">
            <v>LAPP</v>
          </cell>
          <cell r="D5458" t="str">
            <v>Lapp-Non Moving Stocks</v>
          </cell>
        </row>
        <row r="5459">
          <cell r="A5459" t="str">
            <v>11350251_x000D_
 (Ölflex® 110 CY 25G0.5_x000D_
)</v>
          </cell>
          <cell r="B5459" t="str">
            <v>11350251_x000D_
(Ölflex® 110 CY 25G0.5_x000D_
)</v>
          </cell>
          <cell r="C5459" t="str">
            <v>LAPP</v>
          </cell>
          <cell r="D5459" t="str">
            <v>Lapp-Non Moving Stocks</v>
          </cell>
        </row>
        <row r="5460">
          <cell r="A5460" t="str">
            <v>11357521 (Ölflex® 110 CY 2X0.5)</v>
          </cell>
          <cell r="B5460" t="str">
            <v>11357521(Ölflex® 110 CY 2X0.5)</v>
          </cell>
          <cell r="C5460" t="str">
            <v>LAPP</v>
          </cell>
          <cell r="D5460" t="str">
            <v>Lapp-Non Moving Stocks</v>
          </cell>
        </row>
        <row r="5461">
          <cell r="A5461" t="str">
            <v>11354031 (Ölflex® 110 CY  - 3 G 2.5 mm²)</v>
          </cell>
          <cell r="B5461" t="str">
            <v>11354031(Ölflex® 110 CY  - 3 G 2.5 mm²)</v>
          </cell>
          <cell r="C5461" t="str">
            <v>LAPP</v>
          </cell>
          <cell r="D5461" t="str">
            <v>Lapp-Non Moving Stocks</v>
          </cell>
        </row>
        <row r="5462">
          <cell r="A5462" t="str">
            <v>11358031 (Ölflex® 110 CY 3X0.75_x000D_
)</v>
          </cell>
          <cell r="B5462" t="str">
            <v>11358031(Ölflex® 110 CY 3X0.75_x000D_
)</v>
          </cell>
          <cell r="C5462" t="str">
            <v>LAPP</v>
          </cell>
          <cell r="D5462" t="str">
            <v>Lapp-Non Moving Stocks</v>
          </cell>
        </row>
        <row r="5463">
          <cell r="A5463" t="str">
            <v>11359031 (Ölflex® 110 CY 3X1.5_x000D_
)</v>
          </cell>
          <cell r="B5463" t="str">
            <v>11359031(Ölflex® 110 CY 3X1.5_x000D_
)</v>
          </cell>
          <cell r="C5463" t="str">
            <v>LAPP</v>
          </cell>
          <cell r="D5463" t="str">
            <v>Lapp-Non Moving Stocks</v>
          </cell>
        </row>
        <row r="5464">
          <cell r="A5464" t="str">
            <v>1135004 (Ölflex® 110 CY  4 G 0.5 mm²)</v>
          </cell>
          <cell r="B5464" t="str">
            <v>1135004(Ölflex® 110 CY  4 G 0.5 mm²)</v>
          </cell>
          <cell r="C5464" t="str">
            <v>LAPP</v>
          </cell>
          <cell r="D5464" t="str">
            <v>Lapp-Non Moving Stocks</v>
          </cell>
        </row>
        <row r="5465">
          <cell r="A5465" t="str">
            <v>11352041 (Ölflex® 110 CY 4G1)</v>
          </cell>
          <cell r="B5465" t="str">
            <v>11352041(Ölflex® 110 CY 4G1)</v>
          </cell>
          <cell r="C5465" t="str">
            <v>LAPP</v>
          </cell>
          <cell r="D5465" t="str">
            <v>Lapp-Non Moving Stocks</v>
          </cell>
        </row>
        <row r="5466">
          <cell r="A5466" t="str">
            <v>11359041 (Ölflex® 110 CY 4X1.5)</v>
          </cell>
          <cell r="B5466" t="str">
            <v>11359041(Ölflex® 110 CY 4X1.5)</v>
          </cell>
          <cell r="C5466" t="str">
            <v>LAPP</v>
          </cell>
          <cell r="D5466" t="str">
            <v>Lapp-Non Moving Stocks</v>
          </cell>
        </row>
        <row r="5467">
          <cell r="A5467" t="str">
            <v>11353051 (Ölflex® 110 CY  - 5 G 1.5 mm²)</v>
          </cell>
          <cell r="B5467" t="str">
            <v>11353051(Ölflex® 110 CY  - 5 G 1.5 mm²)</v>
          </cell>
          <cell r="C5467" t="str">
            <v>LAPP</v>
          </cell>
          <cell r="D5467" t="str">
            <v>Lapp-Non Moving Stocks</v>
          </cell>
        </row>
        <row r="5468">
          <cell r="A5468" t="str">
            <v>11350071 (Ölflex® 110 CY 7G0.5_x000D_
)</v>
          </cell>
          <cell r="B5468" t="str">
            <v>11350071(Ölflex® 110 CY 7G0.5_x000D_
)</v>
          </cell>
          <cell r="C5468" t="str">
            <v>LAPP</v>
          </cell>
          <cell r="D5468" t="str">
            <v>Lapp-Non Moving Stocks</v>
          </cell>
        </row>
        <row r="5469">
          <cell r="A5469" t="str">
            <v>1135762 (ÖLFLEX® CLASSIC 110 CY 12X0,5)</v>
          </cell>
          <cell r="B5469" t="str">
            <v>1135762(ÖLFLEX® CLASSIC 110 CY 12X0,5)</v>
          </cell>
          <cell r="C5469" t="str">
            <v>LAPP</v>
          </cell>
          <cell r="D5469" t="str">
            <v>Lapp-Non Moving Stocks</v>
          </cell>
        </row>
        <row r="5470">
          <cell r="A5470" t="str">
            <v>384130209 (ÖLFLEX® CONTROL 110 CY FR-LSH 2 x 1.5 1100 V BK)</v>
          </cell>
          <cell r="B5470" t="str">
            <v>384130209(ÖLFLEX® CONTROL 110 CY FR-LSH 2 x 1.5 1100 V BK)</v>
          </cell>
          <cell r="C5470" t="str">
            <v>LAPP</v>
          </cell>
          <cell r="D5470" t="str">
            <v>Lapp-Non Moving Stocks</v>
          </cell>
        </row>
        <row r="5471">
          <cell r="A5471" t="str">
            <v>1121342 (ÖLFLEX CLASSIC110 CY BK 0,6/1kV 4G2,5_x000D_
)</v>
          </cell>
          <cell r="B5471" t="str">
            <v>1121342(ÖLFLEX CLASSIC110 CY BK 0,6/1kV 4G2,5_x000D_
)</v>
          </cell>
          <cell r="C5471" t="str">
            <v>LAPP</v>
          </cell>
          <cell r="D5471" t="str">
            <v>Lapp-Non Moving Stocks</v>
          </cell>
        </row>
        <row r="5472">
          <cell r="A5472" t="str">
            <v>10035052 (ÖLFLEX CLASSIC 110 CH 25G0,75 N)</v>
          </cell>
          <cell r="B5472" t="str">
            <v>10035052(ÖLFLEX CLASSIC 110 CH 25G0,75 N)</v>
          </cell>
          <cell r="C5472" t="str">
            <v>LAPP</v>
          </cell>
          <cell r="D5472" t="str">
            <v>Lapp-Non Moving Stocks</v>
          </cell>
        </row>
        <row r="5473">
          <cell r="A5473" t="str">
            <v>10035382 (ÖLFLEX CLASSIC 110 CH 4G16_x000D_
)</v>
          </cell>
          <cell r="B5473" t="str">
            <v>10035382(ÖLFLEX CLASSIC 110 CH 4G16_x000D_
)</v>
          </cell>
          <cell r="C5473" t="str">
            <v>LAPP</v>
          </cell>
          <cell r="D5473" t="str">
            <v>Lapp-Non Moving Stocks</v>
          </cell>
        </row>
        <row r="5474">
          <cell r="A5474" t="str">
            <v>10035090 (ÖLFLEX CLASSIC 110 CH 4G2,5 N_x000D_
)</v>
          </cell>
          <cell r="B5474" t="str">
            <v>10035090(ÖLFLEX CLASSIC 110 CH 4G2,5 N_x000D_
)</v>
          </cell>
          <cell r="C5474" t="str">
            <v>LAPP</v>
          </cell>
          <cell r="D5474" t="str">
            <v>Lapp-Non Moving Stocks</v>
          </cell>
        </row>
        <row r="5475">
          <cell r="A5475" t="str">
            <v>10035096 (ÖLFLEX CLASSIC 110 CH 7G4 N)</v>
          </cell>
          <cell r="B5475" t="str">
            <v>10035096(ÖLFLEX CLASSIC 110 CH 7G4 N)</v>
          </cell>
          <cell r="C5475" t="str">
            <v>LAPP</v>
          </cell>
          <cell r="D5475" t="str">
            <v>Lapp-Non Moving Stocks</v>
          </cell>
        </row>
        <row r="5476">
          <cell r="A5476" t="str">
            <v>10019922_x000D_
 (ÖLFLEX CLASSIC 110 H 25G0,75 N_x000D_
)</v>
          </cell>
          <cell r="B5476" t="str">
            <v>10019922_x000D_
(ÖLFLEX CLASSIC 110 H 25G0,75 N_x000D_
)</v>
          </cell>
          <cell r="C5476" t="str">
            <v>LAPP</v>
          </cell>
          <cell r="D5476" t="str">
            <v>Lapp-Non Moving Stocks</v>
          </cell>
        </row>
        <row r="5477">
          <cell r="A5477" t="str">
            <v>10019901 (ÖLFLEX CLASSIC 110 H 3G0,5 N)</v>
          </cell>
          <cell r="B5477" t="str">
            <v>10019901(ÖLFLEX CLASSIC 110 H 3G0,5 N)</v>
          </cell>
          <cell r="C5477" t="str">
            <v>LAPP</v>
          </cell>
          <cell r="D5477" t="str">
            <v>Lapp-Non Moving Stocks</v>
          </cell>
        </row>
        <row r="5478">
          <cell r="A5478" t="str">
            <v>10019963_x000D_
 (ÖLFLEX CLASSIC 110 H 4G1 N_x000D_
)</v>
          </cell>
          <cell r="B5478" t="str">
            <v>10019963_x000D_
(ÖLFLEX CLASSIC 110 H 4G1 N_x000D_
)</v>
          </cell>
          <cell r="C5478" t="str">
            <v>LAPP</v>
          </cell>
          <cell r="D5478" t="str">
            <v>Lapp-Non Moving Stocks</v>
          </cell>
        </row>
        <row r="5479">
          <cell r="A5479" t="str">
            <v>10019907 (ÖLFLEX® CLASSIC 110 H 12G0,5 N)</v>
          </cell>
          <cell r="B5479" t="str">
            <v>10019907(ÖLFLEX® CLASSIC 110 H 12G0,5 N)</v>
          </cell>
          <cell r="C5479" t="str">
            <v>LAPP</v>
          </cell>
          <cell r="D5479" t="str">
            <v>Lapp-Non Moving Stocks</v>
          </cell>
        </row>
        <row r="5480">
          <cell r="A5480" t="str">
            <v>10019931 (ÖLFLEX® CLASSIC 110 H 3G1,5 N)</v>
          </cell>
          <cell r="B5480" t="str">
            <v>10019931(ÖLFLEX® CLASSIC 110 H 3G1,5 N)</v>
          </cell>
          <cell r="C5480" t="str">
            <v>LAPP</v>
          </cell>
          <cell r="D5480" t="str">
            <v>Lapp-Non Moving Stocks</v>
          </cell>
        </row>
        <row r="5481">
          <cell r="A5481" t="str">
            <v>10019945 (ÖLFLEX® CLASSIC 110 H 3G2,5 N)</v>
          </cell>
          <cell r="B5481" t="str">
            <v>10019945(ÖLFLEX® CLASSIC 110 H 3G2,5 N)</v>
          </cell>
          <cell r="C5481" t="str">
            <v>LAPP</v>
          </cell>
          <cell r="D5481" t="str">
            <v>Lapp-Non Moving Stocks</v>
          </cell>
        </row>
        <row r="5482">
          <cell r="A5482" t="str">
            <v>11197551 (Ölflex® 110-O  5 x 0.5 mm²)</v>
          </cell>
          <cell r="B5482" t="str">
            <v>11197551(Ölflex® 110-O  5 x 0.5 mm²)</v>
          </cell>
          <cell r="C5482" t="str">
            <v>LAPP</v>
          </cell>
          <cell r="D5482" t="str">
            <v>Lapp-Non Moving Stocks</v>
          </cell>
        </row>
        <row r="5483">
          <cell r="A5483" t="str">
            <v>1125902_x000D_
 ("ÖLFLEX CLASSIC 110 SY 2X1,5"_x000D_
)</v>
          </cell>
          <cell r="B5483" t="str">
            <v>1125902_x000D_
("ÖLFLEX CLASSIC 110 SY 2X1,5"_x000D_
)</v>
          </cell>
          <cell r="C5483" t="str">
            <v>LAPP</v>
          </cell>
          <cell r="D5483" t="str">
            <v>Lapp-Non Moving Stocks</v>
          </cell>
        </row>
        <row r="5484">
          <cell r="A5484" t="str">
            <v>1125403_x000D_
 ("ÖLFLEX CLASSIC 110 SY 3G2,5"_x000D_
)</v>
          </cell>
          <cell r="B5484" t="str">
            <v>1125403_x000D_
("ÖLFLEX CLASSIC 110 SY 3G2,5"_x000D_
)</v>
          </cell>
          <cell r="C5484" t="str">
            <v>LAPP</v>
          </cell>
          <cell r="D5484" t="str">
            <v>Lapp-Non Moving Stocks</v>
          </cell>
        </row>
        <row r="5485">
          <cell r="A5485" t="str">
            <v xml:space="preserve">110 SY 3x2.5_x000D_
</v>
          </cell>
          <cell r="B5485" t="str">
            <v xml:space="preserve">110 SY 3x2.5_x000D_
</v>
          </cell>
          <cell r="C5485" t="str">
            <v>LAPP</v>
          </cell>
          <cell r="D5485" t="str">
            <v>Lapp-Non Moving Stocks</v>
          </cell>
        </row>
        <row r="5486">
          <cell r="A5486" t="str">
            <v>1125210 (OLFLEX 110 SY 10G1)</v>
          </cell>
          <cell r="B5486" t="str">
            <v>1125210(OLFLEX 110 SY 10G1)</v>
          </cell>
          <cell r="C5486" t="str">
            <v>LAPP</v>
          </cell>
          <cell r="D5486" t="str">
            <v>Lapp-Non Moving Stocks</v>
          </cell>
        </row>
        <row r="5487">
          <cell r="A5487" t="str">
            <v>1125307 (Olflex 110 SY 7G1.5)</v>
          </cell>
          <cell r="B5487" t="str">
            <v>1125307(Olflex 110 SY 7G1.5)</v>
          </cell>
          <cell r="C5487" t="str">
            <v>LAPP</v>
          </cell>
          <cell r="D5487" t="str">
            <v>Lapp-Non Moving Stocks</v>
          </cell>
        </row>
        <row r="5488">
          <cell r="A5488" t="str">
            <v>1125626 (OLFLEX CLASSIC 110 SY 4G 25)</v>
          </cell>
          <cell r="B5488" t="str">
            <v>1125626(OLFLEX CLASSIC 110 SY 4G 25)</v>
          </cell>
          <cell r="C5488" t="str">
            <v>LAPP</v>
          </cell>
          <cell r="D5488" t="str">
            <v>Lapp-Non Moving Stocks</v>
          </cell>
        </row>
        <row r="5489">
          <cell r="A5489" t="str">
            <v>Xxxxx2 (Xxxxxxx2)</v>
          </cell>
          <cell r="B5489" t="e">
            <v>#N/A</v>
          </cell>
          <cell r="C5489" t="str">
            <v>LAPP</v>
          </cell>
          <cell r="D5489" t="str">
            <v>Lapp-Non Moving Stocks</v>
          </cell>
        </row>
        <row r="5490">
          <cell r="A5490" t="str">
            <v>1125010 (ÖLFLEX CLASSIC 110 SY 10G0,5_x000D_
)</v>
          </cell>
          <cell r="B5490" t="str">
            <v>1125010(ÖLFLEX CLASSIC 110 SY 10G0,5_x000D_
)</v>
          </cell>
          <cell r="C5490" t="str">
            <v>LAPP</v>
          </cell>
          <cell r="D5490" t="str">
            <v>Lapp-Non Moving Stocks</v>
          </cell>
        </row>
        <row r="5491">
          <cell r="A5491" t="str">
            <v>1125012 (ÖLFLEX CLASSIC 110 SY 12G0,5_x000D_
)</v>
          </cell>
          <cell r="B5491" t="str">
            <v>1125012(ÖLFLEX CLASSIC 110 SY 12G0,5_x000D_
)</v>
          </cell>
          <cell r="C5491" t="str">
            <v>LAPP</v>
          </cell>
          <cell r="D5491" t="str">
            <v>Lapp-Non Moving Stocks</v>
          </cell>
        </row>
        <row r="5492">
          <cell r="A5492" t="str">
            <v>1125112 (ÖLFLEX CLASSIC 110 SY 12G0,75_x000D_
)</v>
          </cell>
          <cell r="B5492" t="str">
            <v>1125112(ÖLFLEX CLASSIC 110 SY 12G0,75_x000D_
)</v>
          </cell>
          <cell r="C5492" t="str">
            <v>LAPP</v>
          </cell>
          <cell r="D5492" t="str">
            <v>Lapp-Non Moving Stocks</v>
          </cell>
        </row>
        <row r="5493">
          <cell r="A5493" t="str">
            <v>1125312 (ÖLFLEX CLASSIC 110 SY 12G1,5)</v>
          </cell>
          <cell r="B5493" t="str">
            <v>1125312(ÖLFLEX CLASSIC 110 SY 12G1,5)</v>
          </cell>
          <cell r="C5493" t="str">
            <v>LAPP</v>
          </cell>
          <cell r="D5493" t="str">
            <v>Lapp-Non Moving Stocks</v>
          </cell>
        </row>
        <row r="5494">
          <cell r="A5494" t="str">
            <v>1125412_x000D_
 (ÖLFLEX CLASSIC 110 SY 12G2,5_x000D_
)</v>
          </cell>
          <cell r="B5494" t="str">
            <v>1125412_x000D_
(ÖLFLEX CLASSIC 110 SY 12G2,5_x000D_
)</v>
          </cell>
          <cell r="C5494" t="str">
            <v>LAPP</v>
          </cell>
          <cell r="D5494" t="str">
            <v>Lapp-Non Moving Stocks</v>
          </cell>
        </row>
        <row r="5495">
          <cell r="A5495" t="str">
            <v>1125014 (ÖLFLEX CLASSIC 110 SY 14G0,5_x000D_
)</v>
          </cell>
          <cell r="B5495" t="str">
            <v>1125014(ÖLFLEX CLASSIC 110 SY 14G0,5_x000D_
)</v>
          </cell>
          <cell r="C5495" t="str">
            <v>LAPP</v>
          </cell>
          <cell r="D5495" t="str">
            <v>Lapp-Non Moving Stocks</v>
          </cell>
        </row>
        <row r="5496">
          <cell r="A5496" t="str">
            <v>1125214_x000D_
 (ÖLFLEX CLASSIC 110 SY 14G1_x000D_
)</v>
          </cell>
          <cell r="B5496" t="str">
            <v>1125214_x000D_
(ÖLFLEX CLASSIC 110 SY 14G1_x000D_
)</v>
          </cell>
          <cell r="C5496" t="str">
            <v>LAPP</v>
          </cell>
          <cell r="D5496" t="str">
            <v>Lapp-Non Moving Stocks</v>
          </cell>
        </row>
        <row r="5497">
          <cell r="A5497" t="str">
            <v>1125314_x000D_
 (ÖLFLEX CLASSIC 110 SY 14G1,5_x000D_
)</v>
          </cell>
          <cell r="B5497" t="str">
            <v>1125314_x000D_
(ÖLFLEX CLASSIC 110 SY 14G1,5_x000D_
)</v>
          </cell>
          <cell r="C5497" t="str">
            <v>LAPP</v>
          </cell>
          <cell r="D5497" t="str">
            <v>Lapp-Non Moving Stocks</v>
          </cell>
        </row>
        <row r="5498">
          <cell r="A5498" t="str">
            <v>1125115 (ÖLFLEX CLASSIC 110 SY 15G0,75_x000D_
)</v>
          </cell>
          <cell r="B5498" t="str">
            <v>1125115(ÖLFLEX CLASSIC 110 SY 15G0,75_x000D_
)</v>
          </cell>
          <cell r="C5498" t="str">
            <v>LAPP</v>
          </cell>
          <cell r="D5498" t="str">
            <v>Lapp-Non Moving Stocks</v>
          </cell>
        </row>
        <row r="5499">
          <cell r="A5499" t="str">
            <v>1125118 (ÖLFLEX CLASSIC 110 SY 18G0,75)</v>
          </cell>
          <cell r="B5499" t="str">
            <v>1125118(ÖLFLEX CLASSIC 110 SY 18G0,75)</v>
          </cell>
          <cell r="C5499" t="str">
            <v>LAPP</v>
          </cell>
          <cell r="D5499" t="str">
            <v>Lapp-Non Moving Stocks</v>
          </cell>
        </row>
        <row r="5500">
          <cell r="A5500" t="str">
            <v>1125218_x000D_
 (ÖLFLEX CLASSIC 110 SY 18G1_x000D_
)</v>
          </cell>
          <cell r="B5500" t="str">
            <v>1125218_x000D_
(ÖLFLEX CLASSIC 110 SY 18G1_x000D_
)</v>
          </cell>
          <cell r="C5500" t="str">
            <v>LAPP</v>
          </cell>
          <cell r="D5500" t="str">
            <v>Lapp-Non Moving Stocks</v>
          </cell>
        </row>
        <row r="5501">
          <cell r="A5501" t="str">
            <v>1125318_x000D_
 (ÖLFLEX CLASSIC 110 SY 18G1,5_x000D_
)</v>
          </cell>
          <cell r="B5501" t="str">
            <v>1125318_x000D_
(ÖLFLEX CLASSIC 110 SY 18G1,5_x000D_
)</v>
          </cell>
          <cell r="C5501" t="str">
            <v>LAPP</v>
          </cell>
          <cell r="D5501" t="str">
            <v>Lapp-Non Moving Stocks</v>
          </cell>
        </row>
        <row r="5502">
          <cell r="A5502" t="str">
            <v>1125418 (ÖLFLEX CLASSIC 110 SY 18G2,5)</v>
          </cell>
          <cell r="B5502" t="str">
            <v>1125418(ÖLFLEX CLASSIC 110 SY 18G2,5)</v>
          </cell>
          <cell r="C5502" t="str">
            <v>LAPP</v>
          </cell>
          <cell r="D5502" t="str">
            <v>Lapp-Non Moving Stocks</v>
          </cell>
        </row>
        <row r="5503">
          <cell r="A5503" t="str">
            <v>1125220_x000D_
 (ÖLFLEX CLASSIC 110 SY 20G1_x000D_
)</v>
          </cell>
          <cell r="B5503" t="str">
            <v>1125220_x000D_
(ÖLFLEX CLASSIC 110 SY 20G1_x000D_
)</v>
          </cell>
          <cell r="C5503" t="str">
            <v>LAPP</v>
          </cell>
          <cell r="D5503" t="str">
            <v>Lapp-Non Moving Stocks</v>
          </cell>
        </row>
        <row r="5504">
          <cell r="A5504" t="str">
            <v>1125021 (ÖLFLEX CLASSIC 110 SY 21G0,5_x000D_
)</v>
          </cell>
          <cell r="B5504" t="str">
            <v>1125021(ÖLFLEX CLASSIC 110 SY 21G0,5_x000D_
)</v>
          </cell>
          <cell r="C5504" t="str">
            <v>LAPP</v>
          </cell>
          <cell r="D5504" t="str">
            <v>Lapp-Non Moving Stocks</v>
          </cell>
        </row>
        <row r="5505">
          <cell r="A5505" t="str">
            <v>1125225_x000D_
 (ÖLFLEX CLASSIC 110 SY 25G1_x000D_
)</v>
          </cell>
          <cell r="B5505" t="str">
            <v>1125225_x000D_
(ÖLFLEX CLASSIC 110 SY 25G1_x000D_
)</v>
          </cell>
          <cell r="C5505" t="str">
            <v>LAPP</v>
          </cell>
          <cell r="D5505" t="str">
            <v>Lapp-Non Moving Stocks</v>
          </cell>
        </row>
        <row r="5506">
          <cell r="A5506" t="str">
            <v>1125325_x000D_
 (ÖLFLEX CLASSIC 110 SY 25G1,5)</v>
          </cell>
          <cell r="B5506" t="str">
            <v>1125325_x000D_
(ÖLFLEX CLASSIC 110 SY 25G1,5)</v>
          </cell>
          <cell r="C5506" t="str">
            <v>LAPP</v>
          </cell>
          <cell r="D5506" t="str">
            <v>Lapp-Non Moving Stocks</v>
          </cell>
        </row>
        <row r="5507">
          <cell r="A5507" t="str">
            <v>1125425_x000D_
 (ÖLFLEX CLASSIC 110 SY 25G2,5_x000D_
)</v>
          </cell>
          <cell r="B5507" t="str">
            <v>1125425_x000D_
(ÖLFLEX CLASSIC 110 SY 25G2,5_x000D_
)</v>
          </cell>
          <cell r="C5507" t="str">
            <v>LAPP</v>
          </cell>
          <cell r="D5507" t="str">
            <v>Lapp-Non Moving Stocks</v>
          </cell>
        </row>
        <row r="5508">
          <cell r="A5508" t="str">
            <v>1125752 (ÖLFLEX CLASSIC 110 SY 2X0,5)</v>
          </cell>
          <cell r="B5508" t="str">
            <v>1125752(ÖLFLEX CLASSIC 110 SY 2X0,5)</v>
          </cell>
          <cell r="C5508" t="str">
            <v>LAPP</v>
          </cell>
          <cell r="D5508" t="str">
            <v>Lapp-Non Moving Stocks</v>
          </cell>
        </row>
        <row r="5509">
          <cell r="A5509" t="str">
            <v>1125802 (ÖLFLEX CLASSIC 110 SY 2X0,75_x000D_
)</v>
          </cell>
          <cell r="B5509" t="str">
            <v>1125802(ÖLFLEX CLASSIC 110 SY 2X0,75_x000D_
)</v>
          </cell>
          <cell r="C5509" t="str">
            <v>LAPP</v>
          </cell>
          <cell r="D5509" t="str">
            <v>Lapp-Non Moving Stocks</v>
          </cell>
        </row>
        <row r="5510">
          <cell r="A5510" t="str">
            <v>1125234 (ÖLFLEX CLASSIC 110 SY 34G1_x000D_
)</v>
          </cell>
          <cell r="B5510" t="str">
            <v>1125234(ÖLFLEX CLASSIC 110 SY 34G1_x000D_
)</v>
          </cell>
          <cell r="C5510" t="str">
            <v>LAPP</v>
          </cell>
          <cell r="D5510" t="str">
            <v>Lapp-Non Moving Stocks</v>
          </cell>
        </row>
        <row r="5511">
          <cell r="A5511" t="str">
            <v>1125103 (ÖLFLEX CLASSIC 110 SY 3G0,75_x000D_
)</v>
          </cell>
          <cell r="B5511" t="str">
            <v>1125103(ÖLFLEX CLASSIC 110 SY 3G0,75_x000D_
)</v>
          </cell>
          <cell r="C5511" t="str">
            <v>LAPP</v>
          </cell>
          <cell r="D5511" t="str">
            <v>Lapp-Non Moving Stocks</v>
          </cell>
        </row>
        <row r="5512">
          <cell r="A5512" t="str">
            <v>1125303 (ÖLFLEX CLASSIC 110 SY 3G1,5)</v>
          </cell>
          <cell r="B5512" t="str">
            <v>1125303(ÖLFLEX CLASSIC 110 SY 3G1,5)</v>
          </cell>
          <cell r="C5512" t="str">
            <v>LAPP</v>
          </cell>
          <cell r="D5512" t="str">
            <v>Lapp-Non Moving Stocks</v>
          </cell>
        </row>
        <row r="5513">
          <cell r="A5513" t="str">
            <v>1125503 (ÖLFLEX CLASSIC 110 SY 3G4_x000D_
)</v>
          </cell>
          <cell r="B5513" t="str">
            <v>1125503(ÖLFLEX CLASSIC 110 SY 3G4_x000D_
)</v>
          </cell>
          <cell r="C5513" t="str">
            <v>LAPP</v>
          </cell>
          <cell r="D5513" t="str">
            <v>Lapp-Non Moving Stocks</v>
          </cell>
        </row>
        <row r="5514">
          <cell r="A5514" t="str">
            <v>1125241_x000D_
 (ÖLFLEX CLASSIC 110 SY 41G1_x000D_
)</v>
          </cell>
          <cell r="B5514" t="str">
            <v>1125241_x000D_
(ÖLFLEX CLASSIC 110 SY 41G1_x000D_
)</v>
          </cell>
          <cell r="C5514" t="str">
            <v>LAPP</v>
          </cell>
          <cell r="D5514" t="str">
            <v>Lapp-Non Moving Stocks</v>
          </cell>
        </row>
        <row r="5515">
          <cell r="A5515" t="str">
            <v>1125104 (ÖLFLEX CLASSIC 110 SY 4G0,75_x000D_
)</v>
          </cell>
          <cell r="B5515" t="str">
            <v>1125104(ÖLFLEX CLASSIC 110 SY 4G0,75_x000D_
)</v>
          </cell>
          <cell r="C5515" t="str">
            <v>LAPP</v>
          </cell>
          <cell r="D5515" t="str">
            <v>Lapp-Non Moving Stocks</v>
          </cell>
        </row>
        <row r="5516">
          <cell r="A5516" t="str">
            <v>1125204 (ÖLFLEX CLASSIC 110 SY 4G1)</v>
          </cell>
          <cell r="B5516" t="str">
            <v>1125204(ÖLFLEX CLASSIC 110 SY 4G1)</v>
          </cell>
          <cell r="C5516" t="str">
            <v>LAPP</v>
          </cell>
          <cell r="D5516" t="str">
            <v>Lapp-Non Moving Stocks</v>
          </cell>
        </row>
        <row r="5517">
          <cell r="A5517" t="str">
            <v>1125614 (ÖLFLEX CLASSIC 110 SY 4G10)</v>
          </cell>
          <cell r="B5517" t="str">
            <v>1125614(ÖLFLEX CLASSIC 110 SY 4G10)</v>
          </cell>
          <cell r="C5517" t="str">
            <v>LAPP</v>
          </cell>
          <cell r="D5517" t="str">
            <v>Lapp-Non Moving Stocks</v>
          </cell>
        </row>
        <row r="5518">
          <cell r="A5518" t="str">
            <v>1125624 (ÖLFLEX CLASSIC 110 SY 4G16)</v>
          </cell>
          <cell r="B5518" t="str">
            <v>1125624(ÖLFLEX CLASSIC 110 SY 4G16)</v>
          </cell>
          <cell r="C5518" t="str">
            <v>LAPP</v>
          </cell>
          <cell r="D5518" t="str">
            <v>Lapp-Non Moving Stocks</v>
          </cell>
        </row>
        <row r="5519">
          <cell r="A5519" t="str">
            <v>1125629 (ÖLFLEX CLASSIC 110 SY 4G35_x000D_
)</v>
          </cell>
          <cell r="B5519" t="str">
            <v>1125629(ÖLFLEX CLASSIC 110 SY 4G35_x000D_
)</v>
          </cell>
          <cell r="C5519" t="str">
            <v>LAPP</v>
          </cell>
          <cell r="D5519" t="str">
            <v>Lapp-Non Moving Stocks</v>
          </cell>
        </row>
        <row r="5520">
          <cell r="A5520" t="str">
            <v>1125604 (ÖLFLEX CLASSIC 110 SY 4G6)</v>
          </cell>
          <cell r="B5520" t="str">
            <v>1125604(ÖLFLEX CLASSIC 110 SY 4G6)</v>
          </cell>
          <cell r="C5520" t="str">
            <v>LAPP</v>
          </cell>
          <cell r="D5520" t="str">
            <v>Lapp-Non Moving Stocks</v>
          </cell>
        </row>
        <row r="5521">
          <cell r="A5521" t="str">
            <v>1125250_x000D_
 (ÖLFLEX CLASSIC 110 SY 50G1_x000D_
)</v>
          </cell>
          <cell r="B5521" t="str">
            <v>1125250_x000D_
(ÖLFLEX CLASSIC 110 SY 50G1_x000D_
)</v>
          </cell>
          <cell r="C5521" t="str">
            <v>LAPP</v>
          </cell>
          <cell r="D5521" t="str">
            <v>Lapp-Non Moving Stocks</v>
          </cell>
        </row>
        <row r="5522">
          <cell r="A5522" t="str">
            <v>1125005_x000D_
 (ÖLFLEX CLASSIC 110 SY 5G0,5_x000D_
)</v>
          </cell>
          <cell r="B5522" t="str">
            <v>1125005_x000D_
(ÖLFLEX CLASSIC 110 SY 5G0,5_x000D_
)</v>
          </cell>
          <cell r="C5522" t="str">
            <v>LAPP</v>
          </cell>
          <cell r="D5522" t="str">
            <v>Lapp-Non Moving Stocks</v>
          </cell>
        </row>
        <row r="5523">
          <cell r="A5523" t="str">
            <v>1125305 (ÖLFLEX CLASSIC 110 SY 5G1,5_x000D_
)</v>
          </cell>
          <cell r="B5523" t="str">
            <v>1125305(ÖLFLEX CLASSIC 110 SY 5G1,5_x000D_
)</v>
          </cell>
          <cell r="C5523" t="str">
            <v>LAPP</v>
          </cell>
          <cell r="D5523" t="str">
            <v>Lapp-Non Moving Stocks</v>
          </cell>
        </row>
        <row r="5524">
          <cell r="A5524" t="str">
            <v>1125405 (ÖLFLEX CLASSIC 110 SY 5G2,5)</v>
          </cell>
          <cell r="B5524" t="str">
            <v>1125405(ÖLFLEX CLASSIC 110 SY 5G2,5)</v>
          </cell>
          <cell r="C5524" t="str">
            <v>LAPP</v>
          </cell>
          <cell r="D5524" t="str">
            <v>Lapp-Non Moving Stocks</v>
          </cell>
        </row>
        <row r="5525">
          <cell r="A5525" t="str">
            <v>1125505 (ÖLFLEX CLASSIC 110 SY 5G4)</v>
          </cell>
          <cell r="B5525" t="str">
            <v>1125505(ÖLFLEX CLASSIC 110 SY 5G4)</v>
          </cell>
          <cell r="C5525" t="str">
            <v>LAPP</v>
          </cell>
          <cell r="D5525" t="str">
            <v>Lapp-Non Moving Stocks</v>
          </cell>
        </row>
        <row r="5526">
          <cell r="A5526" t="str">
            <v>1125605 (ÖLFLEX CLASSIC 110 SY 5G6_x000D_
)</v>
          </cell>
          <cell r="B5526" t="str">
            <v>1125605(ÖLFLEX CLASSIC 110 SY 5G6_x000D_
)</v>
          </cell>
          <cell r="C5526" t="str">
            <v>LAPP</v>
          </cell>
          <cell r="D5526" t="str">
            <v>Lapp-Non Moving Stocks</v>
          </cell>
        </row>
        <row r="5527">
          <cell r="A5527" t="str">
            <v>1125007 (ÖLFLEX CLASSIC 110 SY 7G0,5_x000D_
)</v>
          </cell>
          <cell r="B5527" t="str">
            <v>1125007(ÖLFLEX CLASSIC 110 SY 7G0,5_x000D_
)</v>
          </cell>
          <cell r="C5527" t="str">
            <v>LAPP</v>
          </cell>
          <cell r="D5527" t="str">
            <v>Lapp-Non Moving Stocks</v>
          </cell>
        </row>
        <row r="5528">
          <cell r="A5528" t="str">
            <v>1125107 (ÖLFLEX CLASSIC 110 SY 7G0,75_x000D_
)</v>
          </cell>
          <cell r="B5528" t="str">
            <v>1125107(ÖLFLEX CLASSIC 110 SY 7G0,75_x000D_
)</v>
          </cell>
          <cell r="C5528" t="str">
            <v>LAPP</v>
          </cell>
          <cell r="D5528" t="str">
            <v>Lapp-Non Moving Stocks</v>
          </cell>
        </row>
        <row r="5529">
          <cell r="A5529" t="str">
            <v>1125207 (ÖLFLEX CLASSIC 110 SY 7G1_x000D_
)</v>
          </cell>
          <cell r="B5529" t="str">
            <v>1125207(ÖLFLEX CLASSIC 110 SY 7G1_x000D_
)</v>
          </cell>
          <cell r="C5529" t="str">
            <v>LAPP</v>
          </cell>
          <cell r="D5529" t="str">
            <v>Lapp-Non Moving Stocks</v>
          </cell>
        </row>
        <row r="5530">
          <cell r="A5530" t="str">
            <v>1125407_x000D_
 (ÖLFLEX CLASSIC 110 SY 7G2,5_x000D_
)</v>
          </cell>
          <cell r="B5530" t="str">
            <v>1125407_x000D_
(ÖLFLEX CLASSIC 110 SY 7G2,5_x000D_
)</v>
          </cell>
          <cell r="C5530" t="str">
            <v>LAPP</v>
          </cell>
          <cell r="D5530" t="str">
            <v>Lapp-Non Moving Stocks</v>
          </cell>
        </row>
        <row r="5531">
          <cell r="A5531" t="str">
            <v>1125208_x000D_
 (ÖLFLEX CLASSIC 110 SY 8G1_x000D_
)</v>
          </cell>
          <cell r="B5531" t="str">
            <v>1125208_x000D_
(ÖLFLEX CLASSIC 110 SY 8G1_x000D_
)</v>
          </cell>
          <cell r="C5531" t="str">
            <v>LAPP</v>
          </cell>
          <cell r="D5531" t="str">
            <v>Lapp-Non Moving Stocks</v>
          </cell>
        </row>
        <row r="5532">
          <cell r="A5532" t="str">
            <v>1125109 (ÖLFLEX CLASSIC 110 SY 9G0,75_x000D_
)</v>
          </cell>
          <cell r="B5532" t="str">
            <v>1125109(ÖLFLEX CLASSIC 110 SY 9G0,75_x000D_
)</v>
          </cell>
          <cell r="C5532" t="str">
            <v>LAPP</v>
          </cell>
          <cell r="D5532" t="str">
            <v>Lapp-Non Moving Stocks</v>
          </cell>
        </row>
        <row r="5533">
          <cell r="A5533" t="str">
            <v>1125018 (ÖLFLEX® CLASSIC 110 SY 18G0,5)</v>
          </cell>
          <cell r="B5533" t="str">
            <v>1125018(ÖLFLEX® CLASSIC 110 SY 18G0,5)</v>
          </cell>
          <cell r="C5533" t="str">
            <v>LAPP</v>
          </cell>
          <cell r="D5533" t="str">
            <v>Lapp-Non Moving Stocks</v>
          </cell>
        </row>
        <row r="5534">
          <cell r="A5534" t="str">
            <v>1125025 (ÖLFLEX® CLASSIC 110 SY 25G0,5)</v>
          </cell>
          <cell r="B5534" t="str">
            <v>1125025(ÖLFLEX® CLASSIC 110 SY 25G0,5)</v>
          </cell>
          <cell r="C5534" t="str">
            <v>LAPP</v>
          </cell>
          <cell r="D5534" t="str">
            <v>Lapp-Non Moving Stocks</v>
          </cell>
        </row>
        <row r="5535">
          <cell r="A5535" t="str">
            <v>1125003 (ÖLFLEX® CLASSIC 110 SY 3G0,5)</v>
          </cell>
          <cell r="B5535" t="str">
            <v>1125003(ÖLFLEX® CLASSIC 110 SY 3G0,5)</v>
          </cell>
          <cell r="C5535" t="str">
            <v>LAPP</v>
          </cell>
          <cell r="D5535" t="str">
            <v>Lapp-Non Moving Stocks</v>
          </cell>
        </row>
        <row r="5536">
          <cell r="A5536" t="str">
            <v>387100225 (ÖLFLEX® CONTROL 110 SY FR-LSH 2 x 0.5 1100 V UVAR GY)</v>
          </cell>
          <cell r="B5536" t="str">
            <v>387100225(ÖLFLEX® CONTROL 110 SY FR-LSH 2 x 0.5 1100 V UVAR GY)</v>
          </cell>
          <cell r="C5536" t="str">
            <v>LAPP</v>
          </cell>
          <cell r="D5536" t="str">
            <v>Lapp-Non Moving Stocks</v>
          </cell>
        </row>
        <row r="5537">
          <cell r="A5537" t="str">
            <v>387120225 (ÖLFLEX® CONTROL 110 SY FR-LSH 2 x 1 1100 V UVAR GY)</v>
          </cell>
          <cell r="B5537" t="str">
            <v>387120225(ÖLFLEX® CONTROL 110 SY FR-LSH 2 x 1 1100 V UVAR GY)</v>
          </cell>
          <cell r="C5537" t="str">
            <v>LAPP</v>
          </cell>
          <cell r="D5537" t="str">
            <v>Lapp-Non Moving Stocks</v>
          </cell>
        </row>
        <row r="5538">
          <cell r="A5538" t="str">
            <v>387120325 (ÖLFLEX® CONTROL 110 SY FR-LSH 3 x 1 1100 V UVAR GY)</v>
          </cell>
          <cell r="B5538" t="str">
            <v>387120325(ÖLFLEX® CONTROL 110 SY FR-LSH 3 x 1 1100 V UVAR GY)</v>
          </cell>
          <cell r="C5538" t="str">
            <v>LAPP</v>
          </cell>
          <cell r="D5538" t="str">
            <v>Lapp-Non Moving Stocks</v>
          </cell>
        </row>
        <row r="5539">
          <cell r="A5539" t="str">
            <v>387100625 (ÖLFLEX® CONTROL 110 SY FR-LSH 6 x 0.5 1100 V UVAR GY)</v>
          </cell>
          <cell r="B5539" t="str">
            <v>387100625(ÖLFLEX® CONTROL 110 SY FR-LSH 6 x 0.5 1100 V UVAR GY)</v>
          </cell>
          <cell r="C5539" t="str">
            <v>LAPP</v>
          </cell>
          <cell r="D5539" t="str">
            <v>Lapp-Non Moving Stocks</v>
          </cell>
        </row>
        <row r="5540">
          <cell r="A5540" t="str">
            <v>1136807_x000D_
 ("ÖLFLEX CLASSIC 115 CY 7X0,75"_x000D_
)</v>
          </cell>
          <cell r="B5540" t="str">
            <v>1136807_x000D_
("ÖLFLEX CLASSIC 115 CY 7X0,75"_x000D_
)</v>
          </cell>
          <cell r="C5540" t="str">
            <v>LAPP</v>
          </cell>
          <cell r="D5540" t="str">
            <v>Lapp-Non Moving Stocks</v>
          </cell>
        </row>
        <row r="5541">
          <cell r="A5541" t="str">
            <v>1136405 (OLFLEX CLASSIC 115 CY 5G2,5)</v>
          </cell>
          <cell r="B5541" t="str">
            <v>1136405(OLFLEX CLASSIC 115 CY 5G2,5)</v>
          </cell>
          <cell r="C5541" t="str">
            <v>LAPP</v>
          </cell>
          <cell r="D5541" t="str">
            <v>Lapp-Non Moving Stocks</v>
          </cell>
        </row>
        <row r="5542">
          <cell r="A5542" t="str">
            <v>1136012 (ÖLFLEX CLASSIC 115 CY 12G0,5_x000D_
)</v>
          </cell>
          <cell r="B5542" t="str">
            <v>1136012(ÖLFLEX CLASSIC 115 CY 12G0,5_x000D_
)</v>
          </cell>
          <cell r="C5542" t="str">
            <v>LAPP</v>
          </cell>
          <cell r="D5542" t="str">
            <v>Lapp-Non Moving Stocks</v>
          </cell>
        </row>
        <row r="5543">
          <cell r="A5543" t="str">
            <v>1136762 (ÖLFLEX CLASSIC 115 CY 12X0,5_x000D_
)</v>
          </cell>
          <cell r="B5543" t="str">
            <v>1136762(ÖLFLEX CLASSIC 115 CY 12X0,5_x000D_
)</v>
          </cell>
          <cell r="C5543" t="str">
            <v>LAPP</v>
          </cell>
          <cell r="D5543" t="str">
            <v>Lapp-Non Moving Stocks</v>
          </cell>
        </row>
        <row r="5544">
          <cell r="A5544" t="str">
            <v>1136018 (ÖLFLEX CLASSIC 115 CY 18G0,5)</v>
          </cell>
          <cell r="B5544" t="str">
            <v>1136018(ÖLFLEX CLASSIC 115 CY 18G0,5)</v>
          </cell>
          <cell r="C5544" t="str">
            <v>LAPP</v>
          </cell>
          <cell r="D5544" t="str">
            <v>Lapp-Non Moving Stocks</v>
          </cell>
        </row>
        <row r="5545">
          <cell r="A5545" t="str">
            <v>1136825 (ÖLFLEX CLASSIC 115 CY 25X0,75_x000D_
)</v>
          </cell>
          <cell r="B5545" t="str">
            <v>1136825(ÖLFLEX CLASSIC 115 CY 25X0,75_x000D_
)</v>
          </cell>
          <cell r="C5545" t="str">
            <v>LAPP</v>
          </cell>
          <cell r="D5545" t="str">
            <v>Lapp-Non Moving Stocks</v>
          </cell>
        </row>
        <row r="5546">
          <cell r="A5546" t="str">
            <v>1136752 (ÖLFLEX CLASSIC 115 CY 2X0,5)</v>
          </cell>
          <cell r="B5546" t="str">
            <v>1136752(ÖLFLEX CLASSIC 115 CY 2X0,5)</v>
          </cell>
          <cell r="C5546" t="str">
            <v>LAPP</v>
          </cell>
          <cell r="D5546" t="str">
            <v>Lapp-Non Moving Stocks</v>
          </cell>
        </row>
        <row r="5547">
          <cell r="A5547" t="str">
            <v>1136802 (ÖLFLEX CLASSIC 115 CY 2X0,75)</v>
          </cell>
          <cell r="B5547" t="str">
            <v>1136802(ÖLFLEX CLASSIC 115 CY 2X0,75)</v>
          </cell>
          <cell r="C5547" t="str">
            <v>LAPP</v>
          </cell>
          <cell r="D5547" t="str">
            <v>Lapp-Non Moving Stocks</v>
          </cell>
        </row>
        <row r="5548">
          <cell r="A5548" t="str">
            <v>1136852 (ÖLFLEX CLASSIC 115 CY 2X1_x000D_
)</v>
          </cell>
          <cell r="B5548" t="str">
            <v>1136852(ÖLFLEX CLASSIC 115 CY 2X1_x000D_
)</v>
          </cell>
          <cell r="C5548" t="str">
            <v>LAPP</v>
          </cell>
          <cell r="D5548" t="str">
            <v>Lapp-Non Moving Stocks</v>
          </cell>
        </row>
        <row r="5549">
          <cell r="A5549" t="str">
            <v>1136103 (ÖLFLEX CLASSIC 115 CY 3G0,75)</v>
          </cell>
          <cell r="B5549" t="str">
            <v>1136103(ÖLFLEX CLASSIC 115 CY 3G0,75)</v>
          </cell>
          <cell r="C5549" t="str">
            <v>LAPP</v>
          </cell>
          <cell r="D5549" t="str">
            <v>Lapp-Non Moving Stocks</v>
          </cell>
        </row>
        <row r="5550">
          <cell r="A5550" t="str">
            <v>1136303 (ÖLFLEX CLASSIC 115 CY 3G1,5)</v>
          </cell>
          <cell r="B5550" t="str">
            <v>1136303(ÖLFLEX CLASSIC 115 CY 3G1,5)</v>
          </cell>
          <cell r="C5550" t="str">
            <v>LAPP</v>
          </cell>
          <cell r="D5550" t="str">
            <v>Lapp-Non Moving Stocks</v>
          </cell>
        </row>
        <row r="5551">
          <cell r="A5551" t="str">
            <v>1136753 (ÖLFLEX CLASSIC 115 CY 3X0,5)</v>
          </cell>
          <cell r="B5551" t="str">
            <v>1136753(ÖLFLEX CLASSIC 115 CY 3X0,5)</v>
          </cell>
          <cell r="C5551" t="str">
            <v>LAPP</v>
          </cell>
          <cell r="D5551" t="str">
            <v>Lapp-Non Moving Stocks</v>
          </cell>
        </row>
        <row r="5552">
          <cell r="A5552" t="str">
            <v>1136803_x000D_
 (ÖLFLEX CLASSIC 115 CY 3X0,75)</v>
          </cell>
          <cell r="B5552" t="str">
            <v>1136803_x000D_
(ÖLFLEX CLASSIC 115 CY 3X0,75)</v>
          </cell>
          <cell r="C5552" t="str">
            <v>LAPP</v>
          </cell>
          <cell r="D5552" t="str">
            <v>Lapp-Non Moving Stocks</v>
          </cell>
        </row>
        <row r="5553">
          <cell r="A5553" t="str">
            <v>1136104 (ÖLFLEX CLASSIC 115 CY 4G0,75_x000D_
)</v>
          </cell>
          <cell r="B5553" t="str">
            <v>1136104(ÖLFLEX CLASSIC 115 CY 4G0,75_x000D_
)</v>
          </cell>
          <cell r="C5553" t="str">
            <v>LAPP</v>
          </cell>
          <cell r="D5553" t="str">
            <v>Lapp-Non Moving Stocks</v>
          </cell>
        </row>
        <row r="5554">
          <cell r="A5554" t="str">
            <v>1136204 (ÖLFLEX CLASSIC 115 CY 4G1_x000D_
)</v>
          </cell>
          <cell r="B5554" t="str">
            <v>1136204(ÖLFLEX CLASSIC 115 CY 4G1_x000D_
)</v>
          </cell>
          <cell r="C5554" t="str">
            <v>LAPP</v>
          </cell>
          <cell r="D5554" t="str">
            <v>Lapp-Non Moving Stocks</v>
          </cell>
        </row>
        <row r="5555">
          <cell r="A5555" t="str">
            <v>1136304_x000D_
 (ÖLFLEX CLASSIC 115 CY 4G1,5_x000D_
)</v>
          </cell>
          <cell r="B5555" t="str">
            <v>1136304_x000D_
(ÖLFLEX CLASSIC 115 CY 4G1,5_x000D_
)</v>
          </cell>
          <cell r="C5555" t="str">
            <v>LAPP</v>
          </cell>
          <cell r="D5555" t="str">
            <v>Lapp-Non Moving Stocks</v>
          </cell>
        </row>
        <row r="5556">
          <cell r="A5556" t="str">
            <v>1136404_x000D_
 (ÖLFLEX CLASSIC 115 CY 4G2,5_x000D_
)</v>
          </cell>
          <cell r="B5556" t="str">
            <v>1136404_x000D_
(ÖLFLEX CLASSIC 115 CY 4G2,5_x000D_
)</v>
          </cell>
          <cell r="C5556" t="str">
            <v>LAPP</v>
          </cell>
          <cell r="D5556" t="str">
            <v>Lapp-Non Moving Stocks</v>
          </cell>
        </row>
        <row r="5557">
          <cell r="A5557" t="str">
            <v>1136007 (ÖLFLEX CLASSIC 115 CY 7G0,5_x000D_
)</v>
          </cell>
          <cell r="B5557" t="str">
            <v>1136007(ÖLFLEX CLASSIC 115 CY 7G0,5_x000D_
)</v>
          </cell>
          <cell r="C5557" t="str">
            <v>LAPP</v>
          </cell>
          <cell r="D5557" t="str">
            <v>Lapp-Non Moving Stocks</v>
          </cell>
        </row>
        <row r="5558">
          <cell r="A5558" t="str">
            <v>1136107 (ÖLFLEX CLASSIC 115 CY 7G0,75_x000D_
)</v>
          </cell>
          <cell r="B5558" t="str">
            <v>1136107(ÖLFLEX CLASSIC 115 CY 7G0,75_x000D_
)</v>
          </cell>
          <cell r="C5558" t="str">
            <v>LAPP</v>
          </cell>
          <cell r="D5558" t="str">
            <v>Lapp-Non Moving Stocks</v>
          </cell>
        </row>
        <row r="5559">
          <cell r="A5559" t="str">
            <v>1136515_x000D_
 (ÖLFLEX® CLASSIC 115 CY 5G0,5 BK_x000D_
)</v>
          </cell>
          <cell r="B5559" t="str">
            <v>1136515_x000D_
(ÖLFLEX® CLASSIC 115 CY 5G0,5 BK_x000D_
)</v>
          </cell>
          <cell r="C5559" t="str">
            <v>LAPP</v>
          </cell>
          <cell r="D5559" t="str">
            <v>Lapp-Non Moving Stocks</v>
          </cell>
        </row>
        <row r="5560">
          <cell r="A5560" t="str">
            <v>1123166 (ÖLFLEX CLASSIC 130 H 3G6_x000D_
)</v>
          </cell>
          <cell r="B5560" t="str">
            <v>1123166(ÖLFLEX CLASSIC 130 H 3G6_x000D_
)</v>
          </cell>
          <cell r="C5560" t="str">
            <v>LAPP</v>
          </cell>
          <cell r="D5560" t="str">
            <v>Lapp-Non Moving Stocks</v>
          </cell>
        </row>
        <row r="5561">
          <cell r="A5561" t="str">
            <v>1123236 (ÖLFLEX CLASSIC 135 CH 4X0,75_x000D_
)</v>
          </cell>
          <cell r="B5561" t="str">
            <v>1123236(ÖLFLEX CLASSIC 135 CH 4X0,75_x000D_
)</v>
          </cell>
          <cell r="C5561" t="str">
            <v>LAPP</v>
          </cell>
          <cell r="D5561" t="str">
            <v>Lapp-Non Moving Stocks</v>
          </cell>
        </row>
        <row r="5562">
          <cell r="A5562" t="str">
            <v>1123419 (ÖLFLEX CLASSIC 130 H BK 0,6/1 kV 3G1,5_x000D_
)</v>
          </cell>
          <cell r="B5562" t="str">
            <v>1123419(ÖLFLEX CLASSIC 130 H BK 0,6/1 kV 3G1,5_x000D_
)</v>
          </cell>
          <cell r="C5562" t="str">
            <v>LAPP</v>
          </cell>
          <cell r="D5562" t="str">
            <v>Lapp-Non Moving Stocks</v>
          </cell>
        </row>
        <row r="5563">
          <cell r="A5563" t="str">
            <v>1123439 (ÖLFLEX CLASSIC 130 H BK 0.6/1 kV 5G6_x000D_
)</v>
          </cell>
          <cell r="B5563" t="str">
            <v>1123439(ÖLFLEX CLASSIC 130 H BK 0.6/1 kV 5G6_x000D_
)</v>
          </cell>
          <cell r="C5563" t="str">
            <v>LAPP</v>
          </cell>
          <cell r="D5563" t="str">
            <v>Lapp-Non Moving Stocks</v>
          </cell>
        </row>
        <row r="5564">
          <cell r="A5564" t="str">
            <v>1123488 (ÖLFLEX CLASSIC 135 CH BK 0,6/1 kV 4G6_x000D_
)</v>
          </cell>
          <cell r="B5564" t="str">
            <v>1123488(ÖLFLEX CLASSIC 135 CH BK 0,6/1 kV 4G6_x000D_
)</v>
          </cell>
          <cell r="C5564" t="str">
            <v>LAPP</v>
          </cell>
          <cell r="D5564" t="str">
            <v>Lapp-Non Moving Stocks</v>
          </cell>
        </row>
        <row r="5565">
          <cell r="A5565" t="str">
            <v>0015234 (ÖLFLEX 150 34G1)</v>
          </cell>
          <cell r="B5565" t="str">
            <v>0015234(ÖLFLEX 150 34G1)</v>
          </cell>
          <cell r="C5565" t="str">
            <v>LAPP</v>
          </cell>
          <cell r="D5565" t="str">
            <v>Lapp-Non Moving Stocks</v>
          </cell>
        </row>
        <row r="5566">
          <cell r="A5566" t="str">
            <v>0015012 (ÖLFLEX 150 QUATTRO 12G0,5/21AWG_x000D_
)</v>
          </cell>
          <cell r="B5566" t="str">
            <v>0015012(ÖLFLEX 150 QUATTRO 12G0,5/21AWG_x000D_
)</v>
          </cell>
          <cell r="C5566" t="str">
            <v>LAPP</v>
          </cell>
          <cell r="D5566" t="str">
            <v>Lapp-Non Moving Stocks</v>
          </cell>
        </row>
        <row r="5567">
          <cell r="A5567" t="str">
            <v>0015112 (ÖLFLEX 150 QUATTRO 12G0,75/19AWG_x000D_
)</v>
          </cell>
          <cell r="B5567" t="str">
            <v>0015112(ÖLFLEX 150 QUATTRO 12G0,75/19AWG_x000D_
)</v>
          </cell>
          <cell r="C5567" t="str">
            <v>LAPP</v>
          </cell>
          <cell r="D5567" t="str">
            <v>Lapp-Non Moving Stocks</v>
          </cell>
        </row>
        <row r="5568">
          <cell r="A5568" t="str">
            <v>0015212 (ÖLFLEX 150 QUATTRO 12G1/18AWG)</v>
          </cell>
          <cell r="B5568" t="str">
            <v>0015212(ÖLFLEX 150 QUATTRO 12G1/18AWG)</v>
          </cell>
          <cell r="C5568" t="str">
            <v>LAPP</v>
          </cell>
          <cell r="D5568" t="str">
            <v>Lapp-Non Moving Stocks</v>
          </cell>
        </row>
        <row r="5569">
          <cell r="A5569" t="str">
            <v>0015312_x000D_
 (ÖLFLEX 150 QUATTRO 12G1,5/16AWG_x000D_
)</v>
          </cell>
          <cell r="B5569" t="str">
            <v>0015312_x000D_
(ÖLFLEX 150 QUATTRO 12G1,5/16AWG_x000D_
)</v>
          </cell>
          <cell r="C5569" t="str">
            <v>LAPP</v>
          </cell>
          <cell r="D5569" t="str">
            <v>Lapp-Non Moving Stocks</v>
          </cell>
        </row>
        <row r="5570">
          <cell r="A5570" t="str">
            <v>0015412_x000D_
 (ÖLFLEX 150 QUATTRO 12G2,5/14AWG_x000D_
)</v>
          </cell>
          <cell r="B5570" t="str">
            <v>0015412_x000D_
(ÖLFLEX 150 QUATTRO 12G2,5/14AWG_x000D_
)</v>
          </cell>
          <cell r="C5570" t="str">
            <v>LAPP</v>
          </cell>
          <cell r="D5570" t="str">
            <v>Lapp-Non Moving Stocks</v>
          </cell>
        </row>
        <row r="5571">
          <cell r="A5571" t="str">
            <v>0015118 (ÖLFLEX 150 QUATTRO 18G0,75/19AWG_x000D_
)</v>
          </cell>
          <cell r="B5571" t="str">
            <v>0015118(ÖLFLEX 150 QUATTRO 18G0,75/19AWG_x000D_
)</v>
          </cell>
          <cell r="C5571" t="str">
            <v>LAPP</v>
          </cell>
          <cell r="D5571" t="str">
            <v>Lapp-Non Moving Stocks</v>
          </cell>
        </row>
        <row r="5572">
          <cell r="A5572" t="str">
            <v>0015218 (ÖLFLEX 150 QUATTRO 18G1/18AWG)</v>
          </cell>
          <cell r="B5572" t="str">
            <v>0015218(ÖLFLEX 150 QUATTRO 18G1/18AWG)</v>
          </cell>
          <cell r="C5572" t="str">
            <v>LAPP</v>
          </cell>
          <cell r="D5572" t="str">
            <v>Lapp-Non Moving Stocks</v>
          </cell>
        </row>
        <row r="5573">
          <cell r="A5573" t="str">
            <v>0015318_x000D_
 (ÖLFLEX 150 QUATTRO 18G1,5/16AWG_x000D_
)</v>
          </cell>
          <cell r="B5573" t="str">
            <v>0015318_x000D_
(ÖLFLEX 150 QUATTRO 18G1,5/16AWG_x000D_
)</v>
          </cell>
          <cell r="C5573" t="str">
            <v>LAPP</v>
          </cell>
          <cell r="D5573" t="str">
            <v>Lapp-Non Moving Stocks</v>
          </cell>
        </row>
        <row r="5574">
          <cell r="A5574" t="str">
            <v>0015025 (ÖLFLEX 150 QUATTRO 25G0,5/21AWG_x000D_
)</v>
          </cell>
          <cell r="B5574" t="str">
            <v>0015025(ÖLFLEX 150 QUATTRO 25G0,5/21AWG_x000D_
)</v>
          </cell>
          <cell r="C5574" t="str">
            <v>LAPP</v>
          </cell>
          <cell r="D5574" t="str">
            <v>Lapp-Non Moving Stocks</v>
          </cell>
        </row>
        <row r="5575">
          <cell r="A5575" t="str">
            <v>0015125_x000D_
 (ÖLFLEX 150 QUATTRO 25G0,75/19AWG_x000D_
)</v>
          </cell>
          <cell r="B5575" t="str">
            <v>0015125_x000D_
(ÖLFLEX 150 QUATTRO 25G0,75/19AWG_x000D_
)</v>
          </cell>
          <cell r="C5575" t="str">
            <v>LAPP</v>
          </cell>
          <cell r="D5575" t="str">
            <v>Lapp-Non Moving Stocks</v>
          </cell>
        </row>
        <row r="5576">
          <cell r="A5576" t="str">
            <v>0015225_x000D_
 (ÖLFLEX 150 QUATTRO 25G1/18AWG_x000D_
)</v>
          </cell>
          <cell r="B5576" t="str">
            <v>0015225_x000D_
(ÖLFLEX 150 QUATTRO 25G1/18AWG_x000D_
)</v>
          </cell>
          <cell r="C5576" t="str">
            <v>LAPP</v>
          </cell>
          <cell r="D5576" t="str">
            <v>Lapp-Non Moving Stocks</v>
          </cell>
        </row>
        <row r="5577">
          <cell r="A5577" t="str">
            <v>0015002_x000D_
 (ÖLFLEX 150 QUATTRO 2X0,5_x000D_
)</v>
          </cell>
          <cell r="B5577" t="str">
            <v>0015002_x000D_
(ÖLFLEX 150 QUATTRO 2X0,5_x000D_
)</v>
          </cell>
          <cell r="C5577" t="str">
            <v>LAPP</v>
          </cell>
          <cell r="D5577" t="str">
            <v>Lapp-Non Moving Stocks</v>
          </cell>
        </row>
        <row r="5578">
          <cell r="A5578" t="str">
            <v>0015102 (ÖLFLEX 150 QUATTRO 2X0,75/19AWG_x000D_
)</v>
          </cell>
          <cell r="B5578" t="str">
            <v>0015102(ÖLFLEX 150 QUATTRO 2X0,75/19AWG_x000D_
)</v>
          </cell>
          <cell r="C5578" t="str">
            <v>LAPP</v>
          </cell>
          <cell r="D5578" t="str">
            <v>Lapp-Non Moving Stocks</v>
          </cell>
        </row>
        <row r="5579">
          <cell r="A5579" t="str">
            <v>0015202 (ÖLFLEX 150 QUATTRO 2X1/18AWG_x000D_
)</v>
          </cell>
          <cell r="B5579" t="str">
            <v>0015202(ÖLFLEX 150 QUATTRO 2X1/18AWG_x000D_
)</v>
          </cell>
          <cell r="C5579" t="str">
            <v>LAPP</v>
          </cell>
          <cell r="D5579" t="str">
            <v>Lapp-Non Moving Stocks</v>
          </cell>
        </row>
        <row r="5580">
          <cell r="A5580" t="str">
            <v>0015302 (ÖLFLEX 150 QUATTRO 2X1,5/16AWG_x000D_
)</v>
          </cell>
          <cell r="B5580" t="str">
            <v>0015302(ÖLFLEX 150 QUATTRO 2X1,5/16AWG_x000D_
)</v>
          </cell>
          <cell r="C5580" t="str">
            <v>LAPP</v>
          </cell>
          <cell r="D5580" t="str">
            <v>Lapp-Non Moving Stocks</v>
          </cell>
        </row>
        <row r="5581">
          <cell r="A5581" t="str">
            <v>0015334 (ÖLFLEX 150 QUATTRO 34G1,5/16AWG_x000D_
)</v>
          </cell>
          <cell r="B5581" t="str">
            <v>0015334(ÖLFLEX 150 QUATTRO 34G1,5/16AWG_x000D_
)</v>
          </cell>
          <cell r="C5581" t="str">
            <v>LAPP</v>
          </cell>
          <cell r="D5581" t="str">
            <v>Lapp-Non Moving Stocks</v>
          </cell>
        </row>
        <row r="5582">
          <cell r="A5582" t="str">
            <v>0015003 (ÖLFLEX 150 QUATTRO 3G0,5/21AWG_x000D_
)</v>
          </cell>
          <cell r="B5582" t="str">
            <v>0015003(ÖLFLEX 150 QUATTRO 3G0,5/21AWG_x000D_
)</v>
          </cell>
          <cell r="C5582" t="str">
            <v>LAPP</v>
          </cell>
          <cell r="D5582" t="str">
            <v>Lapp-Non Moving Stocks</v>
          </cell>
        </row>
        <row r="5583">
          <cell r="A5583" t="str">
            <v>0015103 (ÖLFLEX 150 QUATTRO 3G0,75/19AWG)</v>
          </cell>
          <cell r="B5583" t="str">
            <v>0015103(ÖLFLEX 150 QUATTRO 3G0,75/19AWG)</v>
          </cell>
          <cell r="C5583" t="str">
            <v>LAPP</v>
          </cell>
          <cell r="D5583" t="str">
            <v>Lapp-Non Moving Stocks</v>
          </cell>
        </row>
        <row r="5584">
          <cell r="A5584" t="str">
            <v>0015203 (ÖLFLEX 150 QUATTRO 3G1/18AWG)</v>
          </cell>
          <cell r="B5584" t="str">
            <v>0015203(ÖLFLEX 150 QUATTRO 3G1/18AWG)</v>
          </cell>
          <cell r="C5584" t="str">
            <v>LAPP</v>
          </cell>
          <cell r="D5584" t="str">
            <v>Lapp-Non Moving Stocks</v>
          </cell>
        </row>
        <row r="5585">
          <cell r="A5585" t="str">
            <v>0015303_x000D_
 (ÖLFLEX 150 QUATTRO 3G1,5/16AWG_x000D_
)</v>
          </cell>
          <cell r="B5585" t="str">
            <v>0015303_x000D_
(ÖLFLEX 150 QUATTRO 3G1,5/16AWG_x000D_
)</v>
          </cell>
          <cell r="C5585" t="str">
            <v>LAPP</v>
          </cell>
          <cell r="D5585" t="str">
            <v>Lapp-Non Moving Stocks</v>
          </cell>
        </row>
        <row r="5586">
          <cell r="A5586" t="str">
            <v>0015403_x000D_
 (ÖLFLEX 150 QUATTRO 3G2,5/14AWG_x000D_
)</v>
          </cell>
          <cell r="B5586" t="str">
            <v>0015403_x000D_
(ÖLFLEX 150 QUATTRO 3G2,5/14AWG_x000D_
)</v>
          </cell>
          <cell r="C5586" t="str">
            <v>LAPP</v>
          </cell>
          <cell r="D5586" t="str">
            <v>Lapp-Non Moving Stocks</v>
          </cell>
        </row>
        <row r="5587">
          <cell r="A5587" t="str">
            <v>0015204_x000D_
 (ÖLFLEX 150 QUATTRO 4G1/18AWG_x000D_
)</v>
          </cell>
          <cell r="B5587" t="str">
            <v>0015204_x000D_
(ÖLFLEX 150 QUATTRO 4G1/18AWG_x000D_
)</v>
          </cell>
          <cell r="C5587" t="str">
            <v>LAPP</v>
          </cell>
          <cell r="D5587" t="str">
            <v>Lapp-Non Moving Stocks</v>
          </cell>
        </row>
        <row r="5588">
          <cell r="A5588" t="str">
            <v>0015304_x000D_
 (ÖLFLEX 150 QUATTRO 4G1,5/16AWG_x000D_
)</v>
          </cell>
          <cell r="B5588" t="str">
            <v>0015304_x000D_
(ÖLFLEX 150 QUATTRO 4G1,5/16AWG_x000D_
)</v>
          </cell>
          <cell r="C5588" t="str">
            <v>LAPP</v>
          </cell>
          <cell r="D5588" t="str">
            <v>Lapp-Non Moving Stocks</v>
          </cell>
        </row>
        <row r="5589">
          <cell r="A5589" t="str">
            <v>0015404 (ÖLFLEX 150 QUATTRO 4G2,5/14AWG)</v>
          </cell>
          <cell r="B5589" t="str">
            <v>0015404(ÖLFLEX 150 QUATTRO 4G2,5/14AWG)</v>
          </cell>
          <cell r="C5589" t="str">
            <v>LAPP</v>
          </cell>
          <cell r="D5589" t="str">
            <v>Lapp-Non Moving Stocks</v>
          </cell>
        </row>
        <row r="5590">
          <cell r="A5590" t="str">
            <v>0015105 (ÖLFLEX 150 QUATTRO 5G0,75/19AWG_x000D_
)</v>
          </cell>
          <cell r="B5590" t="str">
            <v>0015105(ÖLFLEX 150 QUATTRO 5G0,75/19AWG_x000D_
)</v>
          </cell>
          <cell r="C5590" t="str">
            <v>LAPP</v>
          </cell>
          <cell r="D5590" t="str">
            <v>Lapp-Non Moving Stocks</v>
          </cell>
        </row>
        <row r="5591">
          <cell r="A5591" t="str">
            <v>0015205_x000D_
 (ÖLFLEX 150 QUATTRO 5G1/18AWG_x000D_
)</v>
          </cell>
          <cell r="B5591" t="str">
            <v>0015205_x000D_
(ÖLFLEX 150 QUATTRO 5G1/18AWG_x000D_
)</v>
          </cell>
          <cell r="C5591" t="str">
            <v>LAPP</v>
          </cell>
          <cell r="D5591" t="str">
            <v>Lapp-Non Moving Stocks</v>
          </cell>
        </row>
        <row r="5592">
          <cell r="A5592" t="str">
            <v>0015305_x000D_
 (ÖLFLEX 150 QUATTRO 5G1,5/16AWG_x000D_
)</v>
          </cell>
          <cell r="B5592" t="str">
            <v>0015305_x000D_
(ÖLFLEX 150 QUATTRO 5G1,5/16AWG_x000D_
)</v>
          </cell>
          <cell r="C5592" t="str">
            <v>LAPP</v>
          </cell>
          <cell r="D5592" t="str">
            <v>Lapp-Non Moving Stocks</v>
          </cell>
        </row>
        <row r="5593">
          <cell r="A5593" t="str">
            <v>0015405_x000D_
 (ÖLFLEX 150 QUATTRO 5G2,5/14AWG_x000D_
)</v>
          </cell>
          <cell r="B5593" t="str">
            <v>0015405_x000D_
(ÖLFLEX 150 QUATTRO 5G2,5/14AWG_x000D_
)</v>
          </cell>
          <cell r="C5593" t="str">
            <v>LAPP</v>
          </cell>
          <cell r="D5593" t="str">
            <v>Lapp-Non Moving Stocks</v>
          </cell>
        </row>
        <row r="5594">
          <cell r="A5594" t="str">
            <v>0015206 (ÖLFLEX 150 QUATTRO 6G1_x000D_
)</v>
          </cell>
          <cell r="B5594" t="str">
            <v>0015206(ÖLFLEX 150 QUATTRO 6G1_x000D_
)</v>
          </cell>
          <cell r="C5594" t="str">
            <v>LAPP</v>
          </cell>
          <cell r="D5594" t="str">
            <v>Lapp-Non Moving Stocks</v>
          </cell>
        </row>
        <row r="5595">
          <cell r="A5595" t="str">
            <v>0015007 (ÖLFLEX 150 QUATTRO 7G0,5/21AWG_x000D_
)</v>
          </cell>
          <cell r="B5595" t="str">
            <v>0015007(ÖLFLEX 150 QUATTRO 7G0,5/21AWG_x000D_
)</v>
          </cell>
          <cell r="C5595" t="str">
            <v>LAPP</v>
          </cell>
          <cell r="D5595" t="str">
            <v>Lapp-Non Moving Stocks</v>
          </cell>
        </row>
        <row r="5596">
          <cell r="A5596" t="str">
            <v>0015207_x000D_
 (ÖLFLEX 150 QUATTRO 7G1/18AWG_x000D_
)</v>
          </cell>
          <cell r="B5596" t="str">
            <v>0015207_x000D_
(ÖLFLEX 150 QUATTRO 7G1/18AWG_x000D_
)</v>
          </cell>
          <cell r="C5596" t="str">
            <v>LAPP</v>
          </cell>
          <cell r="D5596" t="str">
            <v>Lapp-Non Moving Stocks</v>
          </cell>
        </row>
        <row r="5597">
          <cell r="A5597" t="str">
            <v>0015307_x000D_
 (ÖLFLEX 150 QUATTRO 7G1,5/16AWG_x000D_
)</v>
          </cell>
          <cell r="B5597" t="str">
            <v>0015307_x000D_
(ÖLFLEX 150 QUATTRO 7G1,5/16AWG_x000D_
)</v>
          </cell>
          <cell r="C5597" t="str">
            <v>LAPP</v>
          </cell>
          <cell r="D5597" t="str">
            <v>Lapp-Non Moving Stocks</v>
          </cell>
        </row>
        <row r="5598">
          <cell r="A5598" t="str">
            <v>0015407_x000D_
 (ÖLFLEX 150 QUATTRO 7G2,5/14AWG_x000D_
)</v>
          </cell>
          <cell r="B5598" t="str">
            <v>0015407_x000D_
(ÖLFLEX 150 QUATTRO 7G2,5/14AWG_x000D_
)</v>
          </cell>
          <cell r="C5598" t="str">
            <v>LAPP</v>
          </cell>
          <cell r="D5598" t="str">
            <v>Lapp-Non Moving Stocks</v>
          </cell>
        </row>
        <row r="5599">
          <cell r="A5599" t="str">
            <v>0015603 (ÖLFLEX 150 CY QUATTRO 3G0,75/19AWG_x000D_
)</v>
          </cell>
          <cell r="B5599" t="str">
            <v>0015603(ÖLFLEX 150 CY QUATTRO 3G0,75/19AWG_x000D_
)</v>
          </cell>
          <cell r="C5599" t="str">
            <v>LAPP</v>
          </cell>
          <cell r="D5599" t="str">
            <v>Lapp-Non Moving Stocks</v>
          </cell>
        </row>
        <row r="5600">
          <cell r="A5600" t="str">
            <v>0015903_x000D_
 (ÖLFLEX 150 CY QUATTRO 3G2,5/14AWG_x000D_
)</v>
          </cell>
          <cell r="B5600" t="str">
            <v>0015903_x000D_
(ÖLFLEX 150 CY QUATTRO 3G2,5/14AWG_x000D_
)</v>
          </cell>
          <cell r="C5600" t="str">
            <v>LAPP</v>
          </cell>
          <cell r="D5600" t="str">
            <v>Lapp-Non Moving Stocks</v>
          </cell>
        </row>
        <row r="5601">
          <cell r="A5601" t="str">
            <v>0015604_x000D_
 (ÖLFLEX 150 CY QUATTRO 4G0,75/19AWG_x000D_
)</v>
          </cell>
          <cell r="B5601" t="str">
            <v>0015604_x000D_
(ÖLFLEX 150 CY QUATTRO 4G0,75/19AWG_x000D_
)</v>
          </cell>
          <cell r="C5601" t="str">
            <v>LAPP</v>
          </cell>
          <cell r="D5601" t="str">
            <v>Lapp-Non Moving Stocks</v>
          </cell>
        </row>
        <row r="5602">
          <cell r="A5602" t="str">
            <v>0015704_x000D_
 (ÖLFLEX 150 CY QUATTRO 4G1/18AWG_x000D_
)</v>
          </cell>
          <cell r="B5602" t="str">
            <v>0015704_x000D_
(ÖLFLEX 150 CY QUATTRO 4G1/18AWG_x000D_
)</v>
          </cell>
          <cell r="C5602" t="str">
            <v>LAPP</v>
          </cell>
          <cell r="D5602" t="str">
            <v>Lapp-Non Moving Stocks</v>
          </cell>
        </row>
        <row r="5603">
          <cell r="A5603" t="str">
            <v>0015805 (ÖLFLEX 150 CY QUATTRO 5G1,5/16AWG_x000D_
)</v>
          </cell>
          <cell r="B5603" t="str">
            <v>0015805(ÖLFLEX 150 CY QUATTRO 5G1,5/16AWG_x000D_
)</v>
          </cell>
          <cell r="C5603" t="str">
            <v>LAPP</v>
          </cell>
          <cell r="D5603" t="str">
            <v>Lapp-Non Moving Stocks</v>
          </cell>
        </row>
        <row r="5604">
          <cell r="A5604" t="str">
            <v>0015802 (ÖLFLEX® 150 CY 2X1,5)</v>
          </cell>
          <cell r="B5604" t="str">
            <v>0015802(ÖLFLEX® 150 CY 2X1,5)</v>
          </cell>
          <cell r="C5604" t="str">
            <v>LAPP</v>
          </cell>
          <cell r="D5604" t="str">
            <v>Lapp-Non Moving Stocks</v>
          </cell>
        </row>
        <row r="5605">
          <cell r="A5605" t="str">
            <v>0011143_x000D_
 (ÖLFLEX 191 18G1,5/16AWG_x000D_
)</v>
          </cell>
          <cell r="B5605" t="str">
            <v>0011143_x000D_
(ÖLFLEX 191 18G1,5/16AWG_x000D_
)</v>
          </cell>
          <cell r="C5605" t="str">
            <v>LAPP</v>
          </cell>
          <cell r="D5605" t="str">
            <v>Lapp-Non Moving Stocks</v>
          </cell>
        </row>
        <row r="5606">
          <cell r="A5606" t="str">
            <v>0011113 (ÖLFLEX 191 3G1/18AWG_x000D_
)</v>
          </cell>
          <cell r="B5606" t="str">
            <v>0011113(ÖLFLEX 191 3G1/18AWG_x000D_
)</v>
          </cell>
          <cell r="C5606" t="str">
            <v>LAPP</v>
          </cell>
          <cell r="D5606" t="str">
            <v>Lapp-Non Moving Stocks</v>
          </cell>
        </row>
        <row r="5607">
          <cell r="A5607" t="str">
            <v>0011137 (ÖLFLEX 191 3G1,5_x000D_
)</v>
          </cell>
          <cell r="B5607" t="str">
            <v>0011137(ÖLFLEX 191 3G1,5_x000D_
)</v>
          </cell>
          <cell r="C5607" t="str">
            <v>LAPP</v>
          </cell>
          <cell r="D5607" t="str">
            <v>Lapp-Non Moving Stocks</v>
          </cell>
        </row>
        <row r="5608">
          <cell r="A5608" t="str">
            <v>0011114 (ÖLFLEX 191 4G1/18AWG_x000D_
)</v>
          </cell>
          <cell r="B5608" t="str">
            <v>0011114(ÖLFLEX 191 4G1/18AWG_x000D_
)</v>
          </cell>
          <cell r="C5608" t="str">
            <v>LAPP</v>
          </cell>
          <cell r="D5608" t="str">
            <v>Lapp-Non Moving Stocks</v>
          </cell>
        </row>
        <row r="5609">
          <cell r="A5609" t="str">
            <v>0011138 (ÖLFLEX 191 4G1,5/16AWG_x000D_
)</v>
          </cell>
          <cell r="B5609" t="str">
            <v>0011138(ÖLFLEX 191 4G1,5/16AWG_x000D_
)</v>
          </cell>
          <cell r="C5609" t="str">
            <v>LAPP</v>
          </cell>
          <cell r="D5609" t="str">
            <v>Lapp-Non Moving Stocks</v>
          </cell>
        </row>
        <row r="5610">
          <cell r="A5610" t="str">
            <v>0011172 (ÖLFLEX 191 4G16/6AWG_x000D_
)</v>
          </cell>
          <cell r="B5610" t="str">
            <v>0011172(ÖLFLEX 191 4G16/6AWG_x000D_
)</v>
          </cell>
          <cell r="C5610" t="str">
            <v>LAPP</v>
          </cell>
          <cell r="D5610" t="str">
            <v>Lapp-Non Moving Stocks</v>
          </cell>
        </row>
        <row r="5611">
          <cell r="A5611" t="str">
            <v>0011151 (ÖLFLEX 191 4G2,5/14AWG_x000D_
)</v>
          </cell>
          <cell r="B5611" t="str">
            <v>0011151(ÖLFLEX 191 4G2,5/14AWG_x000D_
)</v>
          </cell>
          <cell r="C5611" t="str">
            <v>LAPP</v>
          </cell>
          <cell r="D5611" t="str">
            <v>Lapp-Non Moving Stocks</v>
          </cell>
        </row>
        <row r="5612">
          <cell r="A5612" t="str">
            <v>0011178 (ÖLFLEX 191 4G35)</v>
          </cell>
          <cell r="B5612" t="str">
            <v>0011178(ÖLFLEX 191 4G35)</v>
          </cell>
          <cell r="C5612" t="str">
            <v>LAPP</v>
          </cell>
          <cell r="D5612" t="str">
            <v>Lapp-Non Moving Stocks</v>
          </cell>
        </row>
        <row r="5613">
          <cell r="A5613" t="str">
            <v>0011207_x000D_
 (ÖLFLEX 191 4G95/3/0AWG_x000D_
)</v>
          </cell>
          <cell r="B5613" t="str">
            <v>0011207_x000D_
(ÖLFLEX 191 4G95/3/0AWG_x000D_
)</v>
          </cell>
          <cell r="C5613" t="str">
            <v>LAPP</v>
          </cell>
          <cell r="D5613" t="str">
            <v>Lapp-Non Moving Stocks</v>
          </cell>
        </row>
        <row r="5614">
          <cell r="A5614" t="str">
            <v>0011115 (ÖLFLEX 191 5G1/18AWG_x000D_
)</v>
          </cell>
          <cell r="B5614" t="str">
            <v>0011115(ÖLFLEX 191 5G1/18AWG_x000D_
)</v>
          </cell>
          <cell r="C5614" t="str">
            <v>LAPP</v>
          </cell>
          <cell r="D5614" t="str">
            <v>Lapp-Non Moving Stocks</v>
          </cell>
        </row>
        <row r="5615">
          <cell r="A5615" t="str">
            <v>0011173 (ÖLFLEX 191 5G16/6AWG_x000D_
)</v>
          </cell>
          <cell r="B5615" t="str">
            <v>0011173(ÖLFLEX 191 5G16/6AWG_x000D_
)</v>
          </cell>
          <cell r="C5615" t="str">
            <v>LAPP</v>
          </cell>
          <cell r="D5615" t="str">
            <v>Lapp-Non Moving Stocks</v>
          </cell>
        </row>
        <row r="5616">
          <cell r="A5616" t="str">
            <v>0011152 (ÖLFLEX 191 5G2,5/14AWG_x000D_
)</v>
          </cell>
          <cell r="B5616" t="str">
            <v>0011152(ÖLFLEX 191 5G2,5/14AWG_x000D_
)</v>
          </cell>
          <cell r="C5616" t="str">
            <v>LAPP</v>
          </cell>
          <cell r="D5616" t="str">
            <v>Lapp-Non Moving Stocks</v>
          </cell>
        </row>
        <row r="5617">
          <cell r="A5617" t="str">
            <v>0011162 (ÖLFLEX 191 5G4)</v>
          </cell>
          <cell r="B5617" t="str">
            <v>0011162(ÖLFLEX 191 5G4)</v>
          </cell>
          <cell r="C5617" t="str">
            <v>LAPP</v>
          </cell>
          <cell r="D5617" t="str">
            <v>Lapp-Non Moving Stocks</v>
          </cell>
        </row>
        <row r="5618">
          <cell r="A5618" t="str">
            <v>0011166_x000D_
 (ÖLFLEX 191 5G6_x000D_
)</v>
          </cell>
          <cell r="B5618" t="str">
            <v>0011166_x000D_
(ÖLFLEX 191 5G6_x000D_
)</v>
          </cell>
          <cell r="C5618" t="str">
            <v>LAPP</v>
          </cell>
          <cell r="D5618" t="str">
            <v>Lapp-Non Moving Stocks</v>
          </cell>
        </row>
        <row r="5619">
          <cell r="A5619" t="str">
            <v>0011167 (ÖLFLEX 191 7G4/12AWG_x000D_
)</v>
          </cell>
          <cell r="B5619" t="str">
            <v>0011167(ÖLFLEX 191 7G4/12AWG_x000D_
)</v>
          </cell>
          <cell r="C5619" t="str">
            <v>LAPP</v>
          </cell>
          <cell r="D5619" t="str">
            <v>Lapp-Non Moving Stocks</v>
          </cell>
        </row>
        <row r="5620">
          <cell r="A5620" t="str">
            <v>0011118 (ÖLFLEX® 191 18G1)</v>
          </cell>
          <cell r="B5620" t="str">
            <v>0011118(ÖLFLEX® 191 18G1)</v>
          </cell>
          <cell r="C5620" t="str">
            <v>LAPP</v>
          </cell>
          <cell r="D5620" t="str">
            <v>Lapp-Non Moving Stocks</v>
          </cell>
        </row>
        <row r="5621">
          <cell r="A5621" t="str">
            <v>0011193 (ÖLFLEX 191 CY 25G1,5/16AWG_x000D_
)</v>
          </cell>
          <cell r="B5621" t="str">
            <v>0011193(ÖLFLEX 191 CY 25G1,5/16AWG_x000D_
)</v>
          </cell>
          <cell r="C5621" t="str">
            <v>LAPP</v>
          </cell>
          <cell r="D5621" t="str">
            <v>Lapp-Non Moving Stocks</v>
          </cell>
        </row>
        <row r="5622">
          <cell r="A5622" t="str">
            <v>1312212 (ÖLFLEX CLASSIC 400 P 12G1_x000D_
)</v>
          </cell>
          <cell r="B5622" t="str">
            <v>1312212(ÖLFLEX CLASSIC 400 P 12G1_x000D_
)</v>
          </cell>
          <cell r="C5622" t="str">
            <v>LAPP</v>
          </cell>
          <cell r="D5622" t="str">
            <v>Lapp-Non Moving Stocks</v>
          </cell>
        </row>
        <row r="5623">
          <cell r="A5623" t="str">
            <v>1312225 (ÖLFLEX CLASSIC 400 P 25G1_x000D_
)</v>
          </cell>
          <cell r="B5623" t="str">
            <v>1312225(ÖLFLEX CLASSIC 400 P 25G1_x000D_
)</v>
          </cell>
          <cell r="C5623" t="str">
            <v>LAPP</v>
          </cell>
          <cell r="D5623" t="str">
            <v>Lapp-Non Moving Stocks</v>
          </cell>
        </row>
        <row r="5624">
          <cell r="A5624" t="str">
            <v>1312802 (ÖLFLEX CLASSIC 400 P 2X0,5_x000D_
)</v>
          </cell>
          <cell r="B5624" t="str">
            <v>1312802(ÖLFLEX CLASSIC 400 P 2X0,5_x000D_
)</v>
          </cell>
          <cell r="C5624" t="str">
            <v>LAPP</v>
          </cell>
          <cell r="D5624" t="str">
            <v>Lapp-Non Moving Stocks</v>
          </cell>
        </row>
        <row r="5625">
          <cell r="A5625" t="str">
            <v>1312852 (ÖLFLEX CLASSIC 400 P 2X0,75)</v>
          </cell>
          <cell r="B5625" t="str">
            <v>1312852(ÖLFLEX CLASSIC 400 P 2X0,75)</v>
          </cell>
          <cell r="C5625" t="str">
            <v>LAPP</v>
          </cell>
          <cell r="D5625" t="str">
            <v>Lapp-Non Moving Stocks</v>
          </cell>
        </row>
        <row r="5626">
          <cell r="A5626" t="str">
            <v>1312902 (ÖLFLEX CLASSIC 400 P 2X1_x000D_
)</v>
          </cell>
          <cell r="B5626" t="str">
            <v>1312902(ÖLFLEX CLASSIC 400 P 2X1_x000D_
)</v>
          </cell>
          <cell r="C5626" t="str">
            <v>LAPP</v>
          </cell>
          <cell r="D5626" t="str">
            <v>Lapp-Non Moving Stocks</v>
          </cell>
        </row>
        <row r="5627">
          <cell r="A5627" t="str">
            <v>1312952 (ÖLFLEX CLASSIC 400 P 2X1,5_x000D_
)</v>
          </cell>
          <cell r="B5627" t="str">
            <v>1312952(ÖLFLEX CLASSIC 400 P 2X1,5_x000D_
)</v>
          </cell>
          <cell r="C5627" t="str">
            <v>LAPP</v>
          </cell>
          <cell r="D5627" t="str">
            <v>Lapp-Non Moving Stocks</v>
          </cell>
        </row>
        <row r="5628">
          <cell r="A5628" t="str">
            <v>1312003 (ÖLFLEX CLASSIC 400 P 3G0,5_x000D_
)</v>
          </cell>
          <cell r="B5628" t="str">
            <v>1312003(ÖLFLEX CLASSIC 400 P 3G0,5_x000D_
)</v>
          </cell>
          <cell r="C5628" t="str">
            <v>LAPP</v>
          </cell>
          <cell r="D5628" t="str">
            <v>Lapp-Non Moving Stocks</v>
          </cell>
        </row>
        <row r="5629">
          <cell r="A5629" t="str">
            <v>1312303 (ÖLFLEX CLASSIC 400 P 3G1,5_x000D_
)</v>
          </cell>
          <cell r="B5629" t="str">
            <v>1312303(ÖLFLEX CLASSIC 400 P 3G1,5_x000D_
)</v>
          </cell>
          <cell r="C5629" t="str">
            <v>LAPP</v>
          </cell>
          <cell r="D5629" t="str">
            <v>Lapp-Non Moving Stocks</v>
          </cell>
        </row>
        <row r="5630">
          <cell r="A5630" t="str">
            <v>1312403 (ÖLFLEX CLASSIC 400 P 3G2,5_x000D_
)</v>
          </cell>
          <cell r="B5630" t="str">
            <v>1312403(ÖLFLEX CLASSIC 400 P 3G2,5_x000D_
)</v>
          </cell>
          <cell r="C5630" t="str">
            <v>LAPP</v>
          </cell>
          <cell r="D5630" t="str">
            <v>Lapp-Non Moving Stocks</v>
          </cell>
        </row>
        <row r="5631">
          <cell r="A5631" t="str">
            <v>1312853 (ÖLFLEX CLASSIC 400 P 3X0,75)</v>
          </cell>
          <cell r="B5631" t="str">
            <v>1312853(ÖLFLEX CLASSIC 400 P 3X0,75)</v>
          </cell>
          <cell r="C5631" t="str">
            <v>LAPP</v>
          </cell>
          <cell r="D5631" t="str">
            <v>Lapp-Non Moving Stocks</v>
          </cell>
        </row>
        <row r="5632">
          <cell r="A5632" t="str">
            <v>1312004 (ÖLFLEX CLASSIC 400 P 4G0,5_x000D_
)</v>
          </cell>
          <cell r="B5632" t="str">
            <v>1312004(ÖLFLEX CLASSIC 400 P 4G0,5_x000D_
)</v>
          </cell>
          <cell r="C5632" t="str">
            <v>LAPP</v>
          </cell>
          <cell r="D5632" t="str">
            <v>Lapp-Non Moving Stocks</v>
          </cell>
        </row>
        <row r="5633">
          <cell r="A5633" t="str">
            <v>1312204 (ÖLFLEX CLASSIC 400 P 4G1_x000D_
)</v>
          </cell>
          <cell r="B5633" t="str">
            <v>1312204(ÖLFLEX CLASSIC 400 P 4G1_x000D_
)</v>
          </cell>
          <cell r="C5633" t="str">
            <v>LAPP</v>
          </cell>
          <cell r="D5633" t="str">
            <v>Lapp-Non Moving Stocks</v>
          </cell>
        </row>
        <row r="5634">
          <cell r="A5634" t="str">
            <v>1312404 (ÖLFLEX CLASSIC 400 P 4G2,5_x000D_
)</v>
          </cell>
          <cell r="B5634" t="str">
            <v>1312404(ÖLFLEX CLASSIC 400 P 4G2,5_x000D_
)</v>
          </cell>
          <cell r="C5634" t="str">
            <v>LAPP</v>
          </cell>
          <cell r="D5634" t="str">
            <v>Lapp-Non Moving Stocks</v>
          </cell>
        </row>
        <row r="5635">
          <cell r="A5635" t="str">
            <v>1312504 (ÖLFLEX CLASSIC 400 P 4G4_x000D_
)</v>
          </cell>
          <cell r="B5635" t="str">
            <v>1312504(ÖLFLEX CLASSIC 400 P 4G4_x000D_
)</v>
          </cell>
          <cell r="C5635" t="str">
            <v>LAPP</v>
          </cell>
          <cell r="D5635" t="str">
            <v>Lapp-Non Moving Stocks</v>
          </cell>
        </row>
        <row r="5636">
          <cell r="A5636" t="str">
            <v>1312604 (ÖLFLEX CLASSIC 400 P 4G6_x000D_
)</v>
          </cell>
          <cell r="B5636" t="str">
            <v>1312604(ÖLFLEX CLASSIC 400 P 4G6_x000D_
)</v>
          </cell>
          <cell r="C5636" t="str">
            <v>LAPP</v>
          </cell>
          <cell r="D5636" t="str">
            <v>Lapp-Non Moving Stocks</v>
          </cell>
        </row>
        <row r="5637">
          <cell r="A5637" t="str">
            <v>1312954 (ÖLFLEX CLASSIC 400 P 4X1,5_x000D_
)</v>
          </cell>
          <cell r="B5637" t="str">
            <v>1312954(ÖLFLEX CLASSIC 400 P 4X1,5_x000D_
)</v>
          </cell>
          <cell r="C5637" t="str">
            <v>LAPP</v>
          </cell>
          <cell r="D5637" t="str">
            <v>Lapp-Non Moving Stocks</v>
          </cell>
        </row>
        <row r="5638">
          <cell r="A5638" t="str">
            <v>1312205 (ÖLFLEX CLASSIC 400 P 5G1_x000D_
)</v>
          </cell>
          <cell r="B5638" t="str">
            <v>1312205(ÖLFLEX CLASSIC 400 P 5G1_x000D_
)</v>
          </cell>
          <cell r="C5638" t="str">
            <v>LAPP</v>
          </cell>
          <cell r="D5638" t="str">
            <v>Lapp-Non Moving Stocks</v>
          </cell>
        </row>
        <row r="5639">
          <cell r="A5639" t="str">
            <v>1312207 (ÖLFLEX CLASSIC 400 P 7G1_x000D_
)</v>
          </cell>
          <cell r="B5639" t="str">
            <v>1312207(ÖLFLEX CLASSIC 400 P 7G1_x000D_
)</v>
          </cell>
          <cell r="C5639" t="str">
            <v>LAPP</v>
          </cell>
          <cell r="D5639" t="str">
            <v>Lapp-Non Moving Stocks</v>
          </cell>
        </row>
        <row r="5640">
          <cell r="A5640" t="str">
            <v>1312607 (ÖLFLEX CLASSIC 400 P 7G6_x000D_
)</v>
          </cell>
          <cell r="B5640" t="str">
            <v>1312607(ÖLFLEX CLASSIC 400 P 7G6_x000D_
)</v>
          </cell>
          <cell r="C5640" t="str">
            <v>LAPP</v>
          </cell>
          <cell r="D5640" t="str">
            <v>Lapp-Non Moving Stocks</v>
          </cell>
        </row>
        <row r="5641">
          <cell r="A5641" t="str">
            <v>1312012 (ÖLFLEX® CLASSIC 400 P 12G0,5)</v>
          </cell>
          <cell r="B5641" t="str">
            <v>1312012(ÖLFLEX® CLASSIC 400 P 12G0,5)</v>
          </cell>
          <cell r="C5641" t="str">
            <v>LAPP</v>
          </cell>
          <cell r="D5641" t="str">
            <v>Lapp-Non Moving Stocks</v>
          </cell>
        </row>
        <row r="5642">
          <cell r="A5642" t="str">
            <v>1312018 (ÖLFLEX® CLASSIC 400 P 18G0,5)</v>
          </cell>
          <cell r="B5642" t="str">
            <v>1312018(ÖLFLEX® CLASSIC 400 P 18G0,5)</v>
          </cell>
          <cell r="C5642" t="str">
            <v>LAPP</v>
          </cell>
          <cell r="D5642" t="str">
            <v>Lapp-Non Moving Stocks</v>
          </cell>
        </row>
        <row r="5643">
          <cell r="A5643" t="str">
            <v>1312025 (ÖLFLEX® CLASSIC 400 P 25G0,5)</v>
          </cell>
          <cell r="B5643" t="str">
            <v>1312025(ÖLFLEX® CLASSIC 400 P 25G0,5)</v>
          </cell>
          <cell r="C5643" t="str">
            <v>LAPP</v>
          </cell>
          <cell r="D5643" t="str">
            <v>Lapp-Non Moving Stocks</v>
          </cell>
        </row>
        <row r="5644">
          <cell r="A5644" t="str">
            <v>1314010 (ÖLFLEX CLASSIC 415 CP 12G0,5_x000D_
)</v>
          </cell>
          <cell r="B5644" t="str">
            <v>1314010(ÖLFLEX CLASSIC 415 CP 12G0,5_x000D_
)</v>
          </cell>
          <cell r="C5644" t="str">
            <v>LAPP</v>
          </cell>
          <cell r="D5644" t="str">
            <v>Lapp-Non Moving Stocks</v>
          </cell>
        </row>
        <row r="5645">
          <cell r="A5645" t="str">
            <v>1314041 (ÖLFLEX CLASSIC 415 CP 12G1_x000D_
)</v>
          </cell>
          <cell r="B5645" t="str">
            <v>1314041(ÖLFLEX CLASSIC 415 CP 12G1_x000D_
)</v>
          </cell>
          <cell r="C5645" t="str">
            <v>LAPP</v>
          </cell>
          <cell r="D5645" t="str">
            <v>Lapp-Non Moving Stocks</v>
          </cell>
        </row>
        <row r="5646">
          <cell r="A5646" t="str">
            <v>1314000 (ÖLFLEX CLASSIC 415 CP 2X0.5_x000D_
)</v>
          </cell>
          <cell r="B5646" t="str">
            <v>1314000(ÖLFLEX CLASSIC 415 CP 2X0.5_x000D_
)</v>
          </cell>
          <cell r="C5646" t="str">
            <v>LAPP</v>
          </cell>
          <cell r="D5646" t="str">
            <v>Lapp-Non Moving Stocks</v>
          </cell>
        </row>
        <row r="5647">
          <cell r="A5647" t="str">
            <v>1314061 (ÖLFLEX CLASSIC 415 CP 3G2,5_x000D_
)</v>
          </cell>
          <cell r="B5647" t="str">
            <v>1314061(ÖLFLEX CLASSIC 415 CP 3G2,5_x000D_
)</v>
          </cell>
          <cell r="C5647" t="str">
            <v>LAPP</v>
          </cell>
          <cell r="D5647" t="str">
            <v>Lapp-Non Moving Stocks</v>
          </cell>
        </row>
        <row r="5648">
          <cell r="A5648" t="str">
            <v>1314035 (ÖLFLEX CLASSIC 415 CP 4G1_x000D_
)</v>
          </cell>
          <cell r="B5648" t="str">
            <v>1314035(ÖLFLEX CLASSIC 415 CP 4G1_x000D_
)</v>
          </cell>
          <cell r="C5648" t="str">
            <v>LAPP</v>
          </cell>
          <cell r="D5648" t="str">
            <v>Lapp-Non Moving Stocks</v>
          </cell>
        </row>
        <row r="5649">
          <cell r="A5649" t="str">
            <v>00136123_x000D_
 (ÖLFLEX 550 P 4G1 NCC_x000D_
)</v>
          </cell>
          <cell r="B5649" t="str">
            <v>00136123_x000D_
(ÖLFLEX 550 P 4G1 NCC_x000D_
)</v>
          </cell>
          <cell r="C5649" t="str">
            <v>LAPP</v>
          </cell>
          <cell r="D5649" t="str">
            <v>Lapp-Non Moving Stocks</v>
          </cell>
        </row>
        <row r="5650">
          <cell r="A5650" t="str">
            <v>1026700 (ÖLFLEX CHAIN 809 2X0,5_x000D_
)</v>
          </cell>
          <cell r="B5650" t="str">
            <v>1026700(ÖLFLEX CHAIN 809 2X0,5_x000D_
)</v>
          </cell>
          <cell r="C5650" t="str">
            <v>LAPP</v>
          </cell>
          <cell r="D5650" t="str">
            <v>Lapp-Non Moving Stocks</v>
          </cell>
        </row>
        <row r="5651">
          <cell r="A5651" t="str">
            <v>1026720 (ÖLFLEX CHAIN 809 7G1,0_x000D_
)</v>
          </cell>
          <cell r="B5651" t="str">
            <v>1026720(ÖLFLEX CHAIN 809 7G1,0_x000D_
)</v>
          </cell>
          <cell r="C5651" t="str">
            <v>LAPP</v>
          </cell>
          <cell r="D5651" t="str">
            <v>Lapp-Non Moving Stocks</v>
          </cell>
        </row>
        <row r="5652">
          <cell r="A5652" t="str">
            <v>1026775 (ÖLFLEX CHAIN 809 CY 2X1,5_x000D_
)</v>
          </cell>
          <cell r="B5652" t="str">
            <v>1026775(ÖLFLEX CHAIN 809 CY 2X1,5_x000D_
)</v>
          </cell>
          <cell r="C5652" t="str">
            <v>LAPP</v>
          </cell>
          <cell r="D5652" t="str">
            <v>Lapp-Non Moving Stocks</v>
          </cell>
        </row>
        <row r="5653">
          <cell r="A5653" t="str">
            <v>1062941 (ÖLFLEX CHAIN 809 SC CY 1X10)</v>
          </cell>
          <cell r="B5653" t="str">
            <v>1062941(ÖLFLEX CHAIN 809 SC CY 1X10)</v>
          </cell>
          <cell r="C5653" t="str">
            <v>LAPP</v>
          </cell>
          <cell r="D5653" t="str">
            <v>Lapp-Non Moving Stocks</v>
          </cell>
        </row>
        <row r="5654">
          <cell r="A5654" t="str">
            <v>1062940 (ÖLFLEX CHAIN 809 SC CY 1X6)</v>
          </cell>
          <cell r="B5654" t="str">
            <v>1062940(ÖLFLEX CHAIN 809 SC CY 1X6)</v>
          </cell>
          <cell r="C5654" t="str">
            <v>LAPP</v>
          </cell>
          <cell r="D5654" t="str">
            <v>Lapp-Non Moving Stocks</v>
          </cell>
        </row>
        <row r="5655">
          <cell r="A5655" t="str">
            <v>1026781 (ÖLFLEX® CHAIN 809 CY 18G1,5)</v>
          </cell>
          <cell r="B5655" t="str">
            <v>1026781(ÖLFLEX® CHAIN 809 CY 18G1,5)</v>
          </cell>
          <cell r="C5655" t="str">
            <v>LAPP</v>
          </cell>
          <cell r="D5655" t="str">
            <v>Lapp-Non Moving Stocks</v>
          </cell>
        </row>
        <row r="5656">
          <cell r="A5656" t="str">
            <v>281825 (ÖLFLEX CONTROL TM 25G1)</v>
          </cell>
          <cell r="B5656" t="str">
            <v>281825(ÖLFLEX CONTROL TM 25G1)</v>
          </cell>
          <cell r="C5656" t="str">
            <v>LAPP</v>
          </cell>
          <cell r="D5656" t="str">
            <v>Lapp-Non Moving Stocks</v>
          </cell>
        </row>
        <row r="5657">
          <cell r="A5657" t="str">
            <v>281804 (ÖLFLEX CONTROL TM 4G1_x000D_
)</v>
          </cell>
          <cell r="B5657" t="str">
            <v>281804(ÖLFLEX CONTROL TM 4G1_x000D_
)</v>
          </cell>
          <cell r="C5657" t="str">
            <v>LAPP</v>
          </cell>
          <cell r="D5657" t="str">
            <v>Lapp-Non Moving Stocks</v>
          </cell>
        </row>
        <row r="5658">
          <cell r="A5658" t="str">
            <v>281603CY_x000D_
 (ÖLFLEX CONTROL TM CY 3G1,5_x000D_
)</v>
          </cell>
          <cell r="B5658" t="str">
            <v>281603CY_x000D_
(ÖLFLEX CONTROL TM CY 3G1,5_x000D_
)</v>
          </cell>
          <cell r="C5658" t="str">
            <v>LAPP</v>
          </cell>
          <cell r="D5658" t="str">
            <v>Lapp-Non Moving Stocks</v>
          </cell>
        </row>
        <row r="5659">
          <cell r="A5659" t="str">
            <v>281403CY_x000D_
 (ÖLFLEX CONTROL TM CY 3G2,5_x000D_
)</v>
          </cell>
          <cell r="B5659" t="str">
            <v>281403CY_x000D_
(ÖLFLEX CONTROL TM CY 3G2,5_x000D_
)</v>
          </cell>
          <cell r="C5659" t="str">
            <v>LAPP</v>
          </cell>
          <cell r="D5659" t="str">
            <v>Lapp-Non Moving Stocks</v>
          </cell>
        </row>
        <row r="5660">
          <cell r="A5660" t="str">
            <v>280804CY_x000D_
 (ÖLFLEX CONTROL TM CY 4G10_x000D_
)</v>
          </cell>
          <cell r="B5660" t="str">
            <v>280804CY_x000D_
(ÖLFLEX CONTROL TM CY 4G10_x000D_
)</v>
          </cell>
          <cell r="C5660" t="str">
            <v>LAPP</v>
          </cell>
          <cell r="D5660" t="str">
            <v>Lapp-Non Moving Stocks</v>
          </cell>
        </row>
        <row r="5661">
          <cell r="A5661" t="str">
            <v>281204CY_x000D_
 (ÖLFLEX CONTROL TM CY 4G4_x000D_
)</v>
          </cell>
          <cell r="B5661" t="str">
            <v>281204CY_x000D_
(ÖLFLEX CONTROL TM CY 4G4_x000D_
)</v>
          </cell>
          <cell r="C5661" t="str">
            <v>LAPP</v>
          </cell>
          <cell r="D5661" t="str">
            <v>Lapp-Non Moving Stocks</v>
          </cell>
        </row>
        <row r="5662">
          <cell r="A5662" t="str">
            <v>0041083 (ÖLFLEX CRANE CF 4G16)</v>
          </cell>
          <cell r="B5662" t="str">
            <v>0041083(ÖLFLEX CRANE CF 4G16)</v>
          </cell>
          <cell r="C5662" t="str">
            <v>LAPP</v>
          </cell>
          <cell r="D5662" t="str">
            <v>Lapp-Non Moving Stocks</v>
          </cell>
        </row>
        <row r="5663">
          <cell r="A5663" t="str">
            <v>0041059 (ÖLFLEX CRANE F 4G16)</v>
          </cell>
          <cell r="B5663" t="str">
            <v>0041059(ÖLFLEX CRANE F 4G16)</v>
          </cell>
          <cell r="C5663" t="str">
            <v>LAPP</v>
          </cell>
          <cell r="D5663" t="str">
            <v>Lapp-Non Moving Stocks</v>
          </cell>
        </row>
        <row r="5664">
          <cell r="A5664" t="str">
            <v>0041049 (ÖLFLEX CRANE F 7G2,5_x000D_
)</v>
          </cell>
          <cell r="B5664" t="str">
            <v>0041049(ÖLFLEX CRANE F 7G2,5_x000D_
)</v>
          </cell>
          <cell r="C5664" t="str">
            <v>LAPP</v>
          </cell>
          <cell r="D5664" t="str">
            <v>Lapp-Non Moving Stocks</v>
          </cell>
        </row>
        <row r="5665">
          <cell r="A5665" t="str">
            <v>0027503 (ÖLFLEX CRANE 2S 8G1,5_x000D_
)</v>
          </cell>
          <cell r="B5665" t="str">
            <v>0027503(ÖLFLEX CRANE 2S 8G1,5_x000D_
)</v>
          </cell>
          <cell r="C5665" t="str">
            <v>LAPP</v>
          </cell>
          <cell r="D5665" t="str">
            <v>Lapp-Non Moving Stocks</v>
          </cell>
        </row>
        <row r="5666">
          <cell r="A5666" t="str">
            <v>2027505 (ÖLFLEX CRANE 2ST 20G1.5)</v>
          </cell>
          <cell r="B5666" t="str">
            <v>2027505(ÖLFLEX CRANE 2ST 20G1.5)</v>
          </cell>
          <cell r="C5666" t="str">
            <v>LAPP</v>
          </cell>
          <cell r="D5666" t="str">
            <v>Lapp-Non Moving Stocks</v>
          </cell>
        </row>
        <row r="5667">
          <cell r="A5667" t="str">
            <v>00390193 (ÖLFLEX CRANE 4G1,5)</v>
          </cell>
          <cell r="B5667" t="str">
            <v>00390193(ÖLFLEX CRANE 4G1,5)</v>
          </cell>
          <cell r="C5667" t="str">
            <v>LAPP</v>
          </cell>
          <cell r="D5667" t="str">
            <v>Lapp-Non Moving Stocks</v>
          </cell>
        </row>
        <row r="5668">
          <cell r="A5668" t="str">
            <v>0041046 (ÖLFLEX CRANE F 12G1,5_x000D_
)</v>
          </cell>
          <cell r="B5668" t="str">
            <v>0041046(ÖLFLEX CRANE F 12G1,5_x000D_
)</v>
          </cell>
          <cell r="C5668" t="str">
            <v>LAPP</v>
          </cell>
          <cell r="D5668" t="str">
            <v>Lapp-Non Moving Stocks</v>
          </cell>
        </row>
        <row r="5669">
          <cell r="A5669" t="str">
            <v>0041047 (ÖLFLEX CRANE F 4G2,5_x000D_
)</v>
          </cell>
          <cell r="B5669" t="str">
            <v>0041047(ÖLFLEX CRANE F 4G2,5_x000D_
)</v>
          </cell>
          <cell r="C5669" t="str">
            <v>LAPP</v>
          </cell>
          <cell r="D5669" t="str">
            <v>Lapp-Non Moving Stocks</v>
          </cell>
        </row>
        <row r="5670">
          <cell r="A5670" t="str">
            <v>0041054 (ÖLFLEX CRANE F 4G6_x000D_
)</v>
          </cell>
          <cell r="B5670" t="str">
            <v>0041054(ÖLFLEX CRANE F 4G6_x000D_
)</v>
          </cell>
          <cell r="C5670" t="str">
            <v>LAPP</v>
          </cell>
          <cell r="D5670" t="str">
            <v>Lapp-Non Moving Stocks</v>
          </cell>
        </row>
        <row r="5671">
          <cell r="A5671" t="str">
            <v>0045228 (ÖLFLEX CRANE PUR 4G6_x000D_
)</v>
          </cell>
          <cell r="B5671" t="str">
            <v>0045228(ÖLFLEX CRANE PUR 4G6_x000D_
)</v>
          </cell>
          <cell r="C5671" t="str">
            <v>LAPP</v>
          </cell>
          <cell r="D5671" t="str">
            <v>Lapp-Non Moving Stocks</v>
          </cell>
        </row>
        <row r="5672">
          <cell r="A5672" t="str">
            <v>0045211 (ÖLFLEX® CRANE PUR 12G1,5)</v>
          </cell>
          <cell r="B5672" t="str">
            <v>0045211(ÖLFLEX® CRANE PUR 12G1,5)</v>
          </cell>
          <cell r="C5672" t="str">
            <v>LAPP</v>
          </cell>
          <cell r="D5672" t="str">
            <v>Lapp-Non Moving Stocks</v>
          </cell>
        </row>
        <row r="5673">
          <cell r="A5673" t="str">
            <v>0045222 (ÖLFLEX® CRANE PUR 18G2,5)</v>
          </cell>
          <cell r="B5673" t="str">
            <v>0045222(ÖLFLEX® CRANE PUR 18G2,5)</v>
          </cell>
          <cell r="C5673" t="str">
            <v>LAPP</v>
          </cell>
          <cell r="D5673" t="str">
            <v>Lapp-Non Moving Stocks</v>
          </cell>
        </row>
        <row r="5674">
          <cell r="A5674" t="str">
            <v>0012654_x000D_
 (ÖLFLEX EB CY 12X1_x000D_
)</v>
          </cell>
          <cell r="B5674" t="str">
            <v>0012654_x000D_
(ÖLFLEX EB CY 12X1_x000D_
)</v>
          </cell>
          <cell r="C5674" t="str">
            <v>LAPP</v>
          </cell>
          <cell r="D5674" t="str">
            <v>Lapp-Non Moving Stocks</v>
          </cell>
        </row>
        <row r="5675">
          <cell r="A5675" t="str">
            <v>0012646 (ÖLFLEX EB CY 18X0,75_x000D_
)</v>
          </cell>
          <cell r="B5675" t="str">
            <v>0012646(ÖLFLEX EB CY 18X0,75_x000D_
)</v>
          </cell>
          <cell r="C5675" t="str">
            <v>LAPP</v>
          </cell>
          <cell r="D5675" t="str">
            <v>Lapp-Non Moving Stocks</v>
          </cell>
        </row>
        <row r="5676">
          <cell r="A5676" t="str">
            <v>0012655_x000D_
 (ÖLFLEX EB CY 18X1_x000D_
)</v>
          </cell>
          <cell r="B5676" t="str">
            <v>0012655_x000D_
(ÖLFLEX EB CY 18X1_x000D_
)</v>
          </cell>
          <cell r="C5676" t="str">
            <v>LAPP</v>
          </cell>
          <cell r="D5676" t="str">
            <v>Lapp-Non Moving Stocks</v>
          </cell>
        </row>
        <row r="5677">
          <cell r="A5677" t="str">
            <v>0012656_x000D_
 (ÖLFLEX EB CY 25X1_x000D_
)</v>
          </cell>
          <cell r="B5677" t="str">
            <v>0012656_x000D_
(ÖLFLEX EB CY 25X1_x000D_
)</v>
          </cell>
          <cell r="C5677" t="str">
            <v>LAPP</v>
          </cell>
          <cell r="D5677" t="str">
            <v>Lapp-Non Moving Stocks</v>
          </cell>
        </row>
        <row r="5678">
          <cell r="A5678" t="str">
            <v>0012640 (ÖLFLEX EB CY 2X0,75_x000D_
)</v>
          </cell>
          <cell r="B5678" t="str">
            <v>0012640(ÖLFLEX EB CY 2X0,75_x000D_
)</v>
          </cell>
          <cell r="C5678" t="str">
            <v>LAPP</v>
          </cell>
          <cell r="D5678" t="str">
            <v>Lapp-Non Moving Stocks</v>
          </cell>
        </row>
        <row r="5679">
          <cell r="A5679" t="str">
            <v>0012641_x000D_
 (ÖLFLEX EB CY 3X0,75)</v>
          </cell>
          <cell r="B5679" t="str">
            <v>0012641_x000D_
(ÖLFLEX EB CY 3X0,75)</v>
          </cell>
          <cell r="C5679" t="str">
            <v>LAPP</v>
          </cell>
          <cell r="D5679" t="str">
            <v>Lapp-Non Moving Stocks</v>
          </cell>
        </row>
        <row r="5680">
          <cell r="A5680" t="str">
            <v>0012641 (ÖLFLEX EB CY 3X0,75_x000D_
)</v>
          </cell>
          <cell r="B5680" t="str">
            <v>0012641(ÖLFLEX EB CY 3X0,75_x000D_
)</v>
          </cell>
          <cell r="C5680" t="str">
            <v>LAPP</v>
          </cell>
          <cell r="D5680" t="str">
            <v>Lapp-Non Moving Stocks</v>
          </cell>
        </row>
        <row r="5681">
          <cell r="A5681" t="str">
            <v>0012651_x000D_
 (ÖLFLEX EB CY 3X1_x000D_
)</v>
          </cell>
          <cell r="B5681" t="str">
            <v>0012651_x000D_
(ÖLFLEX EB CY 3X1_x000D_
)</v>
          </cell>
          <cell r="C5681" t="str">
            <v>LAPP</v>
          </cell>
          <cell r="D5681" t="str">
            <v>Lapp-Non Moving Stocks</v>
          </cell>
        </row>
        <row r="5682">
          <cell r="A5682" t="str">
            <v>0012643 (ÖLFLEX EB CY 5X0,75_x000D_
)</v>
          </cell>
          <cell r="B5682" t="str">
            <v>0012643(ÖLFLEX EB CY 5X0,75_x000D_
)</v>
          </cell>
          <cell r="C5682" t="str">
            <v>LAPP</v>
          </cell>
          <cell r="D5682" t="str">
            <v>Lapp-Non Moving Stocks</v>
          </cell>
        </row>
        <row r="5683">
          <cell r="A5683" t="str">
            <v>0012652_x000D_
 (ÖLFLEX EB CY 5X1_x000D_
)</v>
          </cell>
          <cell r="B5683" t="str">
            <v>0012652_x000D_
(ÖLFLEX EB CY 5X1_x000D_
)</v>
          </cell>
          <cell r="C5683" t="str">
            <v>LAPP</v>
          </cell>
          <cell r="D5683" t="str">
            <v>Lapp-Non Moving Stocks</v>
          </cell>
        </row>
        <row r="5684">
          <cell r="A5684" t="str">
            <v>0012644 (ÖLFLEX EB CY 7X0,75_x000D_
)</v>
          </cell>
          <cell r="B5684" t="str">
            <v>0012644(ÖLFLEX EB CY 7X0,75_x000D_
)</v>
          </cell>
          <cell r="C5684" t="str">
            <v>LAPP</v>
          </cell>
          <cell r="D5684" t="str">
            <v>Lapp-Non Moving Stocks</v>
          </cell>
        </row>
        <row r="5685">
          <cell r="A5685" t="str">
            <v>0012660 (ÖLFLEX® EB CY 2X1,5)</v>
          </cell>
          <cell r="B5685" t="str">
            <v>0012660(ÖLFLEX® EB CY 2X1,5)</v>
          </cell>
          <cell r="C5685" t="str">
            <v>LAPP</v>
          </cell>
          <cell r="D5685" t="str">
            <v>Lapp-Non Moving Stocks</v>
          </cell>
        </row>
        <row r="5686">
          <cell r="A5686" t="str">
            <v>0012663 (ÖLFLEX® EB CY 7X1,5)</v>
          </cell>
          <cell r="B5686" t="str">
            <v>0012663(ÖLFLEX® EB CY 7X1,5)</v>
          </cell>
          <cell r="C5686" t="str">
            <v>LAPP</v>
          </cell>
          <cell r="D5686" t="str">
            <v>Lapp-Non Moving Stocks</v>
          </cell>
        </row>
        <row r="5687">
          <cell r="A5687" t="str">
            <v>0152045 (KN92L NiCr/Ni KCA 2x0,75 DIN_x000D_
)</v>
          </cell>
          <cell r="B5687" t="str">
            <v>0152045(KN92L NiCr/Ni KCA 2x0,75 DIN_x000D_
)</v>
          </cell>
          <cell r="C5687" t="str">
            <v>LAPP</v>
          </cell>
          <cell r="D5687" t="str">
            <v>Lapp-Non Moving Stocks</v>
          </cell>
        </row>
        <row r="5688">
          <cell r="A5688" t="str">
            <v>0026103 (OLFLEX-FD CLASSIC 810 5G0,5_x000D_
)</v>
          </cell>
          <cell r="B5688" t="str">
            <v>0026103(OLFLEX-FD CLASSIC 810 5G0,5_x000D_
)</v>
          </cell>
          <cell r="C5688" t="str">
            <v>LAPP</v>
          </cell>
          <cell r="D5688" t="str">
            <v>Lapp-Non Moving Stocks</v>
          </cell>
        </row>
        <row r="5689">
          <cell r="A5689" t="str">
            <v>0026126 (ÖLFLEX CLASSIC FD 810 18G0,75)</v>
          </cell>
          <cell r="B5689" t="str">
            <v>0026126(ÖLFLEX CLASSIC FD 810 18G0,75)</v>
          </cell>
          <cell r="C5689" t="str">
            <v>LAPP</v>
          </cell>
          <cell r="D5689" t="str">
            <v>Lapp-Non Moving Stocks</v>
          </cell>
        </row>
        <row r="5690">
          <cell r="A5690" t="str">
            <v>0026107 (ÖLFLEX CLASSIC FD 810 25G0,5)</v>
          </cell>
          <cell r="B5690" t="str">
            <v>0026107(ÖLFLEX CLASSIC FD 810 25G0,5)</v>
          </cell>
          <cell r="C5690" t="str">
            <v>LAPP</v>
          </cell>
          <cell r="D5690" t="str">
            <v>Lapp-Non Moving Stocks</v>
          </cell>
        </row>
        <row r="5691">
          <cell r="A5691" t="str">
            <v>0026139 (ÖLFLEX CLASSIC FD 810 25G1)</v>
          </cell>
          <cell r="B5691" t="str">
            <v>0026139(ÖLFLEX CLASSIC FD 810 25G1)</v>
          </cell>
          <cell r="C5691" t="str">
            <v>LAPP</v>
          </cell>
          <cell r="D5691" t="str">
            <v>Lapp-Non Moving Stocks</v>
          </cell>
        </row>
        <row r="5692">
          <cell r="A5692" t="str">
            <v>0026108 (ÖLFLEX CLASSIC FD 810 30G0,5)</v>
          </cell>
          <cell r="B5692" t="str">
            <v>0026108(ÖLFLEX CLASSIC FD 810 30G0,5)</v>
          </cell>
          <cell r="C5692" t="str">
            <v>LAPP</v>
          </cell>
          <cell r="D5692" t="str">
            <v>Lapp-Non Moving Stocks</v>
          </cell>
        </row>
        <row r="5693">
          <cell r="A5693" t="str">
            <v>0026109 (ÖLFLEX CLASSIC FD 810 34G0,5)</v>
          </cell>
          <cell r="B5693" t="str">
            <v>0026109(ÖLFLEX CLASSIC FD 810 34G0,5)</v>
          </cell>
          <cell r="C5693" t="str">
            <v>LAPP</v>
          </cell>
          <cell r="D5693" t="str">
            <v>Lapp-Non Moving Stocks</v>
          </cell>
        </row>
        <row r="5694">
          <cell r="A5694" t="str">
            <v>0026110 (ÖLFLEX CLASSIC FD 810 50G0,5)</v>
          </cell>
          <cell r="B5694" t="str">
            <v>0026110(ÖLFLEX CLASSIC FD 810 50G0,5)</v>
          </cell>
          <cell r="C5694" t="str">
            <v>LAPP</v>
          </cell>
          <cell r="D5694" t="str">
            <v>Lapp-Non Moving Stocks</v>
          </cell>
        </row>
        <row r="5695">
          <cell r="A5695" t="str">
            <v>0026133 (ÖLFLEX CLASSIC FD 810 5G1)</v>
          </cell>
          <cell r="B5695" t="str">
            <v>0026133(ÖLFLEX CLASSIC FD 810 5G1)</v>
          </cell>
          <cell r="C5695" t="str">
            <v>LAPP</v>
          </cell>
          <cell r="D5695" t="str">
            <v>Lapp-Non Moving Stocks</v>
          </cell>
        </row>
        <row r="5696">
          <cell r="A5696" t="str">
            <v>0026105_x000D_
 (ÖLFLEX FD CLASSIC 810 12G0,5_x000D_
)</v>
          </cell>
          <cell r="B5696" t="str">
            <v>0026105_x000D_
(ÖLFLEX FD CLASSIC 810 12G0,5_x000D_
)</v>
          </cell>
          <cell r="C5696" t="str">
            <v>LAPP</v>
          </cell>
          <cell r="D5696" t="str">
            <v>Lapp-Non Moving Stocks</v>
          </cell>
        </row>
        <row r="5697">
          <cell r="A5697" t="str">
            <v>0026135 (ÖLFLEX FD CLASSIC 810 12G1_x000D_
)</v>
          </cell>
          <cell r="B5697" t="str">
            <v>0026135(ÖLFLEX FD CLASSIC 810 12G1_x000D_
)</v>
          </cell>
          <cell r="C5697" t="str">
            <v>LAPP</v>
          </cell>
          <cell r="D5697" t="str">
            <v>Lapp-Non Moving Stocks</v>
          </cell>
        </row>
        <row r="5698">
          <cell r="A5698" t="str">
            <v>0026125_x000D_
 (ÖLFLEX FD CLASSIC 810 16G0,75_x000D_
)</v>
          </cell>
          <cell r="B5698" t="str">
            <v>0026125 (ÖLFLEX FD CLASSIC 810 16G0,75 )</v>
          </cell>
          <cell r="C5698" t="str">
            <v>LAPP</v>
          </cell>
          <cell r="D5698" t="str">
            <v>Lapp-Non Moving Stocks</v>
          </cell>
        </row>
        <row r="5699">
          <cell r="A5699" t="str">
            <v>0026106 (ÖLFLEX FD CLASSIC 810 18G0,5_x000D_
)</v>
          </cell>
          <cell r="B5699" t="str">
            <v>0026106(ÖLFLEX FD CLASSIC 810 18G0,5_x000D_
)</v>
          </cell>
          <cell r="C5699" t="str">
            <v>LAPP</v>
          </cell>
          <cell r="D5699" t="str">
            <v>Lapp-Non Moving Stocks</v>
          </cell>
        </row>
        <row r="5700">
          <cell r="A5700" t="str">
            <v>0026138_x000D_
 (ÖLFLEX FD CLASSIC 810 18G1_x000D_
)</v>
          </cell>
          <cell r="B5700" t="str">
            <v>0026138_x000D_
(ÖLFLEX FD CLASSIC 810 18G1_x000D_
)</v>
          </cell>
          <cell r="C5700" t="str">
            <v>LAPP</v>
          </cell>
          <cell r="D5700" t="str">
            <v>Lapp-Non Moving Stocks</v>
          </cell>
        </row>
        <row r="5701">
          <cell r="A5701" t="str">
            <v>0026127_x000D_
 (ÖLFLEX FD CLASSIC 810 25G0,75_x000D_
)</v>
          </cell>
          <cell r="B5701" t="str">
            <v>0026127_x000D_
(ÖLFLEX FD CLASSIC 810 25G0,75_x000D_
)</v>
          </cell>
          <cell r="C5701" t="str">
            <v>LAPP</v>
          </cell>
          <cell r="D5701" t="str">
            <v>Lapp-Non Moving Stocks</v>
          </cell>
        </row>
        <row r="5702">
          <cell r="A5702" t="str">
            <v>0026157 (ÖLFLEX FD CLASSIC 810 25G1,5_x000D_
)</v>
          </cell>
          <cell r="B5702" t="str">
            <v>0026157(ÖLFLEX FD CLASSIC 810 25G1,5_x000D_
)</v>
          </cell>
          <cell r="C5702" t="str">
            <v>LAPP</v>
          </cell>
          <cell r="D5702" t="str">
            <v>Lapp-Non Moving Stocks</v>
          </cell>
        </row>
        <row r="5703">
          <cell r="A5703" t="str">
            <v>0026100 (ÖLFLEX FD CLASSIC 810 2X0,5)</v>
          </cell>
          <cell r="B5703" t="str">
            <v>0026100(ÖLFLEX FD CLASSIC 810 2X0,5)</v>
          </cell>
          <cell r="C5703" t="str">
            <v>LAPP</v>
          </cell>
          <cell r="D5703" t="str">
            <v>Lapp-Non Moving Stocks</v>
          </cell>
        </row>
        <row r="5704">
          <cell r="A5704" t="str">
            <v>0026119 (ÖLFLEX FD CLASSIC 810 2X0,75_x000D_
)</v>
          </cell>
          <cell r="B5704" t="str">
            <v>0026119(ÖLFLEX FD CLASSIC 810 2X0,75_x000D_
)</v>
          </cell>
          <cell r="C5704" t="str">
            <v>LAPP</v>
          </cell>
          <cell r="D5704" t="str">
            <v>Lapp-Non Moving Stocks</v>
          </cell>
        </row>
        <row r="5705">
          <cell r="A5705" t="str">
            <v>0026130 (ÖLFLEX FD CLASSIC 810 2X1_x000D_
)</v>
          </cell>
          <cell r="B5705" t="str">
            <v>0026130(ÖLFLEX FD CLASSIC 810 2X1_x000D_
)</v>
          </cell>
          <cell r="C5705" t="str">
            <v>LAPP</v>
          </cell>
          <cell r="D5705" t="str">
            <v>Lapp-Non Moving Stocks</v>
          </cell>
        </row>
        <row r="5706">
          <cell r="A5706" t="str">
            <v>0026101 (ÖLFLEX FD CLASSIC 810 3G0,5_x000D_
)</v>
          </cell>
          <cell r="B5706" t="str">
            <v>0026101(ÖLFLEX FD CLASSIC 810 3G0,5_x000D_
)</v>
          </cell>
          <cell r="C5706" t="str">
            <v>LAPP</v>
          </cell>
          <cell r="D5706" t="str">
            <v>Lapp-Non Moving Stocks</v>
          </cell>
        </row>
        <row r="5707">
          <cell r="A5707" t="str">
            <v>0026120 (ÖLFLEX FD CLASSIC 810 3G0,75_x000D_
)</v>
          </cell>
          <cell r="B5707" t="str">
            <v>0026120(ÖLFLEX FD CLASSIC 810 3G0,75_x000D_
)</v>
          </cell>
          <cell r="C5707" t="str">
            <v>LAPP</v>
          </cell>
          <cell r="D5707" t="str">
            <v>Lapp-Non Moving Stocks</v>
          </cell>
        </row>
        <row r="5708">
          <cell r="A5708" t="str">
            <v>0026150_x000D_
 (ÖLFLEX FD CLASSIC 810 3G1,5_x000D_
)</v>
          </cell>
          <cell r="B5708" t="str">
            <v>0026150_x000D_
(ÖLFLEX FD CLASSIC 810 3G1,5_x000D_
)</v>
          </cell>
          <cell r="C5708" t="str">
            <v>LAPP</v>
          </cell>
          <cell r="D5708" t="str">
            <v>Lapp-Non Moving Stocks</v>
          </cell>
        </row>
        <row r="5709">
          <cell r="A5709" t="str">
            <v>0026170 (ÖLFLEX FD CLASSIC 810 3G2,5_x000D_
)</v>
          </cell>
          <cell r="B5709" t="str">
            <v>0026170(ÖLFLEX FD CLASSIC 810 3G2,5_x000D_
)</v>
          </cell>
          <cell r="C5709" t="str">
            <v>LAPP</v>
          </cell>
          <cell r="D5709" t="str">
            <v>Lapp-Non Moving Stocks</v>
          </cell>
        </row>
        <row r="5710">
          <cell r="A5710" t="str">
            <v>0026151_x000D_
 (ÖLFLEX FD CLASSIC 810 4G1,5_x000D_
)</v>
          </cell>
          <cell r="B5710" t="str">
            <v>0026151_x000D_
(ÖLFLEX FD CLASSIC 810 4G1,5_x000D_
)</v>
          </cell>
          <cell r="C5710" t="str">
            <v>LAPP</v>
          </cell>
          <cell r="D5710" t="str">
            <v>Lapp-Non Moving Stocks</v>
          </cell>
        </row>
        <row r="5711">
          <cell r="A5711" t="str">
            <v>0026186_x000D_
 (ÖLFLEX FD CLASSIC 810 5G10_x000D_
)</v>
          </cell>
          <cell r="B5711" t="str">
            <v>0026186_x000D_
(ÖLFLEX FD CLASSIC 810 5G10_x000D_
)</v>
          </cell>
          <cell r="C5711" t="str">
            <v>LAPP</v>
          </cell>
          <cell r="D5711" t="str">
            <v>Lapp-Non Moving Stocks</v>
          </cell>
        </row>
        <row r="5712">
          <cell r="A5712" t="str">
            <v>0026152 (ÖLFLEX FD CLASSIC 810 5G1,5_x000D_
)</v>
          </cell>
          <cell r="B5712" t="str">
            <v>0026152(ÖLFLEX FD CLASSIC 810 5G1,5_x000D_
)</v>
          </cell>
          <cell r="C5712" t="str">
            <v>LAPP</v>
          </cell>
          <cell r="D5712" t="str">
            <v>Lapp-Non Moving Stocks</v>
          </cell>
        </row>
        <row r="5713">
          <cell r="A5713" t="str">
            <v>0026184 (ÖLFLEX FD CLASSIC 810 5G6)</v>
          </cell>
          <cell r="B5713" t="str">
            <v>0026184(ÖLFLEX FD CLASSIC 810 5G6)</v>
          </cell>
          <cell r="C5713" t="str">
            <v>LAPP</v>
          </cell>
          <cell r="D5713" t="str">
            <v>Lapp-Non Moving Stocks</v>
          </cell>
        </row>
        <row r="5714">
          <cell r="A5714" t="str">
            <v>0026123_x000D_
 (ÖLFLEX FD CLASSIC 810 7G0,75)</v>
          </cell>
          <cell r="B5714" t="str">
            <v>0026123_x000D_
(ÖLFLEX FD CLASSIC 810 7G0,75)</v>
          </cell>
          <cell r="C5714" t="str">
            <v>LAPP</v>
          </cell>
          <cell r="D5714" t="str">
            <v>Lapp-Non Moving Stocks</v>
          </cell>
        </row>
        <row r="5715">
          <cell r="A5715" t="str">
            <v>0026153 (ÖLFLEX FD CLASSIC 810 7G1,5_x000D_
)</v>
          </cell>
          <cell r="B5715" t="str">
            <v>0026153(ÖLFLEX FD CLASSIC 810 7G1,5_x000D_
)</v>
          </cell>
          <cell r="C5715" t="str">
            <v>LAPP</v>
          </cell>
          <cell r="D5715" t="str">
            <v>Lapp-Non Moving Stocks</v>
          </cell>
        </row>
        <row r="5716">
          <cell r="A5716" t="str">
            <v>0026173 (ÖLFLEX FD CLASSIC 810 7G2,5_x000D_
)</v>
          </cell>
          <cell r="B5716" t="str">
            <v>0026173(ÖLFLEX FD CLASSIC 810 7G2,5_x000D_
)</v>
          </cell>
          <cell r="C5716" t="str">
            <v>LAPP</v>
          </cell>
          <cell r="D5716" t="str">
            <v>Lapp-Non Moving Stocks</v>
          </cell>
        </row>
        <row r="5717">
          <cell r="A5717" t="str">
            <v>0026172 (ÖLFLEX® CLASSIC FD 810 5G2,5)</v>
          </cell>
          <cell r="B5717" t="str">
            <v>0026172(ÖLFLEX® CLASSIC FD 810 5G2,5)</v>
          </cell>
          <cell r="C5717" t="str">
            <v>LAPP</v>
          </cell>
          <cell r="D5717" t="str">
            <v>Lapp-Non Moving Stocks</v>
          </cell>
        </row>
        <row r="5718">
          <cell r="A5718" t="str">
            <v>0026451 (ÖLFLEX CLASSIC FD 810 CP 4G1,5)</v>
          </cell>
          <cell r="B5718" t="str">
            <v>0026451(ÖLFLEX CLASSIC FD 810 CP 4G1,5)</v>
          </cell>
          <cell r="C5718" t="str">
            <v>LAPP</v>
          </cell>
          <cell r="D5718" t="str">
            <v>Lapp-Non Moving Stocks</v>
          </cell>
        </row>
        <row r="5719">
          <cell r="A5719" t="str">
            <v>0026450 (ÖLFLEX FD CLASSIC 810 CP 3G1,5_x000D_
)</v>
          </cell>
          <cell r="B5719" t="str">
            <v>0026450(ÖLFLEX FD CLASSIC 810 CP 3G1,5_x000D_
)</v>
          </cell>
          <cell r="C5719" t="str">
            <v>LAPP</v>
          </cell>
          <cell r="D5719" t="str">
            <v>Lapp-Non Moving Stocks</v>
          </cell>
        </row>
        <row r="5720">
          <cell r="A5720" t="str">
            <v>0026404 (ÖLFLEX FD CLASSIC 810 CP 7G0,5_x000D_
)</v>
          </cell>
          <cell r="B5720" t="str">
            <v>0026404(ÖLFLEX FD CLASSIC 810 CP 7G0,5_x000D_
)</v>
          </cell>
          <cell r="C5720" t="str">
            <v>LAPP</v>
          </cell>
          <cell r="D5720" t="str">
            <v>Lapp-Non Moving Stocks</v>
          </cell>
        </row>
        <row r="5721">
          <cell r="A5721" t="str">
            <v>0026423 (ÖLFLEX FD CLASSIC 810 CP 7G0,75_x000D_
)</v>
          </cell>
          <cell r="B5721" t="str">
            <v>0026423(ÖLFLEX FD CLASSIC 810 CP 7G0,75_x000D_
)</v>
          </cell>
          <cell r="C5721" t="str">
            <v>LAPP</v>
          </cell>
          <cell r="D5721" t="str">
            <v>Lapp-Non Moving Stocks</v>
          </cell>
        </row>
        <row r="5722">
          <cell r="A5722" t="str">
            <v>0026456 (ÖLFLEX® CLASSIC FD 810 CP 18G1,5)</v>
          </cell>
          <cell r="B5722" t="str">
            <v>0026456(ÖLFLEX® CLASSIC FD 810 CP 18G1,5)</v>
          </cell>
          <cell r="C5722" t="str">
            <v>LAPP</v>
          </cell>
          <cell r="D5722" t="str">
            <v>Lapp-Non Moving Stocks</v>
          </cell>
        </row>
        <row r="5723">
          <cell r="A5723" t="str">
            <v>0026254_x000D_
 ("ÖLFLEX FD CLASSIC 810 CY 12G1,5"_x000D_
)</v>
          </cell>
          <cell r="B5723" t="str">
            <v>0026254_x000D_
("ÖLFLEX FD CLASSIC 810 CY 12G1,5"_x000D_
)</v>
          </cell>
          <cell r="C5723" t="str">
            <v>LAPP</v>
          </cell>
          <cell r="D5723" t="str">
            <v>Lapp-Non Moving Stocks</v>
          </cell>
        </row>
        <row r="5724">
          <cell r="A5724" t="str">
            <v>0026206 (ÖLFLEX FD CLASSIC 810 CY 18G0,5_x000D_
)</v>
          </cell>
          <cell r="B5724" t="str">
            <v>0026206(ÖLFLEX FD CLASSIC 810 CY 18G0,5_x000D_
)</v>
          </cell>
          <cell r="C5724" t="str">
            <v>LAPP</v>
          </cell>
          <cell r="D5724" t="str">
            <v>Lapp-Non Moving Stocks</v>
          </cell>
        </row>
        <row r="5725">
          <cell r="A5725" t="str">
            <v>0026200_x000D_
 (ÖLFLEX FD CLASSIC 810 CY 2X0,5_x000D_
)</v>
          </cell>
          <cell r="B5725" t="str">
            <v>0026200_x000D_
(ÖLFLEX FD CLASSIC 810 CY 2X0,5_x000D_
)</v>
          </cell>
          <cell r="C5725" t="str">
            <v>LAPP</v>
          </cell>
          <cell r="D5725" t="str">
            <v>Lapp-Non Moving Stocks</v>
          </cell>
        </row>
        <row r="5726">
          <cell r="A5726" t="str">
            <v>0026219 (ÖLFLEX FD CLASSIC 810 CY 2X0,75_x000D_
)</v>
          </cell>
          <cell r="B5726" t="str">
            <v>0026219(ÖLFLEX FD CLASSIC 810 CY 2X0,75_x000D_
)</v>
          </cell>
          <cell r="C5726" t="str">
            <v>LAPP</v>
          </cell>
          <cell r="D5726" t="str">
            <v>Lapp-Non Moving Stocks</v>
          </cell>
        </row>
        <row r="5727">
          <cell r="A5727" t="str">
            <v>0026201 (ÖLFLEX FD CLASSIC 810 CY 3G0,5_x000D_
)</v>
          </cell>
          <cell r="B5727" t="str">
            <v>0026201(ÖLFLEX FD CLASSIC 810 CY 3G0,5_x000D_
)</v>
          </cell>
          <cell r="C5727" t="str">
            <v>LAPP</v>
          </cell>
          <cell r="D5727" t="str">
            <v>Lapp-Non Moving Stocks</v>
          </cell>
        </row>
        <row r="5728">
          <cell r="A5728" t="str">
            <v>0026220 (ÖLFLEX FD CLASSIC 810 CY 3G0,75_x000D_
)</v>
          </cell>
          <cell r="B5728" t="str">
            <v>0026220(ÖLFLEX FD CLASSIC 810 CY 3G0,75_x000D_
)</v>
          </cell>
          <cell r="C5728" t="str">
            <v>LAPP</v>
          </cell>
          <cell r="D5728" t="str">
            <v>Lapp-Non Moving Stocks</v>
          </cell>
        </row>
        <row r="5729">
          <cell r="A5729" t="str">
            <v>0026221 (ÖLFLEX FD CLASSIC 810 CY 4G0,75_x000D_
)</v>
          </cell>
          <cell r="B5729" t="str">
            <v>0026221(ÖLFLEX FD CLASSIC 810 CY 4G0,75_x000D_
)</v>
          </cell>
          <cell r="C5729" t="str">
            <v>LAPP</v>
          </cell>
          <cell r="D5729" t="str">
            <v>Lapp-Non Moving Stocks</v>
          </cell>
        </row>
        <row r="5730">
          <cell r="A5730" t="str">
            <v>0026285 (ÖLFLEX FD CLASSIC 810 CY 4G10_x000D_
)</v>
          </cell>
          <cell r="B5730" t="str">
            <v>0026285(ÖLFLEX FD CLASSIC 810 CY 4G10_x000D_
)</v>
          </cell>
          <cell r="C5730" t="str">
            <v>LAPP</v>
          </cell>
          <cell r="D5730" t="str">
            <v>Lapp-Non Moving Stocks</v>
          </cell>
        </row>
        <row r="5731">
          <cell r="A5731" t="str">
            <v>0026222 (ÖLFLEX FD CLASSIC 810 CY 5G0,75_x000D_
)</v>
          </cell>
          <cell r="B5731" t="str">
            <v>0026222(ÖLFLEX FD CLASSIC 810 CY 5G0,75_x000D_
)</v>
          </cell>
          <cell r="C5731" t="str">
            <v>LAPP</v>
          </cell>
          <cell r="D5731" t="str">
            <v>Lapp-Non Moving Stocks</v>
          </cell>
        </row>
        <row r="5732">
          <cell r="A5732" t="str">
            <v>0026354_x000D_
 (ÖLFLEX FD CLASSIC 810 P 12G1,5_x000D_
)</v>
          </cell>
          <cell r="B5732" t="str">
            <v>0026354_x000D_
(ÖLFLEX FD CLASSIC 810 P 12G1,5_x000D_
)</v>
          </cell>
          <cell r="C5732" t="str">
            <v>LAPP</v>
          </cell>
          <cell r="D5732" t="str">
            <v>Lapp-Non Moving Stocks</v>
          </cell>
        </row>
        <row r="5733">
          <cell r="A5733" t="str">
            <v>0026339 (ÖLFLEX FD CLASSIC 810 P 25G1_x000D_
)</v>
          </cell>
          <cell r="B5733" t="str">
            <v>0026339(ÖLFLEX FD CLASSIC 810 P 25G1_x000D_
)</v>
          </cell>
          <cell r="C5733" t="str">
            <v>LAPP</v>
          </cell>
          <cell r="D5733" t="str">
            <v>Lapp-Non Moving Stocks</v>
          </cell>
        </row>
        <row r="5734">
          <cell r="A5734" t="str">
            <v>0026370 (ÖLFLEX FD CLASSIC 810 P 3G2,5_x000D_
)</v>
          </cell>
          <cell r="B5734" t="str">
            <v>0026370(ÖLFLEX FD CLASSIC 810 P 3G2,5_x000D_
)</v>
          </cell>
          <cell r="C5734" t="str">
            <v>LAPP</v>
          </cell>
          <cell r="D5734" t="str">
            <v>Lapp-Non Moving Stocks</v>
          </cell>
        </row>
        <row r="5735">
          <cell r="A5735" t="str">
            <v>0026351 (ÖLFLEX FD CLASSIC 810 P 4G1,5_x000D_
)</v>
          </cell>
          <cell r="B5735" t="str">
            <v>0026351(ÖLFLEX FD CLASSIC 810 P 4G1,5_x000D_
)</v>
          </cell>
          <cell r="C5735" t="str">
            <v>LAPP</v>
          </cell>
          <cell r="D5735" t="str">
            <v>Lapp-Non Moving Stocks</v>
          </cell>
        </row>
        <row r="5736">
          <cell r="A5736" t="str">
            <v>0026371_x000D_
 (ÖLFLEX FD CLASSIC 810 P 4G2,5_x000D_
)</v>
          </cell>
          <cell r="B5736" t="str">
            <v>0026371_x000D_
(ÖLFLEX FD CLASSIC 810 P 4G2,5_x000D_
)</v>
          </cell>
          <cell r="C5736" t="str">
            <v>LAPP</v>
          </cell>
          <cell r="D5736" t="str">
            <v>Lapp-Non Moving Stocks</v>
          </cell>
        </row>
        <row r="5737">
          <cell r="A5737" t="str">
            <v>0026304 (ÖLFLEX FD CLASSIC 810 P 7G0,5_x000D_
)</v>
          </cell>
          <cell r="B5737" t="str">
            <v>0026304(ÖLFLEX FD CLASSIC 810 P 7G0,5_x000D_
)</v>
          </cell>
          <cell r="C5737" t="str">
            <v>LAPP</v>
          </cell>
          <cell r="D5737" t="str">
            <v>Lapp-Non Moving Stocks</v>
          </cell>
        </row>
        <row r="5738">
          <cell r="A5738" t="str">
            <v>1028952 (ÖLFLEX® FD 891 P 2X2,5)</v>
          </cell>
          <cell r="B5738" t="str">
            <v>1028952(ÖLFLEX® FD 891 P 2X2,5)</v>
          </cell>
          <cell r="C5738" t="str">
            <v>LAPP</v>
          </cell>
          <cell r="D5738" t="str">
            <v>Lapp-Non Moving Stocks</v>
          </cell>
        </row>
        <row r="5739">
          <cell r="A5739" t="str">
            <v>0026344 (ÖLFLEX® FD CLASSIC 810 P 65G1)</v>
          </cell>
          <cell r="B5739" t="str">
            <v>0026344(ÖLFLEX® FD CLASSIC 810 P 65G1)</v>
          </cell>
          <cell r="C5739" t="str">
            <v>LAPP</v>
          </cell>
          <cell r="D5739" t="str">
            <v>Lapp-Non Moving Stocks</v>
          </cell>
        </row>
        <row r="5740">
          <cell r="A5740" t="str">
            <v>0027635_x000D_
 (ÖLFLEX FD 855 CP 2X1_x000D_
)</v>
          </cell>
          <cell r="B5740" t="str">
            <v>0027635_x000D_
(ÖLFLEX FD 855 CP 2X1_x000D_
)</v>
          </cell>
          <cell r="C5740" t="str">
            <v>LAPP</v>
          </cell>
          <cell r="D5740" t="str">
            <v>Lapp-Non Moving Stocks</v>
          </cell>
        </row>
        <row r="5741">
          <cell r="A5741" t="str">
            <v>0027606 (ÖLFLEX FD 855 CP 3G0,5_x000D_
)</v>
          </cell>
          <cell r="B5741" t="str">
            <v>0027606(ÖLFLEX FD 855 CP 3G0,5_x000D_
)</v>
          </cell>
          <cell r="C5741" t="str">
            <v>LAPP</v>
          </cell>
          <cell r="D5741" t="str">
            <v>Lapp-Non Moving Stocks</v>
          </cell>
        </row>
        <row r="5742">
          <cell r="A5742" t="str">
            <v>0027622 (ÖLFLEX FD 855 CP 4G0,75_x000D_
)</v>
          </cell>
          <cell r="B5742" t="str">
            <v>0027622(ÖLFLEX FD 855 CP 4G0,75_x000D_
)</v>
          </cell>
          <cell r="C5742" t="str">
            <v>LAPP</v>
          </cell>
          <cell r="D5742" t="str">
            <v>Lapp-Non Moving Stocks</v>
          </cell>
        </row>
        <row r="5743">
          <cell r="A5743" t="str">
            <v>0027535 (ÖLFLEX FD 855 P 12G0,5)</v>
          </cell>
          <cell r="B5743" t="str">
            <v>0027535(ÖLFLEX FD 855 P 12G0,5)</v>
          </cell>
          <cell r="C5743" t="str">
            <v>LAPP</v>
          </cell>
          <cell r="D5743" t="str">
            <v>Lapp-Non Moving Stocks</v>
          </cell>
        </row>
        <row r="5744">
          <cell r="A5744" t="str">
            <v>0027565_x000D_
 (ÖLFLEX FD 855 P 12G1_x000D_
)</v>
          </cell>
          <cell r="B5744" t="str">
            <v>0027565_x000D_
(ÖLFLEX FD 855 P 12G1_x000D_
)</v>
          </cell>
          <cell r="C5744" t="str">
            <v>LAPP</v>
          </cell>
          <cell r="D5744" t="str">
            <v>Lapp-Non Moving Stocks</v>
          </cell>
        </row>
        <row r="5745">
          <cell r="A5745" t="str">
            <v>0027566 (ÖLFLEX FD 855 P 18G1_x000D_
)</v>
          </cell>
          <cell r="B5745" t="str">
            <v>0027566(ÖLFLEX FD 855 P 18G1_x000D_
)</v>
          </cell>
          <cell r="C5745" t="str">
            <v>LAPP</v>
          </cell>
          <cell r="D5745" t="str">
            <v>Lapp-Non Moving Stocks</v>
          </cell>
        </row>
        <row r="5746">
          <cell r="A5746" t="str">
            <v>0027580 (ÖLFLEX FD 855 P 18G1,5_x000D_
)</v>
          </cell>
          <cell r="B5746" t="str">
            <v>0027580(ÖLFLEX FD 855 P 18G1,5_x000D_
)</v>
          </cell>
          <cell r="C5746" t="str">
            <v>LAPP</v>
          </cell>
          <cell r="D5746" t="str">
            <v>Lapp-Non Moving Stocks</v>
          </cell>
        </row>
        <row r="5747">
          <cell r="A5747" t="str">
            <v>0027568 (ÖLFLEX FD 855 P 25G1_x000D_
)</v>
          </cell>
          <cell r="B5747" t="str">
            <v>0027568(ÖLFLEX FD 855 P 25G1_x000D_
)</v>
          </cell>
          <cell r="C5747" t="str">
            <v>LAPP</v>
          </cell>
          <cell r="D5747" t="str">
            <v>Lapp-Non Moving Stocks</v>
          </cell>
        </row>
        <row r="5748">
          <cell r="A5748" t="str">
            <v>0027582 (ÖLFLEX FD 855 P 25G1,5_x000D_
)</v>
          </cell>
          <cell r="B5748" t="str">
            <v>0027582(ÖLFLEX FD 855 P 25G1,5_x000D_
)</v>
          </cell>
          <cell r="C5748" t="str">
            <v>LAPP</v>
          </cell>
          <cell r="D5748" t="str">
            <v>Lapp-Non Moving Stocks</v>
          </cell>
        </row>
        <row r="5749">
          <cell r="A5749" t="str">
            <v>0027376 (ÖLFLEX FD 855 P 25G2,5_x000D_
)</v>
          </cell>
          <cell r="B5749" t="str">
            <v>0027376(ÖLFLEX FD 855 P 25G2,5_x000D_
)</v>
          </cell>
          <cell r="C5749" t="str">
            <v>LAPP</v>
          </cell>
          <cell r="D5749" t="str">
            <v>Lapp-Non Moving Stocks</v>
          </cell>
        </row>
        <row r="5750">
          <cell r="A5750" t="str">
            <v>0027570 (ÖLFLEX FD 855 P 30G1_x000D_
)</v>
          </cell>
          <cell r="B5750" t="str">
            <v>0027570(ÖLFLEX FD 855 P 30G1_x000D_
)</v>
          </cell>
          <cell r="C5750" t="str">
            <v>LAPP</v>
          </cell>
          <cell r="D5750" t="str">
            <v>Lapp-Non Moving Stocks</v>
          </cell>
        </row>
        <row r="5751">
          <cell r="A5751" t="str">
            <v>0027561 (ÖLFLEX FD 855 P 3G1)</v>
          </cell>
          <cell r="B5751" t="str">
            <v>0027561(ÖLFLEX FD 855 P 3G1)</v>
          </cell>
          <cell r="C5751" t="str">
            <v>LAPP</v>
          </cell>
          <cell r="D5751" t="str">
            <v>Lapp-Non Moving Stocks</v>
          </cell>
        </row>
        <row r="5752">
          <cell r="A5752" t="str">
            <v>0027370_x000D_
 (ÖLFLEX FD 855 P 3G2,5_x000D_
)</v>
          </cell>
          <cell r="B5752" t="str">
            <v>0027370_x000D_
(ÖLFLEX FD 855 P 3G2,5_x000D_
)</v>
          </cell>
          <cell r="C5752" t="str">
            <v>LAPP</v>
          </cell>
          <cell r="D5752" t="str">
            <v>Lapp-Non Moving Stocks</v>
          </cell>
        </row>
        <row r="5753">
          <cell r="A5753" t="str">
            <v>0027547 (ÖLFLEX FD 855 P 4G0,75_x000D_
)</v>
          </cell>
          <cell r="B5753" t="str">
            <v>0027547(ÖLFLEX FD 855 P 4G0,75_x000D_
)</v>
          </cell>
          <cell r="C5753" t="str">
            <v>LAPP</v>
          </cell>
          <cell r="D5753" t="str">
            <v>Lapp-Non Moving Stocks</v>
          </cell>
        </row>
        <row r="5754">
          <cell r="A5754" t="str">
            <v>0027586 (ÖLFLEX FD 855 P 4G1,5_x000D_
)</v>
          </cell>
          <cell r="B5754" t="str">
            <v>0027586(ÖLFLEX FD 855 P 4G1,5_x000D_
)</v>
          </cell>
          <cell r="C5754" t="str">
            <v>LAPP</v>
          </cell>
          <cell r="D5754" t="str">
            <v>Lapp-Non Moving Stocks</v>
          </cell>
        </row>
        <row r="5755">
          <cell r="A5755" t="str">
            <v>0027564 (ÖLFLEX FD 855 P 7G1_x000D_
)</v>
          </cell>
          <cell r="B5755" t="str">
            <v>0027564(ÖLFLEX FD 855 P 7G1_x000D_
)</v>
          </cell>
          <cell r="C5755" t="str">
            <v>LAPP</v>
          </cell>
          <cell r="D5755" t="str">
            <v>Lapp-Non Moving Stocks</v>
          </cell>
        </row>
        <row r="5756">
          <cell r="A5756" t="str">
            <v>0027578 (ÖLFLEX FD 855 P 7G1,5_x000D_
)</v>
          </cell>
          <cell r="B5756" t="str">
            <v>0027578(ÖLFLEX FD 855 P 7G1,5_x000D_
)</v>
          </cell>
          <cell r="C5756" t="str">
            <v>LAPP</v>
          </cell>
          <cell r="D5756" t="str">
            <v>Lapp-Non Moving Stocks</v>
          </cell>
        </row>
        <row r="5757">
          <cell r="A5757" t="str">
            <v>0027576 (ÖLFLEX® FD 855 P 3G1,5)</v>
          </cell>
          <cell r="B5757" t="str">
            <v>0027576(ÖLFLEX® FD 855 P 3G1,5)</v>
          </cell>
          <cell r="C5757" t="str">
            <v>LAPP</v>
          </cell>
          <cell r="D5757" t="str">
            <v>Lapp-Non Moving Stocks</v>
          </cell>
        </row>
        <row r="5758">
          <cell r="A5758" t="str">
            <v>0026620 (ÖLFLEX FD 90 1X95/3/0AWG_x000D_
)</v>
          </cell>
          <cell r="B5758" t="str">
            <v>0026620(ÖLFLEX FD 90 1X95/3/0AWG_x000D_
)</v>
          </cell>
          <cell r="C5758" t="str">
            <v>LAPP</v>
          </cell>
          <cell r="D5758" t="str">
            <v>Lapp-Non Moving Stocks</v>
          </cell>
        </row>
        <row r="5759">
          <cell r="A5759" t="str">
            <v>0026665 (ÖLFLEX® FD 90 CY 1X120)</v>
          </cell>
          <cell r="B5759" t="str">
            <v>0026665(ÖLFLEX® FD 90 CY 1X120)</v>
          </cell>
          <cell r="C5759" t="str">
            <v>LAPP</v>
          </cell>
          <cell r="D5759" t="str">
            <v>Lapp-Non Moving Stocks</v>
          </cell>
        </row>
        <row r="5760">
          <cell r="A5760" t="str">
            <v>0026659 (ÖLFLEX® FD 90 CY 1X50)</v>
          </cell>
          <cell r="B5760" t="str">
            <v>0026659(ÖLFLEX® FD 90 CY 1X50)</v>
          </cell>
          <cell r="C5760" t="str">
            <v>LAPP</v>
          </cell>
          <cell r="D5760" t="str">
            <v>Lapp-Non Moving Stocks</v>
          </cell>
        </row>
        <row r="5761">
          <cell r="A5761" t="str">
            <v>2170001 (KOAXIAL-CABLE RG-174 A/U_x000D_
)</v>
          </cell>
          <cell r="B5761" t="str">
            <v>2170001(KOAXIAL-CABLE RG-174 A/U_x000D_
)</v>
          </cell>
          <cell r="C5761" t="str">
            <v>LAPP</v>
          </cell>
          <cell r="D5761" t="str">
            <v>Lapp-Non Moving Stocks</v>
          </cell>
        </row>
        <row r="5762">
          <cell r="A5762" t="str">
            <v>2170003 (KOAXIAL-CABLE RG-188 A/U_x000D_
)</v>
          </cell>
          <cell r="B5762" t="str">
            <v>2170003(KOAXIAL-CABLE RG-188 A/U_x000D_
)</v>
          </cell>
          <cell r="C5762" t="str">
            <v>LAPP</v>
          </cell>
          <cell r="D5762" t="str">
            <v>Lapp-Non Moving Stocks</v>
          </cell>
        </row>
        <row r="5763">
          <cell r="A5763" t="str">
            <v>2170012 (KOAXIAL-CABLE RG-59 B/U_x000D_
)</v>
          </cell>
          <cell r="B5763" t="str">
            <v>2170012(KOAXIAL-CABLE RG-59 B/U_x000D_
)</v>
          </cell>
          <cell r="C5763" t="str">
            <v>LAPP</v>
          </cell>
          <cell r="D5763" t="str">
            <v>Lapp-Non Moving Stocks</v>
          </cell>
        </row>
        <row r="5764">
          <cell r="A5764" t="str">
            <v>00420013 (ÖLFLEX F 4G1,5 450/750V NCC_x000D_
)</v>
          </cell>
          <cell r="B5764" t="str">
            <v>00420013(ÖLFLEX F 4G1,5 450/750V NCC_x000D_
)</v>
          </cell>
          <cell r="C5764" t="str">
            <v>LAPP</v>
          </cell>
          <cell r="D5764" t="str">
            <v>Lapp-Non Moving Stocks</v>
          </cell>
        </row>
        <row r="5765">
          <cell r="A5765" t="str">
            <v>0042022_x000D_
 (ÖLFLEX LIFT F 20G1 300/500V_x000D_
)</v>
          </cell>
          <cell r="B5765" t="str">
            <v>0042022_x000D_
(ÖLFLEX LIFT F 20G1 300/500V_x000D_
)</v>
          </cell>
          <cell r="C5765" t="str">
            <v>LAPP</v>
          </cell>
          <cell r="D5765" t="str">
            <v>Lapp-Non Moving Stocks</v>
          </cell>
        </row>
        <row r="5766">
          <cell r="A5766" t="str">
            <v>0028100_x000D_
 (ÖLFLEX ROBOT 900 DP 12x0,14_x000D_
)</v>
          </cell>
          <cell r="B5766" t="str">
            <v>0028100_x000D_
(ÖLFLEX ROBOT 900 DP 12x0,14_x000D_
)</v>
          </cell>
          <cell r="C5766" t="str">
            <v>LAPP</v>
          </cell>
          <cell r="D5766" t="str">
            <v>Lapp-Non Moving Stocks</v>
          </cell>
        </row>
        <row r="5767">
          <cell r="A5767" t="str">
            <v>0028135_x000D_
 (ÖLFLEX ROBOT 900 DP 4x0,34_x000D_
)</v>
          </cell>
          <cell r="B5767" t="str">
            <v>0028135_x000D_
(ÖLFLEX ROBOT 900 DP 4x0,34_x000D_
)</v>
          </cell>
          <cell r="C5767" t="str">
            <v>LAPP</v>
          </cell>
          <cell r="D5767" t="str">
            <v>Lapp-Non Moving Stocks</v>
          </cell>
        </row>
        <row r="5768">
          <cell r="A5768" t="str">
            <v>0028176 (ÖLFLEX ROBOT 900 P 12G1_x000D_
)</v>
          </cell>
          <cell r="B5768" t="str">
            <v>0028176(ÖLFLEX ROBOT 900 P 12G1_x000D_
)</v>
          </cell>
          <cell r="C5768" t="str">
            <v>LAPP</v>
          </cell>
          <cell r="D5768" t="str">
            <v>Lapp-Non Moving Stocks</v>
          </cell>
        </row>
        <row r="5769">
          <cell r="A5769" t="str">
            <v>0028180 (ÖLFLEX ROBOT 900 P 25G1_x000D_
)</v>
          </cell>
          <cell r="B5769" t="str">
            <v>0028180(ÖLFLEX ROBOT 900 P 25G1_x000D_
)</v>
          </cell>
          <cell r="C5769" t="str">
            <v>LAPP</v>
          </cell>
          <cell r="D5769" t="str">
            <v>Lapp-Non Moving Stocks</v>
          </cell>
        </row>
        <row r="5770">
          <cell r="A5770" t="str">
            <v>0028116 (ÖLFLEX ROBOT 900 P 25x0,25_x000D_
)</v>
          </cell>
          <cell r="B5770" t="str">
            <v>0028116(ÖLFLEX ROBOT 900 P 25x0,25_x000D_
)</v>
          </cell>
          <cell r="C5770" t="str">
            <v>LAPP</v>
          </cell>
          <cell r="D5770" t="str">
            <v>Lapp-Non Moving Stocks</v>
          </cell>
        </row>
        <row r="5771">
          <cell r="A5771" t="str">
            <v>0028182_x000D_
 (ÖLFLEX ROBOT 900 P 4G2,5_x000D_
)</v>
          </cell>
          <cell r="B5771" t="str">
            <v>0028182_x000D_
(ÖLFLEX ROBOT 900 P 4G2,5_x000D_
)</v>
          </cell>
          <cell r="C5771" t="str">
            <v>LAPP</v>
          </cell>
          <cell r="D5771" t="str">
            <v>Lapp-Non Moving Stocks</v>
          </cell>
        </row>
        <row r="5772">
          <cell r="A5772" t="str">
            <v>0028174 (ÖLFLEX ROBOT 900 P 7G1_x000D_
)</v>
          </cell>
          <cell r="B5772" t="str">
            <v>0028174(ÖLFLEX ROBOT 900 P 7G1_x000D_
)</v>
          </cell>
          <cell r="C5772" t="str">
            <v>LAPP</v>
          </cell>
          <cell r="D5772" t="str">
            <v>Lapp-Non Moving Stocks</v>
          </cell>
        </row>
        <row r="5773">
          <cell r="A5773" t="str">
            <v>0029624 ("ÖLFLEX ROBOT F1 4G1,5 UL/CSA"_x000D_
)</v>
          </cell>
          <cell r="B5773" t="str">
            <v>0029624("ÖLFLEX ROBOT F1 4G1,5 UL/CSA"_x000D_
)</v>
          </cell>
          <cell r="C5773" t="str">
            <v>LAPP</v>
          </cell>
          <cell r="D5773" t="str">
            <v>Lapp-Non Moving Stocks</v>
          </cell>
        </row>
        <row r="5774">
          <cell r="A5774" t="str">
            <v>0029591_x000D_
 (ÖLFLEX ROBOT F1 12X0,25 UL/CSA_x000D_
)</v>
          </cell>
          <cell r="B5774" t="str">
            <v>0029591_x000D_
(ÖLFLEX ROBOT F1 12X0,25 UL/CSA_x000D_
)</v>
          </cell>
          <cell r="C5774" t="str">
            <v>LAPP</v>
          </cell>
          <cell r="D5774" t="str">
            <v>Lapp-Non Moving Stocks</v>
          </cell>
        </row>
        <row r="5775">
          <cell r="A5775" t="str">
            <v>0029599_x000D_
 (ÖLFLEX ROBOT F1 12X0,34 UL/CSA_x000D_
)</v>
          </cell>
          <cell r="B5775" t="str">
            <v>0029599_x000D_
(ÖLFLEX ROBOT F1 12X0,34 UL/CSA_x000D_
)</v>
          </cell>
          <cell r="C5775" t="str">
            <v>LAPP</v>
          </cell>
          <cell r="D5775" t="str">
            <v>Lapp-Non Moving Stocks</v>
          </cell>
        </row>
        <row r="5776">
          <cell r="A5776" t="str">
            <v>0029609 (ÖLFLEX ROBOT F1 25G0,5 UL/CSA_x000D_
)</v>
          </cell>
          <cell r="B5776" t="str">
            <v>0029609(ÖLFLEX ROBOT F1 25G0,5 UL/CSA_x000D_
)</v>
          </cell>
          <cell r="C5776" t="str">
            <v>LAPP</v>
          </cell>
          <cell r="D5776" t="str">
            <v>Lapp-Non Moving Stocks</v>
          </cell>
        </row>
        <row r="5777">
          <cell r="A5777" t="str">
            <v>0029625 (ÖLFLEX ROBOT F1 5G1,5 UL/CSA_x000D_
)</v>
          </cell>
          <cell r="B5777" t="str">
            <v>0029625(ÖLFLEX ROBOT F1 5G1,5 UL/CSA_x000D_
)</v>
          </cell>
          <cell r="C5777" t="str">
            <v>LAPP</v>
          </cell>
          <cell r="D5777" t="str">
            <v>Lapp-Non Moving Stocks</v>
          </cell>
        </row>
        <row r="5778">
          <cell r="A5778" t="str">
            <v>0029627 (ÖLFLEX ROBOT F1 7G1,5 UL/CSA_x000D_
)</v>
          </cell>
          <cell r="B5778" t="str">
            <v>0029627(ÖLFLEX ROBOT F1 7G1,5 UL/CSA_x000D_
)</v>
          </cell>
          <cell r="C5778" t="str">
            <v>LAPP</v>
          </cell>
          <cell r="D5778" t="str">
            <v>Lapp-Non Moving Stocks</v>
          </cell>
        </row>
        <row r="5779">
          <cell r="A5779" t="str">
            <v>0029590 (ÖLFLEX ROBOT F1 7X0,25)</v>
          </cell>
          <cell r="B5779" t="str">
            <v>0029590(ÖLFLEX ROBOT F1 7X0,25)</v>
          </cell>
          <cell r="C5779" t="str">
            <v>LAPP</v>
          </cell>
          <cell r="D5779" t="str">
            <v>Lapp-Non Moving Stocks</v>
          </cell>
        </row>
        <row r="5780">
          <cell r="A5780" t="str">
            <v>0021908 (ÖLFLEX ROBUST 210 18G0,75_x000D_
)</v>
          </cell>
          <cell r="B5780" t="str">
            <v>0021908(ÖLFLEX ROBUST 210 18G0,75_x000D_
)</v>
          </cell>
          <cell r="C5780" t="str">
            <v>LAPP</v>
          </cell>
          <cell r="D5780" t="str">
            <v>Lapp-Non Moving Stocks</v>
          </cell>
        </row>
        <row r="5781">
          <cell r="A5781" t="str">
            <v>0021880 (ÖLFLEX ROBUST 210 2X0,5_x000D_
)</v>
          </cell>
          <cell r="B5781" t="str">
            <v>0021880(ÖLFLEX ROBUST 210 2X0,5_x000D_
)</v>
          </cell>
          <cell r="C5781" t="str">
            <v>LAPP</v>
          </cell>
          <cell r="D5781" t="str">
            <v>Lapp-Non Moving Stocks</v>
          </cell>
        </row>
        <row r="5782">
          <cell r="A5782" t="str">
            <v>0022720 (ÖLFLEX ROBUST 215 C 4G0,75_x000D_
)</v>
          </cell>
          <cell r="B5782" t="str">
            <v>0022720(ÖLFLEX ROBUST 215 C 4G0,75_x000D_
)</v>
          </cell>
          <cell r="C5782" t="str">
            <v>LAPP</v>
          </cell>
          <cell r="D5782" t="str">
            <v>Lapp-Non Moving Stocks</v>
          </cell>
        </row>
        <row r="5783">
          <cell r="A5783" t="str">
            <v>7072405 (SERVO LK INX-0602 4G2,5+2X(2X1))</v>
          </cell>
          <cell r="B5783" t="str">
            <v>7072405(SERVO LK INX-0602 4G2,5+2X(2X1))</v>
          </cell>
          <cell r="C5783" t="str">
            <v>LAPP</v>
          </cell>
          <cell r="D5783" t="str">
            <v>Lapp-Non Moving Stocks</v>
          </cell>
        </row>
        <row r="5784">
          <cell r="A5784" t="str">
            <v>00277131 (SERVO LK SMS FX8PLUS-1BD41_x000D_
)</v>
          </cell>
          <cell r="B5784" t="str">
            <v>00277131(SERVO LK SMS FX8PLUS-1BD41_x000D_
)</v>
          </cell>
          <cell r="C5784" t="str">
            <v>LAPP</v>
          </cell>
          <cell r="D5784" t="str">
            <v>Lapp-Non Moving Stocks</v>
          </cell>
        </row>
        <row r="5785">
          <cell r="A5785" t="str">
            <v>00277141 (SERVO LK SMS FX8PLUS-1BD51_x000D_
)</v>
          </cell>
          <cell r="B5785" t="str">
            <v>00277141(SERVO LK SMS FX8PLUS-1BD51_x000D_
)</v>
          </cell>
          <cell r="C5785" t="str">
            <v>LAPP</v>
          </cell>
          <cell r="D5785" t="str">
            <v>Lapp-Non Moving Stocks</v>
          </cell>
        </row>
        <row r="5786">
          <cell r="A5786" t="str">
            <v>0036430 (ÖLFLEX SERVO 2YSLCY-JB 4G16_x000D_
)</v>
          </cell>
          <cell r="B5786" t="str">
            <v>0036430(ÖLFLEX SERVO 2YSLCY-JB 4G16_x000D_
)</v>
          </cell>
          <cell r="C5786" t="str">
            <v>LAPP</v>
          </cell>
          <cell r="D5786" t="str">
            <v>Lapp-Non Moving Stocks</v>
          </cell>
        </row>
        <row r="5787">
          <cell r="A5787" t="str">
            <v>0036426 (ÖLFLEX SERVO 2YSLCY-JB 4G2,5_x000D_
)</v>
          </cell>
          <cell r="B5787" t="str">
            <v>0036426(ÖLFLEX SERVO 2YSLCY-JB 4G2,5_x000D_
)</v>
          </cell>
          <cell r="C5787" t="str">
            <v>LAPP</v>
          </cell>
          <cell r="D5787" t="str">
            <v>Lapp-Non Moving Stocks</v>
          </cell>
        </row>
        <row r="5788">
          <cell r="A5788" t="str">
            <v>0036449_x000D_
 (ÖLFLEX SERVO 2YSLCYK-JB 3X95+3G16_x000D_
)</v>
          </cell>
          <cell r="B5788" t="str">
            <v>0036449_x000D_
(ÖLFLEX SERVO 2YSLCYK-JB 3X95+3G16_x000D_
)</v>
          </cell>
          <cell r="C5788" t="str">
            <v>LAPP</v>
          </cell>
          <cell r="D5788" t="str">
            <v>Lapp-Non Moving Stocks</v>
          </cell>
        </row>
        <row r="5789">
          <cell r="A5789" t="str">
            <v>0038011 (ÖLFLEX SERVO 709 CY 4G2,5/14AWG_x000D_
)</v>
          </cell>
          <cell r="B5789" t="str">
            <v>0038011(ÖLFLEX SERVO 709 CY 4G2,5/14AWG_x000D_
)</v>
          </cell>
          <cell r="C5789" t="str">
            <v>LAPP</v>
          </cell>
          <cell r="D5789" t="str">
            <v>Lapp-Non Moving Stocks</v>
          </cell>
        </row>
        <row r="5790">
          <cell r="A5790" t="str">
            <v>1020042_x000D_
 (ÖLFLEX SERVO 719 CY 4G1,5+(2x0,5)_x000D_
)</v>
          </cell>
          <cell r="B5790" t="str">
            <v>1020042_x000D_
(ÖLFLEX SERVO 719 CY 4G1,5+(2x0,5)_x000D_
)</v>
          </cell>
          <cell r="C5790" t="str">
            <v>LAPP</v>
          </cell>
          <cell r="D5790" t="str">
            <v>Lapp-Non Moving Stocks</v>
          </cell>
        </row>
        <row r="5791">
          <cell r="A5791" t="str">
            <v>0036170_x000D_
 (ÖLFLEX SERVO 720 CY 4x2x0,25+2x1_x000D_
)</v>
          </cell>
          <cell r="B5791" t="str">
            <v>0036170_x000D_
(ÖLFLEX SERVO 720 CY 4x2x0,25+2x1_x000D_
)</v>
          </cell>
          <cell r="C5791" t="str">
            <v>LAPP</v>
          </cell>
          <cell r="D5791" t="str">
            <v>Lapp-Non Moving Stocks</v>
          </cell>
        </row>
        <row r="5792">
          <cell r="A5792" t="str">
            <v>0036320 (ÖLFLEX SERVO FD 781 CY 4G1,5_x000D_
)</v>
          </cell>
          <cell r="B5792" t="str">
            <v>0036320(ÖLFLEX SERVO FD 781 CY 4G1,5_x000D_
)</v>
          </cell>
          <cell r="C5792" t="str">
            <v>LAPP</v>
          </cell>
          <cell r="D5792" t="str">
            <v>Lapp-Non Moving Stocks</v>
          </cell>
        </row>
        <row r="5793">
          <cell r="A5793" t="str">
            <v>0037030 (ÖLFLEX SERVO FD 790 CP 4G1,5/16AWG_x000D_
)</v>
          </cell>
          <cell r="B5793" t="str">
            <v>0037030(ÖLFLEX SERVO FD 790 CP 4G1,5/16AWG_x000D_
)</v>
          </cell>
          <cell r="C5793" t="str">
            <v>LAPP</v>
          </cell>
          <cell r="D5793" t="str">
            <v>Lapp-Non Moving Stocks</v>
          </cell>
        </row>
        <row r="5794">
          <cell r="A5794" t="str">
            <v>0027950 (ÖLFLEX SERVO FD 796CP 4G1.5_x000D_
)</v>
          </cell>
          <cell r="B5794" t="str">
            <v>0027950(ÖLFLEX SERVO FD 796CP 4G1.5_x000D_
)</v>
          </cell>
          <cell r="C5794" t="str">
            <v>LAPP</v>
          </cell>
          <cell r="D5794" t="str">
            <v>Lapp-Non Moving Stocks</v>
          </cell>
        </row>
        <row r="5795">
          <cell r="A5795" t="str">
            <v>0027959 (ÖLFLEX SERVO FD 796CP 4G1.5+(2x1.5))</v>
          </cell>
          <cell r="B5795" t="str">
            <v>0027959(ÖLFLEX SERVO FD 796CP 4G1.5+(2x1.5))</v>
          </cell>
          <cell r="C5795" t="str">
            <v>LAPP</v>
          </cell>
          <cell r="D5795" t="str">
            <v>Lapp-Non Moving Stocks</v>
          </cell>
        </row>
        <row r="5796">
          <cell r="A5796" t="str">
            <v>0027964 (ÖLFLEX SERVO FD 796CP 4G16+(2x1,5)_x000D_
)</v>
          </cell>
          <cell r="B5796" t="str">
            <v>0027964(ÖLFLEX SERVO FD 796CP 4G16+(2x1,5)_x000D_
)</v>
          </cell>
          <cell r="C5796" t="str">
            <v>LAPP</v>
          </cell>
          <cell r="D5796" t="str">
            <v>Lapp-Non Moving Stocks</v>
          </cell>
        </row>
        <row r="5797">
          <cell r="A5797" t="str">
            <v>0027951 (ÖLFLEX SERVO FD 796CP 4G2.5)</v>
          </cell>
          <cell r="B5797" t="str">
            <v>0027951(ÖLFLEX SERVO FD 796CP 4G2.5)</v>
          </cell>
          <cell r="C5797" t="str">
            <v>LAPP</v>
          </cell>
          <cell r="D5797" t="str">
            <v>Lapp-Non Moving Stocks</v>
          </cell>
        </row>
        <row r="5798">
          <cell r="A5798" t="str">
            <v>0027952 (ÖLFLEX SERVO FD 796CP 4G4_x000D_
)</v>
          </cell>
          <cell r="B5798" t="str">
            <v>0027952(ÖLFLEX SERVO FD 796CP 4G4_x000D_
)</v>
          </cell>
          <cell r="C5798" t="str">
            <v>LAPP</v>
          </cell>
          <cell r="D5798" t="str">
            <v>Lapp-Non Moving Stocks</v>
          </cell>
        </row>
        <row r="5799">
          <cell r="A5799" t="str">
            <v>0027953_x000D_
 (ÖLFLEX SERVO FD 796CP 4G6_x000D_
)</v>
          </cell>
          <cell r="B5799" t="str">
            <v>0027953_x000D_
(ÖLFLEX SERVO FD 796CP 4G6_x000D_
)</v>
          </cell>
          <cell r="C5799" t="str">
            <v>LAPP</v>
          </cell>
          <cell r="D5799" t="str">
            <v>Lapp-Non Moving Stocks</v>
          </cell>
        </row>
        <row r="5800">
          <cell r="A5800" t="str">
            <v>0025324 (ÖLFLEX SERVO FD 796P 4G16+(2x1,5))</v>
          </cell>
          <cell r="B5800" t="str">
            <v>0025324(ÖLFLEX SERVO FD 796P 4G16+(2x1,5))</v>
          </cell>
          <cell r="C5800" t="str">
            <v>LAPP</v>
          </cell>
          <cell r="D5800" t="str">
            <v>Lapp-Non Moving Stocks</v>
          </cell>
        </row>
        <row r="5801">
          <cell r="A5801" t="str">
            <v>1133519 (ÖLFLEX® SERVO 2XSLCH-JB 3X16+3G2,5)</v>
          </cell>
          <cell r="B5801" t="str">
            <v>1133519(ÖLFLEX® SERVO 2XSLCH-JB 3X16+3G2,5)</v>
          </cell>
          <cell r="C5801" t="str">
            <v>LAPP</v>
          </cell>
          <cell r="D5801" t="str">
            <v>Lapp-Non Moving Stocks</v>
          </cell>
        </row>
        <row r="5802">
          <cell r="A5802" t="str">
            <v>0036431_x000D_
 (ÖLFLEX® SERVO 2YSLCY-JB 4G25_x000D_
)</v>
          </cell>
          <cell r="B5802" t="str">
            <v>0036431_x000D_
(ÖLFLEX® SERVO 2YSLCY-JB 4G25_x000D_
)</v>
          </cell>
          <cell r="C5802" t="str">
            <v>LAPP</v>
          </cell>
          <cell r="D5802" t="str">
            <v>Lapp-Non Moving Stocks</v>
          </cell>
        </row>
        <row r="5803">
          <cell r="A5803" t="str">
            <v>0036433_x000D_
 (ÖLFLEX® SERVO 2YSLCY-JB 4G50_x000D_
)</v>
          </cell>
          <cell r="B5803" t="str">
            <v>0036433_x000D_
(ÖLFLEX® SERVO 2YSLCY-JB 4G50_x000D_
)</v>
          </cell>
          <cell r="C5803" t="str">
            <v>LAPP</v>
          </cell>
          <cell r="D5803" t="str">
            <v>Lapp-Non Moving Stocks</v>
          </cell>
        </row>
        <row r="5804">
          <cell r="A5804" t="str">
            <v>0036450 (ÖLFLEX® SERVO 2YSLCYK-JB 3X120+3G16 BK)</v>
          </cell>
          <cell r="B5804" t="str">
            <v>0036450(ÖLFLEX® SERVO 2YSLCYK-JB 3X120+3G16 BK)</v>
          </cell>
          <cell r="C5804" t="str">
            <v>LAPP</v>
          </cell>
          <cell r="D5804" t="str">
            <v>Lapp-Non Moving Stocks</v>
          </cell>
        </row>
        <row r="5805">
          <cell r="A5805" t="str">
            <v>0036444 (ÖLFLEX® SERVO 2YSLCYK-JB 3X16+3G2,5 BK)</v>
          </cell>
          <cell r="B5805" t="str">
            <v>0036444(ÖLFLEX® SERVO 2YSLCYK-JB 3X16+3G2,5 BK)</v>
          </cell>
          <cell r="C5805" t="str">
            <v>LAPP</v>
          </cell>
          <cell r="D5805" t="str">
            <v>Lapp-Non Moving Stocks</v>
          </cell>
        </row>
        <row r="5806">
          <cell r="A5806" t="str">
            <v>0036447 (ÖLFLEX® SERVO 2YSLCYK-JB 3X50+3G10 BK)</v>
          </cell>
          <cell r="B5806" t="str">
            <v>0036447(ÖLFLEX® SERVO 2YSLCYK-JB 3X50+3G10 BK)</v>
          </cell>
          <cell r="C5806" t="str">
            <v>LAPP</v>
          </cell>
          <cell r="D5806" t="str">
            <v>Lapp-Non Moving Stocks</v>
          </cell>
        </row>
        <row r="5807">
          <cell r="A5807" t="str">
            <v>1020010 (ÖLFLEX® SERVO 719 CY 4 G 1,5_x000D_
)</v>
          </cell>
          <cell r="B5807" t="str">
            <v>1020010(ÖLFLEX® SERVO 719 CY 4 G 1,5_x000D_
)</v>
          </cell>
          <cell r="C5807" t="str">
            <v>LAPP</v>
          </cell>
          <cell r="D5807" t="str">
            <v>Lapp-Non Moving Stocks</v>
          </cell>
        </row>
        <row r="5808">
          <cell r="A5808" t="str">
            <v>0037020 (ÖLFLEX® SERVO 9YSLCY-JB 3X16 + 3G2,5 BK)</v>
          </cell>
          <cell r="B5808" t="str">
            <v>0037020(ÖLFLEX® SERVO 9YSLCY-JB 3X16 + 3G2,5 BK)</v>
          </cell>
          <cell r="C5808" t="str">
            <v>LAPP</v>
          </cell>
          <cell r="D5808" t="str">
            <v>Lapp-Non Moving Stocks</v>
          </cell>
        </row>
        <row r="5809">
          <cell r="A5809" t="str">
            <v>1023655 (ÖLFLEX SOLAR XLR-E 1x16 BK_x000D_
)</v>
          </cell>
          <cell r="B5809" t="str">
            <v>1023655(ÖLFLEX SOLAR XLR-E 1x16 BK_x000D_
)</v>
          </cell>
          <cell r="C5809" t="str">
            <v>LAPP</v>
          </cell>
          <cell r="D5809" t="str">
            <v>Lapp-Non Moving Stocks</v>
          </cell>
        </row>
        <row r="5810">
          <cell r="A5810" t="str">
            <v>1023651 (ÖLFLEX SOLAR XLR-E 1x2,5 BK_x000D_
)</v>
          </cell>
          <cell r="B5810" t="str">
            <v>1023651(ÖLFLEX SOLAR XLR-E 1x2,5 BK_x000D_
)</v>
          </cell>
          <cell r="C5810" t="str">
            <v>LAPP</v>
          </cell>
          <cell r="D5810" t="str">
            <v>Lapp-Non Moving Stocks</v>
          </cell>
        </row>
        <row r="5811">
          <cell r="A5811" t="str">
            <v>1023652 (ÖLFLEX SOLAR XLR-E 1x4 WH/BK_x000D_
)</v>
          </cell>
          <cell r="B5811" t="str">
            <v>1023652(ÖLFLEX SOLAR XLR-E 1x4 WH/BK_x000D_
)</v>
          </cell>
          <cell r="C5811" t="str">
            <v>LAPP</v>
          </cell>
          <cell r="D5811" t="str">
            <v>Lapp-Non Moving Stocks</v>
          </cell>
        </row>
        <row r="5812">
          <cell r="A5812" t="str">
            <v>1023653 (ÖLFLEX SOLAR XLR-E 1x6 WH/BK_x000D_
)</v>
          </cell>
          <cell r="B5812" t="str">
            <v>1023653(ÖLFLEX SOLAR XLR-E 1x6 WH/BK_x000D_
)</v>
          </cell>
          <cell r="C5812" t="str">
            <v>LAPP</v>
          </cell>
          <cell r="D5812" t="str">
            <v>Lapp-Non Moving Stocks</v>
          </cell>
        </row>
        <row r="5813">
          <cell r="A5813" t="str">
            <v>1023668 (ÖLFLEX SOLAR XLR-E 1x6 WH/BK-RD_x000D_
)</v>
          </cell>
          <cell r="B5813" t="str">
            <v>1023668(ÖLFLEX SOLAR XLR-E 1x6 WH/BK-RD_x000D_
)</v>
          </cell>
          <cell r="C5813" t="str">
            <v>LAPP</v>
          </cell>
          <cell r="D5813" t="str">
            <v>Lapp-Non Moving Stocks</v>
          </cell>
        </row>
        <row r="5814">
          <cell r="A5814" t="str">
            <v>0023176_x000D_
 (ÖLFLEX SOLAR XLR-R 1X2.5 WH/BK_x000D_
)</v>
          </cell>
          <cell r="B5814" t="str">
            <v>0023176_x000D_
(ÖLFLEX SOLAR XLR-R 1X2.5 WH/BK_x000D_
)</v>
          </cell>
          <cell r="C5814" t="str">
            <v>LAPP</v>
          </cell>
          <cell r="D5814" t="str">
            <v>Lapp-Non Moving Stocks</v>
          </cell>
        </row>
        <row r="5815">
          <cell r="A5815" t="str">
            <v>0023177 (ÖLFLEX SOLAR XLR-R 1X4 WH/BK)</v>
          </cell>
          <cell r="B5815" t="str">
            <v>0023177(ÖLFLEX SOLAR XLR-R 1X4 WH/BK)</v>
          </cell>
          <cell r="C5815" t="str">
            <v>LAPP</v>
          </cell>
          <cell r="D5815" t="str">
            <v>Lapp-Non Moving Stocks</v>
          </cell>
        </row>
        <row r="5816">
          <cell r="A5816" t="str">
            <v>0023361_x000D_
 (ÖLFLEX SOLAR XLR-R 1X4 WH/BK-RD_x000D_
)</v>
          </cell>
          <cell r="B5816" t="str">
            <v>0023361_x000D_
(ÖLFLEX SOLAR XLR-R 1X4 WH/BK-RD_x000D_
)</v>
          </cell>
          <cell r="C5816" t="str">
            <v>LAPP</v>
          </cell>
          <cell r="D5816" t="str">
            <v>Lapp-Non Moving Stocks</v>
          </cell>
        </row>
        <row r="5817">
          <cell r="A5817" t="str">
            <v>0023178 (ÖLFLEX SOLAR XLR-R 1X6 WH/BK)</v>
          </cell>
          <cell r="B5817" t="str">
            <v>0023178(ÖLFLEX SOLAR XLR-R 1X6 WH/BK)</v>
          </cell>
          <cell r="C5817" t="str">
            <v>LAPP</v>
          </cell>
          <cell r="D5817" t="str">
            <v>Lapp-Non Moving Stocks</v>
          </cell>
        </row>
        <row r="5818">
          <cell r="A5818" t="str">
            <v>70002750 (SPIRAL H07BQ-F BLACK 3G1,5/500)</v>
          </cell>
          <cell r="B5818" t="str">
            <v>70002750(SPIRAL H07BQ-F BLACK 3G1,5/500)</v>
          </cell>
          <cell r="C5818" t="str">
            <v>LAPP</v>
          </cell>
          <cell r="D5818" t="str">
            <v>Lapp-Non Moving Stocks</v>
          </cell>
        </row>
        <row r="5819">
          <cell r="A5819" t="str">
            <v>70002754 (SPIRAL H07BQ-F BLACK 4G1,5/500)</v>
          </cell>
          <cell r="B5819" t="str">
            <v>70002754(SPIRAL H07BQ-F BLACK 4G1,5/500)</v>
          </cell>
          <cell r="C5819" t="str">
            <v>LAPP</v>
          </cell>
          <cell r="D5819" t="str">
            <v>Lapp-Non Moving Stocks</v>
          </cell>
        </row>
        <row r="5820">
          <cell r="A5820" t="str">
            <v>73220230 (SPIREX DATA 12x0,14/100_x000D_
)</v>
          </cell>
          <cell r="B5820" t="str">
            <v>73220230(SPIREX DATA 12x0,14/100_x000D_
)</v>
          </cell>
          <cell r="C5820" t="str">
            <v>LAPP</v>
          </cell>
          <cell r="D5820" t="str">
            <v>Lapp-Non Moving Stocks</v>
          </cell>
        </row>
        <row r="5821">
          <cell r="A5821" t="str">
            <v>73220231 (UNITRONIC SPIRAL 12X0,14/200_x000D_
)</v>
          </cell>
          <cell r="B5821" t="str">
            <v>73220231(UNITRONIC SPIRAL 12X0,14/200_x000D_
)</v>
          </cell>
          <cell r="C5821" t="str">
            <v>LAPP</v>
          </cell>
          <cell r="D5821" t="str">
            <v>Lapp-Non Moving Stocks</v>
          </cell>
        </row>
        <row r="5822">
          <cell r="A5822" t="str">
            <v>73220239_x000D_
 (UNITRONIC SPIRAL 18X0,14/500_x000D_
)</v>
          </cell>
          <cell r="B5822" t="str">
            <v>73220239_x000D_
(UNITRONIC SPIRAL 18X0,14/500_x000D_
)</v>
          </cell>
          <cell r="C5822" t="str">
            <v>LAPP</v>
          </cell>
          <cell r="D5822" t="str">
            <v>Lapp-Non Moving Stocks</v>
          </cell>
        </row>
        <row r="5823">
          <cell r="A5823" t="str">
            <v>73220219 (UNITRONIC SPIRAL 5X0,14/500)</v>
          </cell>
          <cell r="B5823" t="str">
            <v>73220219(UNITRONIC SPIRAL 5X0,14/500)</v>
          </cell>
          <cell r="C5823" t="str">
            <v>LAPP</v>
          </cell>
          <cell r="D5823" t="str">
            <v>Lapp-Non Moving Stocks</v>
          </cell>
        </row>
        <row r="5824">
          <cell r="A5824" t="str">
            <v>73220270 (UNITRONIC® SPIRAL 12x0,25/100)</v>
          </cell>
          <cell r="B5824" t="str">
            <v>73220270(UNITRONIC® SPIRAL 12x0,25/100)</v>
          </cell>
          <cell r="C5824" t="str">
            <v>LAPP</v>
          </cell>
          <cell r="D5824" t="str">
            <v>Lapp-Non Moving Stocks</v>
          </cell>
        </row>
        <row r="5825">
          <cell r="A5825" t="str">
            <v>70002732_x000D_
 (ÖLFLEX SPIRAL 400 P 12G0,75/1000_x000D_
)</v>
          </cell>
          <cell r="B5825" t="str">
            <v>70002732_x000D_
(ÖLFLEX SPIRAL 400 P 12G0,75/1000_x000D_
)</v>
          </cell>
          <cell r="C5825" t="str">
            <v>LAPP</v>
          </cell>
          <cell r="D5825" t="str">
            <v>Lapp-Non Moving Stocks</v>
          </cell>
        </row>
        <row r="5826">
          <cell r="A5826" t="str">
            <v>70002671 (ÖLFLEX SPIRAL 400 P 12G1/1000_x000D_
)</v>
          </cell>
          <cell r="B5826" t="str">
            <v>70002671(ÖLFLEX SPIRAL 400 P 12G1/1000_x000D_
)</v>
          </cell>
          <cell r="C5826" t="str">
            <v>LAPP</v>
          </cell>
          <cell r="D5826" t="str">
            <v>Lapp-Non Moving Stocks</v>
          </cell>
        </row>
        <row r="5827">
          <cell r="A5827" t="str">
            <v>70002673 (ÖLFLEX SPIRAL 400 P 18G1/1000_x000D_
)</v>
          </cell>
          <cell r="B5827" t="str">
            <v>70002673(ÖLFLEX SPIRAL 400 P 18G1/1000_x000D_
)</v>
          </cell>
          <cell r="C5827" t="str">
            <v>LAPP</v>
          </cell>
          <cell r="D5827" t="str">
            <v>Lapp-Non Moving Stocks</v>
          </cell>
        </row>
        <row r="5828">
          <cell r="A5828" t="str">
            <v>70002623 (ÖLFLEX SPIRAL 400 P 2X0,75/1000_x000D_
)</v>
          </cell>
          <cell r="B5828" t="str">
            <v>70002623(ÖLFLEX SPIRAL 400 P 2X0,75/1000_x000D_
)</v>
          </cell>
          <cell r="C5828" t="str">
            <v>LAPP</v>
          </cell>
          <cell r="D5828" t="str">
            <v>Lapp-Non Moving Stocks</v>
          </cell>
        </row>
        <row r="5829">
          <cell r="A5829" t="str">
            <v>70002625 (ÖLFLEX SPIRAL 400 P 2X0,75/2000)</v>
          </cell>
          <cell r="B5829" t="str">
            <v>70002625(ÖLFLEX SPIRAL 400 P 2X0,75/2000)</v>
          </cell>
          <cell r="C5829" t="str">
            <v>LAPP</v>
          </cell>
          <cell r="D5829" t="str">
            <v>Lapp-Non Moving Stocks</v>
          </cell>
        </row>
        <row r="5830">
          <cell r="A5830" t="str">
            <v>70002622 (ÖLFLEX SPIRAL 400 P 2X0,75/500_x000D_
)</v>
          </cell>
          <cell r="B5830" t="str">
            <v>70002622(ÖLFLEX SPIRAL 400 P 2X0,75/500_x000D_
)</v>
          </cell>
          <cell r="C5830" t="str">
            <v>LAPP</v>
          </cell>
          <cell r="D5830" t="str">
            <v>Lapp-Non Moving Stocks</v>
          </cell>
        </row>
        <row r="5831">
          <cell r="A5831" t="str">
            <v>70002646 (ÖLFLEX SPIRAL 400 P 2X1/500_x000D_
)</v>
          </cell>
          <cell r="B5831" t="str">
            <v>70002646(ÖLFLEX SPIRAL 400 P 2X1/500_x000D_
)</v>
          </cell>
          <cell r="C5831" t="str">
            <v>LAPP</v>
          </cell>
          <cell r="D5831" t="str">
            <v>Lapp-Non Moving Stocks</v>
          </cell>
        </row>
        <row r="5832">
          <cell r="A5832" t="str">
            <v>70002630_x000D_
 (ÖLFLEX SPIRAL 400 P 3G0,75/1500_x000D_
)</v>
          </cell>
          <cell r="B5832" t="str">
            <v>70002630_x000D_
(ÖLFLEX SPIRAL 400 P 3G0,75/1500_x000D_
)</v>
          </cell>
          <cell r="C5832" t="str">
            <v>LAPP</v>
          </cell>
          <cell r="D5832" t="str">
            <v>Lapp-Non Moving Stocks</v>
          </cell>
        </row>
        <row r="5833">
          <cell r="A5833" t="str">
            <v>70002652 (ÖLFLEX SPIRAL 400 P 3G1/1000_x000D_
)</v>
          </cell>
          <cell r="B5833" t="str">
            <v>70002652(ÖLFLEX SPIRAL 400 P 3G1/1000_x000D_
)</v>
          </cell>
          <cell r="C5833" t="str">
            <v>LAPP</v>
          </cell>
          <cell r="D5833" t="str">
            <v>Lapp-Non Moving Stocks</v>
          </cell>
        </row>
        <row r="5834">
          <cell r="A5834" t="str">
            <v>70002690 (ÖLFLEX SPIRAL 400 P 3G1,5/2000_x000D_
)</v>
          </cell>
          <cell r="B5834" t="str">
            <v>70002690(ÖLFLEX SPIRAL 400 P 3G1,5/2000_x000D_
)</v>
          </cell>
          <cell r="C5834" t="str">
            <v>LAPP</v>
          </cell>
          <cell r="D5834" t="str">
            <v>Lapp-Non Moving Stocks</v>
          </cell>
        </row>
        <row r="5835">
          <cell r="A5835" t="str">
            <v>70002716_x000D_
 (ÖLFLEX SPIRAL 400 P 3G2,5/500_x000D_
)</v>
          </cell>
          <cell r="B5835" t="str">
            <v>70002716_x000D_
(ÖLFLEX SPIRAL 400 P 3G2,5/500_x000D_
)</v>
          </cell>
          <cell r="C5835" t="str">
            <v>LAPP</v>
          </cell>
          <cell r="D5835" t="str">
            <v>Lapp-Non Moving Stocks</v>
          </cell>
        </row>
        <row r="5836">
          <cell r="A5836" t="str">
            <v>70002606 (ÖLFLEX SPIRAL 400 P 4G0,5/500)</v>
          </cell>
          <cell r="B5836" t="str">
            <v>70002606(ÖLFLEX SPIRAL 400 P 4G0,5/500)</v>
          </cell>
          <cell r="C5836" t="str">
            <v>LAPP</v>
          </cell>
          <cell r="D5836" t="str">
            <v>Lapp-Non Moving Stocks</v>
          </cell>
        </row>
        <row r="5837">
          <cell r="A5837" t="str">
            <v>70002656_x000D_
 (ÖLFLEX SPIRAL 400 P 4G1/500_x000D_
)</v>
          </cell>
          <cell r="B5837" t="str">
            <v>70002656_x000D_
(ÖLFLEX SPIRAL 400 P 4G1/500_x000D_
)</v>
          </cell>
          <cell r="C5837" t="str">
            <v>LAPP</v>
          </cell>
          <cell r="D5837" t="str">
            <v>Lapp-Non Moving Stocks</v>
          </cell>
        </row>
        <row r="5838">
          <cell r="A5838" t="str">
            <v>70002640 (ÖLFLEX SPIRAL 400 P 5G0,75/500_x000D_
)</v>
          </cell>
          <cell r="B5838" t="str">
            <v>70002640(ÖLFLEX SPIRAL 400 P 5G0,75/500_x000D_
)</v>
          </cell>
          <cell r="C5838" t="str">
            <v>LAPP</v>
          </cell>
          <cell r="D5838" t="str">
            <v>Lapp-Non Moving Stocks</v>
          </cell>
        </row>
        <row r="5839">
          <cell r="A5839" t="str">
            <v>70002726 (ÖLFLEX SPIRAL 400 P 7G0,75/500_x000D_
)</v>
          </cell>
          <cell r="B5839" t="str">
            <v>70002726(ÖLFLEX SPIRAL 400 P 7G0,75/500_x000D_
)</v>
          </cell>
          <cell r="C5839" t="str">
            <v>LAPP</v>
          </cell>
          <cell r="D5839" t="str">
            <v>Lapp-Non Moving Stocks</v>
          </cell>
        </row>
        <row r="5840">
          <cell r="A5840" t="str">
            <v>73220159_x000D_
 (ÖLFLEX SPIRAL 540 P 3G2,5/350_x000D_
)</v>
          </cell>
          <cell r="B5840" t="str">
            <v>73220159_x000D_
(ÖLFLEX SPIRAL 540 P 3G2,5/350_x000D_
)</v>
          </cell>
          <cell r="C5840" t="str">
            <v>LAPP</v>
          </cell>
          <cell r="D5840" t="str">
            <v>Lapp-Non Moving Stocks</v>
          </cell>
        </row>
        <row r="5841">
          <cell r="A5841" t="str">
            <v>71220166_x000D_
 (ÖLFLEX SPIRAL 540 P 5G2,5/1700_x000D_
)</v>
          </cell>
          <cell r="B5841" t="str">
            <v>71220166_x000D_
(ÖLFLEX SPIRAL 540 P 5G2,5/1700_x000D_
)</v>
          </cell>
          <cell r="C5841" t="str">
            <v>LAPP</v>
          </cell>
          <cell r="D5841" t="str">
            <v>Lapp-Non Moving Stocks</v>
          </cell>
        </row>
        <row r="5842">
          <cell r="A5842" t="str">
            <v>70002609 (ÖLFLEX® SPIRAL 400 P 4G0,5)</v>
          </cell>
          <cell r="B5842" t="str">
            <v>70002609(ÖLFLEX® SPIRAL 400 P 4G0,5)</v>
          </cell>
          <cell r="C5842" t="str">
            <v>LAPP</v>
          </cell>
          <cell r="D5842" t="str">
            <v>Lapp-Non Moving Stocks</v>
          </cell>
        </row>
        <row r="5843">
          <cell r="A5843" t="str">
            <v>15315001 (ÖLFLEX TRAIN 315 C TW-P 300V 3X0,5)</v>
          </cell>
          <cell r="B5843" t="str">
            <v>15315001(ÖLFLEX TRAIN 315 C TW-P 300V 3X0,5)</v>
          </cell>
          <cell r="C5843" t="str">
            <v>LAPP</v>
          </cell>
          <cell r="D5843" t="str">
            <v>Lapp-Non Moving Stocks</v>
          </cell>
        </row>
        <row r="5844">
          <cell r="A5844" t="str">
            <v>15381000 (ÖLFLEX TRAIN 381 3,6kV 1X2,5)</v>
          </cell>
          <cell r="B5844" t="str">
            <v>15381000(ÖLFLEX TRAIN 381 3,6kV 1X2,5)</v>
          </cell>
          <cell r="C5844" t="str">
            <v>LAPP</v>
          </cell>
          <cell r="D5844" t="str">
            <v>Lapp-Non Moving Stocks</v>
          </cell>
        </row>
        <row r="5845">
          <cell r="A5845" t="str">
            <v>2218030 (ÖLFLEX TRAY II CY 3G1)</v>
          </cell>
          <cell r="B5845" t="str">
            <v>2218030(ÖLFLEX TRAY II CY 3G1)</v>
          </cell>
          <cell r="C5845" t="str">
            <v>LAPP</v>
          </cell>
          <cell r="D5845" t="str">
            <v>Lapp-Non Moving Stocks</v>
          </cell>
        </row>
        <row r="5846">
          <cell r="A5846" t="str">
            <v>2310026 (H01N2-D 1x10 welding cable_x000D_
)</v>
          </cell>
          <cell r="B5846" t="str">
            <v>2310026(H01N2-D 1x10 welding cable_x000D_
)</v>
          </cell>
          <cell r="C5846" t="str">
            <v>LAPP</v>
          </cell>
          <cell r="D5846" t="str">
            <v>Lapp-Non Moving Stocks</v>
          </cell>
        </row>
        <row r="5847">
          <cell r="A5847" t="str">
            <v>2210706 (H01N2-D 1x120 welding cable_x000D_
)</v>
          </cell>
          <cell r="B5847" t="str">
            <v>2210706(H01N2-D 1x120 welding cable_x000D_
)</v>
          </cell>
          <cell r="C5847" t="str">
            <v>LAPP</v>
          </cell>
          <cell r="D5847" t="str">
            <v>Lapp-Non Moving Stocks</v>
          </cell>
        </row>
        <row r="5848">
          <cell r="A5848" t="str">
            <v>2210702 (H01N2-D 1x35 welding cable_x000D_
)</v>
          </cell>
          <cell r="B5848" t="str">
            <v>2210702(H01N2-D 1x35 welding cable_x000D_
)</v>
          </cell>
          <cell r="C5848" t="str">
            <v>LAPP</v>
          </cell>
          <cell r="D5848" t="str">
            <v>Lapp-Non Moving Stocks</v>
          </cell>
        </row>
        <row r="5849">
          <cell r="A5849" t="str">
            <v>2210703 (H01N2-D 1x50 welding cable_x000D_
)</v>
          </cell>
          <cell r="B5849" t="str">
            <v>2210703(H01N2-D 1x50 welding cable_x000D_
)</v>
          </cell>
          <cell r="C5849" t="str">
            <v>LAPP</v>
          </cell>
          <cell r="D5849" t="str">
            <v>Lapp-Non Moving Stocks</v>
          </cell>
        </row>
        <row r="5850">
          <cell r="A5850" t="str">
            <v>2210704 (H01N2-D 1x70 welding cable)</v>
          </cell>
          <cell r="B5850" t="str">
            <v>2210704(H01N2-D 1x70 welding cable)</v>
          </cell>
          <cell r="C5850" t="str">
            <v>LAPP</v>
          </cell>
          <cell r="D5850" t="str">
            <v>Lapp-Non Moving Stocks</v>
          </cell>
        </row>
        <row r="5851">
          <cell r="A5851" t="str">
            <v>0152030_x000D_
 (KN41L-SIL NiCr/Ni KCA 2x0,5 DIN_x000D_
)</v>
          </cell>
          <cell r="B5851" t="str">
            <v>0152030_x000D_
(KN41L-SIL NiCr/Ni KCA 2x0,5 DIN_x000D_
)</v>
          </cell>
          <cell r="C5851" t="str">
            <v>LAPP</v>
          </cell>
          <cell r="D5851" t="str">
            <v>Lapp-Non Moving Stocks</v>
          </cell>
        </row>
        <row r="5852">
          <cell r="A5852" t="str">
            <v>0168510_x000D_
 (KNL-ST NiCr/Ni KCA 12x2x1,5 IEC_x000D_
)</v>
          </cell>
          <cell r="B5852" t="str">
            <v>0168510_x000D_
(KNL-ST NiCr/Ni KCA 12x2x1,5 IEC_x000D_
)</v>
          </cell>
          <cell r="C5852" t="str">
            <v>LAPP</v>
          </cell>
          <cell r="D5852" t="str">
            <v>Lapp-Non Moving Stocks</v>
          </cell>
        </row>
        <row r="5853">
          <cell r="A5853" t="str">
            <v>4160310_x000D_
 (Multi-Standard SC 2.1 1X1 YE_x000D_
)</v>
          </cell>
          <cell r="B5853" t="str">
            <v>4160310_x000D_
(Multi-Standard SC 2.1 1X1 YE_x000D_
)</v>
          </cell>
          <cell r="C5853" t="str">
            <v>LAPP</v>
          </cell>
          <cell r="D5853" t="str">
            <v>Lapp-Non Moving Stocks</v>
          </cell>
        </row>
        <row r="5854">
          <cell r="A5854" t="str">
            <v>4161004 (Multi-Standard SC 2.1 1X25 RD)</v>
          </cell>
          <cell r="B5854" t="str">
            <v>4161004(Multi-Standard SC 2.1 1X25 RD)</v>
          </cell>
          <cell r="C5854" t="str">
            <v>LAPP</v>
          </cell>
          <cell r="D5854" t="str">
            <v>Lapp-Non Moving Stocks</v>
          </cell>
        </row>
        <row r="5855">
          <cell r="A5855" t="str">
            <v>3835266 (OLFLEX 100 I SY 4 G 2.5_x000D_
)</v>
          </cell>
          <cell r="B5855" t="str">
            <v>3835266(OLFLEX 100 I SY 4 G 2.5_x000D_
)</v>
          </cell>
          <cell r="C5855" t="str">
            <v>LAPP</v>
          </cell>
          <cell r="D5855" t="str">
            <v>Lapp-Non Moving Stocks</v>
          </cell>
        </row>
        <row r="5856">
          <cell r="A5856" t="str">
            <v>0011018 (ÖLFLEX 140 3G1_x000D_
)</v>
          </cell>
          <cell r="B5856" t="str">
            <v>0011018(ÖLFLEX 140 3G1_x000D_
)</v>
          </cell>
          <cell r="C5856" t="str">
            <v>LAPP</v>
          </cell>
          <cell r="D5856" t="str">
            <v>Lapp-Non Moving Stocks</v>
          </cell>
        </row>
        <row r="5857">
          <cell r="A5857" t="str">
            <v>0011002 (ÖLFLEX 140 7G0,5_x000D_
)</v>
          </cell>
          <cell r="B5857" t="str">
            <v>0011002(ÖLFLEX 140 7G0,5_x000D_
)</v>
          </cell>
          <cell r="C5857" t="str">
            <v>LAPP</v>
          </cell>
          <cell r="D5857" t="str">
            <v>Lapp-Non Moving Stocks</v>
          </cell>
        </row>
        <row r="5858">
          <cell r="A5858" t="str">
            <v>30010544 (ÖLFLEX 191 CY 4G4/12AWG_x000D_
)</v>
          </cell>
          <cell r="B5858" t="str">
            <v>30010544(ÖLFLEX 191 CY 4G4/12AWG_x000D_
)</v>
          </cell>
          <cell r="C5858" t="str">
            <v>LAPP</v>
          </cell>
          <cell r="D5858" t="str">
            <v>Lapp-Non Moving Stocks</v>
          </cell>
        </row>
        <row r="5859">
          <cell r="A5859" t="str">
            <v>00123553_x000D_
 (ÖLFLEX 500 P 4G2,5_x000D_
)</v>
          </cell>
          <cell r="B5859" t="str">
            <v>00123553_x000D_
(ÖLFLEX 500 P 4G2,5_x000D_
)</v>
          </cell>
          <cell r="C5859" t="str">
            <v>LAPP</v>
          </cell>
          <cell r="D5859" t="str">
            <v>Lapp-Non Moving Stocks</v>
          </cell>
        </row>
        <row r="5860">
          <cell r="A5860" t="str">
            <v>1027831 (ÖLFLEX CHAIN 819 P 3G1,5)</v>
          </cell>
          <cell r="B5860" t="str">
            <v>1027831(ÖLFLEX CHAIN 819 P 3G1,5)</v>
          </cell>
          <cell r="C5860" t="str">
            <v>LAPP</v>
          </cell>
          <cell r="D5860" t="str">
            <v>Lapp-Non Moving Stocks</v>
          </cell>
        </row>
        <row r="5861">
          <cell r="A5861" t="str">
            <v>1119311 (ÖLFLEX CLASSIC 110 11G1,5_x000D_
)</v>
          </cell>
          <cell r="B5861" t="str">
            <v>1119311(ÖLFLEX CLASSIC 110 11G1,5_x000D_
)</v>
          </cell>
          <cell r="C5861" t="str">
            <v>LAPP</v>
          </cell>
          <cell r="D5861" t="str">
            <v>Lapp-Non Moving Stocks</v>
          </cell>
        </row>
        <row r="5862">
          <cell r="A5862" t="str">
            <v>1119341 (ÖLFLEX CLASSIC 110 41G1,5_x000D_
)</v>
          </cell>
          <cell r="B5862" t="str">
            <v>1119341(ÖLFLEX CLASSIC 110 41G1,5_x000D_
)</v>
          </cell>
          <cell r="C5862" t="str">
            <v>LAPP</v>
          </cell>
          <cell r="D5862" t="str">
            <v>Lapp-Non Moving Stocks</v>
          </cell>
        </row>
        <row r="5863">
          <cell r="A5863" t="str">
            <v>1135040 (ÖLFLEX CLASSIC 110 CY 40G0,5_x000D_
)</v>
          </cell>
          <cell r="B5863" t="str">
            <v>1135040(ÖLFLEX CLASSIC 110 CY 40G0,5_x000D_
)</v>
          </cell>
          <cell r="C5863" t="str">
            <v>LAPP</v>
          </cell>
          <cell r="D5863" t="str">
            <v>Lapp-Non Moving Stocks</v>
          </cell>
        </row>
        <row r="5864">
          <cell r="A5864" t="str">
            <v>1121385 (ÖLFLEX CLASSIC110 CY BK 0,6/1kV 4G35_x000D_
)</v>
          </cell>
          <cell r="B5864" t="str">
            <v>1121385(ÖLFLEX CLASSIC110 CY BK 0,6/1kV 4G35_x000D_
)</v>
          </cell>
          <cell r="C5864" t="str">
            <v>LAPP</v>
          </cell>
          <cell r="D5864" t="str">
            <v>Lapp-Non Moving Stocks</v>
          </cell>
        </row>
        <row r="5865">
          <cell r="A5865" t="str">
            <v>10019952 (ÖLFLEX CLASSIC 110 H 7G4 N_x000D_
)</v>
          </cell>
          <cell r="B5865" t="str">
            <v>10019952(ÖLFLEX CLASSIC 110 H 7G4 N_x000D_
)</v>
          </cell>
          <cell r="C5865" t="str">
            <v>LAPP</v>
          </cell>
          <cell r="D5865" t="str">
            <v>Lapp-Non Moving Stocks</v>
          </cell>
        </row>
        <row r="5866">
          <cell r="A5866" t="str">
            <v>1123003 (ÖLFLEX CLASSIC 130 H 4G0,5_x000D_
)</v>
          </cell>
          <cell r="B5866" t="str">
            <v>1123003(ÖLFLEX CLASSIC 130 H 4G0,5_x000D_
)</v>
          </cell>
          <cell r="C5866" t="str">
            <v>LAPP</v>
          </cell>
          <cell r="D5866" t="str">
            <v>Lapp-Non Moving Stocks</v>
          </cell>
        </row>
        <row r="5867">
          <cell r="A5867" t="str">
            <v>1123427 (ÖLFLEX CLASSIC 130 H BK 0.6/1 kV 3G2.5_x000D_
)</v>
          </cell>
          <cell r="B5867" t="str">
            <v>1123427(ÖLFLEX CLASSIC 130 H BK 0.6/1 kV 3G2.5_x000D_
)</v>
          </cell>
          <cell r="C5867" t="str">
            <v>LAPP</v>
          </cell>
          <cell r="D5867" t="str">
            <v>Lapp-Non Moving Stocks</v>
          </cell>
        </row>
        <row r="5868">
          <cell r="A5868" t="str">
            <v>1123434 (ÖLFLEX CLASSIC 130 H BK 0,6/1 kV 3G4_x000D_
)</v>
          </cell>
          <cell r="B5868" t="str">
            <v>1123434(ÖLFLEX CLASSIC 130 H BK 0,6/1 kV 3G4_x000D_
)</v>
          </cell>
          <cell r="C5868" t="str">
            <v>LAPP</v>
          </cell>
          <cell r="D5868" t="str">
            <v>Lapp-Non Moving Stocks</v>
          </cell>
        </row>
        <row r="5869">
          <cell r="A5869" t="str">
            <v>1123421 (ÖLFLEX CLASSIC 130 H BK 0,6/1 kV 5G1,5_x000D_
)</v>
          </cell>
          <cell r="B5869" t="str">
            <v>1123421(ÖLFLEX CLASSIC 130 H BK 0,6/1 kV 5G1,5_x000D_
)</v>
          </cell>
          <cell r="C5869" t="str">
            <v>LAPP</v>
          </cell>
          <cell r="D5869" t="str">
            <v>Lapp-Non Moving Stocks</v>
          </cell>
        </row>
        <row r="5870">
          <cell r="A5870" t="str">
            <v>1123443 (ÖLFLEX CLASSIC 130 H BK 0,6/1 kV 5G16_x000D_
)</v>
          </cell>
          <cell r="B5870" t="str">
            <v>1123443(ÖLFLEX CLASSIC 130 H BK 0,6/1 kV 5G16_x000D_
)</v>
          </cell>
          <cell r="C5870" t="str">
            <v>LAPP</v>
          </cell>
          <cell r="D5870" t="str">
            <v>Lapp-Non Moving Stocks</v>
          </cell>
        </row>
        <row r="5871">
          <cell r="A5871" t="str">
            <v>1123429 (ÖLFLEX CLASSIC 130 H BK 0.6/1 kV 5G2.5_x000D_
)</v>
          </cell>
          <cell r="B5871" t="str">
            <v>1123429(ÖLFLEX CLASSIC 130 H BK 0.6/1 kV 5G2.5_x000D_
)</v>
          </cell>
          <cell r="C5871" t="str">
            <v>LAPP</v>
          </cell>
          <cell r="D5871" t="str">
            <v>Lapp-Non Moving Stocks</v>
          </cell>
        </row>
        <row r="5872">
          <cell r="A5872" t="str">
            <v>1123200 (ÖLFLEX CLASSIC 135 CH 2X0,5_x000D_
)</v>
          </cell>
          <cell r="B5872" t="str">
            <v>1123200(ÖLFLEX CLASSIC 135 CH 2X0,5_x000D_
)</v>
          </cell>
          <cell r="C5872" t="str">
            <v>LAPP</v>
          </cell>
          <cell r="D5872" t="str">
            <v>Lapp-Non Moving Stocks</v>
          </cell>
        </row>
        <row r="5873">
          <cell r="A5873" t="str">
            <v>281603 (ÖLFLEX CONTROL TM 3G1,5_x000D_
)</v>
          </cell>
          <cell r="B5873" t="str">
            <v>281603(ÖLFLEX CONTROL TM 3G1,5_x000D_
)</v>
          </cell>
          <cell r="C5873" t="str">
            <v>LAPP</v>
          </cell>
          <cell r="D5873" t="str">
            <v>Lapp-Non Moving Stocks</v>
          </cell>
        </row>
        <row r="5874">
          <cell r="A5874" t="str">
            <v>281403 (ÖLFLEX CONTROL TM 3G2,5_x000D_
)</v>
          </cell>
          <cell r="B5874" t="str">
            <v>281403(ÖLFLEX CONTROL TM 3G2,5_x000D_
)</v>
          </cell>
          <cell r="C5874" t="str">
            <v>LAPP</v>
          </cell>
          <cell r="D5874" t="str">
            <v>Lapp-Non Moving Stocks</v>
          </cell>
        </row>
        <row r="5875">
          <cell r="A5875" t="str">
            <v>281604 (ÖLFLEX CONTROL TM 4G1.5_x000D_
)</v>
          </cell>
          <cell r="B5875" t="str">
            <v>281604(ÖLFLEX CONTROL TM 4G1.5_x000D_
)</v>
          </cell>
          <cell r="C5875" t="str">
            <v>LAPP</v>
          </cell>
          <cell r="D5875" t="str">
            <v>Lapp-Non Moving Stocks</v>
          </cell>
        </row>
        <row r="5876">
          <cell r="A5876" t="str">
            <v>281404 (ÖLFLEX CONTROL TM 4G2.5_x000D_
)</v>
          </cell>
          <cell r="B5876" t="str">
            <v>281404(ÖLFLEX CONTROL TM 4G2.5_x000D_
)</v>
          </cell>
          <cell r="C5876" t="str">
            <v>LAPP</v>
          </cell>
          <cell r="D5876" t="str">
            <v>Lapp-Non Moving Stocks</v>
          </cell>
        </row>
        <row r="5877">
          <cell r="A5877" t="str">
            <v>281605 (ÖLFLEX CONTROL TM 5G1,5_x000D_
)</v>
          </cell>
          <cell r="B5877" t="str">
            <v>281605(ÖLFLEX CONTROL TM 5G1,5_x000D_
)</v>
          </cell>
          <cell r="C5877" t="str">
            <v>LAPP</v>
          </cell>
          <cell r="D5877" t="str">
            <v>Lapp-Non Moving Stocks</v>
          </cell>
        </row>
        <row r="5878">
          <cell r="A5878" t="str">
            <v>281405 (ÖLFLEX CONTROL TM 5G2,5_x000D_
)</v>
          </cell>
          <cell r="B5878" t="str">
            <v>281405(ÖLFLEX CONTROL TM 5G2,5_x000D_
)</v>
          </cell>
          <cell r="C5878" t="str">
            <v>LAPP</v>
          </cell>
          <cell r="D5878" t="str">
            <v>Lapp-Non Moving Stocks</v>
          </cell>
        </row>
        <row r="5879">
          <cell r="A5879" t="str">
            <v>281205 (ÖLFLEX CONTROL TM 5G4_x000D_
)</v>
          </cell>
          <cell r="B5879" t="str">
            <v>281205(ÖLFLEX CONTROL TM 5G4_x000D_
)</v>
          </cell>
          <cell r="C5879" t="str">
            <v>LAPP</v>
          </cell>
          <cell r="D5879" t="str">
            <v>Lapp-Non Moving Stocks</v>
          </cell>
        </row>
        <row r="5880">
          <cell r="A5880" t="str">
            <v>0042020 (ÖLFLEX F 12G1 300/500V_x000D_
)</v>
          </cell>
          <cell r="B5880" t="str">
            <v>0042020(ÖLFLEX F 12G1 300/500V_x000D_
)</v>
          </cell>
          <cell r="C5880" t="str">
            <v>LAPP</v>
          </cell>
          <cell r="D5880" t="str">
            <v>Lapp-Non Moving Stocks</v>
          </cell>
        </row>
        <row r="5881">
          <cell r="A5881" t="str">
            <v>0042006 (ÖLFLEX F 12G1,5 450/750V_x000D_
)</v>
          </cell>
          <cell r="B5881" t="str">
            <v>0042006(ÖLFLEX F 12G1,5 450/750V_x000D_
)</v>
          </cell>
          <cell r="C5881" t="str">
            <v>LAPP</v>
          </cell>
          <cell r="D5881" t="str">
            <v>Lapp-Non Moving Stocks</v>
          </cell>
        </row>
        <row r="5882">
          <cell r="A5882" t="str">
            <v>0042021_x000D_
 (ÖLFLEX F 16G1 300/500V_x000D_
)</v>
          </cell>
          <cell r="B5882" t="str">
            <v>0042021_x000D_
(ÖLFLEX F 16G1 300/500V_x000D_
)</v>
          </cell>
          <cell r="C5882" t="str">
            <v>LAPP</v>
          </cell>
          <cell r="D5882" t="str">
            <v>Lapp-Non Moving Stocks</v>
          </cell>
        </row>
        <row r="5883">
          <cell r="A5883" t="str">
            <v>00420073 (ÖLFLEX F 4G2,5 450/750V NCC_x000D_
)</v>
          </cell>
          <cell r="B5883" t="str">
            <v>00420073(ÖLFLEX F 4G2,5 450/750V NCC_x000D_
)</v>
          </cell>
          <cell r="C5883" t="str">
            <v>LAPP</v>
          </cell>
          <cell r="D5883" t="str">
            <v>Lapp-Non Moving Stocks</v>
          </cell>
        </row>
        <row r="5884">
          <cell r="A5884" t="str">
            <v>0042010 (ÖLFLEX F 8G2,5 450/750V)</v>
          </cell>
          <cell r="B5884" t="str">
            <v>0042010(ÖLFLEX F 8G2,5 450/750V)</v>
          </cell>
          <cell r="C5884" t="str">
            <v>LAPP</v>
          </cell>
          <cell r="D5884" t="str">
            <v>Lapp-Non Moving Stocks</v>
          </cell>
        </row>
        <row r="5885">
          <cell r="A5885" t="str">
            <v>0027538_x000D_
 (ÖLFLEX FD 855 P 25G0,5_x000D_
)</v>
          </cell>
          <cell r="B5885" t="str">
            <v>0027538_x000D_
(ÖLFLEX FD 855 P 25G0,5_x000D_
)</v>
          </cell>
          <cell r="C5885" t="str">
            <v>LAPP</v>
          </cell>
          <cell r="D5885" t="str">
            <v>Lapp-Non Moving Stocks</v>
          </cell>
        </row>
        <row r="5886">
          <cell r="A5886" t="str">
            <v>220604 (ÖLFLEX TRAY II 4G16_x000D_
)</v>
          </cell>
          <cell r="B5886" t="str">
            <v>220604(ÖLFLEX TRAY II 4G16_x000D_
)</v>
          </cell>
          <cell r="C5886" t="str">
            <v>LAPP</v>
          </cell>
          <cell r="D5886" t="str">
            <v>Lapp-Non Moving Stocks</v>
          </cell>
        </row>
        <row r="5887">
          <cell r="A5887" t="str">
            <v>221004 (ÖLFLEX TRAY II 4G6_x000D_
)</v>
          </cell>
          <cell r="B5887" t="str">
            <v>221004(ÖLFLEX TRAY II 4G6_x000D_
)</v>
          </cell>
          <cell r="C5887" t="str">
            <v>LAPP</v>
          </cell>
          <cell r="D5887" t="str">
            <v>Lapp-Non Moving Stocks</v>
          </cell>
        </row>
        <row r="5888">
          <cell r="A5888" t="str">
            <v>38007082 (ÖLFLEX® 100 I 3 G 4.00)</v>
          </cell>
          <cell r="B5888" t="str">
            <v>38007082(ÖLFLEX® 100 I 3 G 4.00)</v>
          </cell>
          <cell r="C5888" t="str">
            <v>LAPP</v>
          </cell>
          <cell r="D5888" t="str">
            <v>Lapp-Non Moving Stocks</v>
          </cell>
        </row>
        <row r="5889">
          <cell r="A5889" t="str">
            <v>1027912 (ÖLFLEX® CHAIN 819 CP 4G0,75)</v>
          </cell>
          <cell r="B5889" t="str">
            <v>1027912(ÖLFLEX® CHAIN 819 CP 4G0,75)</v>
          </cell>
          <cell r="C5889" t="str">
            <v>LAPP</v>
          </cell>
          <cell r="D5889" t="str">
            <v>Lapp-Non Moving Stocks</v>
          </cell>
        </row>
        <row r="5890">
          <cell r="A5890" t="str">
            <v>1123110 (ÖLFLEX® CLASSIC 130 H 4X1,5)</v>
          </cell>
          <cell r="B5890" t="str">
            <v>1123110(ÖLFLEX® CLASSIC 130 H 4X1,5)</v>
          </cell>
          <cell r="C5890" t="str">
            <v>LAPP</v>
          </cell>
          <cell r="D5890" t="str">
            <v>Lapp-Non Moving Stocks</v>
          </cell>
        </row>
        <row r="5891">
          <cell r="A5891" t="str">
            <v>1313304 (ÖLFLEX® CLASSIC 400 CP 4G1,5)</v>
          </cell>
          <cell r="B5891" t="str">
            <v>1313304(ÖLFLEX® CLASSIC 400 CP 4G1,5)</v>
          </cell>
          <cell r="C5891" t="str">
            <v>LAPP</v>
          </cell>
          <cell r="D5891" t="str">
            <v>Lapp-Non Moving Stocks</v>
          </cell>
        </row>
        <row r="5892">
          <cell r="A5892" t="str">
            <v>0046724_x000D_
 (ÖLFLEX HEAT 180 C MS 25G1,5_x000D_
)</v>
          </cell>
          <cell r="B5892" t="str">
            <v>0046724_x000D_
(ÖLFLEX HEAT 180 C MS 25G1,5_x000D_
)</v>
          </cell>
          <cell r="C5892" t="str">
            <v>LAPP</v>
          </cell>
          <cell r="D5892" t="str">
            <v>Lapp-Non Moving Stocks</v>
          </cell>
        </row>
        <row r="5893">
          <cell r="A5893" t="str">
            <v>0046512_x000D_
 (ÖLFLEX HEAT 180 EWKF 3G1,5_x000D_
)</v>
          </cell>
          <cell r="B5893" t="str">
            <v>0046512_x000D_
(ÖLFLEX HEAT 180 EWKF 3G1,5_x000D_
)</v>
          </cell>
          <cell r="C5893" t="str">
            <v>LAPP</v>
          </cell>
          <cell r="D5893" t="str">
            <v>Lapp-Non Moving Stocks</v>
          </cell>
        </row>
        <row r="5894">
          <cell r="A5894" t="str">
            <v>00465223_x000D_
 (ÖLFLEX HEAT 180 EWKF 4G2,5_x000D_
)</v>
          </cell>
          <cell r="B5894" t="str">
            <v>00465223_x000D_
(ÖLFLEX HEAT 180 EWKF 4G2,5_x000D_
)</v>
          </cell>
          <cell r="C5894" t="str">
            <v>LAPP</v>
          </cell>
          <cell r="D5894" t="str">
            <v>Lapp-Non Moving Stocks</v>
          </cell>
        </row>
        <row r="5895">
          <cell r="A5895" t="str">
            <v>00463323 (ÖLFLEX HEAT 180 EWKF C 5G6 NCC_x000D_
)</v>
          </cell>
          <cell r="B5895" t="str">
            <v>00463323(ÖLFLEX HEAT 180 EWKF C 5G6 NCC_x000D_
)</v>
          </cell>
          <cell r="C5895" t="str">
            <v>LAPP</v>
          </cell>
          <cell r="D5895" t="str">
            <v>Lapp-Non Moving Stocks</v>
          </cell>
        </row>
        <row r="5896">
          <cell r="A5896" t="str">
            <v>0047105_x000D_
 (ÖLFLEX HEAT 180 SiF 1X0,25 WH_x000D_
)</v>
          </cell>
          <cell r="B5896" t="str">
            <v>0047105_x000D_
(ÖLFLEX HEAT 180 SiF 1X0,25 WH_x000D_
)</v>
          </cell>
          <cell r="C5896" t="str">
            <v>LAPP</v>
          </cell>
          <cell r="D5896" t="str">
            <v>Lapp-Non Moving Stocks</v>
          </cell>
        </row>
        <row r="5897">
          <cell r="A5897" t="str">
            <v>0048003 (ÖLFLEX HEAT 180 SiF 1X0,5 BN_x000D_
)</v>
          </cell>
          <cell r="B5897" t="str">
            <v>0048003(ÖLFLEX HEAT 180 SiF 1X0,5 BN_x000D_
)</v>
          </cell>
          <cell r="C5897" t="str">
            <v>LAPP</v>
          </cell>
          <cell r="D5897" t="str">
            <v>Lapp-Non Moving Stocks</v>
          </cell>
        </row>
        <row r="5898">
          <cell r="A5898" t="str">
            <v>0048106 (ÖLFLEX HEAT 180 SiF 1X0,5 GY_x000D_
)</v>
          </cell>
          <cell r="B5898" t="str">
            <v>0048106(ÖLFLEX HEAT 180 SiF 1X0,5 GY_x000D_
)</v>
          </cell>
          <cell r="C5898" t="str">
            <v>LAPP</v>
          </cell>
          <cell r="D5898" t="str">
            <v>Lapp-Non Moving Stocks</v>
          </cell>
        </row>
        <row r="5899">
          <cell r="A5899" t="str">
            <v>0051003 (ÖLFLEX HEAT 180 SiF 1X1,5 BN)</v>
          </cell>
          <cell r="B5899" t="str">
            <v>0051003(ÖLFLEX HEAT 180 SiF 1X1,5 BN)</v>
          </cell>
          <cell r="C5899" t="str">
            <v>LAPP</v>
          </cell>
          <cell r="D5899" t="str">
            <v>Lapp-Non Moving Stocks</v>
          </cell>
        </row>
        <row r="5900">
          <cell r="A5900" t="str">
            <v>0051002 (ÖLFLEX HEAT 180 SiF 1X1,5 BU)</v>
          </cell>
          <cell r="B5900" t="str">
            <v>0051002(ÖLFLEX HEAT 180 SiF 1X1,5 BU)</v>
          </cell>
          <cell r="C5900" t="str">
            <v>LAPP</v>
          </cell>
          <cell r="D5900" t="str">
            <v>Lapp-Non Moving Stocks</v>
          </cell>
        </row>
        <row r="5901">
          <cell r="A5901" t="str">
            <v>0050104 (ÖLFLEX HEAT 180 SiF 1X1 RD_x000D_
)</v>
          </cell>
          <cell r="B5901" t="str">
            <v>0050104(ÖLFLEX HEAT 180 SiF 1X1 RD_x000D_
)</v>
          </cell>
          <cell r="C5901" t="str">
            <v>LAPP</v>
          </cell>
          <cell r="D5901" t="str">
            <v>Lapp-Non Moving Stocks</v>
          </cell>
        </row>
        <row r="5902">
          <cell r="A5902" t="str">
            <v>0052001 (ÖLFLEX HEAT 180 SiF 1X2,5 BK_x000D_
)</v>
          </cell>
          <cell r="B5902" t="str">
            <v>0052001(ÖLFLEX HEAT 180 SiF 1X2,5 BK_x000D_
)</v>
          </cell>
          <cell r="C5902" t="str">
            <v>LAPP</v>
          </cell>
          <cell r="D5902" t="str">
            <v>Lapp-Non Moving Stocks</v>
          </cell>
        </row>
        <row r="5903">
          <cell r="A5903" t="str">
            <v>0058001 (ÖLFLEX HEAT 180 SiF 1X35 BK_x000D_
)</v>
          </cell>
          <cell r="B5903" t="str">
            <v>0058001(ÖLFLEX HEAT 180 SiF 1X35 BK_x000D_
)</v>
          </cell>
          <cell r="C5903" t="str">
            <v>LAPP</v>
          </cell>
          <cell r="D5903" t="str">
            <v>Lapp-Non Moving Stocks</v>
          </cell>
        </row>
        <row r="5904">
          <cell r="A5904" t="str">
            <v>00460153_x000D_
 (ÖLFLEX HEAT 180 SiF 4G1,5 NCC_x000D_
)</v>
          </cell>
          <cell r="B5904" t="str">
            <v>00460153_x000D_
(ÖLFLEX HEAT 180 SiF 4G1,5 NCC_x000D_
)</v>
          </cell>
          <cell r="C5904" t="str">
            <v>LAPP</v>
          </cell>
          <cell r="D5904" t="str">
            <v>Lapp-Non Moving Stocks</v>
          </cell>
        </row>
        <row r="5905">
          <cell r="A5905" t="str">
            <v>1249530 (ÖLFLEX HEAT 180 SiF A 1x16 BK_x000D_
)</v>
          </cell>
          <cell r="B5905" t="str">
            <v>1249530(ÖLFLEX HEAT 180 SiF A 1x16 BK_x000D_
)</v>
          </cell>
          <cell r="C5905" t="str">
            <v>LAPP</v>
          </cell>
          <cell r="D5905" t="str">
            <v>Lapp-Non Moving Stocks</v>
          </cell>
        </row>
        <row r="5906">
          <cell r="A5906" t="str">
            <v>1249510 (ÖLFLEX HEAT 180 SiF A 1x16 GNYE_x000D_
)</v>
          </cell>
          <cell r="B5906" t="str">
            <v>1249510(ÖLFLEX HEAT 180 SiF A 1x16 GNYE_x000D_
)</v>
          </cell>
          <cell r="C5906" t="str">
            <v>LAPP</v>
          </cell>
          <cell r="D5906" t="str">
            <v>Lapp-Non Moving Stocks</v>
          </cell>
        </row>
        <row r="5907">
          <cell r="A5907" t="str">
            <v>1249511 (ÖLFLEX HEAT 180 SiF A 1x25 GNYE)</v>
          </cell>
          <cell r="B5907" t="str">
            <v>1249511(ÖLFLEX HEAT 180 SiF A 1x25 GNYE)</v>
          </cell>
          <cell r="C5907" t="str">
            <v>LAPP</v>
          </cell>
          <cell r="D5907" t="str">
            <v>Lapp-Non Moving Stocks</v>
          </cell>
        </row>
        <row r="5908">
          <cell r="A5908" t="str">
            <v>1249527 (ÖLFLEX HEAT 180 SiF A 1x4 BK_x000D_
)</v>
          </cell>
          <cell r="B5908" t="str">
            <v>1249527(ÖLFLEX HEAT 180 SiF A 1x4 BK_x000D_
)</v>
          </cell>
          <cell r="C5908" t="str">
            <v>LAPP</v>
          </cell>
          <cell r="D5908" t="str">
            <v>Lapp-Non Moving Stocks</v>
          </cell>
        </row>
        <row r="5909">
          <cell r="A5909" t="str">
            <v>1249534 (ÖLFLEX HEAT 180 SiF A 1x70 BK)</v>
          </cell>
          <cell r="B5909" t="str">
            <v>1249534(ÖLFLEX HEAT 180 SiF A 1x70 BK)</v>
          </cell>
          <cell r="C5909" t="str">
            <v>LAPP</v>
          </cell>
          <cell r="D5909" t="str">
            <v>Lapp-Non Moving Stocks</v>
          </cell>
        </row>
        <row r="5910">
          <cell r="A5910" t="str">
            <v>00460103 (ÖLFLEX HEAT 180 SiHF 5G1 NCC_x000D_
)</v>
          </cell>
          <cell r="B5910" t="str">
            <v>00460103(ÖLFLEX HEAT 180 SiHF 5G1 NCC_x000D_
)</v>
          </cell>
          <cell r="C5910" t="str">
            <v>LAPP</v>
          </cell>
          <cell r="D5910" t="str">
            <v>Lapp-Non Moving Stocks</v>
          </cell>
        </row>
        <row r="5911">
          <cell r="A5911" t="str">
            <v>0055104_x000D_
 (ÖLFLEX® HEAT 180 SiF 1X10 RD_x000D_
)</v>
          </cell>
          <cell r="B5911" t="str">
            <v>0055104_x000D_
(ÖLFLEX® HEAT 180 SiF 1X10 RD_x000D_
)</v>
          </cell>
          <cell r="C5911" t="str">
            <v>LAPP</v>
          </cell>
          <cell r="D5911" t="str">
            <v>Lapp-Non Moving Stocks</v>
          </cell>
        </row>
        <row r="5912">
          <cell r="A5912" t="str">
            <v>0053001 (ÖLFLEX® HEAT 180 SiF 1X4 BK)</v>
          </cell>
          <cell r="B5912" t="str">
            <v>0053001(ÖLFLEX® HEAT 180 SiF 1X4 BK)</v>
          </cell>
          <cell r="C5912" t="str">
            <v>LAPP</v>
          </cell>
          <cell r="D5912" t="str">
            <v>Lapp-Non Moving Stocks</v>
          </cell>
        </row>
        <row r="5913">
          <cell r="A5913" t="str">
            <v>1249520 (ÖLFLEX® HEAT 180 SiF A 1x0,25 BK)</v>
          </cell>
          <cell r="B5913" t="str">
            <v>1249520(ÖLFLEX® HEAT 180 SiF A 1x0,25 BK)</v>
          </cell>
          <cell r="C5913" t="str">
            <v>LAPP</v>
          </cell>
          <cell r="D5913" t="str">
            <v>Lapp-Non Moving Stocks</v>
          </cell>
        </row>
        <row r="5914">
          <cell r="A5914" t="str">
            <v>1249580 (ÖLFLEX® HEAT 180 SiF A 1x0,25 RD)</v>
          </cell>
          <cell r="B5914" t="str">
            <v>1249580(ÖLFLEX® HEAT 180 SiF A 1x0,25 RD)</v>
          </cell>
          <cell r="C5914" t="str">
            <v>LAPP</v>
          </cell>
          <cell r="D5914" t="str">
            <v>Lapp-Non Moving Stocks</v>
          </cell>
        </row>
        <row r="5915">
          <cell r="A5915" t="str">
            <v>0046623_x000D_
 (ÖLFLEX HEAT 180 UL/CSA 12G1,5/16 AWG_x000D_
)</v>
          </cell>
          <cell r="B5915" t="str">
            <v>0046623_x000D_
(ÖLFLEX HEAT 180 UL/CSA 12G1,5/16 AWG_x000D_
)</v>
          </cell>
          <cell r="C5915" t="str">
            <v>LAPP</v>
          </cell>
          <cell r="D5915" t="str">
            <v>Lapp-Non Moving Stocks</v>
          </cell>
        </row>
        <row r="5916">
          <cell r="A5916" t="str">
            <v>0046625 (ÖLFLEX HEAT 180 UL/CSA 18G1,5/16 AWG_x000D_
)</v>
          </cell>
          <cell r="B5916" t="str">
            <v>0046625(ÖLFLEX HEAT 180 UL/CSA 18G1,5/16 AWG_x000D_
)</v>
          </cell>
          <cell r="C5916" t="str">
            <v>LAPP</v>
          </cell>
          <cell r="D5916" t="str">
            <v>Lapp-Non Moving Stocks</v>
          </cell>
        </row>
        <row r="5917">
          <cell r="A5917" t="str">
            <v>0046629 (ÖLFLEX HEAT 180 UL/CSA 3G2,5/14 AWG_x000D_
)</v>
          </cell>
          <cell r="B5917" t="str">
            <v>0046629(ÖLFLEX HEAT 180 UL/CSA 3G2,5/14 AWG_x000D_
)</v>
          </cell>
          <cell r="C5917" t="str">
            <v>LAPP</v>
          </cell>
          <cell r="D5917" t="str">
            <v>Lapp-Non Moving Stocks</v>
          </cell>
        </row>
        <row r="5918">
          <cell r="A5918" t="str">
            <v>00466153_x000D_
 (ÖLFLEX HEAT 180 UL/CSA 5G1/18 AWG NCC_x000D_
)</v>
          </cell>
          <cell r="B5918" t="str">
            <v>00466153_x000D_
(ÖLFLEX HEAT 180 UL/CSA 5G1/18 AWG NCC_x000D_
)</v>
          </cell>
          <cell r="C5918" t="str">
            <v>LAPP</v>
          </cell>
          <cell r="D5918" t="str">
            <v>Lapp-Non Moving Stocks</v>
          </cell>
        </row>
        <row r="5919">
          <cell r="A5919" t="str">
            <v>1024423_x000D_
 (ÖLFLEX HEAT 125 C MC 2X1.5_x000D_
)</v>
          </cell>
          <cell r="B5919" t="str">
            <v>1024423_x000D_
(ÖLFLEX HEAT 125 C MC 2X1.5_x000D_
)</v>
          </cell>
          <cell r="C5919" t="str">
            <v>LAPP</v>
          </cell>
          <cell r="D5919" t="str">
            <v>Lapp-Non Moving Stocks</v>
          </cell>
        </row>
        <row r="5920">
          <cell r="A5920" t="str">
            <v>1024410 (ÖLFLEX HEAT 125 C MC 5G0.75)</v>
          </cell>
          <cell r="B5920" t="str">
            <v>1024410(ÖLFLEX HEAT 125 C MC 5G0.75)</v>
          </cell>
          <cell r="C5920" t="str">
            <v>LAPP</v>
          </cell>
          <cell r="D5920" t="str">
            <v>Lapp-Non Moving Stocks</v>
          </cell>
        </row>
        <row r="5921">
          <cell r="A5921" t="str">
            <v>1024436 (ÖLFLEX HEAT 125 C MC 5G2.5)</v>
          </cell>
          <cell r="B5921" t="str">
            <v>1024436(ÖLFLEX HEAT 125 C MC 5G2.5)</v>
          </cell>
          <cell r="C5921" t="str">
            <v>LAPP</v>
          </cell>
          <cell r="D5921" t="str">
            <v>Lapp-Non Moving Stocks</v>
          </cell>
        </row>
        <row r="5922">
          <cell r="A5922" t="str">
            <v>1024417 (ÖLFLEX HEAT 125 C MC 4G1)</v>
          </cell>
          <cell r="B5922" t="str">
            <v>1024417(ÖLFLEX HEAT 125 C MC 4G1)</v>
          </cell>
          <cell r="C5922" t="str">
            <v>LAPP</v>
          </cell>
          <cell r="D5922" t="str">
            <v>Lapp-Non Moving Stocks</v>
          </cell>
        </row>
        <row r="5923">
          <cell r="A5923" t="str">
            <v>1024435 (ÖLFLEX HEAT 125 C MC 4G2.5)</v>
          </cell>
          <cell r="B5923" t="str">
            <v>1024435(ÖLFLEX HEAT 125 C MC 4G2.5)</v>
          </cell>
          <cell r="C5923" t="str">
            <v>LAPP</v>
          </cell>
          <cell r="D5923" t="str">
            <v>Lapp-Non Moving Stocks</v>
          </cell>
        </row>
        <row r="5924">
          <cell r="A5924" t="str">
            <v>1024300 (ÖLFLEX HEAT 125 MC 2X0.5)</v>
          </cell>
          <cell r="B5924" t="str">
            <v>1024300(ÖLFLEX HEAT 125 MC 2X0.5)</v>
          </cell>
          <cell r="C5924" t="str">
            <v>LAPP</v>
          </cell>
          <cell r="D5924" t="str">
            <v>Lapp-Non Moving Stocks</v>
          </cell>
        </row>
        <row r="5925">
          <cell r="A5925" t="str">
            <v>1024333_x000D_
 (ÖLFLEX HEAT 125 MC 2X2.5_x000D_
)</v>
          </cell>
          <cell r="B5925" t="str">
            <v>1024333_x000D_
(ÖLFLEX HEAT 125 MC 2X2.5_x000D_
)</v>
          </cell>
          <cell r="C5925" t="str">
            <v>LAPP</v>
          </cell>
          <cell r="D5925" t="str">
            <v>Lapp-Non Moving Stocks</v>
          </cell>
        </row>
        <row r="5926">
          <cell r="A5926" t="str">
            <v>1024301 (ÖLFLEX HEAT 125 MC 3G0.5_x000D_
)</v>
          </cell>
          <cell r="B5926" t="str">
            <v>1024301(ÖLFLEX HEAT 125 MC 3G0.5_x000D_
)</v>
          </cell>
          <cell r="C5926" t="str">
            <v>LAPP</v>
          </cell>
          <cell r="D5926" t="str">
            <v>Lapp-Non Moving Stocks</v>
          </cell>
        </row>
        <row r="5927">
          <cell r="A5927" t="str">
            <v>1024334 (ÖLFLEX HEAT 125 MC 3G2.5)</v>
          </cell>
          <cell r="B5927" t="str">
            <v>1024334(ÖLFLEX HEAT 125 MC 3G2.5)</v>
          </cell>
          <cell r="C5927" t="str">
            <v>LAPP</v>
          </cell>
          <cell r="D5927" t="str">
            <v>Lapp-Non Moving Stocks</v>
          </cell>
        </row>
        <row r="5928">
          <cell r="A5928" t="str">
            <v>1024347 (ÖLFLEX HEAT 125 MC 5G6)</v>
          </cell>
          <cell r="B5928" t="str">
            <v>1024347(ÖLFLEX HEAT 125 MC 5G6)</v>
          </cell>
          <cell r="C5928" t="str">
            <v>LAPP</v>
          </cell>
          <cell r="D5928" t="str">
            <v>Lapp-Non Moving Stocks</v>
          </cell>
        </row>
        <row r="5929">
          <cell r="A5929" t="str">
            <v>1024311 (ÖLFLEX HEAT 125 MC 7G0.75)</v>
          </cell>
          <cell r="B5929" t="str">
            <v>1024311(ÖLFLEX HEAT 125 MC 7G0.75)</v>
          </cell>
          <cell r="C5929" t="str">
            <v>LAPP</v>
          </cell>
          <cell r="D5929" t="str">
            <v>Lapp-Non Moving Stocks</v>
          </cell>
        </row>
        <row r="5930">
          <cell r="A5930" t="str">
            <v>1232105 (OLFLEX HEAT 125 SC 1X0.5 WH)</v>
          </cell>
          <cell r="B5930" t="str">
            <v>1232105(OLFLEX HEAT 125 SC 1X0.5 WH)</v>
          </cell>
          <cell r="C5930" t="str">
            <v>LAPP</v>
          </cell>
          <cell r="D5930" t="str">
            <v>Lapp-Non Moving Stocks</v>
          </cell>
        </row>
        <row r="5931">
          <cell r="A5931" t="str">
            <v>1233001 (ÖLFLEX HEAT 125 SC 1X0.75 BK)</v>
          </cell>
          <cell r="B5931" t="str">
            <v>1233001(ÖLFLEX HEAT 125 SC 1X0.75 BK)</v>
          </cell>
          <cell r="C5931" t="str">
            <v>LAPP</v>
          </cell>
          <cell r="D5931" t="str">
            <v>Lapp-Non Moving Stocks</v>
          </cell>
        </row>
        <row r="5932">
          <cell r="A5932" t="str">
            <v>1233003 (ÖLFLEX HEAT 125 SC 1X0.75 BN)</v>
          </cell>
          <cell r="B5932" t="str">
            <v>1233003(ÖLFLEX HEAT 125 SC 1X0.75 BN)</v>
          </cell>
          <cell r="C5932" t="str">
            <v>LAPP</v>
          </cell>
          <cell r="D5932" t="str">
            <v>Lapp-Non Moving Stocks</v>
          </cell>
        </row>
        <row r="5933">
          <cell r="A5933" t="str">
            <v>1233002 (ÖLFLEX HEAT 125 SC 1X0.75 BU)</v>
          </cell>
          <cell r="B5933" t="str">
            <v>1233002(ÖLFLEX HEAT 125 SC 1X0.75 BU)</v>
          </cell>
          <cell r="C5933" t="str">
            <v>LAPP</v>
          </cell>
          <cell r="D5933" t="str">
            <v>Lapp-Non Moving Stocks</v>
          </cell>
        </row>
        <row r="5934">
          <cell r="A5934" t="str">
            <v>1233106 (ÖLFLEX HEAT 125 SC 1X0.75 GY_x000D_
)</v>
          </cell>
          <cell r="B5934" t="str">
            <v>1233106(ÖLFLEX HEAT 125 SC 1X0.75 GY_x000D_
)</v>
          </cell>
          <cell r="C5934" t="str">
            <v>LAPP</v>
          </cell>
          <cell r="D5934" t="str">
            <v>Lapp-Non Moving Stocks</v>
          </cell>
        </row>
        <row r="5935">
          <cell r="A5935" t="str">
            <v>1233104 (ÖLFLEX HEAT 125 SC 1X0.75 RD)</v>
          </cell>
          <cell r="B5935" t="str">
            <v>1233104(ÖLFLEX HEAT 125 SC 1X0.75 RD)</v>
          </cell>
          <cell r="C5935" t="str">
            <v>LAPP</v>
          </cell>
          <cell r="D5935" t="str">
            <v>Lapp-Non Moving Stocks</v>
          </cell>
        </row>
        <row r="5936">
          <cell r="A5936" t="str">
            <v>1239001 (ÖLFLEX HEAT 125 SC 1X10 BK)</v>
          </cell>
          <cell r="B5936" t="str">
            <v>1239001(ÖLFLEX HEAT 125 SC 1X10 BK)</v>
          </cell>
          <cell r="C5936" t="str">
            <v>LAPP</v>
          </cell>
          <cell r="D5936" t="str">
            <v>Lapp-Non Moving Stocks</v>
          </cell>
        </row>
        <row r="5937">
          <cell r="A5937" t="str">
            <v>1239104 (ÖLFLEX HEAT 125 SC 1X10 RD)</v>
          </cell>
          <cell r="B5937" t="str">
            <v>1239104(ÖLFLEX HEAT 125 SC 1X10 RD)</v>
          </cell>
          <cell r="C5937" t="str">
            <v>LAPP</v>
          </cell>
          <cell r="D5937" t="str">
            <v>Lapp-Non Moving Stocks</v>
          </cell>
        </row>
        <row r="5938">
          <cell r="A5938" t="str">
            <v>1235001_x000D_
 (ÖLFLEX HEAT 125 SC 1X1.5 BK_x000D_
)</v>
          </cell>
          <cell r="B5938" t="str">
            <v>1235001_x000D_
(ÖLFLEX HEAT 125 SC 1X1.5 BK_x000D_
)</v>
          </cell>
          <cell r="C5938" t="str">
            <v>LAPP</v>
          </cell>
          <cell r="D5938" t="str">
            <v>Lapp-Non Moving Stocks</v>
          </cell>
        </row>
        <row r="5939">
          <cell r="A5939" t="str">
            <v>1235002 (ÖLFLEX HEAT 125 SC 1X1.5 BU_x000D_
)</v>
          </cell>
          <cell r="B5939" t="str">
            <v>1235002(ÖLFLEX HEAT 125 SC 1X1.5 BU_x000D_
)</v>
          </cell>
          <cell r="C5939" t="str">
            <v>LAPP</v>
          </cell>
          <cell r="D5939" t="str">
            <v>Lapp-Non Moving Stocks</v>
          </cell>
        </row>
        <row r="5940">
          <cell r="A5940" t="str">
            <v>1235006 (ÖLFLEX HEAT 125 SC 1X1.5 GN)</v>
          </cell>
          <cell r="B5940" t="str">
            <v>1235006(ÖLFLEX HEAT 125 SC 1X1.5 GN)</v>
          </cell>
          <cell r="C5940" t="str">
            <v>LAPP</v>
          </cell>
          <cell r="D5940" t="str">
            <v>Lapp-Non Moving Stocks</v>
          </cell>
        </row>
        <row r="5941">
          <cell r="A5941" t="str">
            <v>1235000 (ÖLFLEX HEAT 125 SC 1X1.5 GNYE_x000D_
)</v>
          </cell>
          <cell r="B5941" t="str">
            <v>1235000(ÖLFLEX HEAT 125 SC 1X1.5 GNYE_x000D_
)</v>
          </cell>
          <cell r="C5941" t="str">
            <v>LAPP</v>
          </cell>
          <cell r="D5941" t="str">
            <v>Lapp-Non Moving Stocks</v>
          </cell>
        </row>
        <row r="5942">
          <cell r="A5942" t="str">
            <v>1235106 (ÖLFLEX HEAT 125 SC 1X1.5 GY)</v>
          </cell>
          <cell r="B5942" t="str">
            <v>1235106(ÖLFLEX HEAT 125 SC 1X1.5 GY)</v>
          </cell>
          <cell r="C5942" t="str">
            <v>LAPP</v>
          </cell>
          <cell r="D5942" t="str">
            <v>Lapp-Non Moving Stocks</v>
          </cell>
        </row>
        <row r="5943">
          <cell r="A5943" t="str">
            <v>1235104 (ÖLFLEX HEAT 125 SC 1X1.5 RD_x000D_
)</v>
          </cell>
          <cell r="B5943" t="str">
            <v>1235104(ÖLFLEX HEAT 125 SC 1X1.5 RD_x000D_
)</v>
          </cell>
          <cell r="C5943" t="str">
            <v>LAPP</v>
          </cell>
          <cell r="D5943" t="str">
            <v>Lapp-Non Moving Stocks</v>
          </cell>
        </row>
        <row r="5944">
          <cell r="A5944" t="str">
            <v>1235007 (ÖLFLEX HEAT 125 SC 1X1.5 VT)</v>
          </cell>
          <cell r="B5944" t="str">
            <v>1235007(ÖLFLEX HEAT 125 SC 1X1.5 VT)</v>
          </cell>
          <cell r="C5944" t="str">
            <v>LAPP</v>
          </cell>
          <cell r="D5944" t="str">
            <v>Lapp-Non Moving Stocks</v>
          </cell>
        </row>
        <row r="5945">
          <cell r="A5945" t="str">
            <v>1235105 (ÖLFLEX HEAT 125 SC 1X1.5 WH)</v>
          </cell>
          <cell r="B5945" t="str">
            <v>1235105(ÖLFLEX HEAT 125 SC 1X1.5 WH)</v>
          </cell>
          <cell r="C5945" t="str">
            <v>LAPP</v>
          </cell>
          <cell r="D5945" t="str">
            <v>Lapp-Non Moving Stocks</v>
          </cell>
        </row>
        <row r="5946">
          <cell r="A5946" t="str">
            <v>1240001 (ÖLFLEX HEAT 125 SC 1X16 BK_x000D_
)</v>
          </cell>
          <cell r="B5946" t="str">
            <v>1240001(ÖLFLEX HEAT 125 SC 1X16 BK_x000D_
)</v>
          </cell>
          <cell r="C5946" t="str">
            <v>LAPP</v>
          </cell>
          <cell r="D5946" t="str">
            <v>Lapp-Non Moving Stocks</v>
          </cell>
        </row>
        <row r="5947">
          <cell r="A5947" t="str">
            <v>1240104 (ÖLFLEX HEAT 125 SC 1X16 RD)</v>
          </cell>
          <cell r="B5947" t="str">
            <v>1240104(ÖLFLEX HEAT 125 SC 1X16 RD)</v>
          </cell>
          <cell r="C5947" t="str">
            <v>LAPP</v>
          </cell>
          <cell r="D5947" t="str">
            <v>Lapp-Non Moving Stocks</v>
          </cell>
        </row>
        <row r="5948">
          <cell r="A5948" t="str">
            <v>1234002 (ÖLFLEX HEAT 125 SC 1X1 BU_x000D_
)</v>
          </cell>
          <cell r="B5948" t="str">
            <v>1234002(ÖLFLEX HEAT 125 SC 1X1 BU_x000D_
)</v>
          </cell>
          <cell r="C5948" t="str">
            <v>LAPP</v>
          </cell>
          <cell r="D5948" t="str">
            <v>Lapp-Non Moving Stocks</v>
          </cell>
        </row>
        <row r="5949">
          <cell r="A5949" t="str">
            <v>1234104 (ÖLFLEX HEAT 125 SC 1X1 RD)</v>
          </cell>
          <cell r="B5949" t="str">
            <v>1234104(ÖLFLEX HEAT 125 SC 1X1 RD)</v>
          </cell>
          <cell r="C5949" t="str">
            <v>LAPP</v>
          </cell>
          <cell r="D5949" t="str">
            <v>Lapp-Non Moving Stocks</v>
          </cell>
        </row>
        <row r="5950">
          <cell r="A5950" t="str">
            <v>1241001 (ÖLFLEX HEAT 125 SC 1X25 Black)</v>
          </cell>
          <cell r="B5950" t="str">
            <v>1241001(ÖLFLEX HEAT 125 SC 1X25 Black)</v>
          </cell>
          <cell r="C5950" t="str">
            <v>LAPP</v>
          </cell>
          <cell r="D5950" t="str">
            <v>Lapp-Non Moving Stocks</v>
          </cell>
        </row>
        <row r="5951">
          <cell r="A5951" t="str">
            <v>1236003 (ÖLFLEX HEAT 125 SC 1X2.5 BN_x000D_
)</v>
          </cell>
          <cell r="B5951" t="str">
            <v>1236003(ÖLFLEX HEAT 125 SC 1X2.5 BN_x000D_
)</v>
          </cell>
          <cell r="C5951" t="str">
            <v>LAPP</v>
          </cell>
          <cell r="D5951" t="str">
            <v>Lapp-Non Moving Stocks</v>
          </cell>
        </row>
        <row r="5952">
          <cell r="A5952" t="str">
            <v>1236002 (ÖLFLEX HEAT 125 SC 1X2.5 BU_x000D_
)</v>
          </cell>
          <cell r="B5952" t="str">
            <v>1236002(ÖLFLEX HEAT 125 SC 1X2.5 BU_x000D_
)</v>
          </cell>
          <cell r="C5952" t="str">
            <v>LAPP</v>
          </cell>
          <cell r="D5952" t="str">
            <v>Lapp-Non Moving Stocks</v>
          </cell>
        </row>
        <row r="5953">
          <cell r="A5953" t="str">
            <v>1236000 (ÖLFLEX HEAT 125 SC 1X2.5 GNYE_x000D_
)</v>
          </cell>
          <cell r="B5953" t="str">
            <v>1236000(ÖLFLEX HEAT 125 SC 1X2.5 GNYE_x000D_
)</v>
          </cell>
          <cell r="C5953" t="str">
            <v>LAPP</v>
          </cell>
          <cell r="D5953" t="str">
            <v>Lapp-Non Moving Stocks</v>
          </cell>
        </row>
        <row r="5954">
          <cell r="A5954" t="str">
            <v>1236106 (ÖLFLEX HEAT 125 SC 1X2.5 GY)</v>
          </cell>
          <cell r="B5954" t="str">
            <v>1236106(ÖLFLEX HEAT 125 SC 1X2.5 GY)</v>
          </cell>
          <cell r="C5954" t="str">
            <v>LAPP</v>
          </cell>
          <cell r="D5954" t="str">
            <v>Lapp-Non Moving Stocks</v>
          </cell>
        </row>
        <row r="5955">
          <cell r="A5955" t="str">
            <v>1236104 (ÖLFLEX HEAT 125 SC 1X2.5 RD)</v>
          </cell>
          <cell r="B5955" t="str">
            <v>1236104(ÖLFLEX HEAT 125 SC 1X2.5 RD)</v>
          </cell>
          <cell r="C5955" t="str">
            <v>LAPP</v>
          </cell>
          <cell r="D5955" t="str">
            <v>Lapp-Non Moving Stocks</v>
          </cell>
        </row>
        <row r="5956">
          <cell r="A5956" t="str">
            <v>1236007 (ÖLFLEX HEAT 125 SC 1X2.5 VT)</v>
          </cell>
          <cell r="B5956" t="str">
            <v>1236007(ÖLFLEX HEAT 125 SC 1X2.5 VT)</v>
          </cell>
          <cell r="C5956" t="str">
            <v>LAPP</v>
          </cell>
          <cell r="D5956" t="str">
            <v>Lapp-Non Moving Stocks</v>
          </cell>
        </row>
        <row r="5957">
          <cell r="A5957" t="str">
            <v>1241000 (ÖLFLEX HEAT 125 SC 1X25 Y/G_x000D_
)</v>
          </cell>
          <cell r="B5957" t="str">
            <v>1241000(ÖLFLEX HEAT 125 SC 1X25 Y/G_x000D_
)</v>
          </cell>
          <cell r="C5957" t="str">
            <v>LAPP</v>
          </cell>
          <cell r="D5957" t="str">
            <v>Lapp-Non Moving Stocks</v>
          </cell>
        </row>
        <row r="5958">
          <cell r="A5958" t="str">
            <v>1237003 (ÖLFLEX HEAT 125 SC 1X4 BN)</v>
          </cell>
          <cell r="B5958" t="str">
            <v>1237003(ÖLFLEX HEAT 125 SC 1X4 BN)</v>
          </cell>
          <cell r="C5958" t="str">
            <v>LAPP</v>
          </cell>
          <cell r="D5958" t="str">
            <v>Lapp-Non Moving Stocks</v>
          </cell>
        </row>
        <row r="5959">
          <cell r="A5959" t="str">
            <v>1237002 (ÖLFLEX HEAT 125 SC 1X4 BU_x000D_
)</v>
          </cell>
          <cell r="B5959" t="str">
            <v>1237002(ÖLFLEX HEAT 125 SC 1X4 BU_x000D_
)</v>
          </cell>
          <cell r="C5959" t="str">
            <v>LAPP</v>
          </cell>
          <cell r="D5959" t="str">
            <v>Lapp-Non Moving Stocks</v>
          </cell>
        </row>
        <row r="5960">
          <cell r="A5960" t="str">
            <v>1237000 (ÖLFLEX HEAT 125 SC 1X4 GNYE_x000D_
)</v>
          </cell>
          <cell r="B5960" t="str">
            <v>1237000(ÖLFLEX HEAT 125 SC 1X4 GNYE_x000D_
)</v>
          </cell>
          <cell r="C5960" t="str">
            <v>LAPP</v>
          </cell>
          <cell r="D5960" t="str">
            <v>Lapp-Non Moving Stocks</v>
          </cell>
        </row>
        <row r="5961">
          <cell r="A5961" t="str">
            <v>1237106 (ÖLFLEX HEAT 125 SC 1X4 GY)</v>
          </cell>
          <cell r="B5961" t="str">
            <v>1237106(ÖLFLEX HEAT 125 SC 1X4 GY)</v>
          </cell>
          <cell r="C5961" t="str">
            <v>LAPP</v>
          </cell>
          <cell r="D5961" t="str">
            <v>Lapp-Non Moving Stocks</v>
          </cell>
        </row>
        <row r="5962">
          <cell r="A5962" t="str">
            <v>1237104 (ÖLFLEX HEAT 125 SC 1X4 RD_x000D_
)</v>
          </cell>
          <cell r="B5962" t="str">
            <v>1237104(ÖLFLEX HEAT 125 SC 1X4 RD_x000D_
)</v>
          </cell>
          <cell r="C5962" t="str">
            <v>LAPP</v>
          </cell>
          <cell r="D5962" t="str">
            <v>Lapp-Non Moving Stocks</v>
          </cell>
        </row>
        <row r="5963">
          <cell r="A5963" t="str">
            <v>1237105 (ÖLFLEX HEAT 125 SC 1X4 WH_x000D_
)</v>
          </cell>
          <cell r="B5963" t="str">
            <v>1237105(ÖLFLEX HEAT 125 SC 1X4 WH_x000D_
)</v>
          </cell>
          <cell r="C5963" t="str">
            <v>LAPP</v>
          </cell>
          <cell r="D5963" t="str">
            <v>Lapp-Non Moving Stocks</v>
          </cell>
        </row>
        <row r="5964">
          <cell r="A5964" t="str">
            <v>1238001 (ÖLFLEX HEAT 125 SC 1X6 BK)</v>
          </cell>
          <cell r="B5964" t="str">
            <v>1238001(ÖLFLEX HEAT 125 SC 1X6 BK)</v>
          </cell>
          <cell r="C5964" t="str">
            <v>LAPP</v>
          </cell>
          <cell r="D5964" t="str">
            <v>Lapp-Non Moving Stocks</v>
          </cell>
        </row>
        <row r="5965">
          <cell r="A5965" t="str">
            <v>1238003 (ÖLFLEX HEAT 125 SC 1X6 BN)</v>
          </cell>
          <cell r="B5965" t="str">
            <v>1238003(ÖLFLEX HEAT 125 SC 1X6 BN)</v>
          </cell>
          <cell r="C5965" t="str">
            <v>LAPP</v>
          </cell>
          <cell r="D5965" t="str">
            <v>Lapp-Non Moving Stocks</v>
          </cell>
        </row>
        <row r="5966">
          <cell r="A5966" t="str">
            <v>1238002 (ÖLFLEX HEAT 125 SC 1X6 BU_x000D_
)</v>
          </cell>
          <cell r="B5966" t="str">
            <v>1238002(ÖLFLEX HEAT 125 SC 1X6 BU_x000D_
)</v>
          </cell>
          <cell r="C5966" t="str">
            <v>LAPP</v>
          </cell>
          <cell r="D5966" t="str">
            <v>Lapp-Non Moving Stocks</v>
          </cell>
        </row>
        <row r="5967">
          <cell r="A5967" t="str">
            <v>1238000 (ÖLFLEX HEAT 125 SC 1X6 GNYE)</v>
          </cell>
          <cell r="B5967" t="str">
            <v>1238000(ÖLFLEX HEAT 125 SC 1X6 GNYE)</v>
          </cell>
          <cell r="C5967" t="str">
            <v>LAPP</v>
          </cell>
          <cell r="D5967" t="str">
            <v>Lapp-Non Moving Stocks</v>
          </cell>
        </row>
        <row r="5968">
          <cell r="A5968" t="str">
            <v>1238104 (ÖLFLEX HEAT 125 SC 1X6 RD)</v>
          </cell>
          <cell r="B5968" t="str">
            <v>1238104(ÖLFLEX HEAT 125 SC 1X6 RD)</v>
          </cell>
          <cell r="C5968" t="str">
            <v>LAPP</v>
          </cell>
          <cell r="D5968" t="str">
            <v>Lapp-Non Moving Stocks</v>
          </cell>
        </row>
        <row r="5969">
          <cell r="A5969" t="str">
            <v>1232000 (ÖLFLEX® HEAT 125 SC 1X0,5 GNYE)</v>
          </cell>
          <cell r="B5969" t="str">
            <v>1232000(ÖLFLEX® HEAT 125 SC 1X0,5 GNYE)</v>
          </cell>
          <cell r="C5969" t="str">
            <v>LAPP</v>
          </cell>
          <cell r="D5969" t="str">
            <v>Lapp-Non Moving Stocks</v>
          </cell>
        </row>
        <row r="5970">
          <cell r="A5970" t="str">
            <v>1245000 (ÖLFLEX® HEAT 125 SC 1X95 GNYE)</v>
          </cell>
          <cell r="B5970" t="str">
            <v>1245000(ÖLFLEX® HEAT 125 SC 1X95 GNYE)</v>
          </cell>
          <cell r="C5970" t="str">
            <v>LAPP</v>
          </cell>
          <cell r="D5970" t="str">
            <v>Lapp-Non Moving Stocks</v>
          </cell>
        </row>
        <row r="5971">
          <cell r="A5971" t="str">
            <v>00912223 (ÖLFLEX HEAT 205 MC 4G0,75 NCC_x000D_
)</v>
          </cell>
          <cell r="B5971" t="str">
            <v>00912223(ÖLFLEX HEAT 205 MC 4G0,75 NCC_x000D_
)</v>
          </cell>
          <cell r="C5971" t="str">
            <v>LAPP</v>
          </cell>
          <cell r="D5971" t="str">
            <v>Lapp-Non Moving Stocks</v>
          </cell>
        </row>
        <row r="5972">
          <cell r="A5972" t="str">
            <v>00912353 (ÖLFLEX HEAT 205 MC 4G2,5 NCC_x000D_
)</v>
          </cell>
          <cell r="B5972" t="str">
            <v>00912353(ÖLFLEX HEAT 205 MC 4G2,5 NCC_x000D_
)</v>
          </cell>
          <cell r="C5972" t="str">
            <v>LAPP</v>
          </cell>
          <cell r="D5972" t="str">
            <v>Lapp-Non Moving Stocks</v>
          </cell>
        </row>
        <row r="5973">
          <cell r="A5973" t="str">
            <v>0083104 (ÖLFLEX HEAT 205 SC 1X0,75 RD_x000D_
)</v>
          </cell>
          <cell r="B5973" t="str">
            <v>0083104(ÖLFLEX HEAT 205 SC 1X0,75 RD_x000D_
)</v>
          </cell>
          <cell r="C5973" t="str">
            <v>LAPP</v>
          </cell>
          <cell r="D5973" t="str">
            <v>Lapp-Non Moving Stocks</v>
          </cell>
        </row>
        <row r="5974">
          <cell r="A5974" t="str">
            <v>0085001 (ÖLFLEX HEAT 205 SC 1X1,5 BK)</v>
          </cell>
          <cell r="B5974" t="str">
            <v>0085001(ÖLFLEX HEAT 205 SC 1X1,5 BK)</v>
          </cell>
          <cell r="C5974" t="str">
            <v>LAPP</v>
          </cell>
          <cell r="D5974" t="str">
            <v>Lapp-Non Moving Stocks</v>
          </cell>
        </row>
        <row r="5975">
          <cell r="A5975" t="str">
            <v>0084010_x000D_
 (ÖLFLEX HEAT 205 SC 1X1 TR_x000D_
)</v>
          </cell>
          <cell r="B5975" t="str">
            <v>0084010_x000D_
(ÖLFLEX HEAT 205 SC 1X1 TR_x000D_
)</v>
          </cell>
          <cell r="C5975" t="str">
            <v>LAPP</v>
          </cell>
          <cell r="D5975" t="str">
            <v>Lapp-Non Moving Stocks</v>
          </cell>
        </row>
        <row r="5976">
          <cell r="A5976" t="str">
            <v>0086001_x000D_
 (ÖLFLEX HEAT 205 SC 1X2,5 BK_x000D_
)</v>
          </cell>
          <cell r="B5976" t="str">
            <v>0086001_x000D_
(ÖLFLEX HEAT 205 SC 1X2,5 BK_x000D_
)</v>
          </cell>
          <cell r="C5976" t="str">
            <v>LAPP</v>
          </cell>
          <cell r="D5976" t="str">
            <v>Lapp-Non Moving Stocks</v>
          </cell>
        </row>
        <row r="5977">
          <cell r="A5977" t="str">
            <v>0086104_x000D_
 (ÖLFLEX HEAT 205 SC 1X2,5 RD_x000D_
)</v>
          </cell>
          <cell r="B5977" t="str">
            <v>0086104_x000D_
(ÖLFLEX HEAT 205 SC 1X2,5 RD_x000D_
)</v>
          </cell>
          <cell r="C5977" t="str">
            <v>LAPP</v>
          </cell>
          <cell r="D5977" t="str">
            <v>Lapp-Non Moving Stocks</v>
          </cell>
        </row>
        <row r="5978">
          <cell r="A5978" t="str">
            <v>0086010_x000D_
 (ÖLFLEX HEAT 205 SC 1X2,5 TR_x000D_
)</v>
          </cell>
          <cell r="B5978" t="str">
            <v>0086010_x000D_
(ÖLFLEX HEAT 205 SC 1X2,5 TR_x000D_
)</v>
          </cell>
          <cell r="C5978" t="str">
            <v>LAPP</v>
          </cell>
          <cell r="D5978" t="str">
            <v>Lapp-Non Moving Stocks</v>
          </cell>
        </row>
        <row r="5979">
          <cell r="A5979" t="str">
            <v>0087001 (ÖLFLEX HEAT 205 SC 1X4 BK)</v>
          </cell>
          <cell r="B5979" t="str">
            <v>0087001(ÖLFLEX HEAT 205 SC 1X4 BK)</v>
          </cell>
          <cell r="C5979" t="str">
            <v>LAPP</v>
          </cell>
          <cell r="D5979" t="str">
            <v>Lapp-Non Moving Stocks</v>
          </cell>
        </row>
        <row r="5980">
          <cell r="A5980" t="str">
            <v>0087104 (ÖLFLEX HEAT 205 SC 1X4 RD_x000D_
)</v>
          </cell>
          <cell r="B5980" t="str">
            <v>0087104(ÖLFLEX HEAT 205 SC 1X4 RD_x000D_
)</v>
          </cell>
          <cell r="C5980" t="str">
            <v>LAPP</v>
          </cell>
          <cell r="D5980" t="str">
            <v>Lapp-Non Moving Stocks</v>
          </cell>
        </row>
        <row r="5981">
          <cell r="A5981" t="str">
            <v>0088001 (ÖLFLEX HEAT 205 SC 1X6 BK)</v>
          </cell>
          <cell r="B5981" t="str">
            <v>0088001(ÖLFLEX HEAT 205 SC 1X6 BK)</v>
          </cell>
          <cell r="C5981" t="str">
            <v>LAPP</v>
          </cell>
          <cell r="D5981" t="str">
            <v>Lapp-Non Moving Stocks</v>
          </cell>
        </row>
        <row r="5982">
          <cell r="A5982" t="str">
            <v>0091300 (ÖLFLEX HEAT 260 MC 2X0,5)</v>
          </cell>
          <cell r="B5982" t="str">
            <v>0091300(ÖLFLEX HEAT 260 MC 2X0,5)</v>
          </cell>
          <cell r="C5982" t="str">
            <v>LAPP</v>
          </cell>
          <cell r="D5982" t="str">
            <v>Lapp-Non Moving Stocks</v>
          </cell>
        </row>
        <row r="5983">
          <cell r="A5983" t="str">
            <v>0091307 (ÖLFLEX HEAT 260 MC 4G0,75)</v>
          </cell>
          <cell r="B5983" t="str">
            <v>0091307(ÖLFLEX HEAT 260 MC 4G0,75)</v>
          </cell>
          <cell r="C5983" t="str">
            <v>LAPP</v>
          </cell>
          <cell r="D5983" t="str">
            <v>Lapp-Non Moving Stocks</v>
          </cell>
        </row>
        <row r="5984">
          <cell r="A5984" t="str">
            <v>0091321 (ÖLFLEX HEAT 260 MC 4G2,5)</v>
          </cell>
          <cell r="B5984" t="str">
            <v>0091321(ÖLFLEX HEAT 260 MC 4G2,5)</v>
          </cell>
          <cell r="C5984" t="str">
            <v>LAPP</v>
          </cell>
          <cell r="D5984" t="str">
            <v>Lapp-Non Moving Stocks</v>
          </cell>
        </row>
        <row r="5985">
          <cell r="A5985" t="str">
            <v>0108001 (ÖLFLEX HEAT 260 SC 10/37AWG BK)</v>
          </cell>
          <cell r="B5985" t="str">
            <v>0108001(ÖLFLEX HEAT 260 SC 10/37AWG BK)</v>
          </cell>
          <cell r="C5985" t="str">
            <v>LAPP</v>
          </cell>
          <cell r="D5985" t="str">
            <v>Lapp-Non Moving Stocks</v>
          </cell>
        </row>
        <row r="5986">
          <cell r="A5986" t="str">
            <v>0104002 (ÖLFLEX HEAT 260 SC 18/19 AWG BU)</v>
          </cell>
          <cell r="B5986" t="str">
            <v>0104002(ÖLFLEX HEAT 260 SC 18/19 AWG BU)</v>
          </cell>
          <cell r="C5986" t="str">
            <v>LAPP</v>
          </cell>
          <cell r="D5986" t="str">
            <v>Lapp-Non Moving Stocks</v>
          </cell>
        </row>
        <row r="5987">
          <cell r="A5987" t="str">
            <v>0091355 (ÖLFLEX HEAT 350 SC 350 1X4_x000D_
)</v>
          </cell>
          <cell r="B5987" t="str">
            <v>0091355(ÖLFLEX HEAT 350 SC 350 1X4_x000D_
)</v>
          </cell>
          <cell r="C5987" t="str">
            <v>LAPP</v>
          </cell>
          <cell r="D5987" t="str">
            <v>Lapp-Non Moving Stocks</v>
          </cell>
        </row>
        <row r="5988">
          <cell r="A5988" t="str">
            <v>0091356 (ÖLFLEX HEAT 350 SC 350 1X6)</v>
          </cell>
          <cell r="B5988" t="str">
            <v>0091356(ÖLFLEX HEAT 350 SC 350 1X6)</v>
          </cell>
          <cell r="C5988" t="str">
            <v>LAPP</v>
          </cell>
          <cell r="D5988" t="str">
            <v>Lapp-Non Moving Stocks</v>
          </cell>
        </row>
        <row r="5989">
          <cell r="A5989" t="str">
            <v>0091357 (ÖLFLEX® HEAT 350 SC 1X10)</v>
          </cell>
          <cell r="B5989" t="str">
            <v>0091357(ÖLFLEX® HEAT 350 SC 1X10)</v>
          </cell>
          <cell r="C5989" t="str">
            <v>LAPP</v>
          </cell>
          <cell r="D5989" t="str">
            <v>Lapp-Non Moving Stocks</v>
          </cell>
        </row>
        <row r="5990">
          <cell r="A5990" t="str">
            <v>3013234 (ÖLFLEX HEAT SC 1565 1X1,5_x000D_
)</v>
          </cell>
          <cell r="B5990" t="str">
            <v>3013234(ÖLFLEX HEAT SC 1565 1X1,5_x000D_
)</v>
          </cell>
          <cell r="C5990" t="str">
            <v>LAPP</v>
          </cell>
          <cell r="D5990" t="str">
            <v>Lapp-Non Moving Stocks</v>
          </cell>
        </row>
        <row r="5991">
          <cell r="A5991" t="str">
            <v>2510001 (SILFLEX FZLSi 1_x000D_
)</v>
          </cell>
          <cell r="B5991" t="str">
            <v>2510001(SILFLEX FZLSi 1_x000D_
)</v>
          </cell>
          <cell r="C5991" t="str">
            <v>LAPP</v>
          </cell>
          <cell r="D5991" t="str">
            <v>Lapp-Non Moving Stocks</v>
          </cell>
        </row>
        <row r="5992">
          <cell r="A5992" t="str">
            <v>0048002 (SILFLEX SiF 1X0,5 BU_x000D_
)</v>
          </cell>
          <cell r="B5992" t="str">
            <v>0048002(SILFLEX SiF 1X0,5 BU_x000D_
)</v>
          </cell>
          <cell r="C5992" t="str">
            <v>LAPP</v>
          </cell>
          <cell r="D5992" t="str">
            <v>Lapp-Non Moving Stocks</v>
          </cell>
        </row>
        <row r="5993">
          <cell r="A5993" t="str">
            <v>0051001 (SILFLEX SiF 1X1,5 BK)</v>
          </cell>
          <cell r="B5993" t="str">
            <v>0051001(SILFLEX SiF 1X1,5 BK)</v>
          </cell>
          <cell r="C5993" t="str">
            <v>LAPP</v>
          </cell>
          <cell r="D5993" t="str">
            <v>Lapp-Non Moving Stocks</v>
          </cell>
        </row>
        <row r="5994">
          <cell r="A5994" t="str">
            <v>0051104 (SILFLEX SiF 1X1,5 RD_x000D_
)</v>
          </cell>
          <cell r="B5994" t="str">
            <v>0051104(SILFLEX SiF 1X1,5 RD_x000D_
)</v>
          </cell>
          <cell r="C5994" t="str">
            <v>LAPP</v>
          </cell>
          <cell r="D5994" t="str">
            <v>Lapp-Non Moving Stocks</v>
          </cell>
        </row>
        <row r="5995">
          <cell r="A5995" t="str">
            <v>0057001 (SILFLEX SiF 1X25 BK_x000D_
)</v>
          </cell>
          <cell r="B5995" t="str">
            <v>0057001(SILFLEX SiF 1X25 BK_x000D_
)</v>
          </cell>
          <cell r="C5995" t="str">
            <v>LAPP</v>
          </cell>
          <cell r="D5995" t="str">
            <v>Lapp-Non Moving Stocks</v>
          </cell>
        </row>
        <row r="5996">
          <cell r="A5996" t="str">
            <v>0060001 (SILFLEX SiF 1X70 BK_x000D_
)</v>
          </cell>
          <cell r="B5996" t="str">
            <v>0060001(SILFLEX SiF 1X70 BK_x000D_
)</v>
          </cell>
          <cell r="C5996" t="str">
            <v>LAPP</v>
          </cell>
          <cell r="D5996" t="str">
            <v>Lapp-Non Moving Stocks</v>
          </cell>
        </row>
        <row r="5997">
          <cell r="A5997" t="str">
            <v>0046001_x000D_
 ("SILFLEX SiHF 2X0,75"_x000D_
)</v>
          </cell>
          <cell r="B5997" t="str">
            <v>0046001_x000D_
("SILFLEX SiHF 2X0,75"_x000D_
)</v>
          </cell>
          <cell r="C5997" t="str">
            <v>LAPP</v>
          </cell>
          <cell r="D5997" t="str">
            <v>Lapp-Non Moving Stocks</v>
          </cell>
        </row>
        <row r="5998">
          <cell r="A5998" t="str">
            <v>0046040 (SILFLEX SiHF 16G1,5_x000D_
)</v>
          </cell>
          <cell r="B5998" t="str">
            <v>0046040(SILFLEX SiHF 16G1,5_x000D_
)</v>
          </cell>
          <cell r="C5998" t="str">
            <v>LAPP</v>
          </cell>
          <cell r="D5998" t="str">
            <v>Lapp-Non Moving Stocks</v>
          </cell>
        </row>
        <row r="5999">
          <cell r="A5999" t="str">
            <v>0046008_x000D_
 (SILFLEX SiHF 3G1_x000D_
)</v>
          </cell>
          <cell r="B5999" t="str">
            <v>0046008_x000D_
(SILFLEX SiHF 3G1_x000D_
)</v>
          </cell>
          <cell r="C5999" t="str">
            <v>LAPP</v>
          </cell>
          <cell r="D5999" t="str">
            <v>Lapp-Non Moving Stocks</v>
          </cell>
        </row>
        <row r="6000">
          <cell r="A6000" t="str">
            <v>0046014 (SILFLEX SiHF 3G1,5_x000D_
)</v>
          </cell>
          <cell r="B6000" t="str">
            <v>0046014(SILFLEX SiHF 3G1,5_x000D_
)</v>
          </cell>
          <cell r="C6000" t="str">
            <v>LAPP</v>
          </cell>
          <cell r="D6000" t="str">
            <v>Lapp-Non Moving Stocks</v>
          </cell>
        </row>
        <row r="6001">
          <cell r="A6001" t="str">
            <v>00460213 (SILFLEX SiHF 4G2,5 NCC_x000D_
)</v>
          </cell>
          <cell r="B6001" t="str">
            <v>00460213(SILFLEX SiHF 4G2,5 NCC_x000D_
)</v>
          </cell>
          <cell r="C6001" t="str">
            <v>LAPP</v>
          </cell>
          <cell r="D6001" t="str">
            <v>Lapp-Non Moving Stocks</v>
          </cell>
        </row>
        <row r="6002">
          <cell r="A6002" t="str">
            <v>1123436 (ÖLFLEX CLASSIC 130 H BK 0.6/1 kV 5G4_x000D_
)</v>
          </cell>
          <cell r="B6002" t="str">
            <v>1123436(ÖLFLEX CLASSIC 130 H BK 0.6/1 kV 5G4_x000D_
)</v>
          </cell>
          <cell r="C6002" t="str">
            <v>LAPP</v>
          </cell>
          <cell r="D6002" t="str">
            <v>Lapp-Non Moving Stocks</v>
          </cell>
        </row>
        <row r="6003">
          <cell r="A6003" t="str">
            <v>0046723 (ÖLFLEX HEAT 180 C MS 18G1,5_x000D_
)</v>
          </cell>
          <cell r="B6003" t="str">
            <v>0046723(ÖLFLEX HEAT 180 C MS 18G1,5_x000D_
)</v>
          </cell>
          <cell r="C6003" t="str">
            <v>LAPP</v>
          </cell>
          <cell r="D6003" t="str">
            <v>Lapp-Non Moving Stocks</v>
          </cell>
        </row>
        <row r="6004">
          <cell r="A6004" t="str">
            <v>0046521_x000D_
 (ÖLFLEX HEAT 180 EWKF 3G2,5_x000D_
)</v>
          </cell>
          <cell r="B6004" t="str">
            <v>0046521_x000D_
(ÖLFLEX HEAT 180 EWKF 3G2,5_x000D_
)</v>
          </cell>
          <cell r="C6004" t="str">
            <v>LAPP</v>
          </cell>
          <cell r="D6004" t="str">
            <v>Lapp-Non Moving Stocks</v>
          </cell>
        </row>
        <row r="6005">
          <cell r="A6005" t="str">
            <v>1249523 (ÖLFLEX HEAT 180 SiF A 1x0,75 BK_x000D_
)</v>
          </cell>
          <cell r="B6005" t="str">
            <v>1249523(ÖLFLEX HEAT 180 SiF A 1x0,75 BK_x000D_
)</v>
          </cell>
          <cell r="C6005" t="str">
            <v>LAPP</v>
          </cell>
          <cell r="D6005" t="str">
            <v>Lapp-Non Moving Stocks</v>
          </cell>
        </row>
        <row r="6006">
          <cell r="A6006" t="str">
            <v>1249585 (ÖLFLEX HEAT 180 SiF A 1x1,5 RD)</v>
          </cell>
          <cell r="B6006" t="str">
            <v>1249585(ÖLFLEX HEAT 180 SiF A 1x1,5 RD)</v>
          </cell>
          <cell r="C6006" t="str">
            <v>LAPP</v>
          </cell>
          <cell r="D6006" t="str">
            <v>Lapp-Non Moving Stocks</v>
          </cell>
        </row>
        <row r="6007">
          <cell r="A6007" t="str">
            <v>1249531 (ÖLFLEX HEAT 180 SiF A 1x25 Black)</v>
          </cell>
          <cell r="B6007" t="str">
            <v>1249531(ÖLFLEX HEAT 180 SiF A 1x25 Black)</v>
          </cell>
          <cell r="C6007" t="str">
            <v>LAPP</v>
          </cell>
          <cell r="D6007" t="str">
            <v>Lapp-Non Moving Stocks</v>
          </cell>
        </row>
        <row r="6008">
          <cell r="A6008" t="str">
            <v>1249532 (ÖLFLEX HEAT 180 SiF A 1x35 BK_x000D_
)</v>
          </cell>
          <cell r="B6008" t="str">
            <v>1249532(ÖLFLEX HEAT 180 SiF A 1x35 BK_x000D_
)</v>
          </cell>
          <cell r="C6008" t="str">
            <v>LAPP</v>
          </cell>
          <cell r="D6008" t="str">
            <v>Lapp-Non Moving Stocks</v>
          </cell>
        </row>
        <row r="6009">
          <cell r="A6009" t="str">
            <v>1249507 (ÖLFLEX HEAT 180 SiF A 1x4 GNYE)</v>
          </cell>
          <cell r="B6009" t="str">
            <v>1249507(ÖLFLEX HEAT 180 SiF A 1x4 GNYE)</v>
          </cell>
          <cell r="C6009" t="str">
            <v>LAPP</v>
          </cell>
          <cell r="D6009" t="str">
            <v>Lapp-Non Moving Stocks</v>
          </cell>
        </row>
        <row r="6010">
          <cell r="A6010" t="str">
            <v>0046041 (ÖLFLEX HEAT 180 SiHF 20G1,5_x000D_
)</v>
          </cell>
          <cell r="B6010" t="str">
            <v>0046041(ÖLFLEX HEAT 180 SiHF 20G1,5_x000D_
)</v>
          </cell>
          <cell r="C6010" t="str">
            <v>LAPP</v>
          </cell>
          <cell r="D6010" t="str">
            <v>Lapp-Non Moving Stocks</v>
          </cell>
        </row>
        <row r="6011">
          <cell r="A6011" t="str">
            <v>0104009_x000D_
 (ÖLFLEX HEAT 260 SC 18/19 AWG OG_x000D_
)</v>
          </cell>
          <cell r="B6011" t="str">
            <v>0104009_x000D_
(ÖLFLEX HEAT 260 SC 18/19 AWG OG_x000D_
)</v>
          </cell>
          <cell r="C6011" t="str">
            <v>LAPP</v>
          </cell>
          <cell r="D6011" t="str">
            <v>Lapp-Non Moving Stocks</v>
          </cell>
        </row>
        <row r="6012">
          <cell r="A6012" t="str">
            <v>1249542 (ÖLFLEX® HEAT 180 SiF A 1x0,5 BU)</v>
          </cell>
          <cell r="B6012" t="str">
            <v>1249542(ÖLFLEX® HEAT 180 SiF A 1x0,5 BU)</v>
          </cell>
          <cell r="C6012" t="str">
            <v>LAPP</v>
          </cell>
          <cell r="D6012" t="str">
            <v>Lapp-Non Moving Stocks</v>
          </cell>
        </row>
        <row r="6013">
          <cell r="A6013" t="str">
            <v>1249622 (ÖLFLEX® HEAT 180 SiF A 1x0,5 GY)</v>
          </cell>
          <cell r="B6013" t="str">
            <v>1249622(ÖLFLEX® HEAT 180 SiF A 1x0,5 GY)</v>
          </cell>
          <cell r="C6013" t="str">
            <v>LAPP</v>
          </cell>
          <cell r="D6013" t="str">
            <v>Lapp-Non Moving Stocks</v>
          </cell>
        </row>
        <row r="6014">
          <cell r="A6014" t="str">
            <v>00460163 (ÖLFLEX® HEAT 180 SiHF 5G1,5)</v>
          </cell>
          <cell r="B6014" t="str">
            <v>00460163(ÖLFLEX® HEAT 180 SiHF 5G1,5)</v>
          </cell>
          <cell r="C6014" t="str">
            <v>LAPP</v>
          </cell>
          <cell r="D6014" t="str">
            <v>Lapp-Non Moving Stocks</v>
          </cell>
        </row>
        <row r="6015">
          <cell r="A6015" t="str">
            <v>1232655 (ÖLFLEX® HEAT 650 SC 1x4)</v>
          </cell>
          <cell r="B6015" t="str">
            <v>1232655(ÖLFLEX® HEAT 650 SC 1x4)</v>
          </cell>
          <cell r="C6015" t="str">
            <v>LAPP</v>
          </cell>
          <cell r="D6015" t="str">
            <v>Lapp-Non Moving Stocks</v>
          </cell>
        </row>
        <row r="6016">
          <cell r="A6016" t="str">
            <v>55506315 (SILVYN FPAG-M 16x1,5/1 BK_x000D_
)</v>
          </cell>
          <cell r="B6016" t="str">
            <v>55506315(SILVYN FPAG-M 16x1,5/1 BK_x000D_
)</v>
          </cell>
          <cell r="C6016" t="str">
            <v>LAPP</v>
          </cell>
          <cell r="D6016" t="str">
            <v>Lapp-Non Moving Stocks</v>
          </cell>
        </row>
        <row r="6017">
          <cell r="A6017" t="str">
            <v>55506625 (SILVYN FPAG PG 11 BK)</v>
          </cell>
          <cell r="B6017" t="str">
            <v>55506625(SILVYN FPAG PG 11 BK)</v>
          </cell>
          <cell r="C6017" t="str">
            <v>LAPP</v>
          </cell>
          <cell r="D6017" t="str">
            <v>Lapp-Non Moving Stocks</v>
          </cell>
        </row>
        <row r="6018">
          <cell r="A6018" t="str">
            <v>55506645 (SILVYN FPAG PG 13,5/2 BK)</v>
          </cell>
          <cell r="B6018" t="str">
            <v>55506645(SILVYN FPAG PG 13,5/2 BK)</v>
          </cell>
          <cell r="C6018" t="str">
            <v>LAPP</v>
          </cell>
          <cell r="D6018" t="str">
            <v>Lapp-Non Moving Stocks</v>
          </cell>
        </row>
        <row r="6019">
          <cell r="A6019" t="str">
            <v>55506655 (SILVYN FPAG PG 16 BK)</v>
          </cell>
          <cell r="B6019" t="str">
            <v>55506655(SILVYN FPAG PG 16 BK)</v>
          </cell>
          <cell r="C6019" t="str">
            <v>LAPP</v>
          </cell>
          <cell r="D6019" t="str">
            <v>Lapp-Non Moving Stocks</v>
          </cell>
        </row>
        <row r="6020">
          <cell r="A6020" t="str">
            <v>55506665 (SILVYN FPAG PG 21 BK)</v>
          </cell>
          <cell r="B6020" t="str">
            <v>55506665(SILVYN FPAG PG 21 BK)</v>
          </cell>
          <cell r="C6020" t="str">
            <v>LAPP</v>
          </cell>
          <cell r="D6020" t="str">
            <v>Lapp-Non Moving Stocks</v>
          </cell>
        </row>
        <row r="6021">
          <cell r="A6021" t="str">
            <v>55506675 (SILVYN FPAG PG 29 BK)</v>
          </cell>
          <cell r="B6021" t="str">
            <v>55506675(SILVYN FPAG PG 29 BK)</v>
          </cell>
          <cell r="C6021" t="str">
            <v>LAPP</v>
          </cell>
          <cell r="D6021" t="str">
            <v>Lapp-Non Moving Stocks</v>
          </cell>
        </row>
        <row r="6022">
          <cell r="A6022" t="str">
            <v>55506585 (SILVYN FPAG PG 7 BK)</v>
          </cell>
          <cell r="B6022" t="str">
            <v>55506585(SILVYN FPAG PG 7 BK)</v>
          </cell>
          <cell r="C6022" t="str">
            <v>LAPP</v>
          </cell>
          <cell r="D6022" t="str">
            <v>Lapp-Non Moving Stocks</v>
          </cell>
        </row>
        <row r="6023">
          <cell r="A6023" t="str">
            <v>55506605 (SILVYN FPAG PG 9 BK)</v>
          </cell>
          <cell r="B6023" t="str">
            <v>55506605(SILVYN FPAG PG 9 BK)</v>
          </cell>
          <cell r="C6023" t="str">
            <v>LAPP</v>
          </cell>
          <cell r="D6023" t="str">
            <v>Lapp-Non Moving Stocks</v>
          </cell>
        </row>
        <row r="6024">
          <cell r="A6024" t="str">
            <v>61793970 (SILVYN HCC 12/9,4x13 BK_x000D_
)</v>
          </cell>
          <cell r="B6024" t="str">
            <v>61793970(SILVYN HCC 12/9,4x13 BK_x000D_
)</v>
          </cell>
          <cell r="C6024" t="str">
            <v>LAPP</v>
          </cell>
          <cell r="D6024" t="str">
            <v>Lapp-Non Moving Stocks</v>
          </cell>
        </row>
        <row r="6025">
          <cell r="A6025" t="str">
            <v>61793980 (SILVYN HCC 16/11,6x16 BK_x000D_
)</v>
          </cell>
          <cell r="B6025" t="str">
            <v>61793980(SILVYN HCC 16/11,6x16 BK_x000D_
)</v>
          </cell>
          <cell r="C6025" t="str">
            <v>LAPP</v>
          </cell>
          <cell r="D6025" t="str">
            <v>Lapp-Non Moving Stocks</v>
          </cell>
        </row>
        <row r="6026">
          <cell r="A6026" t="str">
            <v>61793990 (SILVYN HCC 20/14,6x20 BK_x000D_
)</v>
          </cell>
          <cell r="B6026" t="str">
            <v>61793990(SILVYN HCC 20/14,6x20 BK_x000D_
)</v>
          </cell>
          <cell r="C6026" t="str">
            <v>LAPP</v>
          </cell>
          <cell r="D6026" t="str">
            <v>Lapp-Non Moving Stocks</v>
          </cell>
        </row>
        <row r="6027">
          <cell r="A6027" t="str">
            <v>61794000 (SILVYN HCC 25/18,7x25 BK_x000D_
)</v>
          </cell>
          <cell r="B6027" t="str">
            <v>61794000(SILVYN HCC 25/18,7x25 BK_x000D_
)</v>
          </cell>
          <cell r="C6027" t="str">
            <v>LAPP</v>
          </cell>
          <cell r="D6027" t="str">
            <v>Lapp-Non Moving Stocks</v>
          </cell>
        </row>
        <row r="6028">
          <cell r="A6028" t="str">
            <v>61794010 (SILVYN HCC 32/25,6x32 BK_x000D_
)</v>
          </cell>
          <cell r="B6028" t="str">
            <v>61794010(SILVYN HCC 32/25,6x32 BK_x000D_
)</v>
          </cell>
          <cell r="C6028" t="str">
            <v>LAPP</v>
          </cell>
          <cell r="D6028" t="str">
            <v>Lapp-Non Moving Stocks</v>
          </cell>
        </row>
        <row r="6029">
          <cell r="A6029" t="str">
            <v>61713018 (SILVYN HIPROJACKET NW 41)</v>
          </cell>
          <cell r="B6029" t="str">
            <v>61713018(SILVYN HIPROJACKET NW 41)</v>
          </cell>
          <cell r="C6029" t="str">
            <v>LAPP</v>
          </cell>
          <cell r="D6029" t="str">
            <v>Lapp-Non Moving Stocks</v>
          </cell>
        </row>
        <row r="6030">
          <cell r="A6030" t="str">
            <v>61814190_x000D_
 (SILVYN HTDL 3/8'' 12,6x17,8 BK)</v>
          </cell>
          <cell r="B6030" t="str">
            <v>61814190_x000D_
(SILVYN HTDL 3/8'' 12,6x17,8 BK)</v>
          </cell>
          <cell r="C6030" t="str">
            <v>LAPP</v>
          </cell>
          <cell r="D6030" t="str">
            <v>Lapp-Non Moving Stocks</v>
          </cell>
        </row>
        <row r="6031">
          <cell r="A6031" t="str">
            <v>55000600 (PG-11)</v>
          </cell>
          <cell r="B6031" t="str">
            <v>55000600(PG-11)</v>
          </cell>
          <cell r="C6031" t="str">
            <v>LAPP</v>
          </cell>
          <cell r="D6031" t="str">
            <v>Lapp-Non Moving Stocks</v>
          </cell>
        </row>
        <row r="6032">
          <cell r="A6032" t="str">
            <v>55501020 (SILVYN KLICK-G M16x1,5/1 GY)</v>
          </cell>
          <cell r="B6032" t="str">
            <v>55501020(SILVYN KLICK-G M16x1,5/1 GY)</v>
          </cell>
          <cell r="C6032" t="str">
            <v>LAPP</v>
          </cell>
          <cell r="D6032" t="str">
            <v>Lapp-Non Moving Stocks</v>
          </cell>
        </row>
        <row r="6033">
          <cell r="A6033" t="str">
            <v>55501030 (SILVYN KLICK-GM 16x1,5/2 GY_x000D_
)</v>
          </cell>
          <cell r="B6033" t="str">
            <v>55501030(SILVYN KLICK-GM 16x1,5/2 GY_x000D_
)</v>
          </cell>
          <cell r="C6033" t="str">
            <v>LAPP</v>
          </cell>
          <cell r="D6033" t="str">
            <v>Lapp-Non Moving Stocks</v>
          </cell>
        </row>
        <row r="6034">
          <cell r="A6034" t="str">
            <v>55501085_x000D_
 (SILVYN KLICK-G M40x1,5/2 BK_x000D_
)</v>
          </cell>
          <cell r="B6034" t="str">
            <v>55501085_x000D_
(SILVYN KLICK-G M40x1,5/2 BK_x000D_
)</v>
          </cell>
          <cell r="C6034" t="str">
            <v>LAPP</v>
          </cell>
          <cell r="D6034" t="str">
            <v>Lapp-Non Moving Stocks</v>
          </cell>
        </row>
        <row r="6035">
          <cell r="A6035" t="str">
            <v>61800775_x000D_
 (SILVYN KLICK-GN, NPT1-1/4" BLK_x000D_
)</v>
          </cell>
          <cell r="B6035" t="str">
            <v>61800775_x000D_
(SILVYN KLICK-GN, NPT1-1/4" BLK_x000D_
)</v>
          </cell>
          <cell r="C6035" t="str">
            <v>LAPP</v>
          </cell>
          <cell r="D6035" t="str">
            <v>Lapp-Non Moving Stocks</v>
          </cell>
        </row>
        <row r="6036">
          <cell r="A6036" t="str">
            <v>55502489_x000D_
 (SILVYN MPC 90° 21 BK_x000D_
)</v>
          </cell>
          <cell r="B6036" t="str">
            <v>55502489_x000D_
(SILVYN MPC 90° 21 BK_x000D_
)</v>
          </cell>
          <cell r="C6036" t="str">
            <v>LAPP</v>
          </cell>
          <cell r="D6036" t="str">
            <v>Lapp-Non Moving Stocks</v>
          </cell>
        </row>
        <row r="6037">
          <cell r="A6037" t="str">
            <v>55501065 (SILVYN KLICK-G M 25 black)</v>
          </cell>
          <cell r="B6037" t="str">
            <v>55501065(SILVYN KLICK-G M 25 black)</v>
          </cell>
          <cell r="C6037" t="str">
            <v>LAPP</v>
          </cell>
          <cell r="D6037" t="str">
            <v>Lapp-Non Moving Stocks</v>
          </cell>
        </row>
        <row r="6038">
          <cell r="A6038" t="str">
            <v>61800685 (SILVYN KLICK-GP IP66 PG 13.5 BK_x000D_
)</v>
          </cell>
          <cell r="B6038" t="str">
            <v>61800685(SILVYN KLICK-GP IP66 PG 13.5 BK_x000D_
)</v>
          </cell>
          <cell r="C6038" t="str">
            <v>LAPP</v>
          </cell>
          <cell r="D6038" t="str">
            <v>Lapp-Non Moving Stocks</v>
          </cell>
        </row>
        <row r="6039">
          <cell r="A6039" t="str">
            <v>61800655 (SILVYN KLICK-GP IP66 PG 29  BK_x000D_
)</v>
          </cell>
          <cell r="B6039" t="str">
            <v>61800655(SILVYN KLICK-GP IP66 PG 29 BK_x000D_
)</v>
          </cell>
          <cell r="C6039" t="str">
            <v>LAPP</v>
          </cell>
          <cell r="D6039" t="str">
            <v>Lapp-Non Moving Stocks</v>
          </cell>
        </row>
        <row r="6040">
          <cell r="A6040" t="str">
            <v>61800665_x000D_
 (SILVYN KLICK-GP IP66 PG 36 BK_x000D_
)</v>
          </cell>
          <cell r="B6040" t="str">
            <v>61800665_x000D_
(SILVYN KLICK-GP IP66 PG 36 BK_x000D_
)</v>
          </cell>
          <cell r="C6040" t="str">
            <v>LAPP</v>
          </cell>
          <cell r="D6040" t="str">
            <v>Lapp-Non Moving Stocks</v>
          </cell>
        </row>
        <row r="6041">
          <cell r="A6041" t="str">
            <v>61800675_x000D_
 (SILVYN KLICK-GP IP66 PG 48 BK_x000D_
)</v>
          </cell>
          <cell r="B6041" t="str">
            <v>61800675_x000D_
(SILVYN KLICK-GP IP66 PG 48 BK_x000D_
)</v>
          </cell>
          <cell r="C6041" t="str">
            <v>LAPP</v>
          </cell>
          <cell r="D6041" t="str">
            <v>Lapp-Non Moving Stocks</v>
          </cell>
        </row>
        <row r="6042">
          <cell r="A6042" t="str">
            <v>61800855_x000D_
 (SILVYN KLICK-GP PG 13,5 BK_x000D_
)</v>
          </cell>
          <cell r="B6042" t="str">
            <v>61800855_x000D_
(SILVYN KLICK-GP PG 13,5 BK_x000D_
)</v>
          </cell>
          <cell r="C6042" t="str">
            <v>LAPP</v>
          </cell>
          <cell r="D6042" t="str">
            <v>Lapp-Non Moving Stocks</v>
          </cell>
        </row>
        <row r="6043">
          <cell r="A6043" t="str">
            <v>65500325 (SILVYN KLICK-RH PG 11  BLACK)</v>
          </cell>
          <cell r="B6043" t="str">
            <v>65500325(SILVYN KLICK-RH PG 11 BLACK)</v>
          </cell>
          <cell r="C6043" t="str">
            <v>LAPP</v>
          </cell>
          <cell r="D6043" t="str">
            <v>Lapp-Non Moving Stocks</v>
          </cell>
        </row>
        <row r="6044">
          <cell r="A6044" t="str">
            <v>65500345 (SILVYN KLICK-RH PG 16  BLACK)</v>
          </cell>
          <cell r="B6044" t="str">
            <v>65500345(SILVYN KLICK-RH PG 16 BLACK)</v>
          </cell>
          <cell r="C6044" t="str">
            <v>LAPP</v>
          </cell>
          <cell r="D6044" t="str">
            <v>Lapp-Non Moving Stocks</v>
          </cell>
        </row>
        <row r="6045">
          <cell r="A6045" t="str">
            <v>65500355 (SILVYN KLICK-RH PG 21 BK)</v>
          </cell>
          <cell r="B6045" t="str">
            <v>65500355(SILVYN KLICK-RH PG 21 BK)</v>
          </cell>
          <cell r="C6045" t="str">
            <v>LAPP</v>
          </cell>
          <cell r="D6045" t="str">
            <v>Lapp-Non Moving Stocks</v>
          </cell>
        </row>
        <row r="6046">
          <cell r="A6046" t="str">
            <v>65500365 (SILVYN KLICK-RH PG 29 BK)</v>
          </cell>
          <cell r="B6046" t="str">
            <v>65500365(SILVYN KLICK-RH PG 29 BK)</v>
          </cell>
          <cell r="C6046" t="str">
            <v>LAPP</v>
          </cell>
          <cell r="D6046" t="str">
            <v>Lapp-Non Moving Stocks</v>
          </cell>
        </row>
        <row r="6047">
          <cell r="A6047" t="str">
            <v>56000100 ("SILVYN KLICK-WP PG 13,5 GY"_x000D_
)</v>
          </cell>
          <cell r="B6047" t="str">
            <v>56000100("SILVYN KLICK-WP PG 13,5 GY"_x000D_
)</v>
          </cell>
          <cell r="C6047" t="str">
            <v>LAPP</v>
          </cell>
          <cell r="D6047" t="str">
            <v>Lapp-Non Moving Stocks</v>
          </cell>
        </row>
        <row r="6048">
          <cell r="A6048" t="str">
            <v>55501040 (SILVYN KLICK-GM 20x1,5/1 GY)</v>
          </cell>
          <cell r="B6048" t="str">
            <v>55501040(SILVYN KLICK-GM 20x1,5/1 GY)</v>
          </cell>
          <cell r="C6048" t="str">
            <v>LAPP</v>
          </cell>
          <cell r="D6048" t="str">
            <v>Lapp-Non Moving Stocks</v>
          </cell>
        </row>
        <row r="6049">
          <cell r="A6049" t="str">
            <v>55501050 (SILVYN KLICK-GM 20x1,5/2 GY)</v>
          </cell>
          <cell r="B6049" t="str">
            <v>55501050(SILVYN KLICK-GM 20x1,5/2 GY)</v>
          </cell>
          <cell r="C6049" t="str">
            <v>LAPP</v>
          </cell>
          <cell r="D6049" t="str">
            <v>Lapp-Non Moving Stocks</v>
          </cell>
        </row>
        <row r="6050">
          <cell r="A6050" t="str">
            <v>55501070_x000D_
 (SILVYN KLICK-GM 32x1,5 GY_x000D_
)</v>
          </cell>
          <cell r="B6050" t="str">
            <v>55501070_x000D_
(SILVYN KLICK-GM 32x1,5 GY_x000D_
)</v>
          </cell>
          <cell r="C6050" t="str">
            <v>LAPP</v>
          </cell>
          <cell r="D6050" t="str">
            <v>Lapp-Non Moving Stocks</v>
          </cell>
        </row>
        <row r="6051">
          <cell r="A6051" t="str">
            <v>55500990_x000D_
 (SILVYN KLICK-GM 63x1,5 GY_x000D_
)</v>
          </cell>
          <cell r="B6051" t="str">
            <v>55500990_x000D_
(SILVYN KLICK-GM 63x1,5 GY_x000D_
)</v>
          </cell>
          <cell r="C6051" t="str">
            <v>LAPP</v>
          </cell>
          <cell r="D6051" t="str">
            <v>Lapp-Non Moving Stocks</v>
          </cell>
        </row>
        <row r="6052">
          <cell r="A6052" t="str">
            <v>61800620 (SILVYN KLICK-GP IP66 PG 11 GY)</v>
          </cell>
          <cell r="B6052" t="str">
            <v>61800620(SILVYN KLICK-GP IP66 PG 11 GY)</v>
          </cell>
          <cell r="C6052" t="str">
            <v>LAPP</v>
          </cell>
          <cell r="D6052" t="str">
            <v>Lapp-Non Moving Stocks</v>
          </cell>
        </row>
        <row r="6053">
          <cell r="A6053" t="str">
            <v>61800680 (SILVYN KLICK-GP IP66 PG 13.5 GY)</v>
          </cell>
          <cell r="B6053" t="str">
            <v>61800680(SILVYN KLICK-GP IP66 PG 13.5 GY)</v>
          </cell>
          <cell r="C6053" t="str">
            <v>LAPP</v>
          </cell>
          <cell r="D6053" t="str">
            <v>Lapp-Non Moving Stocks</v>
          </cell>
        </row>
        <row r="6054">
          <cell r="A6054" t="str">
            <v>61800630 (SILVYN KLICK-GP IP66 PG 16 GY)</v>
          </cell>
          <cell r="B6054" t="str">
            <v>61800630(SILVYN KLICK-GP IP66 PG 16 GY)</v>
          </cell>
          <cell r="C6054" t="str">
            <v>LAPP</v>
          </cell>
          <cell r="D6054" t="str">
            <v>Lapp-Non Moving Stocks</v>
          </cell>
        </row>
        <row r="6055">
          <cell r="A6055" t="str">
            <v>61800640 (SILVYN KLICK-GP IP66 PG 21 GY)</v>
          </cell>
          <cell r="B6055" t="str">
            <v>61800640(SILVYN KLICK-GP IP66 PG 21 GY)</v>
          </cell>
          <cell r="C6055" t="str">
            <v>LAPP</v>
          </cell>
          <cell r="D6055" t="str">
            <v>Lapp-Non Moving Stocks</v>
          </cell>
        </row>
        <row r="6056">
          <cell r="A6056" t="str">
            <v>61800650 (SILVYN KLICK-GP IP66 PG 29 GY)</v>
          </cell>
          <cell r="B6056" t="str">
            <v>61800650(SILVYN KLICK-GP IP66 PG 29 GY)</v>
          </cell>
          <cell r="C6056" t="str">
            <v>LAPP</v>
          </cell>
          <cell r="D6056" t="str">
            <v>Lapp-Non Moving Stocks</v>
          </cell>
        </row>
        <row r="6057">
          <cell r="A6057" t="str">
            <v>61800660 (SILVYN KLICK-GP IP66 PG 36 GY)</v>
          </cell>
          <cell r="B6057" t="str">
            <v>61800660(SILVYN KLICK-GP IP66 PG 36 GY)</v>
          </cell>
          <cell r="C6057" t="str">
            <v>LAPP</v>
          </cell>
          <cell r="D6057" t="str">
            <v>Lapp-Non Moving Stocks</v>
          </cell>
        </row>
        <row r="6058">
          <cell r="A6058" t="str">
            <v>61800670 (SILVYN KLICK-GP IP66 PG 48 GY)</v>
          </cell>
          <cell r="B6058" t="str">
            <v>61800670(SILVYN KLICK-GP IP66 PG 48 GY)</v>
          </cell>
          <cell r="C6058" t="str">
            <v>LAPP</v>
          </cell>
          <cell r="D6058" t="str">
            <v>Lapp-Non Moving Stocks</v>
          </cell>
        </row>
        <row r="6059">
          <cell r="A6059" t="str">
            <v>61800600 (SILVYN KLICK-GP IP66 PG 7 GY)</v>
          </cell>
          <cell r="B6059" t="str">
            <v>61800600(SILVYN KLICK-GP IP66 PG 7 GY)</v>
          </cell>
          <cell r="C6059" t="str">
            <v>LAPP</v>
          </cell>
          <cell r="D6059" t="str">
            <v>Lapp-Non Moving Stocks</v>
          </cell>
        </row>
        <row r="6060">
          <cell r="A6060" t="str">
            <v>61800610 (SILVYN KLICK-GP IP66 PG 9 GY)</v>
          </cell>
          <cell r="B6060" t="str">
            <v>61800610(SILVYN KLICK-GP IP66 PG 9 GY)</v>
          </cell>
          <cell r="C6060" t="str">
            <v>LAPP</v>
          </cell>
          <cell r="D6060" t="str">
            <v>Lapp-Non Moving Stocks</v>
          </cell>
        </row>
        <row r="6061">
          <cell r="A6061" t="str">
            <v>61800850_x000D_
 (SILVYN KLICK-GP PG 13,5 GY_x000D_
)</v>
          </cell>
          <cell r="B6061" t="str">
            <v>61800850_x000D_
(SILVYN KLICK-GP PG 13,5 GY_x000D_
)</v>
          </cell>
          <cell r="C6061" t="str">
            <v>LAPP</v>
          </cell>
          <cell r="D6061" t="str">
            <v>Lapp-Non Moving Stocks</v>
          </cell>
        </row>
        <row r="6062">
          <cell r="A6062" t="str">
            <v>61800900 (SILVYN KLICK-GP PG 21 GY)</v>
          </cell>
          <cell r="B6062" t="str">
            <v>61800900(SILVYN KLICK-GP PG 21 GY)</v>
          </cell>
          <cell r="C6062" t="str">
            <v>LAPP</v>
          </cell>
          <cell r="D6062" t="str">
            <v>Lapp-Non Moving Stocks</v>
          </cell>
        </row>
        <row r="6063">
          <cell r="A6063" t="str">
            <v>61800920 (SILVYN KLICK-GP PG 36 GY)</v>
          </cell>
          <cell r="B6063" t="str">
            <v>61800920(SILVYN KLICK-GP PG 36 GY)</v>
          </cell>
          <cell r="C6063" t="str">
            <v>LAPP</v>
          </cell>
          <cell r="D6063" t="str">
            <v>Lapp-Non Moving Stocks</v>
          </cell>
        </row>
        <row r="6064">
          <cell r="A6064" t="str">
            <v>61800860 (SILVYN KLICK-GP PG 7 GY)</v>
          </cell>
          <cell r="B6064" t="str">
            <v>61800860(SILVYN KLICK-GP PG 7 GY)</v>
          </cell>
          <cell r="C6064" t="str">
            <v>LAPP</v>
          </cell>
          <cell r="D6064" t="str">
            <v>Lapp-Non Moving Stocks</v>
          </cell>
        </row>
        <row r="6065">
          <cell r="A6065" t="str">
            <v>65500330 (SILVYN KLICK-RH 13,5 GY(Obsolete))</v>
          </cell>
          <cell r="B6065" t="str">
            <v>65500330(SILVYN KLICK-RH 13,5 GY(Obsolete))</v>
          </cell>
          <cell r="C6065" t="str">
            <v>LAPP</v>
          </cell>
          <cell r="D6065" t="str">
            <v>Lapp-Non Moving Stocks</v>
          </cell>
        </row>
        <row r="6066">
          <cell r="A6066" t="str">
            <v>65500350 (SILVYN KLICK-RH 21 GY)</v>
          </cell>
          <cell r="B6066" t="str">
            <v>65500350(SILVYN KLICK-RH 21 GY)</v>
          </cell>
          <cell r="C6066" t="str">
            <v>LAPP</v>
          </cell>
          <cell r="D6066" t="str">
            <v>Lapp-Non Moving Stocks</v>
          </cell>
        </row>
        <row r="6067">
          <cell r="A6067" t="str">
            <v>61801050 (SILVYN KLICK-WP PG 21 GY)</v>
          </cell>
          <cell r="B6067" t="str">
            <v>61801050(SILVYN KLICK-WP PG 21 GY)</v>
          </cell>
          <cell r="C6067" t="str">
            <v>LAPP</v>
          </cell>
          <cell r="D6067" t="str">
            <v>Lapp-Non Moving Stocks</v>
          </cell>
        </row>
        <row r="6068">
          <cell r="A6068" t="str">
            <v>61801060 (SILVYN KLICK-WP PG 29 GY_x000D_
)</v>
          </cell>
          <cell r="B6068" t="str">
            <v>61801060(SILVYN KLICK-WP PG 29 GY_x000D_
)</v>
          </cell>
          <cell r="C6068" t="str">
            <v>LAPP</v>
          </cell>
          <cell r="D6068" t="str">
            <v>Lapp-Non Moving Stocks</v>
          </cell>
        </row>
        <row r="6069">
          <cell r="A6069" t="str">
            <v>61801061 (SILVYN KLICK-WP  PG 36 GY)</v>
          </cell>
          <cell r="B6069" t="str">
            <v>61801061(SILVYN KLICK-WP PG 36 GY)</v>
          </cell>
          <cell r="C6069" t="str">
            <v>LAPP</v>
          </cell>
          <cell r="D6069" t="str">
            <v>Lapp-Non Moving Stocks</v>
          </cell>
        </row>
        <row r="6070">
          <cell r="A6070" t="str">
            <v>61801020 (SILVYN KLICK-WP PG 9 GY)</v>
          </cell>
          <cell r="B6070" t="str">
            <v>61801020(SILVYN KLICK-WP PG 9 GY)</v>
          </cell>
          <cell r="C6070" t="str">
            <v>LAPP</v>
          </cell>
          <cell r="D6070" t="str">
            <v>Lapp-Non Moving Stocks</v>
          </cell>
        </row>
        <row r="6071">
          <cell r="A6071" t="str">
            <v>65500320 (SILVYN KLICK-RH 11 GY_x000D_
)</v>
          </cell>
          <cell r="B6071" t="str">
            <v>65500320(SILVYN KLICK-RH 11 GY_x000D_
)</v>
          </cell>
          <cell r="C6071" t="str">
            <v>LAPP</v>
          </cell>
          <cell r="D6071" t="str">
            <v>Lapp-Non Moving Stocks</v>
          </cell>
        </row>
        <row r="6072">
          <cell r="A6072" t="str">
            <v>65500340 (SILVYN KLICK-RH 16 GY_x000D_
)</v>
          </cell>
          <cell r="B6072" t="str">
            <v>65500340(SILVYN KLICK-RH 16 GY_x000D_
)</v>
          </cell>
          <cell r="C6072" t="str">
            <v>LAPP</v>
          </cell>
          <cell r="D6072" t="str">
            <v>Lapp-Non Moving Stocks</v>
          </cell>
        </row>
        <row r="6073">
          <cell r="A6073" t="str">
            <v>65500634_x000D_
 (SILVYN KLICK-RH 21 GY_x000D_
)</v>
          </cell>
          <cell r="B6073" t="str">
            <v>65500634_x000D_
(SILVYN KLICK-RH 21 GY_x000D_
)</v>
          </cell>
          <cell r="C6073" t="str">
            <v>LAPP</v>
          </cell>
          <cell r="D6073" t="str">
            <v>Lapp-Non Moving Stocks</v>
          </cell>
        </row>
        <row r="6074">
          <cell r="A6074" t="str">
            <v>65500360 (SILVYN KLICK-RH 29 GY_x000D_
)</v>
          </cell>
          <cell r="B6074" t="str">
            <v>65500360(SILVYN KLICK-RH 29 GY_x000D_
)</v>
          </cell>
          <cell r="C6074" t="str">
            <v>LAPP</v>
          </cell>
          <cell r="D6074" t="str">
            <v>Lapp-Non Moving Stocks</v>
          </cell>
        </row>
        <row r="6075">
          <cell r="A6075" t="str">
            <v>65500310 (SILVYN KLICK-RH 9 GY _x000D_
)</v>
          </cell>
          <cell r="B6075" t="str">
            <v>65500310(SILVYN KLICK-RH 9 GY _x000D_
)</v>
          </cell>
          <cell r="C6075" t="str">
            <v>LAPP</v>
          </cell>
          <cell r="D6075" t="str">
            <v>Lapp-Non Moving Stocks</v>
          </cell>
        </row>
        <row r="6076">
          <cell r="A6076" t="str">
            <v>65500385 (SILVYN KLICK-RH PG 48 BK(Obsolete))</v>
          </cell>
          <cell r="B6076" t="str">
            <v>65500385(SILVYN KLICK-RH PG 48 BK(Obsolete))</v>
          </cell>
          <cell r="C6076" t="str">
            <v>LAPP</v>
          </cell>
          <cell r="D6076" t="str">
            <v>Lapp-Non Moving Stocks</v>
          </cell>
        </row>
        <row r="6077">
          <cell r="A6077" t="str">
            <v>65500639 (SILVYN® KLICK-RH 10 BK)</v>
          </cell>
          <cell r="B6077" t="str">
            <v>65500639(SILVYN® KLICK-RH 10 BK)</v>
          </cell>
          <cell r="C6077" t="str">
            <v>LAPP</v>
          </cell>
          <cell r="D6077" t="str">
            <v>Lapp-Non Moving Stocks</v>
          </cell>
        </row>
        <row r="6078">
          <cell r="A6078" t="str">
            <v>65500641 (SILVYN® KLICK-RH 16 BK)</v>
          </cell>
          <cell r="B6078" t="str">
            <v>65500641(SILVYN® KLICK-RH 16 BK)</v>
          </cell>
          <cell r="C6078" t="str">
            <v>LAPP</v>
          </cell>
          <cell r="D6078" t="str">
            <v>Lapp-Non Moving Stocks</v>
          </cell>
        </row>
        <row r="6079">
          <cell r="A6079" t="str">
            <v>65500643 (SILVYN® KLICK-RH 21 BK)</v>
          </cell>
          <cell r="B6079" t="str">
            <v>65500643(SILVYN® KLICK-RH 21 BK)</v>
          </cell>
          <cell r="C6079" t="str">
            <v>LAPP</v>
          </cell>
          <cell r="D6079" t="str">
            <v>Lapp-Non Moving Stocks</v>
          </cell>
        </row>
        <row r="6080">
          <cell r="A6080" t="str">
            <v>65500644 (SILVYN® KLICK-RH 28 BK)</v>
          </cell>
          <cell r="B6080" t="str">
            <v>65500644(SILVYN® KLICK-RH 28 BK)</v>
          </cell>
          <cell r="C6080" t="str">
            <v>LAPP</v>
          </cell>
          <cell r="D6080" t="str">
            <v>Lapp-Non Moving Stocks</v>
          </cell>
        </row>
        <row r="6081">
          <cell r="A6081" t="str">
            <v>61800905 (SILVYN KLICK-GP  PG 21  SCHWARZ_x000D_
)</v>
          </cell>
          <cell r="B6081" t="str">
            <v>61800905(SILVYN KLICK-GP  PG 21  SCHWARZ_x000D_
)</v>
          </cell>
          <cell r="C6081" t="str">
            <v>LAPP</v>
          </cell>
          <cell r="D6081" t="str">
            <v>Lapp-Non Moving Stocks</v>
          </cell>
        </row>
        <row r="6082">
          <cell r="A6082" t="str">
            <v>61811130 (SILVYN KLICK-S 11 GY)</v>
          </cell>
          <cell r="B6082" t="str">
            <v>61811130(SILVYN KLICK-S 11 GY)</v>
          </cell>
          <cell r="C6082" t="str">
            <v>LAPP</v>
          </cell>
          <cell r="D6082" t="str">
            <v>Lapp-Non Moving Stocks</v>
          </cell>
        </row>
        <row r="6083">
          <cell r="A6083" t="str">
            <v>61811190 (SILVYN KLICK-S 13,5 GY)</v>
          </cell>
          <cell r="B6083" t="str">
            <v>61811190(SILVYN KLICK-S 13,5 GY)</v>
          </cell>
          <cell r="C6083" t="str">
            <v>LAPP</v>
          </cell>
          <cell r="D6083" t="str">
            <v>Lapp-Non Moving Stocks</v>
          </cell>
        </row>
        <row r="6084">
          <cell r="A6084" t="str">
            <v>61811140 (SILVYN KLICK-S 16 GY)</v>
          </cell>
          <cell r="B6084" t="str">
            <v>61811140(SILVYN KLICK-S 16 GY)</v>
          </cell>
          <cell r="C6084" t="str">
            <v>LAPP</v>
          </cell>
          <cell r="D6084" t="str">
            <v>Lapp-Non Moving Stocks</v>
          </cell>
        </row>
        <row r="6085">
          <cell r="A6085" t="str">
            <v>61811150 (SILVYN KLICK-S 21 GY)</v>
          </cell>
          <cell r="B6085" t="str">
            <v>61811150(SILVYN KLICK-S 21 GY)</v>
          </cell>
          <cell r="C6085" t="str">
            <v>LAPP</v>
          </cell>
          <cell r="D6085" t="str">
            <v>Lapp-Non Moving Stocks</v>
          </cell>
        </row>
        <row r="6086">
          <cell r="A6086" t="str">
            <v>61811120 (SILVYN KLICK-S 9 GY)</v>
          </cell>
          <cell r="B6086" t="str">
            <v>61811120(SILVYN KLICK-S 9 GY)</v>
          </cell>
          <cell r="C6086" t="str">
            <v>LAPP</v>
          </cell>
          <cell r="D6086" t="str">
            <v>Lapp-Non Moving Stocks</v>
          </cell>
        </row>
        <row r="6087">
          <cell r="A6087" t="str">
            <v>61801030 (SILVYN KLICK-WP PG 11 GY)</v>
          </cell>
          <cell r="B6087" t="str">
            <v>61801030(SILVYN KLICK-WP PG 11 GY)</v>
          </cell>
          <cell r="C6087" t="str">
            <v>LAPP</v>
          </cell>
          <cell r="D6087" t="str">
            <v>Lapp-Non Moving Stocks</v>
          </cell>
        </row>
        <row r="6088">
          <cell r="A6088" t="str">
            <v>61801040 (SILVYN KLICK-WP PG 16 GY)</v>
          </cell>
          <cell r="B6088" t="str">
            <v>61801040(SILVYN KLICK-WP PG 16 GY)</v>
          </cell>
          <cell r="C6088" t="str">
            <v>LAPP</v>
          </cell>
          <cell r="D6088" t="str">
            <v>Lapp-Non Moving Stocks</v>
          </cell>
        </row>
        <row r="6089">
          <cell r="A6089" t="str">
            <v>61801100 (SILVYN KLICK-Y 3x9 GY)</v>
          </cell>
          <cell r="B6089" t="str">
            <v>61801100(SILVYN KLICK-Y 3x9 GY)</v>
          </cell>
          <cell r="C6089" t="str">
            <v>LAPP</v>
          </cell>
          <cell r="D6089" t="str">
            <v>Lapp-Non Moving Stocks</v>
          </cell>
        </row>
        <row r="6090">
          <cell r="A6090" t="str">
            <v>56000140 (SILVYN KLICK-Y TPE 2x11/1x16 GY)</v>
          </cell>
          <cell r="B6090" t="str">
            <v>56000140(SILVYN KLICK-Y TPE 2x11/1x16 GY)</v>
          </cell>
          <cell r="C6090" t="str">
            <v>LAPP</v>
          </cell>
          <cell r="D6090" t="str">
            <v>Lapp-Non Moving Stocks</v>
          </cell>
        </row>
        <row r="6091">
          <cell r="A6091" t="str">
            <v>56000160 (SILVYN KLICK-Y TPE 2x21/1x29 GY_x000D_
)</v>
          </cell>
          <cell r="B6091" t="str">
            <v>56000160(SILVYN KLICK-Y TPE 2x21/1x29 GY_x000D_
)</v>
          </cell>
          <cell r="C6091" t="str">
            <v>LAPP</v>
          </cell>
          <cell r="D6091" t="str">
            <v>Lapp-Non Moving Stocks</v>
          </cell>
        </row>
        <row r="6092">
          <cell r="A6092" t="str">
            <v>65500050 (SILVYN K-VM 29 GY)</v>
          </cell>
          <cell r="B6092" t="str">
            <v>65500050(SILVYN K-VM 29 GY)</v>
          </cell>
          <cell r="C6092" t="str">
            <v>LAPP</v>
          </cell>
          <cell r="D6092" t="str">
            <v>Lapp-Non Moving Stocks</v>
          </cell>
        </row>
        <row r="6093">
          <cell r="A6093" t="str">
            <v>61805430 (SILVYN LTP 20_x000D_
)</v>
          </cell>
          <cell r="B6093" t="str">
            <v>61805430(SILVYN LTP 20_x000D_
)</v>
          </cell>
          <cell r="C6093" t="str">
            <v>LAPP</v>
          </cell>
          <cell r="D6093" t="str">
            <v>Lapp-Non Moving Stocks</v>
          </cell>
        </row>
        <row r="6094">
          <cell r="A6094" t="str">
            <v>55510240 (SILVYN LTPG-M 20x1,5/2"_x000D_
)</v>
          </cell>
          <cell r="B6094" t="str">
            <v>55510240(SILVYN LTPG-M 20x1,5/2"_x000D_
)</v>
          </cell>
          <cell r="C6094" t="str">
            <v>LAPP</v>
          </cell>
          <cell r="D6094" t="str">
            <v>Lapp-Non Moving Stocks</v>
          </cell>
        </row>
        <row r="6095">
          <cell r="A6095" t="str">
            <v>61746990 (SILVYN RILL PA6 36/36x42,5 GY)</v>
          </cell>
          <cell r="B6095" t="str">
            <v>61746990(SILVYN RILL PA6 36/36x42,5 GY)</v>
          </cell>
          <cell r="C6095" t="str">
            <v>LAPP</v>
          </cell>
          <cell r="D6095" t="str">
            <v>Lapp-Non Moving Stocks</v>
          </cell>
        </row>
        <row r="6096">
          <cell r="A6096" t="str">
            <v>61746939 (SILVYN RILL PA6 7/6,5x10 GY)</v>
          </cell>
          <cell r="B6096" t="str">
            <v>61746939(SILVYN RILL PA6 7/6,5x10 GY)</v>
          </cell>
          <cell r="C6096" t="str">
            <v>LAPP</v>
          </cell>
          <cell r="D6096" t="str">
            <v>Lapp-Non Moving Stocks</v>
          </cell>
        </row>
        <row r="6097">
          <cell r="A6097" t="str">
            <v>61746955 (SILVYN RILL PA 6  PG 11 SCHWARZ_x000D_
)</v>
          </cell>
          <cell r="B6097" t="str">
            <v>61746955(SILVYN RILL PA 6  PG 11 SCHWARZ_x000D_
)</v>
          </cell>
          <cell r="C6097" t="str">
            <v>LAPP</v>
          </cell>
          <cell r="D6097" t="str">
            <v>Lapp-Non Moving Stocks</v>
          </cell>
        </row>
        <row r="6098">
          <cell r="A6098" t="str">
            <v>64400350 (SILVYN RILL PA6 L-B 28,5 GREY)</v>
          </cell>
          <cell r="B6098" t="str">
            <v>64400350(SILVYN RILL PA6 L-B 28,5 GREY)</v>
          </cell>
          <cell r="C6098" t="str">
            <v>LAPP</v>
          </cell>
          <cell r="D6098" t="str">
            <v>Lapp-Non Moving Stocks</v>
          </cell>
        </row>
        <row r="6099">
          <cell r="A6099" t="str">
            <v>64400360 (SILVYN RILL PA6 L-B 34,5 GREY)</v>
          </cell>
          <cell r="B6099" t="str">
            <v>64400360(SILVYN RILL PA6 L-B 34,5 GREY)</v>
          </cell>
          <cell r="C6099" t="str">
            <v>LAPP</v>
          </cell>
          <cell r="D6099" t="str">
            <v>Lapp-Non Moving Stocks</v>
          </cell>
        </row>
        <row r="6100">
          <cell r="A6100" t="str">
            <v>64400370 (SILVYN RILL PA6 L-B 42,5 GREY)</v>
          </cell>
          <cell r="B6100" t="str">
            <v>64400370(SILVYN RILL PA6 L-B 42,5 GREY)</v>
          </cell>
          <cell r="C6100" t="str">
            <v>LAPP</v>
          </cell>
          <cell r="D6100" t="str">
            <v>Lapp-Non Moving Stocks</v>
          </cell>
        </row>
        <row r="6101">
          <cell r="A6101" t="str">
            <v>64400380 (SILVYN RILL PA6 L -B 54,5 GREY)</v>
          </cell>
          <cell r="B6101" t="str">
            <v>64400380(SILVYN RILL PA6 L -B 54,5 GREY)</v>
          </cell>
          <cell r="C6101" t="str">
            <v>LAPP</v>
          </cell>
          <cell r="D6101" t="str">
            <v>Lapp-Non Moving Stocks</v>
          </cell>
        </row>
        <row r="6102">
          <cell r="A6102" t="str">
            <v>64400300 (SILVYN RILL PA6 L 10 GREY)</v>
          </cell>
          <cell r="B6102" t="str">
            <v>64400300(SILVYN RILL PA6 L 10 GREY)</v>
          </cell>
          <cell r="C6102" t="str">
            <v>LAPP</v>
          </cell>
          <cell r="D6102" t="str">
            <v>Lapp-Non Moving Stocks</v>
          </cell>
        </row>
        <row r="6103">
          <cell r="A6103" t="str">
            <v>64400335 (SILVYN RILL PA6 L 18,5 BLACK)</v>
          </cell>
          <cell r="B6103" t="str">
            <v>64400335(SILVYN RILL PA6 L 18,5 BLACK)</v>
          </cell>
          <cell r="C6103" t="str">
            <v>LAPP</v>
          </cell>
          <cell r="D6103" t="str">
            <v>Lapp-Non Moving Stocks</v>
          </cell>
        </row>
        <row r="6104">
          <cell r="A6104" t="str">
            <v>64400310 (SILVYN RILL PA6 L 13 GREY)</v>
          </cell>
          <cell r="B6104" t="str">
            <v>64400310(SILVYN RILL PA6 L 13 GREY)</v>
          </cell>
          <cell r="C6104" t="str">
            <v>LAPP</v>
          </cell>
          <cell r="D6104" t="str">
            <v>Lapp-Non Moving Stocks</v>
          </cell>
        </row>
        <row r="6105">
          <cell r="A6105" t="str">
            <v>64400320 (SILVYN RILL PA6 L 15,8 GREY)</v>
          </cell>
          <cell r="B6105" t="str">
            <v>64400320(SILVYN RILL PA6 L 15,8 GREY)</v>
          </cell>
          <cell r="C6105" t="str">
            <v>LAPP</v>
          </cell>
          <cell r="D6105" t="str">
            <v>Lapp-Non Moving Stocks</v>
          </cell>
        </row>
        <row r="6106">
          <cell r="A6106" t="str">
            <v>64400330 (SILVYN RILL PA6 L 18,5 GREY)</v>
          </cell>
          <cell r="B6106" t="str">
            <v>64400330(SILVYN RILL PA6 L 18,5 GREY)</v>
          </cell>
          <cell r="C6106" t="str">
            <v>LAPP</v>
          </cell>
          <cell r="D6106" t="str">
            <v>Lapp-Non Moving Stocks</v>
          </cell>
        </row>
        <row r="6107">
          <cell r="A6107" t="str">
            <v>64400340 (SILVYN RILL PA6 L 21,2 GREY)</v>
          </cell>
          <cell r="B6107" t="str">
            <v>64400340(SILVYN RILL PA6 L 21,2 GREY)</v>
          </cell>
          <cell r="C6107" t="str">
            <v>LAPP</v>
          </cell>
          <cell r="D6107" t="str">
            <v>Lapp-Non Moving Stocks</v>
          </cell>
        </row>
        <row r="6108">
          <cell r="A6108" t="str">
            <v>61747135 (SILVYN RILL PA6 LL 11/12x15,8 BK)</v>
          </cell>
          <cell r="B6108" t="str">
            <v>61747135(SILVYN RILL PA6 LL 11/12x15,8 BK)</v>
          </cell>
          <cell r="C6108" t="str">
            <v>LAPP</v>
          </cell>
          <cell r="D6108" t="str">
            <v>Lapp-Non Moving Stocks</v>
          </cell>
        </row>
        <row r="6109">
          <cell r="A6109" t="str">
            <v>61747145 (SILVYN RILL PA6 LL 13,5/14,3x18,5 BK)</v>
          </cell>
          <cell r="B6109" t="str">
            <v>61747145(SILVYN RILL PA6 LL 13,5/14,3x18,5 BK)</v>
          </cell>
          <cell r="C6109" t="str">
            <v>LAPP</v>
          </cell>
          <cell r="D6109" t="str">
            <v>Lapp-Non Moving Stocks</v>
          </cell>
        </row>
        <row r="6110">
          <cell r="A6110" t="str">
            <v>61747155_x000D_
 (SILVYN RILL PA6 LL 16/16,5x21,2 BK_x000D_
)</v>
          </cell>
          <cell r="B6110" t="str">
            <v>61747155_x000D_
(SILVYN RILL PA6 LL 16/16,5x21,2 BK_x000D_
)</v>
          </cell>
          <cell r="C6110" t="str">
            <v>LAPP</v>
          </cell>
          <cell r="D6110" t="str">
            <v>Lapp-Non Moving Stocks</v>
          </cell>
        </row>
        <row r="6111">
          <cell r="A6111" t="str">
            <v>61747165 (SILVYN RILL PA6 LL 21/23x28,5 BK)</v>
          </cell>
          <cell r="B6111" t="str">
            <v>61747165(SILVYN RILL PA6 LL 21/23x28,5 BK)</v>
          </cell>
          <cell r="C6111" t="str">
            <v>LAPP</v>
          </cell>
          <cell r="D6111" t="str">
            <v>Lapp-Non Moving Stocks</v>
          </cell>
        </row>
        <row r="6112">
          <cell r="A6112" t="str">
            <v>61747175 (SILVYN RILL PA6 LL 29/29x34,5 BK)</v>
          </cell>
          <cell r="B6112" t="str">
            <v>61747175(SILVYN RILL PA6 LL 29/29x34,5 BK)</v>
          </cell>
          <cell r="C6112" t="str">
            <v>LAPP</v>
          </cell>
          <cell r="D6112" t="str">
            <v>Lapp-Non Moving Stocks</v>
          </cell>
        </row>
        <row r="6113">
          <cell r="A6113" t="str">
            <v>61747081 (SILVYN RILL PA6 LL 7/6,5x10 BK/)</v>
          </cell>
          <cell r="B6113" t="str">
            <v>61747081(SILVYN RILL PA6 LL 7/6,5x10 BK/)</v>
          </cell>
          <cell r="C6113" t="str">
            <v>LAPP</v>
          </cell>
          <cell r="D6113" t="str">
            <v>Lapp-Non Moving Stocks</v>
          </cell>
        </row>
        <row r="6114">
          <cell r="A6114" t="str">
            <v>61747140 (SILVYN RILL PA6 LL 13,5/14,3x18,5 GY)</v>
          </cell>
          <cell r="B6114" t="str">
            <v>61747140(SILVYN RILL PA6 LL 13,5/14,3x18,5 GY)</v>
          </cell>
          <cell r="C6114" t="str">
            <v>LAPP</v>
          </cell>
          <cell r="D6114" t="str">
            <v>Lapp-Non Moving Stocks</v>
          </cell>
        </row>
        <row r="6115">
          <cell r="A6115" t="str">
            <v>61806575 (SILVYN RILL 21,3 x 25,4 PA6 SINUS SW_x000D_
)</v>
          </cell>
          <cell r="B6115" t="str">
            <v>61806575(SILVYN RILL 21,3 x 25,4 PA6 SINUS SW_x000D_
)</v>
          </cell>
          <cell r="C6115" t="str">
            <v>LAPP</v>
          </cell>
          <cell r="D6115" t="str">
            <v>Lapp-Non Moving Stocks</v>
          </cell>
        </row>
        <row r="6116">
          <cell r="A6116" t="str">
            <v>61806580 (SILVYN RILL 23,2 x 28,3 PA6 SINUS SW)</v>
          </cell>
          <cell r="B6116" t="str">
            <v>61806580(SILVYN RILL 23,2 x 28,3 PA6 SINUS SW)</v>
          </cell>
          <cell r="C6116" t="str">
            <v>LAPP</v>
          </cell>
          <cell r="D6116" t="str">
            <v>Lapp-Non Moving Stocks</v>
          </cell>
        </row>
        <row r="6117">
          <cell r="A6117" t="str">
            <v>61806620 (SILVYN SPLIT 10/8,9x13,6 BK_x000D_
)</v>
          </cell>
          <cell r="B6117" t="str">
            <v>61806620(SILVYN SPLIT 10/8,9x13,6 BK_x000D_
)</v>
          </cell>
          <cell r="C6117" t="str">
            <v>LAPP</v>
          </cell>
          <cell r="D6117" t="str">
            <v>Lapp-Non Moving Stocks</v>
          </cell>
        </row>
        <row r="6118">
          <cell r="A6118" t="str">
            <v>61806630 (SILVYN SPLIT 14/12,9x18,7 BK_x000D_
)</v>
          </cell>
          <cell r="B6118" t="str">
            <v>61806630(SILVYN SPLIT 14/12,9x18,7 BK_x000D_
)</v>
          </cell>
          <cell r="C6118" t="str">
            <v>LAPP</v>
          </cell>
          <cell r="D6118" t="str">
            <v>Lapp-Non Moving Stocks</v>
          </cell>
        </row>
        <row r="6119">
          <cell r="A6119" t="str">
            <v>61806670 (SILVYN SPLIT 45/43,1x54,2 BK_x000D_
)</v>
          </cell>
          <cell r="B6119" t="str">
            <v>61806670(SILVYN SPLIT 45/43,1x54,2 BK_x000D_
)</v>
          </cell>
          <cell r="C6119" t="str">
            <v>LAPP</v>
          </cell>
          <cell r="D6119" t="str">
            <v>Lapp-Non Moving Stocks</v>
          </cell>
        </row>
        <row r="6120">
          <cell r="A6120" t="str">
            <v>52005830 (SILVYN USK PG 11 SGY)</v>
          </cell>
          <cell r="B6120" t="str">
            <v>52005830(SILVYN USK PG 11 SGY)</v>
          </cell>
          <cell r="C6120" t="str">
            <v>LAPP</v>
          </cell>
          <cell r="D6120" t="str">
            <v>Lapp-Non Moving Stocks</v>
          </cell>
        </row>
        <row r="6121">
          <cell r="A6121" t="str">
            <v>61802100_x000D_
 (SILVYN AS 11/14x17_x000D_
)</v>
          </cell>
          <cell r="B6121" t="str">
            <v>61802100_x000D_
(SILVYN AS 11/14x17_x000D_
)</v>
          </cell>
          <cell r="C6121" t="str">
            <v>LAPP</v>
          </cell>
          <cell r="D6121" t="str">
            <v>Lapp-Non Moving Stocks</v>
          </cell>
        </row>
        <row r="6122">
          <cell r="A6122" t="str">
            <v>61802140 (SILVYN AS 29/31x36_x000D_
)</v>
          </cell>
          <cell r="B6122" t="str">
            <v>61802140(SILVYN AS 29/31x36_x000D_
)</v>
          </cell>
          <cell r="C6122" t="str">
            <v>LAPP</v>
          </cell>
          <cell r="D6122" t="str">
            <v>Lapp-Non Moving Stocks</v>
          </cell>
        </row>
        <row r="6123">
          <cell r="A6123" t="str">
            <v>61802150 (SILVYN AS 36/40x45)</v>
          </cell>
          <cell r="B6123" t="str">
            <v>61802150(SILVYN AS 36/40x45)</v>
          </cell>
          <cell r="C6123" t="str">
            <v>LAPP</v>
          </cell>
          <cell r="D6123" t="str">
            <v>Lapp-Non Moving Stocks</v>
          </cell>
        </row>
        <row r="6124">
          <cell r="A6124" t="str">
            <v>61802090 (SILVYN AS 9/11x14_x000D_
)</v>
          </cell>
          <cell r="B6124" t="str">
            <v>61802090(SILVYN AS 9/11x14_x000D_
)</v>
          </cell>
          <cell r="C6124" t="str">
            <v>LAPP</v>
          </cell>
          <cell r="D6124" t="str">
            <v>Lapp-Non Moving Stocks</v>
          </cell>
        </row>
        <row r="6125">
          <cell r="A6125" t="str">
            <v>55000911 (SILVYN BW-K-M 20x1,5 GY_x000D_
)</v>
          </cell>
          <cell r="B6125" t="str">
            <v>55000911(SILVYN BW-K-M 20x1,5 GY_x000D_
)</v>
          </cell>
          <cell r="C6125" t="str">
            <v>LAPP</v>
          </cell>
          <cell r="D6125" t="str">
            <v>Lapp-Non Moving Stocks</v>
          </cell>
        </row>
        <row r="6126">
          <cell r="A6126" t="str">
            <v>61803816 (SILVYN COMPACT PG 11)</v>
          </cell>
          <cell r="B6126" t="str">
            <v>61803816(SILVYN COMPACT PG 11)</v>
          </cell>
          <cell r="C6126" t="str">
            <v>LAPP</v>
          </cell>
          <cell r="D6126" t="str">
            <v>Lapp-Non Moving Stocks</v>
          </cell>
        </row>
        <row r="6127">
          <cell r="A6127" t="str">
            <v>61809310 (SILVYN DUO-M 16x1,5 BK_x000D_
)</v>
          </cell>
          <cell r="B6127" t="str">
            <v>61809310(SILVYN DUO-M 16x1,5 BK_x000D_
)</v>
          </cell>
          <cell r="C6127" t="str">
            <v>LAPP</v>
          </cell>
          <cell r="D6127" t="str">
            <v>Lapp-Non Moving Stocks</v>
          </cell>
        </row>
        <row r="6128">
          <cell r="A6128" t="str">
            <v>61809320 (SILVYN DUO-M 20x1,5 BK_x000D_
)</v>
          </cell>
          <cell r="B6128" t="str">
            <v>61809320(SILVYN DUO-M 20x1,5 BK_x000D_
)</v>
          </cell>
          <cell r="C6128" t="str">
            <v>LAPP</v>
          </cell>
          <cell r="D6128" t="str">
            <v>Lapp-Non Moving Stocks</v>
          </cell>
        </row>
        <row r="6129">
          <cell r="A6129" t="str">
            <v>61809140 (SILVYN DUO PG 9 BK_x000D_
)</v>
          </cell>
          <cell r="B6129" t="str">
            <v>61809140(SILVYN DUO PG 9 BK_x000D_
)</v>
          </cell>
          <cell r="C6129" t="str">
            <v>LAPP</v>
          </cell>
          <cell r="D6129" t="str">
            <v>Lapp-Non Moving Stocks</v>
          </cell>
        </row>
        <row r="6130">
          <cell r="A6130" t="str">
            <v>61802410 (SILVYN EDU-AS 13,5/15x19_x000D_
)</v>
          </cell>
          <cell r="B6130" t="str">
            <v>61802410(SILVYN EDU-AS 13,5/15x19_x000D_
)</v>
          </cell>
          <cell r="C6130" t="str">
            <v>LAPP</v>
          </cell>
          <cell r="D6130" t="str">
            <v>Lapp-Non Moving Stocks</v>
          </cell>
        </row>
        <row r="6131">
          <cell r="A6131" t="str">
            <v>61802430 (SILVYN EDU-AS 21/22x27_x000D_
)</v>
          </cell>
          <cell r="B6131" t="str">
            <v>61802430(SILVYN EDU-AS 21/22x27_x000D_
)</v>
          </cell>
          <cell r="C6131" t="str">
            <v>LAPP</v>
          </cell>
          <cell r="D6131" t="str">
            <v>Lapp-Non Moving Stocks</v>
          </cell>
        </row>
        <row r="6132">
          <cell r="A6132" t="str">
            <v>61802390 (SILVYN EDU-AS 9/10x14_x000D_
)</v>
          </cell>
          <cell r="B6132" t="str">
            <v>61802390(SILVYN EDU-AS 9/10x14_x000D_
)</v>
          </cell>
          <cell r="C6132" t="str">
            <v>LAPP</v>
          </cell>
          <cell r="D6132" t="str">
            <v>Lapp-Non Moving Stocks</v>
          </cell>
        </row>
        <row r="6133">
          <cell r="A6133" t="str">
            <v>52023360 (SILVYN EE-K 11 GY)</v>
          </cell>
          <cell r="B6133" t="str">
            <v>52023360(SILVYN EE-K 11 GY)</v>
          </cell>
          <cell r="C6133" t="str">
            <v>LAPP</v>
          </cell>
          <cell r="D6133" t="str">
            <v>Lapp-Non Moving Stocks</v>
          </cell>
        </row>
        <row r="6134">
          <cell r="A6134" t="str">
            <v>52023380 (SILVYN EE-K 16 GY)</v>
          </cell>
          <cell r="B6134" t="str">
            <v>52023380(SILVYN EE-K 16 GY)</v>
          </cell>
          <cell r="C6134" t="str">
            <v>LAPP</v>
          </cell>
          <cell r="D6134" t="str">
            <v>Lapp-Non Moving Stocks</v>
          </cell>
        </row>
        <row r="6135">
          <cell r="A6135" t="str">
            <v>52023400 (SILVYN EE-K 29 GY)</v>
          </cell>
          <cell r="B6135" t="str">
            <v>52023400(SILVYN EE-K 29 GY)</v>
          </cell>
          <cell r="C6135" t="str">
            <v>LAPP</v>
          </cell>
          <cell r="D6135" t="str">
            <v>Lapp-Non Moving Stocks</v>
          </cell>
        </row>
        <row r="6136">
          <cell r="A6136" t="str">
            <v>52023350 (SILVYN EE-K 9 GY)</v>
          </cell>
          <cell r="B6136" t="str">
            <v>52023350(SILVYN EE-K 9 GY)</v>
          </cell>
          <cell r="C6136" t="str">
            <v>LAPP</v>
          </cell>
          <cell r="D6136" t="str">
            <v>Lapp-Non Moving Stocks</v>
          </cell>
        </row>
        <row r="6137">
          <cell r="A6137" t="str">
            <v>55506905 (SILVYN FCL 10 BK_x000D_
)</v>
          </cell>
          <cell r="B6137" t="str">
            <v>55506905(SILVYN FCL 10 BK_x000D_
)</v>
          </cell>
          <cell r="C6137" t="str">
            <v>LAPP</v>
          </cell>
          <cell r="D6137" t="str">
            <v>Lapp-Non Moving Stocks</v>
          </cell>
        </row>
        <row r="6138">
          <cell r="A6138" t="str">
            <v>55506915 (SILVYN FCL 13 BK)</v>
          </cell>
          <cell r="B6138" t="str">
            <v>55506915(SILVYN FCL 13 BK)</v>
          </cell>
          <cell r="C6138" t="str">
            <v>LAPP</v>
          </cell>
          <cell r="D6138" t="str">
            <v>Lapp-Non Moving Stocks</v>
          </cell>
        </row>
        <row r="6139">
          <cell r="A6139" t="str">
            <v>55506925 (SILVYN FCL 16 BK_x000D_
)</v>
          </cell>
          <cell r="B6139" t="str">
            <v>55506925(SILVYN FCL 16 BK_x000D_
)</v>
          </cell>
          <cell r="C6139" t="str">
            <v>LAPP</v>
          </cell>
          <cell r="D6139" t="str">
            <v>Lapp-Non Moving Stocks</v>
          </cell>
        </row>
        <row r="6140">
          <cell r="A6140" t="str">
            <v>55506935 (SILVYN FCL 21 BK)</v>
          </cell>
          <cell r="B6140" t="str">
            <v>55506935(SILVYN FCL 21 BK)</v>
          </cell>
          <cell r="C6140" t="str">
            <v>LAPP</v>
          </cell>
          <cell r="D6140" t="str">
            <v>Lapp-Non Moving Stocks</v>
          </cell>
        </row>
        <row r="6141">
          <cell r="A6141" t="str">
            <v>65500485 (SILVYN FLEXILOK 11 /13 BK)</v>
          </cell>
          <cell r="B6141" t="str">
            <v>65500485(SILVYN FLEXILOK 11 /13 BK)</v>
          </cell>
          <cell r="C6141" t="str">
            <v>LAPP</v>
          </cell>
          <cell r="D6141" t="str">
            <v>Lapp-Non Moving Stocks</v>
          </cell>
        </row>
        <row r="6142">
          <cell r="A6142" t="str">
            <v>68100085 (SILVYN FLEXILOK 16 /21 BK)</v>
          </cell>
          <cell r="B6142" t="str">
            <v>68100085(SILVYN FLEXILOK 16 /21 BK)</v>
          </cell>
          <cell r="C6142" t="str">
            <v>LAPP</v>
          </cell>
          <cell r="D6142" t="str">
            <v>Lapp-Non Moving Stocks</v>
          </cell>
        </row>
        <row r="6143">
          <cell r="A6143" t="str">
            <v>68100095 (SILVYN FLEXILOK 21 /28 BK)</v>
          </cell>
          <cell r="B6143" t="str">
            <v>68100095(SILVYN FLEXILOK 21 /28 BK)</v>
          </cell>
          <cell r="C6143" t="str">
            <v>LAPP</v>
          </cell>
          <cell r="D6143" t="str">
            <v>Lapp-Non Moving Stocks</v>
          </cell>
        </row>
        <row r="6144">
          <cell r="A6144" t="str">
            <v>55506325 (SILVYN FPAG M16x1,5/2 BK)</v>
          </cell>
          <cell r="B6144" t="str">
            <v>55506325(SILVYN FPAG M16x1,5/2 BK)</v>
          </cell>
          <cell r="C6144" t="str">
            <v>LAPP</v>
          </cell>
          <cell r="D6144" t="str">
            <v>Lapp-Non Moving Stocks</v>
          </cell>
        </row>
        <row r="6145">
          <cell r="A6145" t="str">
            <v>55506355 (SILVYN FPAG-M 25x1,5 BK)</v>
          </cell>
          <cell r="B6145" t="str">
            <v>55506355(SILVYN FPAG-M 25x1,5 BK)</v>
          </cell>
          <cell r="C6145" t="str">
            <v>LAPP</v>
          </cell>
          <cell r="D6145" t="str">
            <v>Lapp-Non Moving Stocks</v>
          </cell>
        </row>
        <row r="6146">
          <cell r="A6146" t="str">
            <v>61754015 (SILVYN FPAS 13/9,8x13 BK_x000D_
)</v>
          </cell>
          <cell r="B6146" t="str">
            <v>61754015(SILVYN FPAS 13/9,8x13 BK_x000D_
)</v>
          </cell>
          <cell r="C6146" t="str">
            <v>LAPP</v>
          </cell>
          <cell r="D6146" t="str">
            <v>Lapp-Non Moving Stocks</v>
          </cell>
        </row>
        <row r="6147">
          <cell r="A6147" t="str">
            <v>61802337_x000D_
 (SILVYN FPS-EDU 48X56 25m_x000D_
)</v>
          </cell>
          <cell r="B6147" t="str">
            <v>61802337_x000D_
(SILVYN FPS-EDU 48X56 25m_x000D_
)</v>
          </cell>
          <cell r="C6147" t="str">
            <v>LAPP</v>
          </cell>
          <cell r="D6147" t="str">
            <v>Lapp-Non Moving Stocks</v>
          </cell>
        </row>
        <row r="6148">
          <cell r="A6148" t="str">
            <v>55501060_x000D_
 (SILVYN KLICK-G M25x1,5/2 GY_x000D_
)</v>
          </cell>
          <cell r="B6148" t="str">
            <v>55501060_x000D_
(SILVYN KLICK-G M25x1,5/2 GY_x000D_
)</v>
          </cell>
          <cell r="C6148" t="str">
            <v>LAPP</v>
          </cell>
          <cell r="D6148" t="str">
            <v>Lapp-Non Moving Stocks</v>
          </cell>
        </row>
        <row r="6149">
          <cell r="A6149" t="str">
            <v>55507105 (SILVYN KSE-M 16x1,5/1 BK_x000D_
)</v>
          </cell>
          <cell r="B6149" t="str">
            <v>55507105(SILVYN KSE-M 16x1,5/1 BK_x000D_
)</v>
          </cell>
          <cell r="C6149" t="str">
            <v>LAPP</v>
          </cell>
          <cell r="D6149" t="str">
            <v>Lapp-Non Moving Stocks</v>
          </cell>
        </row>
        <row r="6150">
          <cell r="A6150" t="str">
            <v>61806570 (SILVYN RILL 16,6 x 21,2 PA6 SINUS SW)</v>
          </cell>
          <cell r="B6150" t="str">
            <v>61806570(SILVYN RILL 16,6 x 21,2 PA6 SINUS SW)</v>
          </cell>
          <cell r="C6150" t="str">
            <v>LAPP</v>
          </cell>
          <cell r="D6150" t="str">
            <v>Lapp-Non Moving Stocks</v>
          </cell>
        </row>
        <row r="6151">
          <cell r="A6151" t="str">
            <v>61746975 (SILVYN RILL PA6 28 / 23x28,5 BK)</v>
          </cell>
          <cell r="B6151" t="str">
            <v>61746975(SILVYN RILL PA6 28 / 23x28,5 BK)</v>
          </cell>
          <cell r="C6151" t="str">
            <v>LAPP</v>
          </cell>
          <cell r="D6151" t="str">
            <v>Lapp-Non Moving Stocks</v>
          </cell>
        </row>
        <row r="6152">
          <cell r="A6152" t="str">
            <v>61746995_x000D_
 (SILVYN RILL PA6 36/36x42,5 BK_x000D_
)</v>
          </cell>
          <cell r="B6152" t="str">
            <v>61746995_x000D_
(SILVYN RILL PA6 36/36x42,5 BK_x000D_
)</v>
          </cell>
          <cell r="C6152" t="str">
            <v>LAPP</v>
          </cell>
          <cell r="D6152" t="str">
            <v>Lapp-Non Moving Stocks</v>
          </cell>
        </row>
        <row r="6153">
          <cell r="A6153" t="str">
            <v>61747150 (SILVYN RILL PA6 LL 16/16,5x21,2 GY_x000D_
)</v>
          </cell>
          <cell r="B6153" t="str">
            <v>61747150(SILVYN RILL PA6 LL 16/16,5x21,2 GY_x000D_
)</v>
          </cell>
          <cell r="C6153" t="str">
            <v>LAPP</v>
          </cell>
          <cell r="D6153" t="str">
            <v>Lapp-Non Moving Stocks</v>
          </cell>
        </row>
        <row r="6154">
          <cell r="A6154" t="str">
            <v>61747015 (SILVYN RILL PA 6  PG 13,5 BLACK_x000D_
)</v>
          </cell>
          <cell r="B6154" t="str">
            <v>61747015(SILVYN RILL PA 6  PG 13,5 BLACK_x000D_
)</v>
          </cell>
          <cell r="C6154" t="str">
            <v>LAPP</v>
          </cell>
          <cell r="D6154" t="str">
            <v>Lapp-Non Moving Stocks</v>
          </cell>
        </row>
        <row r="6155">
          <cell r="A6155" t="str">
            <v>61746965 (SILVYN RILL PA 6  PG 16 BLACK_x000D_
)</v>
          </cell>
          <cell r="B6155" t="str">
            <v>61746965(SILVYN RILL PA 6  PG 16 BLACK_x000D_
)</v>
          </cell>
          <cell r="C6155" t="str">
            <v>LAPP</v>
          </cell>
          <cell r="D6155" t="str">
            <v>Lapp-Non Moving Stocks</v>
          </cell>
        </row>
        <row r="6156">
          <cell r="A6156" t="str">
            <v>61746985 (SILVYN RILL PA 6  PG 29 BLACK_x000D_
)</v>
          </cell>
          <cell r="B6156" t="str">
            <v>61746985(SILVYN RILL PA 6  PG 29 BLACK_x000D_
)</v>
          </cell>
          <cell r="C6156" t="str">
            <v>LAPP</v>
          </cell>
          <cell r="D6156" t="str">
            <v>Lapp-Non Moving Stocks</v>
          </cell>
        </row>
        <row r="6157">
          <cell r="A6157" t="str">
            <v>61713270 (SILVYN SI 11x14 SGY_x000D_
)</v>
          </cell>
          <cell r="B6157" t="str">
            <v>61713270(SILVYN SI 11x14 SGY_x000D_
)</v>
          </cell>
          <cell r="C6157" t="str">
            <v>LAPP</v>
          </cell>
          <cell r="D6157" t="str">
            <v>Lapp-Non Moving Stocks</v>
          </cell>
        </row>
        <row r="6158">
          <cell r="A6158" t="str">
            <v>61713330_x000D_
 (SILVYN SI 14x18 SGY_x000D_
)</v>
          </cell>
          <cell r="B6158" t="str">
            <v>61713330_x000D_
(SILVYN SI 14x18 SGY_x000D_
)</v>
          </cell>
          <cell r="C6158" t="str">
            <v>LAPP</v>
          </cell>
          <cell r="D6158" t="str">
            <v>Lapp-Non Moving Stocks</v>
          </cell>
        </row>
        <row r="6159">
          <cell r="A6159" t="str">
            <v>61713360_x000D_
 (SILVYN SI 18x22 SGY_x000D_
)</v>
          </cell>
          <cell r="B6159" t="str">
            <v>61713360_x000D_
(SILVYN SI 18x22 SGY_x000D_
)</v>
          </cell>
          <cell r="C6159" t="str">
            <v>LAPP</v>
          </cell>
          <cell r="D6159" t="str">
            <v>Lapp-Non Moving Stocks</v>
          </cell>
        </row>
        <row r="6160">
          <cell r="A6160" t="str">
            <v>61713390 (SILVYN SI 23x28 SGY)</v>
          </cell>
          <cell r="B6160" t="str">
            <v>61713390(SILVYN SI 23x28 SGY)</v>
          </cell>
          <cell r="C6160" t="str">
            <v>LAPP</v>
          </cell>
          <cell r="D6160" t="str">
            <v>Lapp-Non Moving Stocks</v>
          </cell>
        </row>
        <row r="6161">
          <cell r="A6161" t="str">
            <v>61713420_x000D_
 (SILVYN SI 32x38 SGY_x000D_
)</v>
          </cell>
          <cell r="B6161" t="str">
            <v>61713420_x000D_
(SILVYN SI 32x38 SGY_x000D_
)</v>
          </cell>
          <cell r="C6161" t="str">
            <v>LAPP</v>
          </cell>
          <cell r="D6161" t="str">
            <v>Lapp-Non Moving Stocks</v>
          </cell>
        </row>
        <row r="6162">
          <cell r="A6162" t="str">
            <v>61713240_x000D_
 (SILVYN SI 9x12 SGY_x000D_
)</v>
          </cell>
          <cell r="B6162" t="str">
            <v>61713240_x000D_
(SILVYN SI 9x12 SGY_x000D_
)</v>
          </cell>
          <cell r="C6162" t="str">
            <v>LAPP</v>
          </cell>
          <cell r="D6162" t="str">
            <v>Lapp-Non Moving Stocks</v>
          </cell>
        </row>
        <row r="6163">
          <cell r="A6163" t="str">
            <v>61804603 (SILVYN SSUE 20 / 16,9x20,4)</v>
          </cell>
          <cell r="B6163" t="str">
            <v>61804603(SILVYN SSUE 20 / 16,9x20,4)</v>
          </cell>
          <cell r="C6163" t="str">
            <v>LAPP</v>
          </cell>
          <cell r="D6163" t="str">
            <v>Lapp-Non Moving Stocks</v>
          </cell>
        </row>
        <row r="6164">
          <cell r="A6164" t="str">
            <v>61802240 (SILVYN US-AS 29_x000D_
)</v>
          </cell>
          <cell r="B6164" t="str">
            <v>61802240(SILVYN US-AS 29_x000D_
)</v>
          </cell>
          <cell r="C6164" t="str">
            <v>LAPP</v>
          </cell>
          <cell r="D6164" t="str">
            <v>Lapp-Non Moving Stocks</v>
          </cell>
        </row>
        <row r="6165">
          <cell r="A6165" t="str">
            <v>55502612 (SILVYN US-M 12X1,5 AS)</v>
          </cell>
          <cell r="B6165" t="str">
            <v>55502612(SILVYN US-M 12X1,5 AS)</v>
          </cell>
          <cell r="C6165" t="str">
            <v>LAPP</v>
          </cell>
          <cell r="D6165" t="str">
            <v>Lapp-Non Moving Stocks</v>
          </cell>
        </row>
        <row r="6166">
          <cell r="A6166" t="str">
            <v>55502667 (SILVYN US PG 29 AS)</v>
          </cell>
          <cell r="B6166" t="str">
            <v>55502667(SILVYN US PG 29 AS)</v>
          </cell>
          <cell r="C6166" t="str">
            <v>LAPP</v>
          </cell>
          <cell r="D6166" t="str">
            <v>Lapp-Non Moving Stocks</v>
          </cell>
        </row>
        <row r="6167">
          <cell r="A6167" t="str">
            <v>68100090 (SILVYN® FLEXILOK 21 /28  Grey)</v>
          </cell>
          <cell r="B6167" t="str">
            <v>68100090(SILVYN® FLEXILOK 21 /28 Grey)</v>
          </cell>
          <cell r="C6167" t="str">
            <v>LAPP</v>
          </cell>
          <cell r="D6167" t="str">
            <v>Lapp-Non Moving Stocks</v>
          </cell>
        </row>
        <row r="6168">
          <cell r="A6168" t="str">
            <v>61801062 (SILVYN® KLICK 90° PG 48 GY)</v>
          </cell>
          <cell r="B6168" t="str">
            <v>61801062(SILVYN® KLICK 90° PG 48 GY)</v>
          </cell>
          <cell r="C6168" t="str">
            <v>LAPP</v>
          </cell>
          <cell r="D6168" t="str">
            <v>Lapp-Non Moving Stocks</v>
          </cell>
        </row>
        <row r="6169">
          <cell r="A6169" t="str">
            <v>61746935 (SILVYN® RILL PA 6 10 /  6,5x10 BK_x000D_
)</v>
          </cell>
          <cell r="B6169" t="str">
            <v>61746935(SILVYN® RILL PA 6 10 /  6,5x10 BK_x000D_
)</v>
          </cell>
          <cell r="C6169" t="str">
            <v>LAPP</v>
          </cell>
          <cell r="D6169" t="str">
            <v>Lapp-Non Moving Stocks</v>
          </cell>
        </row>
        <row r="6170">
          <cell r="A6170" t="str">
            <v>61746945 (SILVYN® RILL PA6 13 / 10x13 BK_x000D_
)</v>
          </cell>
          <cell r="B6170" t="str">
            <v>61746945(SILVYN® RILL PA6 13 / 10x13 BK_x000D_
)</v>
          </cell>
          <cell r="C6170" t="str">
            <v>LAPP</v>
          </cell>
          <cell r="D6170" t="str">
            <v>Lapp-Non Moving Stocks</v>
          </cell>
        </row>
        <row r="6171">
          <cell r="A6171" t="str">
            <v>61713300 (SILVYN® SI 13x16 SGY)</v>
          </cell>
          <cell r="B6171" t="str">
            <v>61713300(SILVYN® SI 13x16 SGY)</v>
          </cell>
          <cell r="C6171" t="str">
            <v>LAPP</v>
          </cell>
          <cell r="D6171" t="str">
            <v>Lapp-Non Moving Stocks</v>
          </cell>
        </row>
        <row r="6172">
          <cell r="A6172" t="str">
            <v>61806565 (SILVYN® SINUS PA6 12,2x15,7 BK)</v>
          </cell>
          <cell r="B6172" t="str">
            <v>61806565(SILVYN® SINUS PA6 12,2x15,7 BK)</v>
          </cell>
          <cell r="C6172" t="str">
            <v>LAPP</v>
          </cell>
          <cell r="D6172" t="str">
            <v>Lapp-Non Moving Stocks</v>
          </cell>
        </row>
        <row r="6173">
          <cell r="A6173" t="str">
            <v>4820052U (Olfelx Uniplus 85Deg 2.5Sq.mm WH)</v>
          </cell>
          <cell r="B6173" t="str">
            <v>4820052U(Olfelx Uniplus 85Deg 2.5Sq.mm WH)</v>
          </cell>
          <cell r="C6173" t="str">
            <v>LAPP</v>
          </cell>
          <cell r="D6173" t="str">
            <v>Lapp-Non Moving Stocks</v>
          </cell>
        </row>
        <row r="6174">
          <cell r="A6174" t="str">
            <v>4510021S (H05V-K 1X0,5 BU)</v>
          </cell>
          <cell r="B6174" t="str">
            <v>4510021S(H05V-K 1X0,5 BU)</v>
          </cell>
          <cell r="C6174" t="str">
            <v>LAPP</v>
          </cell>
          <cell r="D6174" t="str">
            <v>Lapp-Non Moving Stocks</v>
          </cell>
        </row>
        <row r="6175">
          <cell r="A6175" t="str">
            <v>4510921 (H05V-K 1X0.5 DBUWH_x000D_
)</v>
          </cell>
          <cell r="B6175" t="str">
            <v>4510921(H05V-K 1X0.5 DBUWH_x000D_
)</v>
          </cell>
          <cell r="C6175" t="str">
            <v>LAPP</v>
          </cell>
          <cell r="D6175" t="str">
            <v>Lapp-Non Moving Stocks</v>
          </cell>
        </row>
        <row r="6176">
          <cell r="A6176" t="str">
            <v>4510051S (H05V-K 1X0,5 WH)</v>
          </cell>
          <cell r="B6176" t="str">
            <v>4510051S(H05V-K 1X0,5 WH)</v>
          </cell>
          <cell r="C6176" t="str">
            <v>LAPP</v>
          </cell>
          <cell r="D6176" t="str">
            <v>Lapp-Non Moving Stocks</v>
          </cell>
        </row>
        <row r="6177">
          <cell r="A6177" t="str">
            <v>4510012 (H05V-K 1X0,75 BK_x000D_
)</v>
          </cell>
          <cell r="B6177" t="str">
            <v>4510012(H05V-K 1X0,75 BK_x000D_
)</v>
          </cell>
          <cell r="C6177" t="str">
            <v>LAPP</v>
          </cell>
          <cell r="D6177" t="str">
            <v>Lapp-Non Moving Stocks</v>
          </cell>
        </row>
        <row r="6178">
          <cell r="A6178" t="str">
            <v>4510923_x000D_
 (H05V-K 1X1 DBUWH_x000D_
)</v>
          </cell>
          <cell r="B6178" t="str">
            <v>4510923_x000D_
(H05V-K 1X1 DBUWH_x000D_
)</v>
          </cell>
          <cell r="C6178" t="str">
            <v>LAPP</v>
          </cell>
          <cell r="D6178" t="str">
            <v>Lapp-Non Moving Stocks</v>
          </cell>
        </row>
        <row r="6179">
          <cell r="A6179" t="str">
            <v>4510003 (H05V-K 1X1 GNYE_x000D_
)</v>
          </cell>
          <cell r="B6179" t="str">
            <v>4510003(H05V-K 1X1 GNYE_x000D_
)</v>
          </cell>
          <cell r="C6179" t="str">
            <v>LAPP</v>
          </cell>
          <cell r="D6179" t="str">
            <v>Lapp-Non Moving Stocks</v>
          </cell>
        </row>
        <row r="6180">
          <cell r="A6180" t="str">
            <v>1232001_x000D_
 (H05Z-K 110°C 1X0,5 BK)</v>
          </cell>
          <cell r="B6180" t="str">
            <v>1232001_x000D_
(H05Z-K 110°C 1X0,5 BK)</v>
          </cell>
          <cell r="C6180" t="str">
            <v>LAPP</v>
          </cell>
          <cell r="D6180" t="str">
            <v>Lapp-Non Moving Stocks</v>
          </cell>
        </row>
        <row r="6181">
          <cell r="A6181" t="str">
            <v>1232104 (H05Z-K 110°C 1X0,5 RD_x000D_
)</v>
          </cell>
          <cell r="B6181" t="str">
            <v>1232104(H05Z-K 110°C 1X0,5 RD_x000D_
)</v>
          </cell>
          <cell r="C6181" t="str">
            <v>LAPP</v>
          </cell>
          <cell r="D6181" t="str">
            <v>Lapp-Non Moving Stocks</v>
          </cell>
        </row>
        <row r="6182">
          <cell r="A6182" t="str">
            <v>4725013 (H05Z-K 90 DEG C 1X1 BK)</v>
          </cell>
          <cell r="B6182" t="str">
            <v>4725013(H05Z-K 90 DEG C 1X1 BK)</v>
          </cell>
          <cell r="C6182" t="str">
            <v>LAPP</v>
          </cell>
          <cell r="D6182" t="str">
            <v>Lapp-Non Moving Stocks</v>
          </cell>
        </row>
        <row r="6183">
          <cell r="A6183" t="str">
            <v>4725093 (H05Z-K 90 DEG C 1X1 OG)</v>
          </cell>
          <cell r="B6183" t="str">
            <v>4725093(H05Z-K 90 DEG C 1X1 OG)</v>
          </cell>
          <cell r="C6183" t="str">
            <v>LAPP</v>
          </cell>
          <cell r="D6183" t="str">
            <v>Lapp-Non Moving Stocks</v>
          </cell>
        </row>
        <row r="6184">
          <cell r="A6184" t="str">
            <v>4725053 (H05Z-K 90DEG C 1X1 WH)</v>
          </cell>
          <cell r="B6184" t="str">
            <v>4725053(H05Z-K 90DEG C 1X1 WH)</v>
          </cell>
          <cell r="C6184" t="str">
            <v>LAPP</v>
          </cell>
          <cell r="D6184" t="str">
            <v>Lapp-Non Moving Stocks</v>
          </cell>
        </row>
        <row r="6185">
          <cell r="A6185" t="str">
            <v>4725061 (H05Z-K 90°C 1X0.5 GY_x000D_
)</v>
          </cell>
          <cell r="B6185" t="str">
            <v>4725061(H05Z-K 90°C 1X0.5 GY_x000D_
)</v>
          </cell>
          <cell r="C6185" t="str">
            <v>LAPP</v>
          </cell>
          <cell r="D6185" t="str">
            <v>Lapp-Non Moving Stocks</v>
          </cell>
        </row>
        <row r="6186">
          <cell r="A6186" t="str">
            <v>4725143_x000D_
 (H05Z-K 90°C 1X1 DBU_x000D_
)</v>
          </cell>
          <cell r="B6186" t="str">
            <v>4725143_x000D_
(H05Z-K 90°C 1X1 DBU_x000D_
)</v>
          </cell>
          <cell r="C6186" t="str">
            <v>LAPP</v>
          </cell>
          <cell r="D6186" t="str">
            <v>Lapp-Non Moving Stocks</v>
          </cell>
        </row>
        <row r="6187">
          <cell r="A6187" t="str">
            <v>4725003 (H05Z-K 90°C 1X1 GNYE_x000D_
)</v>
          </cell>
          <cell r="B6187" t="str">
            <v>4725003(H05Z-K 90°C 1X1 GNYE_x000D_
)</v>
          </cell>
          <cell r="C6187" t="str">
            <v>LAPP</v>
          </cell>
          <cell r="D6187" t="str">
            <v>Lapp-Non Moving Stocks</v>
          </cell>
        </row>
        <row r="6188">
          <cell r="A6188" t="str">
            <v>4725063 (H05Z-K 90°C 1X1 GY_x000D_
)</v>
          </cell>
          <cell r="B6188" t="str">
            <v>4725063(H05Z-K 90°C 1X1 GY_x000D_
)</v>
          </cell>
          <cell r="C6188" t="str">
            <v>LAPP</v>
          </cell>
          <cell r="D6188" t="str">
            <v>Lapp-Non Moving Stocks</v>
          </cell>
        </row>
        <row r="6189">
          <cell r="A6189" t="str">
            <v>4725011 (HO5Z-K 90DEG C 1X0.5 BLACK_x000D_
)</v>
          </cell>
          <cell r="B6189" t="str">
            <v>4725011(HO5Z-K 90DEG C 1X0.5 BLACK_x000D_
)</v>
          </cell>
          <cell r="C6189" t="str">
            <v>LAPP</v>
          </cell>
          <cell r="D6189" t="str">
            <v>Lapp-Non Moving Stocks</v>
          </cell>
        </row>
        <row r="6190">
          <cell r="A6190" t="str">
            <v>4725021 (HO5Z-K 90 DEG C 1X0.5 BLUE)</v>
          </cell>
          <cell r="B6190" t="str">
            <v>4725021(HO5Z-K 90 DEG C 1X0.5 BLUE)</v>
          </cell>
          <cell r="C6190" t="str">
            <v>LAPP</v>
          </cell>
          <cell r="D6190" t="str">
            <v>Lapp-Non Moving Stocks</v>
          </cell>
        </row>
        <row r="6191">
          <cell r="A6191" t="str">
            <v>4725041 (HO5Z-K 90DEG C 1X0.5 RED_x000D_
)</v>
          </cell>
          <cell r="B6191" t="str">
            <v>4725041(HO5Z-K 90DEG C 1X0.5 RED_x000D_
)</v>
          </cell>
          <cell r="C6191" t="str">
            <v>LAPP</v>
          </cell>
          <cell r="D6191" t="str">
            <v>Lapp-Non Moving Stocks</v>
          </cell>
        </row>
        <row r="6192">
          <cell r="A6192" t="str">
            <v>4725043 (HO5Z-K 90 DEG C 1X1 RD)</v>
          </cell>
          <cell r="B6192" t="str">
            <v>4725043(HO5Z-K 90 DEG C 1X1 RD)</v>
          </cell>
          <cell r="C6192" t="str">
            <v>LAPP</v>
          </cell>
          <cell r="D6192" t="str">
            <v>Lapp-Non Moving Stocks</v>
          </cell>
        </row>
        <row r="6193">
          <cell r="A6193" t="str">
            <v>4726044 (H07-K 90DEG C 1X6 RD)</v>
          </cell>
          <cell r="B6193" t="str">
            <v>4726044(H07-K 90DEG C 1X6 RD)</v>
          </cell>
          <cell r="C6193" t="str">
            <v>LAPP</v>
          </cell>
          <cell r="D6193" t="str">
            <v>Lapp-Non Moving Stocks</v>
          </cell>
        </row>
        <row r="6194">
          <cell r="A6194" t="str">
            <v>4520004 (H07V-K 1X6 GNYE_x000D_
)</v>
          </cell>
          <cell r="B6194" t="str">
            <v>4520004(H07V-K 1X6 GNYE_x000D_
)</v>
          </cell>
          <cell r="C6194" t="str">
            <v>LAPP</v>
          </cell>
          <cell r="D6194" t="str">
            <v>Lapp-Non Moving Stocks</v>
          </cell>
        </row>
        <row r="6195">
          <cell r="A6195" t="str">
            <v>1600610 (H07RN8-F 4G2.5_x000D_
)</v>
          </cell>
          <cell r="B6195" t="str">
            <v>1600610(H07RN8-F 4G2.5_x000D_
)</v>
          </cell>
          <cell r="C6195" t="str">
            <v>LAPP</v>
          </cell>
          <cell r="D6195" t="str">
            <v>Lapp-Non Moving Stocks</v>
          </cell>
        </row>
        <row r="6196">
          <cell r="A6196" t="str">
            <v>1600194 (H07RN-F 1X10_x000D_
)</v>
          </cell>
          <cell r="B6196" t="str">
            <v>1600194(H07RN-F 1X10_x000D_
)</v>
          </cell>
          <cell r="C6196" t="str">
            <v>LAPP</v>
          </cell>
          <cell r="D6196" t="str">
            <v>Lapp-Non Moving Stocks</v>
          </cell>
        </row>
        <row r="6197">
          <cell r="A6197" t="str">
            <v>1600195_x000D_
 (H07RN-F 1X16_x000D_
)</v>
          </cell>
          <cell r="B6197" t="str">
            <v>1600195_x000D_
(H07RN-F 1X16_x000D_
)</v>
          </cell>
          <cell r="C6197" t="str">
            <v>LAPP</v>
          </cell>
          <cell r="D6197" t="str">
            <v>Lapp-Non Moving Stocks</v>
          </cell>
        </row>
        <row r="6198">
          <cell r="A6198" t="str">
            <v>1600196 (H07RN-F 1X25_x000D_
)</v>
          </cell>
          <cell r="B6198" t="str">
            <v>1600196(H07RN-F 1X25_x000D_
)</v>
          </cell>
          <cell r="C6198" t="str">
            <v>LAPP</v>
          </cell>
          <cell r="D6198" t="str">
            <v>Lapp-Non Moving Stocks</v>
          </cell>
        </row>
        <row r="6199">
          <cell r="A6199" t="str">
            <v>1600193 (H07RN-F 1X35_x000D_
)</v>
          </cell>
          <cell r="B6199" t="str">
            <v>1600193(H07RN-F 1X35_x000D_
)</v>
          </cell>
          <cell r="C6199" t="str">
            <v>LAPP</v>
          </cell>
          <cell r="D6199" t="str">
            <v>Lapp-Non Moving Stocks</v>
          </cell>
        </row>
        <row r="6200">
          <cell r="A6200" t="str">
            <v>1600097 (H07RN-F 1X4)</v>
          </cell>
          <cell r="B6200" t="str">
            <v>1600097(H07RN-F 1X4)</v>
          </cell>
          <cell r="C6200" t="str">
            <v>LAPP</v>
          </cell>
          <cell r="D6200" t="str">
            <v>Lapp-Non Moving Stocks</v>
          </cell>
        </row>
        <row r="6201">
          <cell r="A6201" t="str">
            <v>1600197 (H07RN-F 1X50_x000D_
)</v>
          </cell>
          <cell r="B6201" t="str">
            <v>1600197(H07RN-F 1X50_x000D_
)</v>
          </cell>
          <cell r="C6201" t="str">
            <v>LAPP</v>
          </cell>
          <cell r="D6201" t="str">
            <v>Lapp-Non Moving Stocks</v>
          </cell>
        </row>
        <row r="6202">
          <cell r="A6202" t="str">
            <v>1600190 (H07RN-F 1X95_x000D_
)</v>
          </cell>
          <cell r="B6202" t="str">
            <v>1600190(H07RN-F 1X95_x000D_
)</v>
          </cell>
          <cell r="C6202" t="str">
            <v>LAPP</v>
          </cell>
          <cell r="D6202" t="str">
            <v>Lapp-Non Moving Stocks</v>
          </cell>
        </row>
        <row r="6203">
          <cell r="A6203" t="str">
            <v>1600187 (H07RN-F 2X2,5_x000D_
)</v>
          </cell>
          <cell r="B6203" t="str">
            <v>1600187(H07RN-F 2X2,5_x000D_
)</v>
          </cell>
          <cell r="C6203" t="str">
            <v>LAPP</v>
          </cell>
          <cell r="D6203" t="str">
            <v>Lapp-Non Moving Stocks</v>
          </cell>
        </row>
        <row r="6204">
          <cell r="A6204" t="str">
            <v>1600103 (H07RN-F 3G1,5_x000D_
)</v>
          </cell>
          <cell r="B6204" t="str">
            <v>1600103(H07RN-F 3G1,5_x000D_
)</v>
          </cell>
          <cell r="C6204" t="str">
            <v>LAPP</v>
          </cell>
          <cell r="D6204" t="str">
            <v>Lapp-Non Moving Stocks</v>
          </cell>
        </row>
        <row r="6205">
          <cell r="A6205" t="str">
            <v>1600122 (H07RN-F 3G16_x000D_
)</v>
          </cell>
          <cell r="B6205" t="str">
            <v>1600122(H07RN-F 3G16_x000D_
)</v>
          </cell>
          <cell r="C6205" t="str">
            <v>LAPP</v>
          </cell>
          <cell r="D6205" t="str">
            <v>Lapp-Non Moving Stocks</v>
          </cell>
        </row>
        <row r="6206">
          <cell r="A6206" t="str">
            <v>1600118 (H07RN-F 3G2,5)</v>
          </cell>
          <cell r="B6206" t="str">
            <v>1600118(H07RN-F 3G2,5)</v>
          </cell>
          <cell r="C6206" t="str">
            <v>LAPP</v>
          </cell>
          <cell r="D6206" t="str">
            <v>Lapp-Non Moving Stocks</v>
          </cell>
        </row>
        <row r="6207">
          <cell r="A6207" t="str">
            <v>1600124 (H07RN-F 3G35_x000D_
)</v>
          </cell>
          <cell r="B6207" t="str">
            <v>1600124(H07RN-F 3G35_x000D_
)</v>
          </cell>
          <cell r="C6207" t="str">
            <v>LAPP</v>
          </cell>
          <cell r="D6207" t="str">
            <v>Lapp-Non Moving Stocks</v>
          </cell>
        </row>
        <row r="6208">
          <cell r="A6208" t="str">
            <v>16001233 (H07RN-F 4G1,5 NCC"_x000D_
)</v>
          </cell>
          <cell r="B6208" t="str">
            <v>16001233(H07RN-F 4G1,5 NCC"_x000D_
)</v>
          </cell>
          <cell r="C6208" t="str">
            <v>LAPP</v>
          </cell>
          <cell r="D6208" t="str">
            <v>Lapp-Non Moving Stocks</v>
          </cell>
        </row>
        <row r="6209">
          <cell r="A6209" t="str">
            <v>16001103 (H07RN-F 4G16 NCC_x000D_
)</v>
          </cell>
          <cell r="B6209" t="str">
            <v>16001103(H07RN-F 4G16 NCC_x000D_
)</v>
          </cell>
          <cell r="C6209" t="str">
            <v>LAPP</v>
          </cell>
          <cell r="D6209" t="str">
            <v>Lapp-Non Moving Stocks</v>
          </cell>
        </row>
        <row r="6210">
          <cell r="A6210" t="str">
            <v>16001163 (H07RN-F 4G70 NCC_x000D_
)</v>
          </cell>
          <cell r="B6210" t="str">
            <v>16001163(H07RN-F 4G70 NCC_x000D_
)</v>
          </cell>
          <cell r="C6210" t="str">
            <v>LAPP</v>
          </cell>
          <cell r="D6210" t="str">
            <v>Lapp-Non Moving Stocks</v>
          </cell>
        </row>
        <row r="6211">
          <cell r="A6211" t="str">
            <v>16001293 (H07RN-F 5G2,5 NCC_x000D_
)</v>
          </cell>
          <cell r="B6211" t="str">
            <v>16001293(H07RN-F 5G2,5 NCC_x000D_
)</v>
          </cell>
          <cell r="C6211" t="str">
            <v>LAPP</v>
          </cell>
          <cell r="D6211" t="str">
            <v>Lapp-Non Moving Stocks</v>
          </cell>
        </row>
        <row r="6212">
          <cell r="A6212" t="str">
            <v>4533007 (H07RN-F, ENHANCED VERSION 1X35_x000D_
)</v>
          </cell>
          <cell r="B6212" t="str">
            <v>4533007(H07RN-F, ENHANCED VERSION 1X35_x000D_
)</v>
          </cell>
          <cell r="C6212" t="str">
            <v>LAPP</v>
          </cell>
          <cell r="D6212" t="str">
            <v>Lapp-Non Moving Stocks</v>
          </cell>
        </row>
        <row r="6213">
          <cell r="A6213" t="str">
            <v>4533037 (H07RN-F, ENHANCED VERSION 3G10_x000D_
)</v>
          </cell>
          <cell r="B6213" t="str">
            <v>4533037(H07RN-F, ENHANCED VERSION 3G10_x000D_
)</v>
          </cell>
          <cell r="C6213" t="str">
            <v>LAPP</v>
          </cell>
          <cell r="D6213" t="str">
            <v>Lapp-Non Moving Stocks</v>
          </cell>
        </row>
        <row r="6214">
          <cell r="A6214" t="str">
            <v>4533029_x000D_
 (H07RN-F, ENHANCED VERSION 3G1,5_x000D_
)</v>
          </cell>
          <cell r="B6214" t="str">
            <v>4533029_x000D_
(H07RN-F, ENHANCED VERSION 3G1,5_x000D_
)</v>
          </cell>
          <cell r="C6214" t="str">
            <v>LAPP</v>
          </cell>
          <cell r="D6214" t="str">
            <v>Lapp-Non Moving Stocks</v>
          </cell>
        </row>
        <row r="6215">
          <cell r="A6215" t="str">
            <v>4533041 (H07RN-F, ENHANCED VERSION 3G25)</v>
          </cell>
          <cell r="B6215" t="str">
            <v>4533041(H07RN-F, ENHANCED VERSION 3G25)</v>
          </cell>
          <cell r="C6215" t="str">
            <v>LAPP</v>
          </cell>
          <cell r="D6215" t="str">
            <v>Lapp-Non Moving Stocks</v>
          </cell>
        </row>
        <row r="6216">
          <cell r="A6216" t="str">
            <v>4533063_x000D_
 (H07RN-F, ENHANCED VERSION 4G1,5_x000D_
)</v>
          </cell>
          <cell r="B6216" t="str">
            <v>4533063_x000D_
(H07RN-F, ENHANCED VERSION 4G1,5_x000D_
)</v>
          </cell>
          <cell r="C6216" t="str">
            <v>LAPP</v>
          </cell>
          <cell r="D6216" t="str">
            <v>Lapp-Non Moving Stocks</v>
          </cell>
        </row>
        <row r="6217">
          <cell r="A6217" t="str">
            <v>16000883 (HO7RN--F 4G150SQ.MM_x000D_
)</v>
          </cell>
          <cell r="B6217" t="str">
            <v>16000883(HO7RN--F 4G150SQ.MM_x000D_
)</v>
          </cell>
          <cell r="C6217" t="str">
            <v>LAPP</v>
          </cell>
          <cell r="D6217" t="str">
            <v>Lapp-Non Moving Stocks</v>
          </cell>
        </row>
        <row r="6218">
          <cell r="A6218" t="str">
            <v>16001303 (Olflex H07RN-F 5G4)</v>
          </cell>
          <cell r="B6218" t="str">
            <v>16001303(Olflex H07RN-F 5G4)</v>
          </cell>
          <cell r="C6218" t="str">
            <v>LAPP</v>
          </cell>
          <cell r="D6218" t="str">
            <v>Lapp-Non Moving Stocks</v>
          </cell>
        </row>
        <row r="6219">
          <cell r="A6219" t="str">
            <v>4520001S (H07V-K 1X1,5 GNYE)</v>
          </cell>
          <cell r="B6219" t="str">
            <v>4520001S(H07V-K 1X1,5 GNYE)</v>
          </cell>
          <cell r="C6219" t="str">
            <v>LAPP</v>
          </cell>
          <cell r="D6219" t="str">
            <v>Lapp-Non Moving Stocks</v>
          </cell>
        </row>
        <row r="6220">
          <cell r="A6220" t="str">
            <v>4520012 (H07V-K 1X2,5 BK_x000D_
)</v>
          </cell>
          <cell r="B6220" t="str">
            <v>4520012(H07V-K 1X2,5 BK_x000D_
)</v>
          </cell>
          <cell r="C6220" t="str">
            <v>LAPP</v>
          </cell>
          <cell r="D6220" t="str">
            <v>Lapp-Non Moving Stocks</v>
          </cell>
        </row>
        <row r="6221">
          <cell r="A6221" t="str">
            <v>4521051 (H07V-K 1X25 WH_x000D_
)</v>
          </cell>
          <cell r="B6221" t="str">
            <v>4521051(H07V-K 1X25 WH_x000D_
)</v>
          </cell>
          <cell r="C6221" t="str">
            <v>LAPP</v>
          </cell>
          <cell r="D6221" t="str">
            <v>Lapp-Non Moving Stocks</v>
          </cell>
        </row>
        <row r="6222">
          <cell r="A6222" t="str">
            <v>4726091 (H07Z-K 90DEG C 1X1.5 OG)</v>
          </cell>
          <cell r="B6222" t="str">
            <v>4726091(H07Z-K 90DEG C 1X1.5 OG)</v>
          </cell>
          <cell r="C6222" t="str">
            <v>LAPP</v>
          </cell>
          <cell r="D6222" t="str">
            <v>Lapp-Non Moving Stocks</v>
          </cell>
        </row>
        <row r="6223">
          <cell r="A6223" t="str">
            <v>4726042 (H07Z-K 90DEG C 1X2.5 RD)</v>
          </cell>
          <cell r="B6223" t="str">
            <v>4726042(H07Z-K 90DEG C 1X2.5 RD)</v>
          </cell>
          <cell r="C6223" t="str">
            <v>LAPP</v>
          </cell>
          <cell r="D6223" t="str">
            <v>Lapp-Non Moving Stocks</v>
          </cell>
        </row>
        <row r="6224">
          <cell r="A6224" t="str">
            <v>4726014 (H07Z-K 90DEG C 1X6 BK)</v>
          </cell>
          <cell r="B6224" t="str">
            <v>4726014(H07Z-K 90DEG C 1X6 BK)</v>
          </cell>
          <cell r="C6224" t="str">
            <v>LAPP</v>
          </cell>
          <cell r="D6224" t="str">
            <v>Lapp-Non Moving Stocks</v>
          </cell>
        </row>
        <row r="6225">
          <cell r="A6225" t="str">
            <v>4726095 (H07Z-K 90°C 1X10 OG_x000D_
)</v>
          </cell>
          <cell r="B6225" t="str">
            <v>4726095(H07Z-K 90°C 1X10 OG_x000D_
)</v>
          </cell>
          <cell r="C6225" t="str">
            <v>LAPP</v>
          </cell>
          <cell r="D6225" t="str">
            <v>Lapp-Non Moving Stocks</v>
          </cell>
        </row>
        <row r="6226">
          <cell r="A6226" t="str">
            <v>4726011 (H07Z-K 90°C 1X1,5 BK)</v>
          </cell>
          <cell r="B6226" t="str">
            <v>4726011(H07Z-K 90°C 1X1,5 BK)</v>
          </cell>
          <cell r="C6226" t="str">
            <v>LAPP</v>
          </cell>
          <cell r="D6226" t="str">
            <v>Lapp-Non Moving Stocks</v>
          </cell>
        </row>
        <row r="6227">
          <cell r="A6227" t="str">
            <v>4726021 (H07Z-K 90°C 1X1,5 BU_x000D_
)</v>
          </cell>
          <cell r="B6227" t="str">
            <v>4726021(H07Z-K 90°C 1X1,5 BU_x000D_
)</v>
          </cell>
          <cell r="C6227" t="str">
            <v>LAPP</v>
          </cell>
          <cell r="D6227" t="str">
            <v>Lapp-Non Moving Stocks</v>
          </cell>
        </row>
        <row r="6228">
          <cell r="A6228" t="str">
            <v>4726141 (H07Z-K 90°C 1X1,5 DBU_x000D_
)</v>
          </cell>
          <cell r="B6228" t="str">
            <v>4726141(H07Z-K 90°C 1X1,5 DBU_x000D_
)</v>
          </cell>
          <cell r="C6228" t="str">
            <v>LAPP</v>
          </cell>
          <cell r="D6228" t="str">
            <v>Lapp-Non Moving Stocks</v>
          </cell>
        </row>
        <row r="6229">
          <cell r="A6229" t="str">
            <v>4726001 (H07Z-K 90°C 1X1,5 GNYE)</v>
          </cell>
          <cell r="B6229" t="str">
            <v>4726001(H07Z-K 90°C 1X1,5 GNYE)</v>
          </cell>
          <cell r="C6229" t="str">
            <v>LAPP</v>
          </cell>
          <cell r="D6229" t="str">
            <v>Lapp-Non Moving Stocks</v>
          </cell>
        </row>
        <row r="6230">
          <cell r="A6230" t="str">
            <v>4726041 (H07Z-K 90°C 1X1,5 RD)</v>
          </cell>
          <cell r="B6230" t="str">
            <v>4726041(H07Z-K 90°C 1X1,5 RD)</v>
          </cell>
          <cell r="C6230" t="str">
            <v>LAPP</v>
          </cell>
          <cell r="D6230" t="str">
            <v>Lapp-Non Moving Stocks</v>
          </cell>
        </row>
        <row r="6231">
          <cell r="A6231" t="str">
            <v>4726051 (H07Z-K 90°C 1X1,5 WH_x000D_
)</v>
          </cell>
          <cell r="B6231" t="str">
            <v>4726051(H07Z-K 90°C 1X1,5 WH_x000D_
)</v>
          </cell>
          <cell r="C6231" t="str">
            <v>LAPP</v>
          </cell>
          <cell r="D6231" t="str">
            <v>Lapp-Non Moving Stocks</v>
          </cell>
        </row>
        <row r="6232">
          <cell r="A6232" t="str">
            <v>4726006 (H07Z-K 90°C 1X16 GNYE_x000D_
)</v>
          </cell>
          <cell r="B6232" t="str">
            <v>4726006(H07Z-K 90°C 1X16 GNYE_x000D_
)</v>
          </cell>
          <cell r="C6232" t="str">
            <v>LAPP</v>
          </cell>
          <cell r="D6232" t="str">
            <v>Lapp-Non Moving Stocks</v>
          </cell>
        </row>
        <row r="6233">
          <cell r="A6233" t="str">
            <v>4726012 (H07Z-K 90°C 1X2,5 BK)</v>
          </cell>
          <cell r="B6233" t="str">
            <v>4726012(H07Z-K 90°C 1X2,5 BK)</v>
          </cell>
          <cell r="C6233" t="str">
            <v>LAPP</v>
          </cell>
          <cell r="D6233" t="str">
            <v>Lapp-Non Moving Stocks</v>
          </cell>
        </row>
        <row r="6234">
          <cell r="A6234" t="str">
            <v>4726022 (H07Z-K 90°C 1X2,5 BU)</v>
          </cell>
          <cell r="B6234" t="str">
            <v>4726022(H07Z-K 90°C 1X2,5 BU)</v>
          </cell>
          <cell r="C6234" t="str">
            <v>LAPP</v>
          </cell>
          <cell r="D6234" t="str">
            <v>Lapp-Non Moving Stocks</v>
          </cell>
        </row>
        <row r="6235">
          <cell r="A6235" t="str">
            <v>4726002 (H07Z-K 90°C 1X2,5 GNYE)</v>
          </cell>
          <cell r="B6235" t="str">
            <v>4726002(H07Z-K 90°C 1X2,5 GNYE)</v>
          </cell>
          <cell r="C6235" t="str">
            <v>LAPP</v>
          </cell>
          <cell r="D6235" t="str">
            <v>Lapp-Non Moving Stocks</v>
          </cell>
        </row>
        <row r="6236">
          <cell r="A6236" t="str">
            <v>4726013 (H07Z-K 90°C 1X4 BK)</v>
          </cell>
          <cell r="B6236" t="str">
            <v>4726013(H07Z-K 90°C 1X4 BK)</v>
          </cell>
          <cell r="C6236" t="str">
            <v>LAPP</v>
          </cell>
          <cell r="D6236" t="str">
            <v>Lapp-Non Moving Stocks</v>
          </cell>
        </row>
        <row r="6237">
          <cell r="A6237" t="str">
            <v>4726023 (H07Z-K 90°C 1X4 BU)</v>
          </cell>
          <cell r="B6237" t="str">
            <v>4726023(H07Z-K 90°C 1X4 BU)</v>
          </cell>
          <cell r="C6237" t="str">
            <v>LAPP</v>
          </cell>
          <cell r="D6237" t="str">
            <v>Lapp-Non Moving Stocks</v>
          </cell>
        </row>
        <row r="6238">
          <cell r="A6238" t="str">
            <v>4726004 (H07Z-K 90°C 1X6 GNYE_x000D_
)</v>
          </cell>
          <cell r="B6238" t="str">
            <v>4726004(H07Z-K 90°C 1X6 GNYE_x000D_
)</v>
          </cell>
          <cell r="C6238" t="str">
            <v>LAPP</v>
          </cell>
          <cell r="D6238" t="str">
            <v>Lapp-Non Moving Stocks</v>
          </cell>
        </row>
        <row r="6239">
          <cell r="A6239" t="str">
            <v>4727002_x000D_
 (H07Z-K 90°C 1x95 GNYE_x000D_
)</v>
          </cell>
          <cell r="B6239" t="str">
            <v>4727002_x000D_
(H07Z-K 90°C 1x95 GNYE_x000D_
)</v>
          </cell>
          <cell r="C6239" t="str">
            <v>LAPP</v>
          </cell>
          <cell r="D6239" t="str">
            <v>Lapp-Non Moving Stocks</v>
          </cell>
        </row>
        <row r="6240">
          <cell r="A6240" t="str">
            <v>4810051U (Lapp Uniplus HR 85 DEG 1x0.5 eh)</v>
          </cell>
          <cell r="B6240" t="str">
            <v>4810051U(Lapp Uniplus HR 85 DEG 1x0.5 eh)</v>
          </cell>
          <cell r="C6240" t="str">
            <v>LAPP</v>
          </cell>
          <cell r="D6240" t="str">
            <v>Lapp-Non Moving Stocks</v>
          </cell>
        </row>
        <row r="6241">
          <cell r="A6241" t="str">
            <v>4820022U (Lapp Uniplus HR 85 DEG 1x2.5 BU)</v>
          </cell>
          <cell r="B6241" t="str">
            <v>4820022U(Lapp Uniplus HR 85 DEG 1x2.5 BU)</v>
          </cell>
          <cell r="C6241" t="str">
            <v>LAPP</v>
          </cell>
          <cell r="D6241" t="str">
            <v>Lapp-Non Moving Stocks</v>
          </cell>
        </row>
        <row r="6242">
          <cell r="A6242" t="str">
            <v>4820053U (Lapp Uniplus HR 85 DEG 1x4 WH)</v>
          </cell>
          <cell r="B6242" t="str">
            <v>4820053U(Lapp Uniplus HR 85 DEG 1x4 WH)</v>
          </cell>
          <cell r="C6242" t="str">
            <v>LAPP</v>
          </cell>
          <cell r="D6242" t="str">
            <v>Lapp-Non Moving Stocks</v>
          </cell>
        </row>
        <row r="6243">
          <cell r="A6243" t="str">
            <v>4820003U (Lapp Uniplus HR 85 DEG 1x4 Y/G)</v>
          </cell>
          <cell r="B6243" t="str">
            <v>4820003U(Lapp Uniplus HR 85 DEG 1x4 Y/G)</v>
          </cell>
          <cell r="C6243" t="str">
            <v>LAPP</v>
          </cell>
          <cell r="D6243" t="str">
            <v>Lapp-Non Moving Stocks</v>
          </cell>
        </row>
        <row r="6244">
          <cell r="A6244" t="str">
            <v>4820051U (ÖLFLEX® UNIPLUS HR 85 DEG 1X1.5 WH_x000D_
)</v>
          </cell>
          <cell r="B6244" t="str">
            <v>4820051U(ÖLFLEX® UNIPLUS HR 85 DEG 1X1.5 WH_x000D_
)</v>
          </cell>
          <cell r="C6244" t="str">
            <v>LAPP</v>
          </cell>
          <cell r="D6244" t="str">
            <v>Lapp-Non Moving Stocks</v>
          </cell>
        </row>
        <row r="6245">
          <cell r="A6245" t="str">
            <v>4810013U (ÖLFLEX® UNIPLUS HR 85 DEG 1X1 BK_x000D_
)</v>
          </cell>
          <cell r="B6245" t="str">
            <v>4810013U(ÖLFLEX® UNIPLUS HR 85 DEG 1X1 BK_x000D_
)</v>
          </cell>
          <cell r="C6245" t="str">
            <v>LAPP</v>
          </cell>
          <cell r="D6245" t="str">
            <v>Lapp-Non Moving Stocks</v>
          </cell>
        </row>
        <row r="6246">
          <cell r="A6246" t="str">
            <v>4820122U (ÖLFLEX® UNIPLUS HR 85 DEG 1X2.5 GN_x000D_
)</v>
          </cell>
          <cell r="B6246" t="str">
            <v>4820122U(ÖLFLEX® UNIPLUS HR 85 DEG 1X2.5 GN_x000D_
)</v>
          </cell>
          <cell r="C6246" t="str">
            <v>LAPP</v>
          </cell>
          <cell r="D6246" t="str">
            <v>Lapp-Non Moving Stocks</v>
          </cell>
        </row>
        <row r="6247">
          <cell r="A6247" t="str">
            <v>4820042U (ÖLFLEX® UNIPLUS HR 85 DEG 1X2.5 RD_x000D_
)</v>
          </cell>
          <cell r="B6247" t="str">
            <v>4820042U(ÖLFLEX® UNIPLUS HR 85 DEG 1X2.5 RD_x000D_
)</v>
          </cell>
          <cell r="C6247" t="str">
            <v>LAPP</v>
          </cell>
          <cell r="D6247" t="str">
            <v>Lapp-Non Moving Stocks</v>
          </cell>
        </row>
        <row r="6248">
          <cell r="A6248" t="str">
            <v>4820043U (ÖLFLEX® UNIPLUS HR 85 DEG 1X4 RD_x000D_
)</v>
          </cell>
          <cell r="B6248" t="str">
            <v>4820043U(ÖLFLEX® UNIPLUS HR 85 DEG 1X4 RD_x000D_
)</v>
          </cell>
          <cell r="C6248" t="str">
            <v>LAPP</v>
          </cell>
          <cell r="D6248" t="str">
            <v>Lapp-Non Moving Stocks</v>
          </cell>
        </row>
        <row r="6249">
          <cell r="A6249" t="str">
            <v>4820014U (ÖLFLEX® UNIPLUS HR 85 DEG 1X6 BK_x000D_
)</v>
          </cell>
          <cell r="B6249" t="str">
            <v>4820014U(ÖLFLEX® UNIPLUS HR 85 DEG 1X6 BK_x000D_
)</v>
          </cell>
          <cell r="C6249" t="str">
            <v>LAPP</v>
          </cell>
          <cell r="D6249" t="str">
            <v>Lapp-Non Moving Stocks</v>
          </cell>
        </row>
        <row r="6250">
          <cell r="A6250" t="str">
            <v>4820044U (ÖLFLEX® UNIPLUS HR 85 DEG 1X6 RD_x000D_
)</v>
          </cell>
          <cell r="B6250" t="str">
            <v>4820044U(ÖLFLEX® UNIPLUS HR 85 DEG 1X6 RD_x000D_
)</v>
          </cell>
          <cell r="C6250" t="str">
            <v>LAPP</v>
          </cell>
          <cell r="D6250" t="str">
            <v>Lapp-Non Moving Stocks</v>
          </cell>
        </row>
        <row r="6251">
          <cell r="A6251" t="str">
            <v>4180503 (Multi-Standard SC 1 1X0,75 BN)</v>
          </cell>
          <cell r="B6251" t="str">
            <v>4180503(Multi-Standard SC 1 1X0,75 BN)</v>
          </cell>
          <cell r="C6251" t="str">
            <v>LAPP</v>
          </cell>
          <cell r="D6251" t="str">
            <v>Lapp-Non Moving Stocks</v>
          </cell>
        </row>
        <row r="6252">
          <cell r="A6252" t="str">
            <v>4180502 (Multi-Standard SC 1 1X0,75 BU)</v>
          </cell>
          <cell r="B6252" t="str">
            <v>4180502(Multi-Standard SC 1 1X0,75 BU)</v>
          </cell>
          <cell r="C6252" t="str">
            <v>LAPP</v>
          </cell>
          <cell r="D6252" t="str">
            <v>Lapp-Non Moving Stocks</v>
          </cell>
        </row>
        <row r="6253">
          <cell r="A6253" t="str">
            <v>4160100 (Multi-Standard SC 2.1 1X0,5 GNYE)</v>
          </cell>
          <cell r="B6253" t="str">
            <v>4160100(Multi-Standard SC 2.1 1X0,5 GNYE)</v>
          </cell>
          <cell r="C6253" t="str">
            <v>LAPP</v>
          </cell>
          <cell r="D6253" t="str">
            <v>Lapp-Non Moving Stocks</v>
          </cell>
        </row>
        <row r="6254">
          <cell r="A6254" t="str">
            <v>4160110 (Multi-Standard SC 2.1 1X0,5 YE)</v>
          </cell>
          <cell r="B6254" t="str">
            <v>4160110(Multi-Standard SC 2.1 1X0,5 YE)</v>
          </cell>
          <cell r="C6254" t="str">
            <v>LAPP</v>
          </cell>
          <cell r="D6254" t="str">
            <v>Lapp-Non Moving Stocks</v>
          </cell>
        </row>
        <row r="6255">
          <cell r="A6255" t="str">
            <v>4160201 (Multi-Standard SC 2.1 1X0,75 BK)</v>
          </cell>
          <cell r="B6255" t="str">
            <v>4160201(Multi-Standard SC 2.1 1X0,75 BK)</v>
          </cell>
          <cell r="C6255" t="str">
            <v>LAPP</v>
          </cell>
          <cell r="D6255" t="str">
            <v>Lapp-Non Moving Stocks</v>
          </cell>
        </row>
        <row r="6256">
          <cell r="A6256" t="str">
            <v>4160804 (Multi-Standard SC 2.1 1X10 RD)</v>
          </cell>
          <cell r="B6256" t="str">
            <v>4160804(Multi-Standard SC 2.1 1X10 RD)</v>
          </cell>
          <cell r="C6256" t="str">
            <v>LAPP</v>
          </cell>
          <cell r="D6256" t="str">
            <v>Lapp-Non Moving Stocks</v>
          </cell>
        </row>
        <row r="6257">
          <cell r="A6257" t="str">
            <v>4161000 (Multi-Standard SC 2.1 1X25 GNYE)</v>
          </cell>
          <cell r="B6257" t="str">
            <v>4161000(Multi-Standard SC 2.1 1X25 GNYE)</v>
          </cell>
          <cell r="C6257" t="str">
            <v>LAPP</v>
          </cell>
          <cell r="D6257" t="str">
            <v>Lapp-Non Moving Stocks</v>
          </cell>
        </row>
        <row r="6258">
          <cell r="A6258" t="str">
            <v>4161005 (Multi-Standard SC 2.1 1X25 WH)</v>
          </cell>
          <cell r="B6258" t="str">
            <v>4161005(Multi-Standard SC 2.1 1X25 WH)</v>
          </cell>
          <cell r="C6258" t="str">
            <v>LAPP</v>
          </cell>
          <cell r="D6258" t="str">
            <v>Lapp-Non Moving Stocks</v>
          </cell>
        </row>
        <row r="6259">
          <cell r="A6259" t="str">
            <v>8201011401 (ÖLFLEX® UNIPLUS TRI 1 X 0.75_x000D_
DBU)</v>
          </cell>
          <cell r="B6259" t="str">
            <v>8201011401(ÖLFLEX® UNIPLUS TRI 1 X 0.75_x000D_
DBU)</v>
          </cell>
          <cell r="C6259" t="str">
            <v>LAPP</v>
          </cell>
          <cell r="D6259" t="str">
            <v>Lapp-Non Moving Stocks</v>
          </cell>
        </row>
        <row r="6260">
          <cell r="A6260" t="str">
            <v>8201010901 (ÖLFLEX® UNIPLUS TRI 1 X 0.75 OG)</v>
          </cell>
          <cell r="B6260" t="str">
            <v>8201010901(ÖLFLEX® UNIPLUS TRI 1 X 0.75 OG)</v>
          </cell>
          <cell r="C6260" t="str">
            <v>LAPP</v>
          </cell>
          <cell r="D6260" t="str">
            <v>Lapp-Non Moving Stocks</v>
          </cell>
        </row>
        <row r="6261">
          <cell r="A6261" t="str">
            <v>8201010003 (ÖLFLEX® UNIPLUS TRI 1 X 1.5_x000D_
YE/GN)</v>
          </cell>
          <cell r="B6261" t="str">
            <v>8201010003(ÖLFLEX® UNIPLUS TRI 1 X 1.5_x000D_
YE/GN)</v>
          </cell>
          <cell r="C6261" t="str">
            <v>LAPP</v>
          </cell>
          <cell r="D6261" t="str">
            <v>Lapp-Non Moving Stocks</v>
          </cell>
        </row>
        <row r="6262">
          <cell r="A6262" t="str">
            <v>8201010103 (ÖLFLEX® UNIPLUS TRI 1 X 1.5 BK)</v>
          </cell>
          <cell r="B6262" t="str">
            <v>8201010103(ÖLFLEX® UNIPLUS TRI 1 X 1.5 BK)</v>
          </cell>
          <cell r="C6262" t="str">
            <v>LAPP</v>
          </cell>
          <cell r="D6262" t="str">
            <v>Lapp-Non Moving Stocks</v>
          </cell>
        </row>
        <row r="6263">
          <cell r="A6263" t="str">
            <v>8201010203 (ÖLFLEX® UNIPLUS TRI 1 X 1.5 BU)</v>
          </cell>
          <cell r="B6263" t="str">
            <v>8201010203(ÖLFLEX® UNIPLUS TRI 1 X 1.5 BU)</v>
          </cell>
          <cell r="C6263" t="str">
            <v>LAPP</v>
          </cell>
          <cell r="D6263" t="str">
            <v>Lapp-Non Moving Stocks</v>
          </cell>
        </row>
        <row r="6264">
          <cell r="A6264" t="str">
            <v>8201010903 (ÖLFLEX® UNIPLUS TRI 1 X 1.5 OG)</v>
          </cell>
          <cell r="B6264" t="str">
            <v>8201010903(ÖLFLEX® UNIPLUS TRI 1 X 1.5 OG)</v>
          </cell>
          <cell r="C6264" t="str">
            <v>LAPP</v>
          </cell>
          <cell r="D6264" t="str">
            <v>Lapp-Non Moving Stocks</v>
          </cell>
        </row>
        <row r="6265">
          <cell r="A6265" t="str">
            <v>8201010403 (ÖLFLEX® UNIPLUS TRI 1 X 1.5 RD)</v>
          </cell>
          <cell r="B6265" t="str">
            <v>8201010403(ÖLFLEX® UNIPLUS TRI 1 X 1.5 RD)</v>
          </cell>
          <cell r="C6265" t="str">
            <v>LAPP</v>
          </cell>
          <cell r="D6265" t="str">
            <v>Lapp-Non Moving Stocks</v>
          </cell>
        </row>
        <row r="6266">
          <cell r="A6266" t="str">
            <v>8201010503 (ÖLFLEX® UNIPLUS TRI 1 X 1.5 WH)</v>
          </cell>
          <cell r="B6266" t="str">
            <v>8201010503(ÖLFLEX® UNIPLUS TRI 1 X 1.5 WH)</v>
          </cell>
          <cell r="C6266" t="str">
            <v>LAPP</v>
          </cell>
          <cell r="D6266" t="str">
            <v>Lapp-Non Moving Stocks</v>
          </cell>
        </row>
        <row r="6267">
          <cell r="A6267" t="str">
            <v>8201010004 (ÖLFLEX® UNIPLUS TRI 1 X 2.5_x000D_
YE/GN)</v>
          </cell>
          <cell r="B6267" t="str">
            <v>8201010004(ÖLFLEX® UNIPLUS TRI 1 X 2.5_x000D_
YE/GN)</v>
          </cell>
          <cell r="C6267" t="str">
            <v>LAPP</v>
          </cell>
          <cell r="D6267" t="str">
            <v>Lapp-Non Moving Stocks</v>
          </cell>
        </row>
        <row r="6268">
          <cell r="A6268" t="str">
            <v>8201010104 (ÖLFLEX® UNIPLUS TRI 1 X 2.5 BK)</v>
          </cell>
          <cell r="B6268" t="str">
            <v>8201010104(ÖLFLEX® UNIPLUS TRI 1 X 2.5 BK)</v>
          </cell>
          <cell r="C6268" t="str">
            <v>LAPP</v>
          </cell>
          <cell r="D6268" t="str">
            <v>Lapp-Non Moving Stocks</v>
          </cell>
        </row>
        <row r="6269">
          <cell r="A6269" t="str">
            <v>8201010005 (ÖLFLEX® UNIPLUS TRI 1 X 4_x000D_
YE/GN_x000D_)</v>
          </cell>
          <cell r="B6269" t="str">
            <v>8201010005(ÖLFLEX® UNIPLUS TRI 1 X 4_x000D_
YE/GN_x000D_)</v>
          </cell>
          <cell r="C6269" t="str">
            <v>LAPP</v>
          </cell>
          <cell r="D6269" t="str">
            <v>Lapp-Non Moving Stocks</v>
          </cell>
        </row>
        <row r="6270">
          <cell r="A6270" t="str">
            <v>8201010105 (ÖLFLEX® UNIPLUS TRI 1 X 4 BK)</v>
          </cell>
          <cell r="B6270" t="str">
            <v>8201010105(ÖLFLEX® UNIPLUS TRI 1 X 4 BK)</v>
          </cell>
          <cell r="C6270" t="str">
            <v>LAPP</v>
          </cell>
          <cell r="D6270" t="str">
            <v>Lapp-Non Moving Stocks</v>
          </cell>
        </row>
        <row r="6271">
          <cell r="A6271" t="str">
            <v>8201010106 (ÖLFLEX® UNIPLUS TRI 1 X 6 BK)</v>
          </cell>
          <cell r="B6271" t="str">
            <v>8201010106(ÖLFLEX® UNIPLUS TRI 1 X 6 BK)</v>
          </cell>
          <cell r="C6271" t="str">
            <v>LAPP</v>
          </cell>
          <cell r="D6271" t="str">
            <v>Lapp-Non Moving Stocks</v>
          </cell>
        </row>
        <row r="6272">
          <cell r="A6272" t="str">
            <v>8201010006 (ÖLFLEX® UNIPLUS TRI 1 X 6 YE/GN)</v>
          </cell>
          <cell r="B6272" t="str">
            <v>8201010006(ÖLFLEX® UNIPLUS TRI 1 X 6 YE/GN)</v>
          </cell>
          <cell r="C6272" t="str">
            <v>LAPP</v>
          </cell>
          <cell r="D6272" t="str">
            <v>Lapp-Non Moving Stocks</v>
          </cell>
        </row>
        <row r="6273">
          <cell r="A6273" t="str">
            <v>4510002 (H05V-K 1X0,75 GNYE_x000D_
)</v>
          </cell>
          <cell r="B6273" t="str">
            <v>4510002(H05V-K 1X0,75 GNYE_x000D_
)</v>
          </cell>
          <cell r="C6273" t="str">
            <v>LAPP</v>
          </cell>
          <cell r="D6273" t="str">
            <v>Lapp-Non Moving Stocks</v>
          </cell>
        </row>
        <row r="6274">
          <cell r="A6274" t="str">
            <v>4520001 (H07V-K 1X1,5 GNYE_x000D_
)</v>
          </cell>
          <cell r="B6274" t="str">
            <v>4520001(H07V-K 1X1,5 GNYE_x000D_
)</v>
          </cell>
          <cell r="C6274" t="str">
            <v>LAPP</v>
          </cell>
          <cell r="D6274" t="str">
            <v>Lapp-Non Moving Stocks</v>
          </cell>
        </row>
        <row r="6275">
          <cell r="A6275" t="str">
            <v>4520002 (H07V-K 1X2,5 GNYE_x000D_
)</v>
          </cell>
          <cell r="B6275" t="str">
            <v>4520002(H07V-K 1X2,5 GNYE_x000D_
)</v>
          </cell>
          <cell r="C6275" t="str">
            <v>LAPP</v>
          </cell>
          <cell r="D6275" t="str">
            <v>Lapp-Non Moving Stocks</v>
          </cell>
        </row>
        <row r="6276">
          <cell r="A6276" t="str">
            <v>4520003 (H07V-K 1X4 GNYE_x000D_
)</v>
          </cell>
          <cell r="B6276" t="str">
            <v>4520003(H07V-K 1X4 GNYE_x000D_
)</v>
          </cell>
          <cell r="C6276" t="str">
            <v>LAPP</v>
          </cell>
          <cell r="D6276" t="str">
            <v>Lapp-Non Moving Stocks</v>
          </cell>
        </row>
        <row r="6277">
          <cell r="A6277" t="str">
            <v>4520125U (OLFLEX UNIPLUS 1X10 GN)</v>
          </cell>
          <cell r="B6277" t="str">
            <v>4520125U(OLFLEX UNIPLUS 1X10 GN)</v>
          </cell>
          <cell r="C6277" t="str">
            <v>LAPP</v>
          </cell>
          <cell r="D6277" t="str">
            <v>Lapp-Non Moving Stocks</v>
          </cell>
        </row>
        <row r="6278">
          <cell r="A6278" t="str">
            <v>4521093U (Ollfex UNIPLUS 1X50 OG)</v>
          </cell>
          <cell r="B6278" t="str">
            <v>4521093U(Ollfex UNIPLUS 1X50 OG)</v>
          </cell>
          <cell r="C6278" t="str">
            <v>LAPP</v>
          </cell>
          <cell r="D6278" t="str">
            <v>Lapp-Non Moving Stocks</v>
          </cell>
        </row>
        <row r="6279">
          <cell r="A6279" t="str">
            <v>4510081U (ÖLFLEX® UNIPLUS 1X0.5 PK)</v>
          </cell>
          <cell r="B6279" t="str">
            <v>4510081U(ÖLFLEX® UNIPLUS 1X0.5 PK)</v>
          </cell>
          <cell r="C6279" t="str">
            <v>LAPP</v>
          </cell>
          <cell r="D6279" t="str">
            <v>Lapp-Non Moving Stocks</v>
          </cell>
        </row>
        <row r="6280">
          <cell r="A6280" t="str">
            <v>4510122U (ÖLFLEX® UNIPLUS 1X0.75 GN)</v>
          </cell>
          <cell r="B6280" t="str">
            <v>4510122U(ÖLFLEX® UNIPLUS 1X0.75 GN)</v>
          </cell>
          <cell r="C6280" t="str">
            <v>LAPP</v>
          </cell>
          <cell r="D6280" t="str">
            <v>Lapp-Non Moving Stocks</v>
          </cell>
        </row>
        <row r="6281">
          <cell r="A6281" t="str">
            <v>4510082U (ÖLFLEX® UNIPLUS 1X0.75 PK)</v>
          </cell>
          <cell r="B6281" t="str">
            <v>4510082U(ÖLFLEX® UNIPLUS 1X0.75 PK)</v>
          </cell>
          <cell r="C6281" t="str">
            <v>LAPP</v>
          </cell>
          <cell r="D6281" t="str">
            <v>Lapp-Non Moving Stocks</v>
          </cell>
        </row>
        <row r="6282">
          <cell r="A6282" t="str">
            <v>4510072U (ÖLFLEX® UNIPLUS 1X0.75 VT)</v>
          </cell>
          <cell r="B6282" t="str">
            <v>4510072U(ÖLFLEX® UNIPLUS 1X0.75 VT)</v>
          </cell>
          <cell r="C6282" t="str">
            <v>LAPP</v>
          </cell>
          <cell r="D6282" t="str">
            <v>Lapp-Non Moving Stocks</v>
          </cell>
        </row>
        <row r="6283">
          <cell r="A6283" t="str">
            <v>4520035U (ÖLFLEX® UNIPLUS 1X10 BN)</v>
          </cell>
          <cell r="B6283" t="str">
            <v>4520035U(ÖLFLEX® UNIPLUS 1X10 BN)</v>
          </cell>
          <cell r="C6283" t="str">
            <v>LAPP</v>
          </cell>
          <cell r="D6283" t="str">
            <v>Lapp-Non Moving Stocks</v>
          </cell>
        </row>
        <row r="6284">
          <cell r="A6284" t="str">
            <v>4520145U (ÖLFLEX® UNIPLUS 1X10 DBU)</v>
          </cell>
          <cell r="B6284" t="str">
            <v>4520145U(ÖLFLEX® UNIPLUS 1X10 DBU)</v>
          </cell>
          <cell r="C6284" t="str">
            <v>LAPP</v>
          </cell>
          <cell r="D6284" t="str">
            <v>Lapp-Non Moving Stocks</v>
          </cell>
        </row>
        <row r="6285">
          <cell r="A6285" t="str">
            <v>4520065U (ÖLFLEX® UNIPLUS 1X10 GY)</v>
          </cell>
          <cell r="B6285" t="str">
            <v>4520065U(ÖLFLEX® UNIPLUS 1X10 GY)</v>
          </cell>
          <cell r="C6285" t="str">
            <v>LAPP</v>
          </cell>
          <cell r="D6285" t="str">
            <v>Lapp-Non Moving Stocks</v>
          </cell>
        </row>
        <row r="6286">
          <cell r="A6286" t="str">
            <v>4520055U (ÖLFLEX® UNIPLUS 1X10 WH)</v>
          </cell>
          <cell r="B6286" t="str">
            <v>4520055U(ÖLFLEX® UNIPLUS 1X10 WH)</v>
          </cell>
          <cell r="C6286" t="str">
            <v>LAPP</v>
          </cell>
          <cell r="D6286" t="str">
            <v>Lapp-Non Moving Stocks</v>
          </cell>
        </row>
        <row r="6287">
          <cell r="A6287" t="str">
            <v>4521016U_x000D_
 (ÖLFLEX® UNIPLUS 1X120 BK_x000D_
)</v>
          </cell>
          <cell r="B6287" t="str">
            <v>4521016U_x000D_
(ÖLFLEX® UNIPLUS 1X120 BK_x000D_
)</v>
          </cell>
          <cell r="C6287" t="str">
            <v>LAPP</v>
          </cell>
          <cell r="D6287" t="str">
            <v>Lapp-Non Moving Stocks</v>
          </cell>
        </row>
        <row r="6288">
          <cell r="A6288" t="str">
            <v>4521006U (ÖLFLEX® UNIPLUS 1X120 GNYE_x000D_
)</v>
          </cell>
          <cell r="B6288" t="str">
            <v>4521006U(ÖLFLEX® UNIPLUS 1X120 GNYE_x000D_
)</v>
          </cell>
          <cell r="C6288" t="str">
            <v>LAPP</v>
          </cell>
          <cell r="D6288" t="str">
            <v>Lapp-Non Moving Stocks</v>
          </cell>
        </row>
        <row r="6289">
          <cell r="A6289" t="str">
            <v>4521017U_x000D_
 (ÖLFLEX® UNIPLUS 1X150 BK_x000D_
)</v>
          </cell>
          <cell r="B6289" t="str">
            <v>4521017U_x000D_
(ÖLFLEX® UNIPLUS 1X150 BK_x000D_
)</v>
          </cell>
          <cell r="C6289" t="str">
            <v>LAPP</v>
          </cell>
          <cell r="D6289" t="str">
            <v>Lapp-Non Moving Stocks</v>
          </cell>
        </row>
        <row r="6290">
          <cell r="A6290" t="str">
            <v>4521007U (ÖLFLEX® UNIPLUS 1X150 GNYE_x000D_
)</v>
          </cell>
          <cell r="B6290" t="str">
            <v>4521007U(ÖLFLEX® UNIPLUS 1X150 GNYE_x000D_
)</v>
          </cell>
          <cell r="C6290" t="str">
            <v>LAPP</v>
          </cell>
          <cell r="D6290" t="str">
            <v>Lapp-Non Moving Stocks</v>
          </cell>
        </row>
        <row r="6291">
          <cell r="A6291" t="str">
            <v>4520081U (ÖLFLEX® UNIPLUS 1X1.5 PK)</v>
          </cell>
          <cell r="B6291" t="str">
            <v>4520081U(ÖLFLEX® UNIPLUS 1X1.5 PK)</v>
          </cell>
          <cell r="C6291" t="str">
            <v>LAPP</v>
          </cell>
          <cell r="D6291" t="str">
            <v>Lapp-Non Moving Stocks</v>
          </cell>
        </row>
        <row r="6292">
          <cell r="A6292" t="str">
            <v>4520071U (ÖLFLEX® UNIPLUS 1X1.5 VT)</v>
          </cell>
          <cell r="B6292" t="str">
            <v>4520071U(ÖLFLEX® UNIPLUS 1X1.5 VT)</v>
          </cell>
          <cell r="C6292" t="str">
            <v>LAPP</v>
          </cell>
          <cell r="D6292" t="str">
            <v>Lapp-Non Moving Stocks</v>
          </cell>
        </row>
        <row r="6293">
          <cell r="A6293" t="str">
            <v>4520036U (ÖLFLEX® UNIPLUS 1X16 BN)</v>
          </cell>
          <cell r="B6293" t="str">
            <v>4520036U(ÖLFLEX® UNIPLUS 1X16 BN)</v>
          </cell>
          <cell r="C6293" t="str">
            <v>LAPP</v>
          </cell>
          <cell r="D6293" t="str">
            <v>Lapp-Non Moving Stocks</v>
          </cell>
        </row>
        <row r="6294">
          <cell r="A6294" t="str">
            <v>4520146U (ÖLFLEX® UNIPLUS 1X16 DBU_x000D_
)</v>
          </cell>
          <cell r="B6294" t="str">
            <v>4520146U(ÖLFLEX® UNIPLUS 1X16 DBU_x000D_
)</v>
          </cell>
          <cell r="C6294" t="str">
            <v>LAPP</v>
          </cell>
          <cell r="D6294" t="str">
            <v>Lapp-Non Moving Stocks</v>
          </cell>
        </row>
        <row r="6295">
          <cell r="A6295" t="str">
            <v>4520126U (ÖLFLEX® UNIPLUS 1X16 GN)</v>
          </cell>
          <cell r="B6295" t="str">
            <v>4520126U(ÖLFLEX® UNIPLUS 1X16 GN)</v>
          </cell>
          <cell r="C6295" t="str">
            <v>LAPP</v>
          </cell>
          <cell r="D6295" t="str">
            <v>Lapp-Non Moving Stocks</v>
          </cell>
        </row>
        <row r="6296">
          <cell r="A6296" t="str">
            <v>4520066U (ÖLFLEX® UNIPLUS 1X16 GY)</v>
          </cell>
          <cell r="B6296" t="str">
            <v>4520066U(ÖLFLEX® UNIPLUS 1X16 GY)</v>
          </cell>
          <cell r="C6296" t="str">
            <v>LAPP</v>
          </cell>
          <cell r="D6296" t="str">
            <v>Lapp-Non Moving Stocks</v>
          </cell>
        </row>
        <row r="6297">
          <cell r="A6297" t="str">
            <v>4520046U (ÖLFLEX® UNIPLUS 1X16 RD)</v>
          </cell>
          <cell r="B6297" t="str">
            <v>4520046U(ÖLFLEX® UNIPLUS 1X16 RD)</v>
          </cell>
          <cell r="C6297" t="str">
            <v>LAPP</v>
          </cell>
          <cell r="D6297" t="str">
            <v>Lapp-Non Moving Stocks</v>
          </cell>
        </row>
        <row r="6298">
          <cell r="A6298" t="str">
            <v>4520166U (ÖLFLEX® UNIPLUS 1X16 UMBU)</v>
          </cell>
          <cell r="B6298" t="str">
            <v>4520166U(ÖLFLEX® UNIPLUS 1X16 UMBU)</v>
          </cell>
          <cell r="C6298" t="str">
            <v>LAPP</v>
          </cell>
          <cell r="D6298" t="str">
            <v>Lapp-Non Moving Stocks</v>
          </cell>
        </row>
        <row r="6299">
          <cell r="A6299" t="str">
            <v>4520056U (ÖLFLEX® UNIPLUS 1X16 WH)</v>
          </cell>
          <cell r="B6299" t="str">
            <v>4520056U(ÖLFLEX® UNIPLUS 1X16 WH)</v>
          </cell>
          <cell r="C6299" t="str">
            <v>LAPP</v>
          </cell>
          <cell r="D6299" t="str">
            <v>Lapp-Non Moving Stocks</v>
          </cell>
        </row>
        <row r="6300">
          <cell r="A6300" t="str">
            <v>4520116U (ÖLFLEX® UNIPLUS 1X16 YE)</v>
          </cell>
          <cell r="B6300" t="str">
            <v>4520116U(ÖLFLEX® UNIPLUS 1X16 YE)</v>
          </cell>
          <cell r="C6300" t="str">
            <v>LAPP</v>
          </cell>
          <cell r="D6300" t="str">
            <v>Lapp-Non Moving Stocks</v>
          </cell>
        </row>
        <row r="6301">
          <cell r="A6301" t="str">
            <v>4521018U (ÖLFLEX® UNIPLUS 1X185 BK_x000D_
)</v>
          </cell>
          <cell r="B6301" t="str">
            <v>4521018U(ÖLFLEX® UNIPLUS 1X185 BK_x000D_
)</v>
          </cell>
          <cell r="C6301" t="str">
            <v>LAPP</v>
          </cell>
          <cell r="D6301" t="str">
            <v>Lapp-Non Moving Stocks</v>
          </cell>
        </row>
        <row r="6302">
          <cell r="A6302" t="str">
            <v>4510083U (ÖLFLEX® UNIPLUS 1X1 PK)</v>
          </cell>
          <cell r="B6302" t="str">
            <v>4510083U(ÖLFLEX® UNIPLUS 1X1 PK)</v>
          </cell>
          <cell r="C6302" t="str">
            <v>LAPP</v>
          </cell>
          <cell r="D6302" t="str">
            <v>Lapp-Non Moving Stocks</v>
          </cell>
        </row>
        <row r="6303">
          <cell r="A6303" t="str">
            <v>4512443U (ÖLFLEX® UNIPLUS 1X1 sq mm WHBU)</v>
          </cell>
          <cell r="B6303" t="str">
            <v>4512443U(ÖLFLEX® UNIPLUS 1X1 sq mm WHBU)</v>
          </cell>
          <cell r="C6303" t="str">
            <v>LAPP</v>
          </cell>
          <cell r="D6303" t="str">
            <v>Lapp-Non Moving Stocks</v>
          </cell>
        </row>
        <row r="6304">
          <cell r="A6304" t="str">
            <v>4510073U (ÖLFLEX® UNIPLUS 1X1 VT)</v>
          </cell>
          <cell r="B6304" t="str">
            <v>4510073U(ÖLFLEX® UNIPLUS 1X1 VT)</v>
          </cell>
          <cell r="C6304" t="str">
            <v>LAPP</v>
          </cell>
          <cell r="D6304" t="str">
            <v>Lapp-Non Moving Stocks</v>
          </cell>
        </row>
        <row r="6305">
          <cell r="A6305" t="str">
            <v>4512423U_x000D_
 (ÖLFLEX® UNIPLUS 1X1 WHRD_x000D_
)</v>
          </cell>
          <cell r="B6305" t="str">
            <v>4512423U_x000D_
(ÖLFLEX® UNIPLUS 1X1 WHRD_x000D_
)</v>
          </cell>
          <cell r="C6305" t="str">
            <v>LAPP</v>
          </cell>
          <cell r="D6305" t="str">
            <v>Lapp-Non Moving Stocks</v>
          </cell>
        </row>
        <row r="6306">
          <cell r="A6306" t="str">
            <v>4521019U_x000D_
 (ÖLFLEX® UNIPLUS 1X240 BK_x000D_
)</v>
          </cell>
          <cell r="B6306" t="str">
            <v>4521019U_x000D_
(ÖLFLEX® UNIPLUS 1X240 BK_x000D_
)</v>
          </cell>
          <cell r="C6306" t="str">
            <v>LAPP</v>
          </cell>
          <cell r="D6306" t="str">
            <v>Lapp-Non Moving Stocks</v>
          </cell>
        </row>
        <row r="6307">
          <cell r="A6307" t="str">
            <v>4521031U (ÖLFLEX® UNIPLUS 1X25 BN_x000D_
)</v>
          </cell>
          <cell r="B6307" t="str">
            <v>4521031U(ÖLFLEX® UNIPLUS 1X25 BN_x000D_
)</v>
          </cell>
          <cell r="C6307" t="str">
            <v>LAPP</v>
          </cell>
          <cell r="D6307" t="str">
            <v>Lapp-Non Moving Stocks</v>
          </cell>
        </row>
        <row r="6308">
          <cell r="A6308" t="str">
            <v>4520122U (ÖLFLEX® UNIPLUS 1X2.5 GN)</v>
          </cell>
          <cell r="B6308" t="str">
            <v>4520122U(ÖLFLEX® UNIPLUS 1X2.5 GN)</v>
          </cell>
          <cell r="C6308" t="str">
            <v>LAPP</v>
          </cell>
          <cell r="D6308" t="str">
            <v>Lapp-Non Moving Stocks</v>
          </cell>
        </row>
        <row r="6309">
          <cell r="A6309" t="str">
            <v>4521061U_x000D_
 (ÖLFLEX® UNIPLUS 1X25 GY_x000D_
)</v>
          </cell>
          <cell r="B6309" t="str">
            <v>4521061U_x000D_
(ÖLFLEX® UNIPLUS 1X25 GY_x000D_
)</v>
          </cell>
          <cell r="C6309" t="str">
            <v>LAPP</v>
          </cell>
          <cell r="D6309" t="str">
            <v>Lapp-Non Moving Stocks</v>
          </cell>
        </row>
        <row r="6310">
          <cell r="A6310" t="str">
            <v>4520082U (ÖLFLEX® UNIPLUS 1X2.5 PK)</v>
          </cell>
          <cell r="B6310" t="str">
            <v>4520082U(ÖLFLEX® UNIPLUS 1X2.5 PK)</v>
          </cell>
          <cell r="C6310" t="str">
            <v>LAPP</v>
          </cell>
          <cell r="D6310" t="str">
            <v>Lapp-Non Moving Stocks</v>
          </cell>
        </row>
        <row r="6311">
          <cell r="A6311" t="str">
            <v>4521041U_x000D_
 (ÖLFLEX® UNIPLUS 1X25 RD_x000D_
)</v>
          </cell>
          <cell r="B6311" t="str">
            <v>4521041U_x000D_
(ÖLFLEX® UNIPLUS 1X25 RD_x000D_
)</v>
          </cell>
          <cell r="C6311" t="str">
            <v>LAPP</v>
          </cell>
          <cell r="D6311" t="str">
            <v>Lapp-Non Moving Stocks</v>
          </cell>
        </row>
        <row r="6312">
          <cell r="A6312" t="str">
            <v>4520072U (ÖLFLEX® UNIPLUS 1X2.5 VT)</v>
          </cell>
          <cell r="B6312" t="str">
            <v>4520072U(ÖLFLEX® UNIPLUS 1X2.5 VT)</v>
          </cell>
          <cell r="C6312" t="str">
            <v>LAPP</v>
          </cell>
          <cell r="D6312" t="str">
            <v>Lapp-Non Moving Stocks</v>
          </cell>
        </row>
        <row r="6313">
          <cell r="A6313" t="str">
            <v>4521051U (ÖLFLEX® UNIPLUS 1X25 WH_x000D_
)</v>
          </cell>
          <cell r="B6313" t="str">
            <v>4521051U(ÖLFLEX® UNIPLUS 1X25 WH_x000D_
)</v>
          </cell>
          <cell r="C6313" t="str">
            <v>LAPP</v>
          </cell>
          <cell r="D6313" t="str">
            <v>Lapp-Non Moving Stocks</v>
          </cell>
        </row>
        <row r="6314">
          <cell r="A6314" t="str">
            <v>4521111U (ÖLFLEX® UNIPLUS 1X25 YE_x000D_
)</v>
          </cell>
          <cell r="B6314" t="str">
            <v>4521111U(ÖLFLEX® UNIPLUS 1X25 YE_x000D_
)</v>
          </cell>
          <cell r="C6314" t="str">
            <v>LAPP</v>
          </cell>
          <cell r="D6314" t="str">
            <v>Lapp-Non Moving Stocks</v>
          </cell>
        </row>
        <row r="6315">
          <cell r="A6315" t="str">
            <v>4521032U (ÖLFLEX® UNIPLUS 1X35 BN)</v>
          </cell>
          <cell r="B6315" t="str">
            <v>4521032U(ÖLFLEX® UNIPLUS 1X35 BN)</v>
          </cell>
          <cell r="C6315" t="str">
            <v>LAPP</v>
          </cell>
          <cell r="D6315" t="str">
            <v>Lapp-Non Moving Stocks</v>
          </cell>
        </row>
        <row r="6316">
          <cell r="A6316" t="str">
            <v>4521022U (ÖLFLEX® UNIPLUS 1X35 BU)</v>
          </cell>
          <cell r="B6316" t="str">
            <v>4521022U(ÖLFLEX® UNIPLUS 1X35 BU)</v>
          </cell>
          <cell r="C6316" t="str">
            <v>LAPP</v>
          </cell>
          <cell r="D6316" t="str">
            <v>Lapp-Non Moving Stocks</v>
          </cell>
        </row>
        <row r="6317">
          <cell r="A6317" t="str">
            <v>4521142U (ÖLFLEX® UNIPLUS 1X35 DBU)</v>
          </cell>
          <cell r="B6317" t="str">
            <v>4521142U(ÖLFLEX® UNIPLUS 1X35 DBU)</v>
          </cell>
          <cell r="C6317" t="str">
            <v>LAPP</v>
          </cell>
          <cell r="D6317" t="str">
            <v>Lapp-Non Moving Stocks</v>
          </cell>
        </row>
        <row r="6318">
          <cell r="A6318" t="str">
            <v>4521062U (ÖLFLEX® UNIPLUS 1X35 GY_x000D_
)</v>
          </cell>
          <cell r="B6318" t="str">
            <v>4521062U(ÖLFLEX® UNIPLUS 1X35 GY_x000D_
)</v>
          </cell>
          <cell r="C6318" t="str">
            <v>LAPP</v>
          </cell>
          <cell r="D6318" t="str">
            <v>Lapp-Non Moving Stocks</v>
          </cell>
        </row>
        <row r="6319">
          <cell r="A6319" t="str">
            <v>4521092U (ÖLFLEX® UNIPLUS 1X35 OG_x000D_
)</v>
          </cell>
          <cell r="B6319" t="str">
            <v>4521092U(ÖLFLEX® UNIPLUS 1X35 OG_x000D_
)</v>
          </cell>
          <cell r="C6319" t="str">
            <v>LAPP</v>
          </cell>
          <cell r="D6319" t="str">
            <v>Lapp-Non Moving Stocks</v>
          </cell>
        </row>
        <row r="6320">
          <cell r="A6320" t="str">
            <v>4521112U (ÖLFLEX® UNIPLUS 1X35 YE)</v>
          </cell>
          <cell r="B6320" t="str">
            <v>4521112U(ÖLFLEX® UNIPLUS 1X35 YE)</v>
          </cell>
          <cell r="C6320" t="str">
            <v>LAPP</v>
          </cell>
          <cell r="D6320" t="str">
            <v>Lapp-Non Moving Stocks</v>
          </cell>
        </row>
        <row r="6321">
          <cell r="A6321" t="str">
            <v>4520033U (ÖLFLEX® UNIPLUS 1X4 BN)</v>
          </cell>
          <cell r="B6321" t="str">
            <v>4520033U(ÖLFLEX® UNIPLUS 1X4 BN)</v>
          </cell>
          <cell r="C6321" t="str">
            <v>LAPP</v>
          </cell>
          <cell r="D6321" t="str">
            <v>Lapp-Non Moving Stocks</v>
          </cell>
        </row>
        <row r="6322">
          <cell r="A6322" t="str">
            <v>4520143U (ÖLFLEX® UNIPLUS 1X4 DBU)</v>
          </cell>
          <cell r="B6322" t="str">
            <v>4520143U(ÖLFLEX® UNIPLUS 1X4 DBU)</v>
          </cell>
          <cell r="C6322" t="str">
            <v>LAPP</v>
          </cell>
          <cell r="D6322" t="str">
            <v>Lapp-Non Moving Stocks</v>
          </cell>
        </row>
        <row r="6323">
          <cell r="A6323" t="str">
            <v>4520123U (ÖLFLEX® UNIPLUS 1X4 GN)</v>
          </cell>
          <cell r="B6323" t="str">
            <v>4520123U(ÖLFLEX® UNIPLUS 1X4 GN)</v>
          </cell>
          <cell r="C6323" t="str">
            <v>LAPP</v>
          </cell>
          <cell r="D6323" t="str">
            <v>Lapp-Non Moving Stocks</v>
          </cell>
        </row>
        <row r="6324">
          <cell r="A6324" t="str">
            <v>4520063U (ÖLFLEX® UNIPLUS 1X4 GY)</v>
          </cell>
          <cell r="B6324" t="str">
            <v>4520063U(ÖLFLEX® UNIPLUS 1X4 GY)</v>
          </cell>
          <cell r="C6324" t="str">
            <v>LAPP</v>
          </cell>
          <cell r="D6324" t="str">
            <v>Lapp-Non Moving Stocks</v>
          </cell>
        </row>
        <row r="6325">
          <cell r="A6325" t="str">
            <v>4520073U (ÖLFLEX® UNIPLUS 1X4 VT)</v>
          </cell>
          <cell r="B6325" t="str">
            <v>4520073U(ÖLFLEX® UNIPLUS 1X4 VT)</v>
          </cell>
          <cell r="C6325" t="str">
            <v>LAPP</v>
          </cell>
          <cell r="D6325" t="str">
            <v>Lapp-Non Moving Stocks</v>
          </cell>
        </row>
        <row r="6326">
          <cell r="A6326" t="str">
            <v>4520053U (ÖLFLEX® UNIPLUS 1X4 WH)</v>
          </cell>
          <cell r="B6326" t="str">
            <v>4520053U(ÖLFLEX® UNIPLUS 1X4 WH)</v>
          </cell>
          <cell r="C6326" t="str">
            <v>LAPP</v>
          </cell>
          <cell r="D6326" t="str">
            <v>Lapp-Non Moving Stocks</v>
          </cell>
        </row>
        <row r="6327">
          <cell r="A6327" t="str">
            <v>4521023U (ÖLFLEX® UNIPLUS 1X50 BU_x000D_
)</v>
          </cell>
          <cell r="B6327" t="str">
            <v>4521023U(ÖLFLEX® UNIPLUS 1X50 BU_x000D_
)</v>
          </cell>
          <cell r="C6327" t="str">
            <v>LAPP</v>
          </cell>
          <cell r="D6327" t="str">
            <v>Lapp-Non Moving Stocks</v>
          </cell>
        </row>
        <row r="6328">
          <cell r="A6328" t="str">
            <v>4521003U (ÖLFLEX® UNIPLUS 1X50 GNYE)</v>
          </cell>
          <cell r="B6328" t="str">
            <v>4521003U(ÖLFLEX® UNIPLUS 1X50 GNYE)</v>
          </cell>
          <cell r="C6328" t="str">
            <v>LAPP</v>
          </cell>
          <cell r="D6328" t="str">
            <v>Lapp-Non Moving Stocks</v>
          </cell>
        </row>
        <row r="6329">
          <cell r="A6329" t="str">
            <v>4521063U (ÖLFLEX® UNIPLUS 1X50 GY)</v>
          </cell>
          <cell r="B6329" t="str">
            <v>4521063U(ÖLFLEX® UNIPLUS 1X50 GY)</v>
          </cell>
          <cell r="C6329" t="str">
            <v>LAPP</v>
          </cell>
          <cell r="D6329" t="str">
            <v>Lapp-Non Moving Stocks</v>
          </cell>
        </row>
        <row r="6330">
          <cell r="A6330" t="str">
            <v>4521043U (ÖLFLEX® UNIPLUS 1X50 RD_x000D_
)</v>
          </cell>
          <cell r="B6330" t="str">
            <v>4521043U(ÖLFLEX® UNIPLUS 1X50 RD_x000D_
)</v>
          </cell>
          <cell r="C6330" t="str">
            <v>LAPP</v>
          </cell>
          <cell r="D6330" t="str">
            <v>Lapp-Non Moving Stocks</v>
          </cell>
        </row>
        <row r="6331">
          <cell r="A6331" t="str">
            <v>4520034U (ÖLFLEX® UNIPLUS 1X6 BN)</v>
          </cell>
          <cell r="B6331" t="str">
            <v>4520034U(ÖLFLEX® UNIPLUS 1X6 BN)</v>
          </cell>
          <cell r="C6331" t="str">
            <v>LAPP</v>
          </cell>
          <cell r="D6331" t="str">
            <v>Lapp-Non Moving Stocks</v>
          </cell>
        </row>
        <row r="6332">
          <cell r="A6332" t="str">
            <v>4520144U (ÖLFLEX® UNIPLUS 1X6 DBU)</v>
          </cell>
          <cell r="B6332" t="str">
            <v>4520144U(ÖLFLEX® UNIPLUS 1X6 DBU)</v>
          </cell>
          <cell r="C6332" t="str">
            <v>LAPP</v>
          </cell>
          <cell r="D6332" t="str">
            <v>Lapp-Non Moving Stocks</v>
          </cell>
        </row>
        <row r="6333">
          <cell r="A6333" t="str">
            <v>4520124U (ÖLFLEX® UNIPLUS 1X6 GN)</v>
          </cell>
          <cell r="B6333" t="str">
            <v>4520124U(ÖLFLEX® UNIPLUS 1X6 GN)</v>
          </cell>
          <cell r="C6333" t="str">
            <v>LAPP</v>
          </cell>
          <cell r="D6333" t="str">
            <v>Lapp-Non Moving Stocks</v>
          </cell>
        </row>
        <row r="6334">
          <cell r="A6334" t="str">
            <v>4520064U (ÖLFLEX® UNIPLUS 1X6 GY)</v>
          </cell>
          <cell r="B6334" t="str">
            <v>4520064U(ÖLFLEX® UNIPLUS 1X6 GY)</v>
          </cell>
          <cell r="C6334" t="str">
            <v>LAPP</v>
          </cell>
          <cell r="D6334" t="str">
            <v>Lapp-Non Moving Stocks</v>
          </cell>
        </row>
        <row r="6335">
          <cell r="A6335" t="str">
            <v>4520074U (ÖLFLEX® UNIPLUS 1X6 VT_x000D_
)</v>
          </cell>
          <cell r="B6335" t="str">
            <v>4520074U(ÖLFLEX® UNIPLUS 1X6 VT_x000D_
)</v>
          </cell>
          <cell r="C6335" t="str">
            <v>LAPP</v>
          </cell>
          <cell r="D6335" t="str">
            <v>Lapp-Non Moving Stocks</v>
          </cell>
        </row>
        <row r="6336">
          <cell r="A6336" t="str">
            <v>4520054U_x000D_
 (ÖLFLEX® UNIPLUS 1X6 WH_x000D_
)</v>
          </cell>
          <cell r="B6336" t="str">
            <v>4520054U_x000D_
(ÖLFLEX® UNIPLUS 1X6 WH_x000D_
)</v>
          </cell>
          <cell r="C6336" t="str">
            <v>LAPP</v>
          </cell>
          <cell r="D6336" t="str">
            <v>Lapp-Non Moving Stocks</v>
          </cell>
        </row>
        <row r="6337">
          <cell r="A6337" t="str">
            <v>4521024U (ÖLFLEX® UNIPLUS 1X70 BU_x000D_
)</v>
          </cell>
          <cell r="B6337" t="str">
            <v>4521024U(ÖLFLEX® UNIPLUS 1X70 BU_x000D_
)</v>
          </cell>
          <cell r="C6337" t="str">
            <v>LAPP</v>
          </cell>
          <cell r="D6337" t="str">
            <v>Lapp-Non Moving Stocks</v>
          </cell>
        </row>
        <row r="6338">
          <cell r="A6338" t="str">
            <v>4521004U (ÖLFLEX® UNIPLUS 1X70 GNYE)</v>
          </cell>
          <cell r="B6338" t="str">
            <v>4521004U(ÖLFLEX® UNIPLUS 1X70 GNYE)</v>
          </cell>
          <cell r="C6338" t="str">
            <v>LAPP</v>
          </cell>
          <cell r="D6338" t="str">
            <v>Lapp-Non Moving Stocks</v>
          </cell>
        </row>
        <row r="6339">
          <cell r="A6339" t="str">
            <v>4521064U (ÖLFLEX® UNIPLUS 1X70 GY_x000D_
)</v>
          </cell>
          <cell r="B6339" t="str">
            <v>4521064U(ÖLFLEX® UNIPLUS 1X70 GY_x000D_
)</v>
          </cell>
          <cell r="C6339" t="str">
            <v>LAPP</v>
          </cell>
          <cell r="D6339" t="str">
            <v>Lapp-Non Moving Stocks</v>
          </cell>
        </row>
        <row r="6340">
          <cell r="A6340" t="str">
            <v>4521044U (ÖLFLEX® UNIPLUS 1X70 RD_x000D_
)</v>
          </cell>
          <cell r="B6340" t="str">
            <v>4521044U(ÖLFLEX® UNIPLUS 1X70 RD_x000D_
)</v>
          </cell>
          <cell r="C6340" t="str">
            <v>LAPP</v>
          </cell>
          <cell r="D6340" t="str">
            <v>Lapp-Non Moving Stocks</v>
          </cell>
        </row>
        <row r="6341">
          <cell r="A6341" t="str">
            <v>4521015U (ÖLFLEX® UNIPLUS 1X95 BK)</v>
          </cell>
          <cell r="B6341" t="str">
            <v>4521015U(ÖLFLEX® UNIPLUS 1X95 BK)</v>
          </cell>
          <cell r="C6341" t="str">
            <v>LAPP</v>
          </cell>
          <cell r="D6341" t="str">
            <v>Lapp-Non Moving Stocks</v>
          </cell>
        </row>
        <row r="6342">
          <cell r="A6342" t="str">
            <v>4521025U (ÖLFLEX® UNIPLUS 1X95 BU)</v>
          </cell>
          <cell r="B6342" t="str">
            <v>4521025U(ÖLFLEX® UNIPLUS 1X95 BU)</v>
          </cell>
          <cell r="C6342" t="str">
            <v>LAPP</v>
          </cell>
          <cell r="D6342" t="str">
            <v>Lapp-Non Moving Stocks</v>
          </cell>
        </row>
        <row r="6343">
          <cell r="A6343" t="str">
            <v>4521125U (ÖLFLEX® UNIPLUS 1X95 GN)</v>
          </cell>
          <cell r="B6343" t="str">
            <v>4521125U(ÖLFLEX® UNIPLUS 1X95 GN)</v>
          </cell>
          <cell r="C6343" t="str">
            <v>LAPP</v>
          </cell>
          <cell r="D6343" t="str">
            <v>Lapp-Non Moving Stocks</v>
          </cell>
        </row>
        <row r="6344">
          <cell r="A6344" t="str">
            <v>4521005U (ÖLFLEX® UNIPLUS 1X95 GNYE_x000D_
)</v>
          </cell>
          <cell r="B6344" t="str">
            <v>4521005U(ÖLFLEX® UNIPLUS 1X95 GNYE_x000D_
)</v>
          </cell>
          <cell r="C6344" t="str">
            <v>LAPP</v>
          </cell>
          <cell r="D6344" t="str">
            <v>Lapp-Non Moving Stocks</v>
          </cell>
        </row>
        <row r="6345">
          <cell r="A6345" t="str">
            <v>4521095U (ÖLFLEX® UNIPLUS 1X95 OG)</v>
          </cell>
          <cell r="B6345" t="str">
            <v>4521095U(ÖLFLEX® UNIPLUS 1X95 OG)</v>
          </cell>
          <cell r="C6345" t="str">
            <v>LAPP</v>
          </cell>
          <cell r="D6345" t="str">
            <v>Lapp-Non Moving Stocks</v>
          </cell>
        </row>
        <row r="6346">
          <cell r="A6346" t="str">
            <v>4521045U (ÖLFLEX® UNIPLUS 1X95 RD)</v>
          </cell>
          <cell r="B6346" t="str">
            <v>4521045U(ÖLFLEX® UNIPLUS 1X95 RD)</v>
          </cell>
          <cell r="C6346" t="str">
            <v>LAPP</v>
          </cell>
          <cell r="D6346" t="str">
            <v>Lapp-Non Moving Stocks</v>
          </cell>
        </row>
        <row r="6347">
          <cell r="A6347" t="str">
            <v>4521115U (ÖLFLEX® UNIPLUS 1X95 YE)</v>
          </cell>
          <cell r="B6347" t="str">
            <v>4521115U(ÖLFLEX® UNIPLUS 1X95 YE)</v>
          </cell>
          <cell r="C6347" t="str">
            <v>LAPP</v>
          </cell>
          <cell r="D6347" t="str">
            <v>Lapp-Non Moving Stocks</v>
          </cell>
        </row>
        <row r="6348">
          <cell r="A6348" t="str">
            <v>4621014U (Olflex Uniplus FR-LSH 1X70BK)</v>
          </cell>
          <cell r="B6348" t="str">
            <v>4621014U(Olflex Uniplus FR-LSH 1X70BK)</v>
          </cell>
          <cell r="C6348" t="str">
            <v>LAPP</v>
          </cell>
          <cell r="D6348" t="str">
            <v>Lapp-Non Moving Stocks</v>
          </cell>
        </row>
        <row r="6349">
          <cell r="A6349" t="str">
            <v>4610011U (ÖLFLEX® UNIPLUS FRLS 1X0.5 BK)</v>
          </cell>
          <cell r="B6349" t="str">
            <v>4610011U(ÖLFLEX® UNIPLUS FRLS 1X0.5 BK)</v>
          </cell>
          <cell r="C6349" t="str">
            <v>LAPP</v>
          </cell>
          <cell r="D6349" t="str">
            <v>Lapp-Non Moving Stocks</v>
          </cell>
        </row>
        <row r="6350">
          <cell r="A6350" t="str">
            <v>4610041U (ÖLFLEX® UNIPLUS FRLS 1X0.5 RD)</v>
          </cell>
          <cell r="B6350" t="str">
            <v>4610041U(ÖLFLEX® UNIPLUS FRLS 1X0.5 RD)</v>
          </cell>
          <cell r="C6350" t="str">
            <v>LAPP</v>
          </cell>
          <cell r="D6350" t="str">
            <v>Lapp-Non Moving Stocks</v>
          </cell>
        </row>
        <row r="6351">
          <cell r="A6351" t="str">
            <v>4620005U (ÖLFLEX® UNIPLUS FRLS 1X10 GNYE)</v>
          </cell>
          <cell r="B6351" t="str">
            <v>4620005U(ÖLFLEX® UNIPLUS FRLS 1X10 GNYE)</v>
          </cell>
          <cell r="C6351" t="str">
            <v>LAPP</v>
          </cell>
          <cell r="D6351" t="str">
            <v>Lapp-Non Moving Stocks</v>
          </cell>
        </row>
        <row r="6352">
          <cell r="A6352" t="str">
            <v>4620115U (ÖLFLEX® UNIPLUS FRLS 1X10 YE)</v>
          </cell>
          <cell r="B6352" t="str">
            <v>4620115U(ÖLFLEX® UNIPLUS FRLS 1X10 YE)</v>
          </cell>
          <cell r="C6352" t="str">
            <v>LAPP</v>
          </cell>
          <cell r="D6352" t="str">
            <v>Lapp-Non Moving Stocks</v>
          </cell>
        </row>
        <row r="6353">
          <cell r="A6353" t="str">
            <v>4621006U (ÖLFLEX® UNIPLUS FRLS 1X120 GNYE)</v>
          </cell>
          <cell r="B6353" t="str">
            <v>4621006U(ÖLFLEX® UNIPLUS FRLS 1X120 GNYE)</v>
          </cell>
          <cell r="C6353" t="str">
            <v>LAPP</v>
          </cell>
          <cell r="D6353" t="str">
            <v>Lapp-Non Moving Stocks</v>
          </cell>
        </row>
        <row r="6354">
          <cell r="A6354" t="str">
            <v>4620141U (ÖLFLEX® UNIPLUS FRLS 1X1.5 DBU)</v>
          </cell>
          <cell r="B6354" t="str">
            <v>4620141U(ÖLFLEX® UNIPLUS FRLS 1X1.5 DBU)</v>
          </cell>
          <cell r="C6354" t="str">
            <v>LAPP</v>
          </cell>
          <cell r="D6354" t="str">
            <v>Lapp-Non Moving Stocks</v>
          </cell>
        </row>
        <row r="6355">
          <cell r="A6355" t="str">
            <v>4620121U (ÖLFLEX® UNIPLUS FRLS 1X1.5 GN)</v>
          </cell>
          <cell r="B6355" t="str">
            <v>4620121U(ÖLFLEX® UNIPLUS FRLS 1X1.5 GN)</v>
          </cell>
          <cell r="C6355" t="str">
            <v>LAPP</v>
          </cell>
          <cell r="D6355" t="str">
            <v>Lapp-Non Moving Stocks</v>
          </cell>
        </row>
        <row r="6356">
          <cell r="A6356" t="str">
            <v>4620111U (ÖLFLEX® UNIPLUS FRLS 1X1.5 YE)</v>
          </cell>
          <cell r="B6356" t="str">
            <v>4620111U(ÖLFLEX® UNIPLUS FRLS 1X1.5 YE)</v>
          </cell>
          <cell r="C6356" t="str">
            <v>LAPP</v>
          </cell>
          <cell r="D6356" t="str">
            <v>Lapp-Non Moving Stocks</v>
          </cell>
        </row>
        <row r="6357">
          <cell r="A6357" t="str">
            <v>4620126U (ÖLFLEX® UNIPLUS FRLS 1X16 GN)</v>
          </cell>
          <cell r="B6357" t="str">
            <v>4620126U(ÖLFLEX® UNIPLUS FRLS 1X16 GN)</v>
          </cell>
          <cell r="C6357" t="str">
            <v>LAPP</v>
          </cell>
          <cell r="D6357" t="str">
            <v>Lapp-Non Moving Stocks</v>
          </cell>
        </row>
        <row r="6358">
          <cell r="A6358" t="str">
            <v>4620006U (ÖLFLEX® UNIPLUS FRLS 1X16 GNYE)</v>
          </cell>
          <cell r="B6358" t="str">
            <v>4620006U(ÖLFLEX® UNIPLUS FRLS 1X16 GNYE)</v>
          </cell>
          <cell r="C6358" t="str">
            <v>LAPP</v>
          </cell>
          <cell r="D6358" t="str">
            <v>Lapp-Non Moving Stocks</v>
          </cell>
        </row>
        <row r="6359">
          <cell r="A6359" t="str">
            <v>4620046U100 (ÖLFLEX® UNIPLUS FRLS 1X16 RD)</v>
          </cell>
          <cell r="B6359" t="str">
            <v>4620046U100(ÖLFLEX® UNIPLUS FRLS 1X16 RD)</v>
          </cell>
          <cell r="C6359" t="str">
            <v>LAPP</v>
          </cell>
          <cell r="D6359" t="str">
            <v>Lapp-Non Moving Stocks</v>
          </cell>
        </row>
        <row r="6360">
          <cell r="A6360" t="str">
            <v>4621018U (ÖLFLEX® UNIPLUS FRLS 1X185 BK)</v>
          </cell>
          <cell r="B6360" t="str">
            <v>4621018U(ÖLFLEX® UNIPLUS FRLS 1X185 BK)</v>
          </cell>
          <cell r="C6360" t="str">
            <v>LAPP</v>
          </cell>
          <cell r="D6360" t="str">
            <v>Lapp-Non Moving Stocks</v>
          </cell>
        </row>
        <row r="6361">
          <cell r="A6361" t="str">
            <v>4621009U (ÖLFLEX® UNIPLUS FRLS 1X240 GNYE)</v>
          </cell>
          <cell r="B6361" t="str">
            <v>4621009U(ÖLFLEX® UNIPLUS FRLS 1X240 GNYE)</v>
          </cell>
          <cell r="C6361" t="str">
            <v>LAPP</v>
          </cell>
          <cell r="D6361" t="str">
            <v>Lapp-Non Moving Stocks</v>
          </cell>
        </row>
        <row r="6362">
          <cell r="A6362" t="str">
            <v>4621002U (ÖLFLEX® UNIPLUS FRLS 1X35 GNYE)</v>
          </cell>
          <cell r="B6362" t="str">
            <v>4621002U(ÖLFLEX® UNIPLUS FRLS 1X35 GNYE)</v>
          </cell>
          <cell r="C6362" t="str">
            <v>LAPP</v>
          </cell>
          <cell r="D6362" t="str">
            <v>Lapp-Non Moving Stocks</v>
          </cell>
        </row>
        <row r="6363">
          <cell r="A6363" t="str">
            <v>4621013U (ÖLFLEX® UNIPLUS FRLS 1X50 BK)</v>
          </cell>
          <cell r="B6363" t="str">
            <v>4621013U(ÖLFLEX® UNIPLUS FRLS 1X50 BK)</v>
          </cell>
          <cell r="C6363" t="str">
            <v>LAPP</v>
          </cell>
          <cell r="D6363" t="str">
            <v>Lapp-Non Moving Stocks</v>
          </cell>
        </row>
        <row r="6364">
          <cell r="A6364" t="str">
            <v>4621003U (ÖLFLEX® UNIPLUS FRLS 1X50 GNYE)</v>
          </cell>
          <cell r="B6364" t="str">
            <v>4621003U(ÖLFLEX® UNIPLUS FRLS 1X50 GNYE)</v>
          </cell>
          <cell r="C6364" t="str">
            <v>LAPP</v>
          </cell>
          <cell r="D6364" t="str">
            <v>Lapp-Non Moving Stocks</v>
          </cell>
        </row>
        <row r="6365">
          <cell r="A6365" t="str">
            <v>4610031U (ÖLFLEX® UNIPLUS FR-LSH 1X0.5 BN)</v>
          </cell>
          <cell r="B6365" t="str">
            <v>4610031U(ÖLFLEX® UNIPLUS FR-LSH 1X0.5 BN)</v>
          </cell>
          <cell r="C6365" t="str">
            <v>LAPP</v>
          </cell>
          <cell r="D6365" t="str">
            <v>Lapp-Non Moving Stocks</v>
          </cell>
        </row>
        <row r="6366">
          <cell r="A6366" t="str">
            <v>4610021U (ÖLFLEX® UNIPLUS FR-LSH 1X0.5 BU)</v>
          </cell>
          <cell r="B6366" t="str">
            <v>4610021U(ÖLFLEX® UNIPLUS FR-LSH 1X0.5 BU)</v>
          </cell>
          <cell r="C6366" t="str">
            <v>LAPP</v>
          </cell>
          <cell r="D6366" t="str">
            <v>Lapp-Non Moving Stocks</v>
          </cell>
        </row>
        <row r="6367">
          <cell r="A6367" t="str">
            <v>4610061U_x000D_
 (ÖLFLEX® UNIPLUS FR-LSH 1X0.5 GY_x000D_
)</v>
          </cell>
          <cell r="B6367" t="str">
            <v>4610061U_x000D_
(ÖLFLEX® UNIPLUS FR-LSH 1X0.5 GY_x000D_
)</v>
          </cell>
          <cell r="C6367" t="str">
            <v>LAPP</v>
          </cell>
          <cell r="D6367" t="str">
            <v>Lapp-Non Moving Stocks</v>
          </cell>
        </row>
        <row r="6368">
          <cell r="A6368" t="str">
            <v>4610091U (ÖLFLEX® UNIPLUS FR-LSH 1X0.5 OG_x000D_
)</v>
          </cell>
          <cell r="B6368" t="str">
            <v>4610091U(ÖLFLEX® UNIPLUS FR-LSH 1X0.5 OG_x000D_
)</v>
          </cell>
          <cell r="C6368" t="str">
            <v>LAPP</v>
          </cell>
          <cell r="D6368" t="str">
            <v>Lapp-Non Moving Stocks</v>
          </cell>
        </row>
        <row r="6369">
          <cell r="A6369" t="str">
            <v>4610051U (ÖLFLEX® UNIPLUS FR-LSH 1X0.5 WH)</v>
          </cell>
          <cell r="B6369" t="str">
            <v>4610051U(ÖLFLEX® UNIPLUS FR-LSH 1X0.5 WH)</v>
          </cell>
          <cell r="C6369" t="str">
            <v>LAPP</v>
          </cell>
          <cell r="D6369" t="str">
            <v>Lapp-Non Moving Stocks</v>
          </cell>
        </row>
        <row r="6370">
          <cell r="A6370" t="str">
            <v>4610111U (ÖLFLEX® UNIPLUS FR-LSH 1X0.5 YE_x000D_
)</v>
          </cell>
          <cell r="B6370" t="str">
            <v>4610111U(ÖLFLEX® UNIPLUS FR-LSH 1X0.5 YE_x000D_
)</v>
          </cell>
          <cell r="C6370" t="str">
            <v>LAPP</v>
          </cell>
          <cell r="D6370" t="str">
            <v>Lapp-Non Moving Stocks</v>
          </cell>
        </row>
        <row r="6371">
          <cell r="A6371" t="str">
            <v>4610012U (ÖLFLEX® UNIPLUS FR-LSH 1X0.75 BK)</v>
          </cell>
          <cell r="B6371" t="str">
            <v>4610012U(ÖLFLEX® UNIPLUS FR-LSH 1X0.75 BK)</v>
          </cell>
          <cell r="C6371" t="str">
            <v>LAPP</v>
          </cell>
          <cell r="D6371" t="str">
            <v>Lapp-Non Moving Stocks</v>
          </cell>
        </row>
        <row r="6372">
          <cell r="A6372" t="str">
            <v>4610022U (ÖLFLEX® UNIPLUS FR-LSH 1X0.75 BU_x000D_
)</v>
          </cell>
          <cell r="B6372" t="str">
            <v>4610022U(ÖLFLEX® UNIPLUS FR-LSH 1X0.75 BU_x000D_
)</v>
          </cell>
          <cell r="C6372" t="str">
            <v>LAPP</v>
          </cell>
          <cell r="D6372" t="str">
            <v>Lapp-Non Moving Stocks</v>
          </cell>
        </row>
        <row r="6373">
          <cell r="A6373" t="str">
            <v>4610042U (ÖLFLEX® UNIPLUS FR-LSH 1X0.75 RD)</v>
          </cell>
          <cell r="B6373" t="str">
            <v>4610042U(ÖLFLEX® UNIPLUS FR-LSH 1X0.75 RD)</v>
          </cell>
          <cell r="C6373" t="str">
            <v>LAPP</v>
          </cell>
          <cell r="D6373" t="str">
            <v>Lapp-Non Moving Stocks</v>
          </cell>
        </row>
        <row r="6374">
          <cell r="A6374" t="str">
            <v>4610052U (ÖLFLEX® UNIPLUS FR-LSH 1X0.75 WH_x000D_
)</v>
          </cell>
          <cell r="B6374" t="str">
            <v>4610052U(ÖLFLEX® UNIPLUS FR-LSH 1X0.75 WH_x000D_
)</v>
          </cell>
          <cell r="C6374" t="str">
            <v>LAPP</v>
          </cell>
          <cell r="D6374" t="str">
            <v>Lapp-Non Moving Stocks</v>
          </cell>
        </row>
        <row r="6375">
          <cell r="A6375" t="str">
            <v>4620015U (ÖLFLEX® UNIPLUS FR-LSH 1X10 BK_x000D_
)</v>
          </cell>
          <cell r="B6375" t="str">
            <v>4620015U(ÖLFLEX® UNIPLUS FR-LSH 1X10 BK_x000D_
)</v>
          </cell>
          <cell r="C6375" t="str">
            <v>LAPP</v>
          </cell>
          <cell r="D6375" t="str">
            <v>Lapp-Non Moving Stocks</v>
          </cell>
        </row>
        <row r="6376">
          <cell r="A6376" t="str">
            <v>4620025U (ÖLFLEX® UNIPLUS FR-LSH 1X10 BU_x000D_
)</v>
          </cell>
          <cell r="B6376" t="str">
            <v>4620025U(ÖLFLEX® UNIPLUS FR-LSH 1X10 BU_x000D_
)</v>
          </cell>
          <cell r="C6376" t="str">
            <v>LAPP</v>
          </cell>
          <cell r="D6376" t="str">
            <v>Lapp-Non Moving Stocks</v>
          </cell>
        </row>
        <row r="6377">
          <cell r="A6377" t="str">
            <v>4620045U (ÖLFLEX® UNIPLUS FR-LSH 1X10 RD_x000D_
)</v>
          </cell>
          <cell r="B6377" t="str">
            <v>4620045U(ÖLFLEX® UNIPLUS FR-LSH 1X10 RD_x000D_
)</v>
          </cell>
          <cell r="C6377" t="str">
            <v>LAPP</v>
          </cell>
          <cell r="D6377" t="str">
            <v>Lapp-Non Moving Stocks</v>
          </cell>
        </row>
        <row r="6378">
          <cell r="A6378" t="str">
            <v>4620055U (ÖLFLEX® UNIPLUS FR-LSH 1X10 WH_x000D_
)</v>
          </cell>
          <cell r="B6378" t="str">
            <v>4620055U(ÖLFLEX® UNIPLUS FR-LSH 1X10 WH_x000D_
)</v>
          </cell>
          <cell r="C6378" t="str">
            <v>LAPP</v>
          </cell>
          <cell r="D6378" t="str">
            <v>Lapp-Non Moving Stocks</v>
          </cell>
        </row>
        <row r="6379">
          <cell r="A6379" t="str">
            <v>4620011U (ÖLFLEX® UNIPLUS FR-LSH 1X1.5 BK_x000D_
)</v>
          </cell>
          <cell r="B6379" t="str">
            <v>4620011U(ÖLFLEX® UNIPLUS FR-LSH 1X1.5 BK_x000D_
)</v>
          </cell>
          <cell r="C6379" t="str">
            <v>LAPP</v>
          </cell>
          <cell r="D6379" t="str">
            <v>Lapp-Non Moving Stocks</v>
          </cell>
        </row>
        <row r="6380">
          <cell r="A6380" t="str">
            <v>4620031U (ÖLFLEX® UNIPLUS FR-LSH 1X1.5 BN)</v>
          </cell>
          <cell r="B6380" t="str">
            <v>4620031U(ÖLFLEX® UNIPLUS FR-LSH 1X1.5 BN)</v>
          </cell>
          <cell r="C6380" t="str">
            <v>LAPP</v>
          </cell>
          <cell r="D6380" t="str">
            <v>Lapp-Non Moving Stocks</v>
          </cell>
        </row>
        <row r="6381">
          <cell r="A6381" t="str">
            <v>4620021U (ÖLFLEX® UNIPLUS FR-LSH 1X1.5 BU)</v>
          </cell>
          <cell r="B6381" t="str">
            <v>4620021U(ÖLFLEX® UNIPLUS FR-LSH 1X1.5 BU)</v>
          </cell>
          <cell r="C6381" t="str">
            <v>LAPP</v>
          </cell>
          <cell r="D6381" t="str">
            <v>Lapp-Non Moving Stocks</v>
          </cell>
        </row>
        <row r="6382">
          <cell r="A6382" t="str">
            <v>4620001U (ÖLFLEX® UNIPLUS FR-LSH 1X1.5 GNYE)</v>
          </cell>
          <cell r="B6382" t="str">
            <v>4620001U(ÖLFLEX® UNIPLUS FR-LSH 1X1.5 GNYE)</v>
          </cell>
          <cell r="C6382" t="str">
            <v>LAPP</v>
          </cell>
          <cell r="D6382" t="str">
            <v>Lapp-Non Moving Stocks</v>
          </cell>
        </row>
        <row r="6383">
          <cell r="A6383" t="str">
            <v>4620091U (ÖLFLEX® UNIPLUS FR-LSH 1X1.5 OG_x000D_
)</v>
          </cell>
          <cell r="B6383" t="str">
            <v>4620091U(ÖLFLEX® UNIPLUS FR-LSH 1X1.5 OG_x000D_
)</v>
          </cell>
          <cell r="C6383" t="str">
            <v>LAPP</v>
          </cell>
          <cell r="D6383" t="str">
            <v>Lapp-Non Moving Stocks</v>
          </cell>
        </row>
        <row r="6384">
          <cell r="A6384" t="str">
            <v>4620041U (ÖLFLEX® UNIPLUS FR-LSH 1X1.5 RD_x000D_
)</v>
          </cell>
          <cell r="B6384" t="str">
            <v>4620041U(ÖLFLEX® UNIPLUS FR-LSH 1X1.5 RD_x000D_
)</v>
          </cell>
          <cell r="C6384" t="str">
            <v>LAPP</v>
          </cell>
          <cell r="D6384" t="str">
            <v>Lapp-Non Moving Stocks</v>
          </cell>
        </row>
        <row r="6385">
          <cell r="A6385" t="str">
            <v>4620051U (ÖLFLEX® UNIPLUS FR-LSH 1X1.5 WH_x000D_
)</v>
          </cell>
          <cell r="B6385" t="str">
            <v>4620051U(ÖLFLEX® UNIPLUS FR-LSH 1X1.5 WH_x000D_
)</v>
          </cell>
          <cell r="C6385" t="str">
            <v>LAPP</v>
          </cell>
          <cell r="D6385" t="str">
            <v>Lapp-Non Moving Stocks</v>
          </cell>
        </row>
        <row r="6386">
          <cell r="A6386" t="str">
            <v>4620016U (ÖLFLEX® UNIPLUS FR-LSH 1X16 BK_x000D_
)</v>
          </cell>
          <cell r="B6386" t="str">
            <v>4620016U(ÖLFLEX® UNIPLUS FR-LSH 1X16 BK_x000D_
)</v>
          </cell>
          <cell r="C6386" t="str">
            <v>LAPP</v>
          </cell>
          <cell r="D6386" t="str">
            <v>Lapp-Non Moving Stocks</v>
          </cell>
        </row>
        <row r="6387">
          <cell r="A6387" t="str">
            <v>4610013U (ÖLFLEX® UNIPLUS FR-LSH 1X1 BK)</v>
          </cell>
          <cell r="B6387" t="str">
            <v>4610013U(ÖLFLEX® UNIPLUS FR-LSH 1X1 BK)</v>
          </cell>
          <cell r="C6387" t="str">
            <v>LAPP</v>
          </cell>
          <cell r="D6387" t="str">
            <v>Lapp-Non Moving Stocks</v>
          </cell>
        </row>
        <row r="6388">
          <cell r="A6388" t="str">
            <v>4610023U (ÖLFLEX® UNIPLUS FR-LSH 1X1 BU_x000D_
)</v>
          </cell>
          <cell r="B6388" t="str">
            <v>4610023U(ÖLFLEX® UNIPLUS FR-LSH 1X1 BU_x000D_
)</v>
          </cell>
          <cell r="C6388" t="str">
            <v>LAPP</v>
          </cell>
          <cell r="D6388" t="str">
            <v>Lapp-Non Moving Stocks</v>
          </cell>
        </row>
        <row r="6389">
          <cell r="A6389" t="str">
            <v>4610003U (ÖLFLEX® UNIPLUS FR-LSH 1X1 GNYE)</v>
          </cell>
          <cell r="B6389" t="str">
            <v>4610003U(ÖLFLEX® UNIPLUS FR-LSH 1X1 GNYE)</v>
          </cell>
          <cell r="C6389" t="str">
            <v>LAPP</v>
          </cell>
          <cell r="D6389" t="str">
            <v>Lapp-Non Moving Stocks</v>
          </cell>
        </row>
        <row r="6390">
          <cell r="A6390" t="str">
            <v>4610063U (ÖLFLEX® UNIPLUS FR-LSH 1X1 GY)</v>
          </cell>
          <cell r="B6390" t="str">
            <v>4610063U(ÖLFLEX® UNIPLUS FR-LSH 1X1 GY)</v>
          </cell>
          <cell r="C6390" t="str">
            <v>LAPP</v>
          </cell>
          <cell r="D6390" t="str">
            <v>Lapp-Non Moving Stocks</v>
          </cell>
        </row>
        <row r="6391">
          <cell r="A6391" t="str">
            <v>4610093U (ÖLFLEX® UNIPLUS FR-LSH 1X1 OG_x000D_
)</v>
          </cell>
          <cell r="B6391" t="str">
            <v>4610093U(ÖLFLEX® UNIPLUS FR-LSH 1X1 OG_x000D_
)</v>
          </cell>
          <cell r="C6391" t="str">
            <v>LAPP</v>
          </cell>
          <cell r="D6391" t="str">
            <v>Lapp-Non Moving Stocks</v>
          </cell>
        </row>
        <row r="6392">
          <cell r="A6392" t="str">
            <v>4610083U (ÖLFLEX® UNIPLUS FR-LSH 1X1 PK_x000D_
)</v>
          </cell>
          <cell r="B6392" t="str">
            <v>4610083U(ÖLFLEX® UNIPLUS FR-LSH 1X1 PK_x000D_
)</v>
          </cell>
          <cell r="C6392" t="str">
            <v>LAPP</v>
          </cell>
          <cell r="D6392" t="str">
            <v>Lapp-Non Moving Stocks</v>
          </cell>
        </row>
        <row r="6393">
          <cell r="A6393" t="str">
            <v>4610043U (ÖLFLEX® UNIPLUS FR-LSH 1X1 RD_x000D_
)</v>
          </cell>
          <cell r="B6393" t="str">
            <v>4610043U(ÖLFLEX® UNIPLUS FR-LSH 1X1 RD_x000D_
)</v>
          </cell>
          <cell r="C6393" t="str">
            <v>LAPP</v>
          </cell>
          <cell r="D6393" t="str">
            <v>Lapp-Non Moving Stocks</v>
          </cell>
        </row>
        <row r="6394">
          <cell r="A6394" t="str">
            <v>4610053U (ÖLFLEX® UNIPLUS FR-LSH 1X1 WH)</v>
          </cell>
          <cell r="B6394" t="str">
            <v>4610053U(ÖLFLEX® UNIPLUS FR-LSH 1X1 WH)</v>
          </cell>
          <cell r="C6394" t="str">
            <v>LAPP</v>
          </cell>
          <cell r="D6394" t="str">
            <v>Lapp-Non Moving Stocks</v>
          </cell>
        </row>
        <row r="6395">
          <cell r="A6395" t="str">
            <v>4610113U (ÖLFLEX® UNIPLUS FR-LSH 1X1 YE_x000D_
)</v>
          </cell>
          <cell r="B6395" t="str">
            <v>4610113U(ÖLFLEX® UNIPLUS FR-LSH 1X1 YE_x000D_
)</v>
          </cell>
          <cell r="C6395" t="str">
            <v>LAPP</v>
          </cell>
          <cell r="D6395" t="str">
            <v>Lapp-Non Moving Stocks</v>
          </cell>
        </row>
        <row r="6396">
          <cell r="A6396" t="str">
            <v>4620012U (ÖLFLEX® UNIPLUS FR-LSH 1X2.5 BK)</v>
          </cell>
          <cell r="B6396" t="str">
            <v>4620012U(ÖLFLEX® UNIPLUS FR-LSH 1X2.5 BK)</v>
          </cell>
          <cell r="C6396" t="str">
            <v>LAPP</v>
          </cell>
          <cell r="D6396" t="str">
            <v>Lapp-Non Moving Stocks</v>
          </cell>
        </row>
        <row r="6397">
          <cell r="A6397" t="str">
            <v>4621011U (ÖLFLEX® UNIPLUS FR-LSH 1X25 BK_x000D_
)</v>
          </cell>
          <cell r="B6397" t="str">
            <v>4621011U(ÖLFLEX® UNIPLUS FR-LSH 1X25 BK_x000D_
)</v>
          </cell>
          <cell r="C6397" t="str">
            <v>LAPP</v>
          </cell>
          <cell r="D6397" t="str">
            <v>Lapp-Non Moving Stocks</v>
          </cell>
        </row>
        <row r="6398">
          <cell r="A6398" t="str">
            <v>4620032U (ÖLFLEX® UNIPLUS FR-LSH 1X2.5 BN_x000D_
)</v>
          </cell>
          <cell r="B6398" t="str">
            <v>4620032U(ÖLFLEX® UNIPLUS FR-LSH 1X2.5 BN_x000D_
)</v>
          </cell>
          <cell r="C6398" t="str">
            <v>LAPP</v>
          </cell>
          <cell r="D6398" t="str">
            <v>Lapp-Non Moving Stocks</v>
          </cell>
        </row>
        <row r="6399">
          <cell r="A6399" t="str">
            <v>4620022U (ÖLFLEX® UNIPLUS FR-LSH 1X2.5 BU)</v>
          </cell>
          <cell r="B6399" t="str">
            <v>4620022U(ÖLFLEX® UNIPLUS FR-LSH 1X2.5 BU)</v>
          </cell>
          <cell r="C6399" t="str">
            <v>LAPP</v>
          </cell>
          <cell r="D6399" t="str">
            <v>Lapp-Non Moving Stocks</v>
          </cell>
        </row>
        <row r="6400">
          <cell r="A6400" t="str">
            <v>4621021U (ÖLFLEX® UNIPLUS FR-LSH 1X25 BU_x000D_
)</v>
          </cell>
          <cell r="B6400" t="str">
            <v>4621021U(ÖLFLEX® UNIPLUS FR-LSH 1X25 BU_x000D_
)</v>
          </cell>
          <cell r="C6400" t="str">
            <v>LAPP</v>
          </cell>
          <cell r="D6400" t="str">
            <v>Lapp-Non Moving Stocks</v>
          </cell>
        </row>
        <row r="6401">
          <cell r="A6401" t="str">
            <v>4620122U (ÖLFLEX® UNIPLUS FR-LSH 1X2.5 GN)</v>
          </cell>
          <cell r="B6401" t="str">
            <v>4620122U(ÖLFLEX® UNIPLUS FR-LSH 1X2.5 GN)</v>
          </cell>
          <cell r="C6401" t="str">
            <v>LAPP</v>
          </cell>
          <cell r="D6401" t="str">
            <v>Lapp-Non Moving Stocks</v>
          </cell>
        </row>
        <row r="6402">
          <cell r="A6402" t="str">
            <v>4620002U (ÖLFLEX® UNIPLUS FR-LSH 1X2.5 GNYE)</v>
          </cell>
          <cell r="B6402" t="str">
            <v>4620002U(ÖLFLEX® UNIPLUS FR-LSH 1X2.5 GNYE)</v>
          </cell>
          <cell r="C6402" t="str">
            <v>LAPP</v>
          </cell>
          <cell r="D6402" t="str">
            <v>Lapp-Non Moving Stocks</v>
          </cell>
        </row>
        <row r="6403">
          <cell r="A6403" t="str">
            <v>4621001U (ÖLFLEX® UNIPLUS FR-LSH 1X25 GNYE_x000D_
)</v>
          </cell>
          <cell r="B6403" t="str">
            <v>4621001U(ÖLFLEX® UNIPLUS FR-LSH 1X25 GNYE_x000D_
)</v>
          </cell>
          <cell r="C6403" t="str">
            <v>LAPP</v>
          </cell>
          <cell r="D6403" t="str">
            <v>Lapp-Non Moving Stocks</v>
          </cell>
        </row>
        <row r="6404">
          <cell r="A6404" t="str">
            <v>4620062U (ÖLFLEX® UNIPLUS FR-LSH 1X2.5 GY_x000D_
)</v>
          </cell>
          <cell r="B6404" t="str">
            <v>4620062U(ÖLFLEX® UNIPLUS FR-LSH 1X2.5 GY_x000D_
)</v>
          </cell>
          <cell r="C6404" t="str">
            <v>LAPP</v>
          </cell>
          <cell r="D6404" t="str">
            <v>Lapp-Non Moving Stocks</v>
          </cell>
        </row>
        <row r="6405">
          <cell r="A6405" t="str">
            <v>4620042U (ÖLFLEX® UNIPLUS FR-LSH 1X2.5 RD)</v>
          </cell>
          <cell r="B6405" t="str">
            <v>4620042U(ÖLFLEX® UNIPLUS FR-LSH 1X2.5 RD)</v>
          </cell>
          <cell r="C6405" t="str">
            <v>LAPP</v>
          </cell>
          <cell r="D6405" t="str">
            <v>Lapp-Non Moving Stocks</v>
          </cell>
        </row>
        <row r="6406">
          <cell r="A6406" t="str">
            <v>4621041U (ÖLFLEX® UNIPLUS FR-LSH 1X25 RD_x000D_
)</v>
          </cell>
          <cell r="B6406" t="str">
            <v>4621041U(ÖLFLEX® UNIPLUS FR-LSH 1X25 RD_x000D_
)</v>
          </cell>
          <cell r="C6406" t="str">
            <v>LAPP</v>
          </cell>
          <cell r="D6406" t="str">
            <v>Lapp-Non Moving Stocks</v>
          </cell>
        </row>
        <row r="6407">
          <cell r="A6407" t="str">
            <v>4621051U_x000D_
 (ÖLFLEX® UNIPLUS FR-LSH 1X25WH)</v>
          </cell>
          <cell r="B6407" t="str">
            <v>4621051U_x000D_
(ÖLFLEX® UNIPLUS FR-LSH 1X25WH)</v>
          </cell>
          <cell r="C6407" t="str">
            <v>LAPP</v>
          </cell>
          <cell r="D6407" t="str">
            <v>Lapp-Non Moving Stocks</v>
          </cell>
        </row>
        <row r="6408">
          <cell r="A6408" t="str">
            <v>4620052U (ÖLFLEX® UNIPLUS FR-LSH 1X2.5 WH_x000D_
)</v>
          </cell>
          <cell r="B6408" t="str">
            <v>4620052U(ÖLFLEX® UNIPLUS FR-LSH 1X2.5 WH_x000D_
)</v>
          </cell>
          <cell r="C6408" t="str">
            <v>LAPP</v>
          </cell>
          <cell r="D6408" t="str">
            <v>Lapp-Non Moving Stocks</v>
          </cell>
        </row>
        <row r="6409">
          <cell r="A6409" t="str">
            <v>4620112U (ÖLFLEX® UNIPLUS FR-LSH 1X2.5 YE)</v>
          </cell>
          <cell r="B6409" t="str">
            <v>4620112U(ÖLFLEX® UNIPLUS FR-LSH 1X2.5 YE)</v>
          </cell>
          <cell r="C6409" t="str">
            <v>LAPP</v>
          </cell>
          <cell r="D6409" t="str">
            <v>Lapp-Non Moving Stocks</v>
          </cell>
        </row>
        <row r="6410">
          <cell r="A6410" t="str">
            <v>4621012U (ÖLFLEX® UNIPLUS FR-LSH 1X35 BK_x000D_
)</v>
          </cell>
          <cell r="B6410" t="str">
            <v>4621012U(ÖLFLEX® UNIPLUS FR-LSH 1X35 BK_x000D_
)</v>
          </cell>
          <cell r="C6410" t="str">
            <v>LAPP</v>
          </cell>
          <cell r="D6410" t="str">
            <v>Lapp-Non Moving Stocks</v>
          </cell>
        </row>
        <row r="6411">
          <cell r="A6411" t="str">
            <v>4620013U (ÖLFLEX® UNIPLUS FR-LSH 1X4 BK_x000D_
)</v>
          </cell>
          <cell r="B6411" t="str">
            <v>4620013U(ÖLFLEX® UNIPLUS FR-LSH 1X4 BK_x000D_
)</v>
          </cell>
          <cell r="C6411" t="str">
            <v>LAPP</v>
          </cell>
          <cell r="D6411" t="str">
            <v>Lapp-Non Moving Stocks</v>
          </cell>
        </row>
        <row r="6412">
          <cell r="A6412" t="str">
            <v>4620033U (ÖLFLEX® UNIPLUS FR-LSH 1X4 BN_x000D_
)</v>
          </cell>
          <cell r="B6412" t="str">
            <v>4620033U(ÖLFLEX® UNIPLUS FR-LSH 1X4 BN_x000D_
)</v>
          </cell>
          <cell r="C6412" t="str">
            <v>LAPP</v>
          </cell>
          <cell r="D6412" t="str">
            <v>Lapp-Non Moving Stocks</v>
          </cell>
        </row>
        <row r="6413">
          <cell r="A6413" t="str">
            <v>4620023U (ÖLFLEX® UNIPLUS FR-LSH 1X4 BU)</v>
          </cell>
          <cell r="B6413" t="str">
            <v>4620023U(ÖLFLEX® UNIPLUS FR-LSH 1X4 BU)</v>
          </cell>
          <cell r="C6413" t="str">
            <v>LAPP</v>
          </cell>
          <cell r="D6413" t="str">
            <v>Lapp-Non Moving Stocks</v>
          </cell>
        </row>
        <row r="6414">
          <cell r="A6414" t="str">
            <v>4620123U (ÖLFLEX® UNIPLUS FR-LSH 1X4 GN_x000D_
)</v>
          </cell>
          <cell r="B6414" t="str">
            <v>4620123U(ÖLFLEX® UNIPLUS FR-LSH 1X4 GN_x000D_
)</v>
          </cell>
          <cell r="C6414" t="str">
            <v>LAPP</v>
          </cell>
          <cell r="D6414" t="str">
            <v>Lapp-Non Moving Stocks</v>
          </cell>
        </row>
        <row r="6415">
          <cell r="A6415" t="str">
            <v>4620003U (ÖLFLEX® UNIPLUS FR-LSH 1X4 GNYE)</v>
          </cell>
          <cell r="B6415" t="str">
            <v>4620003U(ÖLFLEX® UNIPLUS FR-LSH 1X4 GNYE)</v>
          </cell>
          <cell r="C6415" t="str">
            <v>LAPP</v>
          </cell>
          <cell r="D6415" t="str">
            <v>Lapp-Non Moving Stocks</v>
          </cell>
        </row>
        <row r="6416">
          <cell r="A6416" t="str">
            <v>4620043U (ÖLFLEX® UNIPLUS FR-LSH 1X4 RD_x000D_
)</v>
          </cell>
          <cell r="B6416" t="str">
            <v>4620043U(ÖLFLEX® UNIPLUS FR-LSH 1X4 RD_x000D_
)</v>
          </cell>
          <cell r="C6416" t="str">
            <v>LAPP</v>
          </cell>
          <cell r="D6416" t="str">
            <v>Lapp-Non Moving Stocks</v>
          </cell>
        </row>
        <row r="6417">
          <cell r="A6417" t="str">
            <v>4620053U (ÖLFLEX® UNIPLUS FR-LSH 1X4 WH_x000D_
)</v>
          </cell>
          <cell r="B6417" t="str">
            <v>4620053U(ÖLFLEX® UNIPLUS FR-LSH 1X4 WH_x000D_
)</v>
          </cell>
          <cell r="C6417" t="str">
            <v>LAPP</v>
          </cell>
          <cell r="D6417" t="str">
            <v>Lapp-Non Moving Stocks</v>
          </cell>
        </row>
        <row r="6418">
          <cell r="A6418" t="str">
            <v>4620113U (ÖLFLEX® UNIPLUS FR-LSH 1X4 YE)</v>
          </cell>
          <cell r="B6418" t="str">
            <v>4620113U(ÖLFLEX® UNIPLUS FR-LSH 1X4 YE)</v>
          </cell>
          <cell r="C6418" t="str">
            <v>LAPP</v>
          </cell>
          <cell r="D6418" t="str">
            <v>Lapp-Non Moving Stocks</v>
          </cell>
        </row>
        <row r="6419">
          <cell r="A6419" t="str">
            <v>4620014U (ÖLFLEX® UNIPLUS FR-LSH 1X6 BK)</v>
          </cell>
          <cell r="B6419" t="str">
            <v>4620014U(ÖLFLEX® UNIPLUS FR-LSH 1X6 BK)</v>
          </cell>
          <cell r="C6419" t="str">
            <v>LAPP</v>
          </cell>
          <cell r="D6419" t="str">
            <v>Lapp-Non Moving Stocks</v>
          </cell>
        </row>
        <row r="6420">
          <cell r="A6420" t="str">
            <v>4620034U (ÖLFLEX® UNIPLUS FR-LSH 1X6 BN)</v>
          </cell>
          <cell r="B6420" t="str">
            <v>4620034U(ÖLFLEX® UNIPLUS FR-LSH 1X6 BN)</v>
          </cell>
          <cell r="C6420" t="str">
            <v>LAPP</v>
          </cell>
          <cell r="D6420" t="str">
            <v>Lapp-Non Moving Stocks</v>
          </cell>
        </row>
        <row r="6421">
          <cell r="A6421" t="str">
            <v>4620024U (ÖLFLEX® UNIPLUS FR-LSH 1X6 BU)</v>
          </cell>
          <cell r="B6421" t="str">
            <v>4620024U(ÖLFLEX® UNIPLUS FR-LSH 1X6 BU)</v>
          </cell>
          <cell r="C6421" t="str">
            <v>LAPP</v>
          </cell>
          <cell r="D6421" t="str">
            <v>Lapp-Non Moving Stocks</v>
          </cell>
        </row>
        <row r="6422">
          <cell r="A6422" t="str">
            <v>4620124U (ÖLFLEX® UNIPLUS FR-LSH 1X6 GN_x000D_
)</v>
          </cell>
          <cell r="B6422" t="str">
            <v>4620124U(ÖLFLEX® UNIPLUS FR-LSH 1X6 GN_x000D_
)</v>
          </cell>
          <cell r="C6422" t="str">
            <v>LAPP</v>
          </cell>
          <cell r="D6422" t="str">
            <v>Lapp-Non Moving Stocks</v>
          </cell>
        </row>
        <row r="6423">
          <cell r="A6423" t="str">
            <v>4620004U (ÖLFLEX® UNIPLUS FR-LSH 1X6 GNYE)</v>
          </cell>
          <cell r="B6423" t="str">
            <v>4620004U(ÖLFLEX® UNIPLUS FR-LSH 1X6 GNYE)</v>
          </cell>
          <cell r="C6423" t="str">
            <v>LAPP</v>
          </cell>
          <cell r="D6423" t="str">
            <v>Lapp-Non Moving Stocks</v>
          </cell>
        </row>
        <row r="6424">
          <cell r="A6424" t="str">
            <v>4620064U (ÖLFLEX® UNIPLUS FR-LSH 1X6 GY_x000D_
)</v>
          </cell>
          <cell r="B6424" t="str">
            <v>4620064U(ÖLFLEX® UNIPLUS FR-LSH 1X6 GY_x000D_
)</v>
          </cell>
          <cell r="C6424" t="str">
            <v>LAPP</v>
          </cell>
          <cell r="D6424" t="str">
            <v>Lapp-Non Moving Stocks</v>
          </cell>
        </row>
        <row r="6425">
          <cell r="A6425" t="str">
            <v>4620044U (ÖLFLEX® UNIPLUS FR-LSH 1X6 RD)</v>
          </cell>
          <cell r="B6425" t="str">
            <v>4620044U(ÖLFLEX® UNIPLUS FR-LSH 1X6 RD)</v>
          </cell>
          <cell r="C6425" t="str">
            <v>LAPP</v>
          </cell>
          <cell r="D6425" t="str">
            <v>Lapp-Non Moving Stocks</v>
          </cell>
        </row>
        <row r="6426">
          <cell r="A6426" t="str">
            <v>4620054U (ÖLFLEX® UNIPLUS FR-LSH 1X6 WH_x000D_
)</v>
          </cell>
          <cell r="B6426" t="str">
            <v>4620054U(ÖLFLEX® UNIPLUS FR-LSH 1X6 WH_x000D_
)</v>
          </cell>
          <cell r="C6426" t="str">
            <v>LAPP</v>
          </cell>
          <cell r="D6426" t="str">
            <v>Lapp-Non Moving Stocks</v>
          </cell>
        </row>
        <row r="6427">
          <cell r="A6427" t="str">
            <v>4620114U (ÖLFLEX® UNIPLUS FR-LSH 1X6 YE_x000D_
)</v>
          </cell>
          <cell r="B6427" t="str">
            <v>4620114U(ÖLFLEX® UNIPLUS FR-LSH 1X6 YE_x000D_
)</v>
          </cell>
          <cell r="C6427" t="str">
            <v>LAPP</v>
          </cell>
          <cell r="D6427" t="str">
            <v>Lapp-Non Moving Stocks</v>
          </cell>
        </row>
        <row r="6428">
          <cell r="A6428" t="str">
            <v>34725013U (LAPP KABEL® UNIPLUS HF FRLS 1x1 BK_x000D_
)</v>
          </cell>
          <cell r="B6428" t="str">
            <v>34725013U(LAPP KABEL® UNIPLUS HF FRLS 1x1 BK_x000D_
)</v>
          </cell>
          <cell r="C6428" t="str">
            <v>LAPP</v>
          </cell>
          <cell r="D6428" t="str">
            <v>Lapp-Non Moving Stocks</v>
          </cell>
        </row>
        <row r="6429">
          <cell r="A6429" t="str">
            <v>4725093U (Olflex Uniplus HFFR 1x1OG)</v>
          </cell>
          <cell r="B6429" t="str">
            <v>4725093U(Olflex Uniplus HFFR 1x1OG)</v>
          </cell>
          <cell r="C6429" t="str">
            <v>LAPP</v>
          </cell>
          <cell r="D6429" t="str">
            <v>Lapp-Non Moving Stocks</v>
          </cell>
        </row>
        <row r="6430">
          <cell r="A6430" t="str">
            <v>4725011U_x000D_
 (ÖLFLEX® UNIPLUS HFFR 1X0.5 BK_x000D_
)</v>
          </cell>
          <cell r="B6430" t="str">
            <v>4725011U_x000D_
(ÖLFLEX® UNIPLUS HFFR 1X0.5 BK_x000D_
)</v>
          </cell>
          <cell r="C6430" t="str">
            <v>LAPP</v>
          </cell>
          <cell r="D6430" t="str">
            <v>Lapp-Non Moving Stocks</v>
          </cell>
        </row>
        <row r="6431">
          <cell r="A6431" t="str">
            <v>4725061U (ÖLFLEX® UNIPLUS HFFR 1x0.5 GY_x000D_
)</v>
          </cell>
          <cell r="B6431" t="str">
            <v>4725061U(ÖLFLEX® UNIPLUS HFFR 1x0.5 GY_x000D_
)</v>
          </cell>
          <cell r="C6431" t="str">
            <v>LAPP</v>
          </cell>
          <cell r="D6431" t="str">
            <v>Lapp-Non Moving Stocks</v>
          </cell>
        </row>
        <row r="6432">
          <cell r="A6432" t="str">
            <v>4726065U (ÖLFLEX® UNIPLUS HFFR 1 x 10 GY_x000D_
)</v>
          </cell>
          <cell r="B6432" t="str">
            <v>4726065U(ÖLFLEX® UNIPLUS HFFR 1 x 10 GY_x000D_
)</v>
          </cell>
          <cell r="C6432" t="str">
            <v>LAPP</v>
          </cell>
          <cell r="D6432" t="str">
            <v>Lapp-Non Moving Stocks</v>
          </cell>
        </row>
        <row r="6433">
          <cell r="A6433" t="str">
            <v>4727003U (ÖLFLEX® UNIPLUS HFFR 1X120 GNYE)</v>
          </cell>
          <cell r="B6433" t="str">
            <v>4727003U(ÖLFLEX® UNIPLUS HFFR 1X120 GNYE)</v>
          </cell>
          <cell r="C6433" t="str">
            <v>LAPP</v>
          </cell>
          <cell r="D6433" t="str">
            <v>Lapp-Non Moving Stocks</v>
          </cell>
        </row>
        <row r="6434">
          <cell r="A6434" t="str">
            <v>4726011U_x000D_
 (ÖLFLEX® UNIPLUS HFFR 1x1.5 BK_x000D_
)</v>
          </cell>
          <cell r="B6434" t="str">
            <v>4726011U_x000D_
(ÖLFLEX® UNIPLUS HFFR 1x1.5 BK_x000D_
)</v>
          </cell>
          <cell r="C6434" t="str">
            <v>LAPP</v>
          </cell>
          <cell r="D6434" t="str">
            <v>Lapp-Non Moving Stocks</v>
          </cell>
        </row>
        <row r="6435">
          <cell r="A6435" t="str">
            <v>4726031U (ÖLFLEX® UNIPLUS HFFR 1x1.5 BN_x000D_
)</v>
          </cell>
          <cell r="B6435" t="str">
            <v>4726031U(ÖLFLEX® UNIPLUS HFFR 1x1.5 BN_x000D_
)</v>
          </cell>
          <cell r="C6435" t="str">
            <v>LAPP</v>
          </cell>
          <cell r="D6435" t="str">
            <v>Lapp-Non Moving Stocks</v>
          </cell>
        </row>
        <row r="6436">
          <cell r="A6436" t="str">
            <v>4726021U (ÖLFLEX® UNIPLUS HFFR 1x1.5 BU)</v>
          </cell>
          <cell r="B6436" t="str">
            <v>4726021U(ÖLFLEX® UNIPLUS HFFR 1x1.5 BU)</v>
          </cell>
          <cell r="C6436" t="str">
            <v>LAPP</v>
          </cell>
          <cell r="D6436" t="str">
            <v>Lapp-Non Moving Stocks</v>
          </cell>
        </row>
        <row r="6437">
          <cell r="A6437" t="str">
            <v>4726061U (ÖLFLEX® UNIPLUS HFFR 1x1.5 GY_x000D_
)</v>
          </cell>
          <cell r="B6437" t="str">
            <v>4726061U(ÖLFLEX® UNIPLUS HFFR 1x1.5 GY_x000D_
)</v>
          </cell>
          <cell r="C6437" t="str">
            <v>LAPP</v>
          </cell>
          <cell r="D6437" t="str">
            <v>Lapp-Non Moving Stocks</v>
          </cell>
        </row>
        <row r="6438">
          <cell r="A6438" t="str">
            <v>4726091U (ÖLFLEX® UNIPLUS HFFR 1x1.5 OG)</v>
          </cell>
          <cell r="B6438" t="str">
            <v>4726091U(ÖLFLEX® UNIPLUS HFFR 1x1.5 OG)</v>
          </cell>
          <cell r="C6438" t="str">
            <v>LAPP</v>
          </cell>
          <cell r="D6438" t="str">
            <v>Lapp-Non Moving Stocks</v>
          </cell>
        </row>
        <row r="6439">
          <cell r="A6439" t="str">
            <v>4726041U (ÖLFLEX® UNIPLUS HFFR 1x1.5 RD)</v>
          </cell>
          <cell r="B6439" t="str">
            <v>4726041U(ÖLFLEX® UNIPLUS HFFR 1x1.5 RD)</v>
          </cell>
          <cell r="C6439" t="str">
            <v>LAPP</v>
          </cell>
          <cell r="D6439" t="str">
            <v>Lapp-Non Moving Stocks</v>
          </cell>
        </row>
        <row r="6440">
          <cell r="A6440" t="str">
            <v>4726051U (ÖLFLEX® UNIPLUS HFFR 1x1.5 WH)</v>
          </cell>
          <cell r="B6440" t="str">
            <v>4726051U(ÖLFLEX® UNIPLUS HFFR 1x1.5 WH)</v>
          </cell>
          <cell r="C6440" t="str">
            <v>LAPP</v>
          </cell>
          <cell r="D6440" t="str">
            <v>Lapp-Non Moving Stocks</v>
          </cell>
        </row>
        <row r="6441">
          <cell r="A6441" t="str">
            <v>4726016U (ÖLFLEX® UNIPLUS HFFR 1X16 BK_x000D_
)</v>
          </cell>
          <cell r="B6441" t="str">
            <v>4726016U(ÖLFLEX® UNIPLUS HFFR 1X16 BK_x000D_
)</v>
          </cell>
          <cell r="C6441" t="str">
            <v>LAPP</v>
          </cell>
          <cell r="D6441" t="str">
            <v>Lapp-Non Moving Stocks</v>
          </cell>
        </row>
        <row r="6442">
          <cell r="A6442" t="str">
            <v>4726046U (ÖLFLEX® UNIPLUS HFFR 1X16 RD_x000D_
)</v>
          </cell>
          <cell r="B6442" t="str">
            <v>4726046U(ÖLFLEX® UNIPLUS HFFR 1X16 RD_x000D_
)</v>
          </cell>
          <cell r="C6442" t="str">
            <v>LAPP</v>
          </cell>
          <cell r="D6442" t="str">
            <v>Lapp-Non Moving Stocks</v>
          </cell>
        </row>
        <row r="6443">
          <cell r="A6443" t="str">
            <v>4725023U (ÖLFLEX® UNIPLUS HFFR 1x1 BU_x000D_
)</v>
          </cell>
          <cell r="B6443" t="str">
            <v>4725023U(ÖLFLEX® UNIPLUS HFFR 1x1 BU_x000D_
)</v>
          </cell>
          <cell r="C6443" t="str">
            <v>LAPP</v>
          </cell>
          <cell r="D6443" t="str">
            <v>Lapp-Non Moving Stocks</v>
          </cell>
        </row>
        <row r="6444">
          <cell r="A6444" t="str">
            <v>4725003U_x000D_
 (ÖLFLEX® UNIPLUS HFFR 1x1 GNYE_x000D_
)</v>
          </cell>
          <cell r="B6444" t="str">
            <v>4725003U_x000D_
(ÖLFLEX® UNIPLUS HFFR 1x1 GNYE_x000D_
)</v>
          </cell>
          <cell r="C6444" t="str">
            <v>LAPP</v>
          </cell>
          <cell r="D6444" t="str">
            <v>Lapp-Non Moving Stocks</v>
          </cell>
        </row>
        <row r="6445">
          <cell r="A6445" t="str">
            <v>4725063U (ÖLFLEX® UNIPLUS HFFR 1x1 GY_x000D_
)</v>
          </cell>
          <cell r="B6445" t="str">
            <v>4725063U(ÖLFLEX® UNIPLUS HFFR 1x1 GY_x000D_
)</v>
          </cell>
          <cell r="C6445" t="str">
            <v>LAPP</v>
          </cell>
          <cell r="D6445" t="str">
            <v>Lapp-Non Moving Stocks</v>
          </cell>
        </row>
        <row r="6446">
          <cell r="A6446" t="str">
            <v>4725053U (ÖLFLEX® UNIPLUS HFFR 1x1 WH)</v>
          </cell>
          <cell r="B6446" t="str">
            <v>4725053U(ÖLFLEX® UNIPLUS HFFR 1x1 WH)</v>
          </cell>
          <cell r="C6446" t="str">
            <v>LAPP</v>
          </cell>
          <cell r="D6446" t="str">
            <v>Lapp-Non Moving Stocks</v>
          </cell>
        </row>
        <row r="6447">
          <cell r="A6447" t="str">
            <v>4726012U (ÖLFLEX® UNIPLUS HFFR 1x2.5 BK_x000D_
)</v>
          </cell>
          <cell r="B6447" t="str">
            <v>4726012U(ÖLFLEX® UNIPLUS HFFR 1x2.5 BK_x000D_
)</v>
          </cell>
          <cell r="C6447" t="str">
            <v>LAPP</v>
          </cell>
          <cell r="D6447" t="str">
            <v>Lapp-Non Moving Stocks</v>
          </cell>
        </row>
        <row r="6448">
          <cell r="A6448" t="str">
            <v>4726032U (ÖLFLEX® UNIPLUS HFFR 1x2.5 BN)</v>
          </cell>
          <cell r="B6448" t="str">
            <v>4726032U(ÖLFLEX® UNIPLUS HFFR 1x2.5 BN)</v>
          </cell>
          <cell r="C6448" t="str">
            <v>LAPP</v>
          </cell>
          <cell r="D6448" t="str">
            <v>Lapp-Non Moving Stocks</v>
          </cell>
        </row>
        <row r="6449">
          <cell r="A6449" t="str">
            <v>4726022U (ÖLFLEX® UNIPLUS HFFR 1x2.5 BU)</v>
          </cell>
          <cell r="B6449" t="str">
            <v>4726022U(ÖLFLEX® UNIPLUS HFFR 1x2.5 BU)</v>
          </cell>
          <cell r="C6449" t="str">
            <v>LAPP</v>
          </cell>
          <cell r="D6449" t="str">
            <v>Lapp-Non Moving Stocks</v>
          </cell>
        </row>
        <row r="6450">
          <cell r="A6450" t="str">
            <v>4726027U (ÖLFLEX® UNIPLUS HFFR 1X25 BU_x000D_
)</v>
          </cell>
          <cell r="B6450" t="str">
            <v>4726027U(ÖLFLEX® UNIPLUS HFFR 1X25 BU_x000D_
)</v>
          </cell>
          <cell r="C6450" t="str">
            <v>LAPP</v>
          </cell>
          <cell r="D6450" t="str">
            <v>Lapp-Non Moving Stocks</v>
          </cell>
        </row>
        <row r="6451">
          <cell r="A6451" t="str">
            <v>4726122U (ÖLFLEX® UNIPLUS HFFR 1x2.5 GN)</v>
          </cell>
          <cell r="B6451" t="str">
            <v>4726122U(ÖLFLEX® UNIPLUS HFFR 1x2.5 GN)</v>
          </cell>
          <cell r="C6451" t="str">
            <v>LAPP</v>
          </cell>
          <cell r="D6451" t="str">
            <v>Lapp-Non Moving Stocks</v>
          </cell>
        </row>
        <row r="6452">
          <cell r="A6452" t="str">
            <v>4726002U (ÖLFLEX® UNIPLUS HFFR 1x2.5 GNYE)</v>
          </cell>
          <cell r="B6452" t="str">
            <v>4726002U(ÖLFLEX® UNIPLUS HFFR 1x2.5 GNYE)</v>
          </cell>
          <cell r="C6452" t="str">
            <v>LAPP</v>
          </cell>
          <cell r="D6452" t="str">
            <v>Lapp-Non Moving Stocks</v>
          </cell>
        </row>
        <row r="6453">
          <cell r="A6453" t="str">
            <v>4726062U (ÖLFLEX® UNIPLUS HFFR 1x2.5 GY_x000D_
)</v>
          </cell>
          <cell r="B6453" t="str">
            <v>4726062U(ÖLFLEX® UNIPLUS HFFR 1x2.5 GY_x000D_
)</v>
          </cell>
          <cell r="C6453" t="str">
            <v>LAPP</v>
          </cell>
          <cell r="D6453" t="str">
            <v>Lapp-Non Moving Stocks</v>
          </cell>
        </row>
        <row r="6454">
          <cell r="A6454" t="str">
            <v>4726042U (ÖLFLEX® UNIPLUS HFFR 1x2.5 RD_x000D_
)</v>
          </cell>
          <cell r="B6454" t="str">
            <v>4726042U(ÖLFLEX® UNIPLUS HFFR 1x2.5 RD_x000D_
)</v>
          </cell>
          <cell r="C6454" t="str">
            <v>LAPP</v>
          </cell>
          <cell r="D6454" t="str">
            <v>Lapp-Non Moving Stocks</v>
          </cell>
        </row>
        <row r="6455">
          <cell r="A6455" t="str">
            <v>4726052U (ÖLFLEX® UNIPLUS HFFR 1x2.5 WH)</v>
          </cell>
          <cell r="B6455" t="str">
            <v>4726052U(ÖLFLEX® UNIPLUS HFFR 1x2.5 WH)</v>
          </cell>
          <cell r="C6455" t="str">
            <v>LAPP</v>
          </cell>
          <cell r="D6455" t="str">
            <v>Lapp-Non Moving Stocks</v>
          </cell>
        </row>
        <row r="6456">
          <cell r="A6456" t="str">
            <v>4726112U (ÖLFLEX® UNIPLUS HFFR 1x2.5 YE)</v>
          </cell>
          <cell r="B6456" t="str">
            <v>4726112U(ÖLFLEX® UNIPLUS HFFR 1x2.5 YE)</v>
          </cell>
          <cell r="C6456" t="str">
            <v>LAPP</v>
          </cell>
          <cell r="D6456" t="str">
            <v>Lapp-Non Moving Stocks</v>
          </cell>
        </row>
        <row r="6457">
          <cell r="A6457" t="str">
            <v>4726013U_x000D_
 (ÖLFLEX® UNIPLUS HFFR 1X4 BK_x000D_
)</v>
          </cell>
          <cell r="B6457" t="str">
            <v>4726013U_x000D_
(ÖLFLEX® UNIPLUS HFFR 1X4 BK_x000D_
)</v>
          </cell>
          <cell r="C6457" t="str">
            <v>LAPP</v>
          </cell>
          <cell r="D6457" t="str">
            <v>Lapp-Non Moving Stocks</v>
          </cell>
        </row>
        <row r="6458">
          <cell r="A6458" t="str">
            <v>4726033U (ÖLFLEX® UNIPLUS HFFR 1X4 BN_x000D_
)</v>
          </cell>
          <cell r="B6458" t="str">
            <v>4726033U(ÖLFLEX® UNIPLUS HFFR 1X4 BN_x000D_
)</v>
          </cell>
          <cell r="C6458" t="str">
            <v>LAPP</v>
          </cell>
          <cell r="D6458" t="str">
            <v>Lapp-Non Moving Stocks</v>
          </cell>
        </row>
        <row r="6459">
          <cell r="A6459" t="str">
            <v>4726023U (ÖLFLEX® UNIPLUS HFFR 1X4 BU_x000D_
)</v>
          </cell>
          <cell r="B6459" t="str">
            <v>4726023U(ÖLFLEX® UNIPLUS HFFR 1X4 BU_x000D_
)</v>
          </cell>
          <cell r="C6459" t="str">
            <v>LAPP</v>
          </cell>
          <cell r="D6459" t="str">
            <v>Lapp-Non Moving Stocks</v>
          </cell>
        </row>
        <row r="6460">
          <cell r="A6460" t="str">
            <v>4726003U (ÖLFLEX® UNIPLUS HFFR 1X4 GNYE)</v>
          </cell>
          <cell r="B6460" t="str">
            <v>4726003U(ÖLFLEX® UNIPLUS HFFR 1X4 GNYE)</v>
          </cell>
          <cell r="C6460" t="str">
            <v>LAPP</v>
          </cell>
          <cell r="D6460" t="str">
            <v>Lapp-Non Moving Stocks</v>
          </cell>
        </row>
        <row r="6461">
          <cell r="A6461" t="str">
            <v>4726063U (ÖLFLEX® UNIPLUS HFFR 1X4 GY_x000D_
)</v>
          </cell>
          <cell r="B6461" t="str">
            <v>4726063U(ÖLFLEX® UNIPLUS HFFR 1X4 GY_x000D_
)</v>
          </cell>
          <cell r="C6461" t="str">
            <v>LAPP</v>
          </cell>
          <cell r="D6461" t="str">
            <v>Lapp-Non Moving Stocks</v>
          </cell>
        </row>
        <row r="6462">
          <cell r="A6462" t="str">
            <v>4726043U (ÖLFLEX® UNIPLUS HFFR 1X4 RD)</v>
          </cell>
          <cell r="B6462" t="str">
            <v>4726043U(ÖLFLEX® UNIPLUS HFFR 1X4 RD)</v>
          </cell>
          <cell r="C6462" t="str">
            <v>LAPP</v>
          </cell>
          <cell r="D6462" t="str">
            <v>Lapp-Non Moving Stocks</v>
          </cell>
        </row>
        <row r="6463">
          <cell r="A6463" t="str">
            <v>4726014U (ÖLFLEX® UNIPLUS HFFR 1X6 BK_x000D_
)</v>
          </cell>
          <cell r="B6463" t="str">
            <v>4726014U(ÖLFLEX® UNIPLUS HFFR 1X6 BK_x000D_
)</v>
          </cell>
          <cell r="C6463" t="str">
            <v>LAPP</v>
          </cell>
          <cell r="D6463" t="str">
            <v>Lapp-Non Moving Stocks</v>
          </cell>
        </row>
        <row r="6464">
          <cell r="A6464" t="str">
            <v>4726124U (ÖLFLEX® UNIPLUS HFFR 1X6 GN_x000D_
)</v>
          </cell>
          <cell r="B6464" t="str">
            <v>4726124U(ÖLFLEX® UNIPLUS HFFR 1X6 GN_x000D_
)</v>
          </cell>
          <cell r="C6464" t="str">
            <v>LAPP</v>
          </cell>
          <cell r="D6464" t="str">
            <v>Lapp-Non Moving Stocks</v>
          </cell>
        </row>
        <row r="6465">
          <cell r="A6465" t="str">
            <v>4726004U (ÖLFLEX® UNIPLUS HFFR 1X6 GNYE_x000D_
)</v>
          </cell>
          <cell r="B6465" t="str">
            <v>4726004U(ÖLFLEX® UNIPLUS HFFR 1X6 GNYE_x000D_
)</v>
          </cell>
          <cell r="C6465" t="str">
            <v>LAPP</v>
          </cell>
          <cell r="D6465" t="str">
            <v>Lapp-Non Moving Stocks</v>
          </cell>
        </row>
        <row r="6466">
          <cell r="A6466" t="str">
            <v>4726044U (ÖLFLEX® UNIPLUS HFFR 1X6 RD_x000D_
)</v>
          </cell>
          <cell r="B6466" t="str">
            <v>4726044U(ÖLFLEX® UNIPLUS HFFR 1X6 RD_x000D_
)</v>
          </cell>
          <cell r="C6466" t="str">
            <v>LAPP</v>
          </cell>
          <cell r="D6466" t="str">
            <v>Lapp-Non Moving Stocks</v>
          </cell>
        </row>
        <row r="6467">
          <cell r="A6467" t="str">
            <v>3822003051 (ÖLFLEX® UNIPLUS HFFR Z 1 x 2.5 BN)</v>
          </cell>
          <cell r="B6467" t="str">
            <v>3822003051(ÖLFLEX® UNIPLUS HFFR Z 1 x 2.5 BN)</v>
          </cell>
          <cell r="C6467" t="str">
            <v>LAPP</v>
          </cell>
          <cell r="D6467" t="str">
            <v>Lapp-Non Moving Stocks</v>
          </cell>
        </row>
        <row r="6468">
          <cell r="A6468" t="str">
            <v>4512261S_x000D_
 (X05V-K 0.5 BU/WH_x000D_
)</v>
          </cell>
          <cell r="B6468" t="str">
            <v>4512261S_x000D_
(X05V-K 0.5 BU/WH_x000D_
)</v>
          </cell>
          <cell r="C6468" t="str">
            <v>LAPP</v>
          </cell>
          <cell r="D6468" t="str">
            <v>Lapp-Non Moving Stocks</v>
          </cell>
        </row>
        <row r="6469">
          <cell r="A6469" t="str">
            <v>4512441S (X05V-K 1X0,5 WHBU_x000D_
)</v>
          </cell>
          <cell r="B6469" t="str">
            <v>4512441S(X05V-K 1X0,5 WHBU_x000D_
)</v>
          </cell>
          <cell r="C6469" t="str">
            <v>LAPP</v>
          </cell>
          <cell r="D6469" t="str">
            <v>Lapp-Non Moving Stocks</v>
          </cell>
        </row>
        <row r="6470">
          <cell r="A6470" t="str">
            <v>4512262S (X05V-K 1X0,75 BUWH_x000D_
)</v>
          </cell>
          <cell r="B6470" t="str">
            <v>4512262S(X05V-K 1X0,75 BUWH_x000D_
)</v>
          </cell>
          <cell r="C6470" t="str">
            <v>LAPP</v>
          </cell>
          <cell r="D6470" t="str">
            <v>Lapp-Non Moving Stocks</v>
          </cell>
        </row>
        <row r="6471">
          <cell r="A6471" t="str">
            <v>4512922S (X05V-K 1X0,75 DBUWH_x000D_
)</v>
          </cell>
          <cell r="B6471" t="str">
            <v>4512922S(X05V-K 1X0,75 DBUWH_x000D_
)</v>
          </cell>
          <cell r="C6471" t="str">
            <v>LAPP</v>
          </cell>
          <cell r="D6471" t="str">
            <v>Lapp-Non Moving Stocks</v>
          </cell>
        </row>
        <row r="6472">
          <cell r="A6472" t="str">
            <v>4512422S (X05V-K 1X0,75 RDWH_x000D_
)</v>
          </cell>
          <cell r="B6472" t="str">
            <v>4512422S(X05V-K 1X0,75 RDWH_x000D_
)</v>
          </cell>
          <cell r="C6472" t="str">
            <v>LAPP</v>
          </cell>
          <cell r="D6472" t="str">
            <v>Lapp-Non Moving Stocks</v>
          </cell>
        </row>
        <row r="6473">
          <cell r="A6473" t="str">
            <v>4512442S (X05V-K 1X0,75 WHBU_x000D_
)</v>
          </cell>
          <cell r="B6473" t="str">
            <v>4512442S(X05V-K 1X0,75 WHBU_x000D_
)</v>
          </cell>
          <cell r="C6473" t="str">
            <v>LAPP</v>
          </cell>
          <cell r="D6473" t="str">
            <v>Lapp-Non Moving Stocks</v>
          </cell>
        </row>
        <row r="6474">
          <cell r="A6474" t="str">
            <v>4512263S (X05V-K 1X1 BUWH_x000D_
)</v>
          </cell>
          <cell r="B6474" t="str">
            <v>4512263S(X05V-K 1X1 BUWH_x000D_
)</v>
          </cell>
          <cell r="C6474" t="str">
            <v>LAPP</v>
          </cell>
          <cell r="D6474" t="str">
            <v>Lapp-Non Moving Stocks</v>
          </cell>
        </row>
        <row r="6475">
          <cell r="A6475" t="str">
            <v>4512423S (X05V-K 1X1 RDWH_x000D_
)</v>
          </cell>
          <cell r="B6475" t="str">
            <v>4512423S(X05V-K 1X1 RDWH_x000D_
)</v>
          </cell>
          <cell r="C6475" t="str">
            <v>LAPP</v>
          </cell>
          <cell r="D6475" t="str">
            <v>Lapp-Non Moving Stocks</v>
          </cell>
        </row>
        <row r="6476">
          <cell r="A6476" t="str">
            <v>4512443S (X05V-K 1X1 WHBU_x000D_
)</v>
          </cell>
          <cell r="B6476" t="str">
            <v>4512443S(X05V-K 1X1 WHBU_x000D_
)</v>
          </cell>
          <cell r="C6476" t="str">
            <v>LAPP</v>
          </cell>
          <cell r="D6476" t="str">
            <v>Lapp-Non Moving Stocks</v>
          </cell>
        </row>
        <row r="6477">
          <cell r="A6477" t="str">
            <v>4512463S (X05V-K 1X1 WHRD_x000D_
)</v>
          </cell>
          <cell r="B6477" t="str">
            <v>4512463S(X05V-K 1X1 WHRD_x000D_
)</v>
          </cell>
          <cell r="C6477" t="str">
            <v>LAPP</v>
          </cell>
          <cell r="D6477" t="str">
            <v>Lapp-Non Moving Stocks</v>
          </cell>
        </row>
        <row r="6478">
          <cell r="A6478" t="str">
            <v>4512921S (X05V-K 2CHELIX 1X0,5 DBUWH)</v>
          </cell>
          <cell r="B6478" t="str">
            <v>4512921S(X05V-K 2CHELIX 1X0,5 DBUWH)</v>
          </cell>
          <cell r="C6478" t="str">
            <v>LAPP</v>
          </cell>
          <cell r="D6478" t="str">
            <v>Lapp-Non Moving Stocks</v>
          </cell>
        </row>
        <row r="6479">
          <cell r="A6479" t="str">
            <v>4522211S (X07V-K 1X1,5 BKRD_x000D_
)</v>
          </cell>
          <cell r="B6479" t="str">
            <v>4522211S(X07V-K 1X1,5 BKRD_x000D_
)</v>
          </cell>
          <cell r="C6479" t="str">
            <v>LAPP</v>
          </cell>
          <cell r="D6479" t="str">
            <v>Lapp-Non Moving Stocks</v>
          </cell>
        </row>
        <row r="6480">
          <cell r="A6480" t="str">
            <v>4522231S (X07V-K 1X1,5 BUBK_x000D_
)</v>
          </cell>
          <cell r="B6480" t="str">
            <v>4522231S(X07V-K 1X1,5 BUBK_x000D_
)</v>
          </cell>
          <cell r="C6480" t="str">
            <v>LAPP</v>
          </cell>
          <cell r="D6480" t="str">
            <v>Lapp-Non Moving Stocks</v>
          </cell>
        </row>
        <row r="6481">
          <cell r="A6481" t="str">
            <v>4522261S (X07V-K 1X1,5 BUWH_x000D_
)</v>
          </cell>
          <cell r="B6481" t="str">
            <v>4522261S(X07V-K 1X1,5 BUWH_x000D_
)</v>
          </cell>
          <cell r="C6481" t="str">
            <v>LAPP</v>
          </cell>
          <cell r="D6481" t="str">
            <v>Lapp-Non Moving Stocks</v>
          </cell>
        </row>
        <row r="6482">
          <cell r="A6482" t="str">
            <v>4522921S_x000D_
 (X07V-K 1X1,5 DBUWH_x000D_
)</v>
          </cell>
          <cell r="B6482" t="str">
            <v>4522921S_x000D_
(X07V-K 1X1,5 DBUWH_x000D_
)</v>
          </cell>
          <cell r="C6482" t="str">
            <v>LAPP</v>
          </cell>
          <cell r="D6482" t="str">
            <v>Lapp-Non Moving Stocks</v>
          </cell>
        </row>
        <row r="6483">
          <cell r="A6483" t="str">
            <v>4522391S (X07V-K 1X1,5 OGWH_x000D_
)</v>
          </cell>
          <cell r="B6483" t="str">
            <v>4522391S(X07V-K 1X1,5 OGWH_x000D_
)</v>
          </cell>
          <cell r="C6483" t="str">
            <v>LAPP</v>
          </cell>
          <cell r="D6483" t="str">
            <v>Lapp-Non Moving Stocks</v>
          </cell>
        </row>
        <row r="6484">
          <cell r="A6484" t="str">
            <v>4522421S_x000D_
 (X07V-K 1X1,5 RDWH_x000D_
)</v>
          </cell>
          <cell r="B6484" t="str">
            <v>4522421S_x000D_
(X07V-K 1X1,5 RDWH_x000D_
)</v>
          </cell>
          <cell r="C6484" t="str">
            <v>LAPP</v>
          </cell>
          <cell r="D6484" t="str">
            <v>Lapp-Non Moving Stocks</v>
          </cell>
        </row>
        <row r="6485">
          <cell r="A6485" t="str">
            <v>4522441S (X07V-K 1X1,5 WHBU)</v>
          </cell>
          <cell r="B6485" t="str">
            <v>4522441S(X07V-K 1X1,5 WHBU)</v>
          </cell>
          <cell r="C6485" t="str">
            <v>LAPP</v>
          </cell>
          <cell r="D6485" t="str">
            <v>Lapp-Non Moving Stocks</v>
          </cell>
        </row>
        <row r="6486">
          <cell r="A6486" t="str">
            <v>4522262S (X07V-K 1X2,5 BUWH_x000D_
)</v>
          </cell>
          <cell r="B6486" t="str">
            <v>4522262S(X07V-K 1X2,5 BUWH_x000D_
)</v>
          </cell>
          <cell r="C6486" t="str">
            <v>LAPP</v>
          </cell>
          <cell r="D6486" t="str">
            <v>Lapp-Non Moving Stocks</v>
          </cell>
        </row>
        <row r="6487">
          <cell r="A6487" t="str">
            <v>4522392S (X07V-K 1X2,5 OGWH_x000D_
)</v>
          </cell>
          <cell r="B6487" t="str">
            <v>4522392S(X07V-K 1X2,5 OGWH_x000D_
)</v>
          </cell>
          <cell r="C6487" t="str">
            <v>LAPP</v>
          </cell>
          <cell r="D6487" t="str">
            <v>Lapp-Non Moving Stocks</v>
          </cell>
        </row>
        <row r="6488">
          <cell r="A6488" t="str">
            <v>4522422S_x000D_
 (X07V-K 1X2,5 RDWH_x000D_
)</v>
          </cell>
          <cell r="B6488" t="str">
            <v>4522422S_x000D_
(X07V-K 1X2,5 RDWH_x000D_
)</v>
          </cell>
          <cell r="C6488" t="str">
            <v>LAPP</v>
          </cell>
          <cell r="D6488" t="str">
            <v>Lapp-Non Moving Stocks</v>
          </cell>
        </row>
        <row r="6489">
          <cell r="A6489" t="str">
            <v>4522442S (X07V-K 1X2,5 WHBU_x000D_
)</v>
          </cell>
          <cell r="B6489" t="str">
            <v>4522442S(X07V-K 1X2,5 WHBU_x000D_
)</v>
          </cell>
          <cell r="C6489" t="str">
            <v>LAPP</v>
          </cell>
          <cell r="D6489" t="str">
            <v>Lapp-Non Moving Stocks</v>
          </cell>
        </row>
        <row r="6490">
          <cell r="A6490" t="str">
            <v>382306462 (LAPP KABEL 1x120 Rhfxhfx 1BK)</v>
          </cell>
          <cell r="B6490" t="str">
            <v>382306462(LAPP KABEL 1x120 Rhfxhfx 1BK)</v>
          </cell>
          <cell r="C6490" t="str">
            <v>LAPP</v>
          </cell>
          <cell r="D6490" t="str">
            <v>Lapp-Non Moving Stocks</v>
          </cell>
        </row>
        <row r="6491">
          <cell r="A6491" t="str">
            <v>1-VKK1-4A Juction Box for EMV Type Connection of Up</v>
          </cell>
          <cell r="B6491" t="str">
            <v>1-VKK1-4A Juction Box for EMV Type Connection of Up</v>
          </cell>
          <cell r="C6491" t="str">
            <v>OTHER PRODUCTS</v>
          </cell>
          <cell r="D6491" t="str">
            <v>OTHER PRODUCTS</v>
          </cell>
        </row>
        <row r="6492">
          <cell r="A6492" t="str">
            <v>LPEBMAP7PL1W036 (2x2 36W GRID TYPE PANEL LIGHT)</v>
          </cell>
          <cell r="B6492" t="e">
            <v>#N/A</v>
          </cell>
          <cell r="C6492" t="str">
            <v>OTHER PRODUCTS</v>
          </cell>
          <cell r="D6492" t="str">
            <v>OTHER PRODUCTS</v>
          </cell>
        </row>
        <row r="6493">
          <cell r="A6493" t="str">
            <v>3202 (32A 5 Pin AC Box)</v>
          </cell>
          <cell r="B6493" t="str">
            <v>3202(32A 5 Pin AC Box)</v>
          </cell>
          <cell r="C6493" t="str">
            <v>OTHER PRODUCTS</v>
          </cell>
          <cell r="D6493" t="str">
            <v>OTHER PRODUCTS</v>
          </cell>
        </row>
        <row r="6494">
          <cell r="A6494" t="str">
            <v>HX3342E17 (3.5 Core x 25 Sqmm Aluminium Ar LT XLPE Cable)</v>
          </cell>
          <cell r="B6494" t="str">
            <v>HX3342E17(3.5 Core x 25 Sqmm Aluminium Ar LT XLPE Cable)</v>
          </cell>
          <cell r="C6494" t="str">
            <v>OTHER PRODUCTS</v>
          </cell>
          <cell r="D6494" t="str">
            <v>OTHER PRODUCTS</v>
          </cell>
        </row>
        <row r="6495">
          <cell r="A6495" t="str">
            <v>HX9600E17 (3.5 Core x 70 Sqmm Aluminium Armoured LT XLPE Cable)</v>
          </cell>
          <cell r="B6495" t="str">
            <v>HX9600E17(3.5 Core x 70 Sqmm Aluminium Armoured LT XLPE Cable)</v>
          </cell>
          <cell r="C6495" t="str">
            <v>OTHER PRODUCTS</v>
          </cell>
          <cell r="D6495" t="str">
            <v>OTHER PRODUCTS</v>
          </cell>
        </row>
        <row r="6496">
          <cell r="A6496" t="str">
            <v>LHELAQU71G6W080 (80W 5700K (WB) Endura Baybrite Saucer Highbay LED)</v>
          </cell>
          <cell r="B6496" t="e">
            <v>#N/A</v>
          </cell>
          <cell r="C6496" t="str">
            <v>OTHER PRODUCTS</v>
          </cell>
          <cell r="D6496" t="str">
            <v>OTHER PRODUCTS</v>
          </cell>
        </row>
        <row r="6497">
          <cell r="A6497" t="str">
            <v>22260136_x000D_
 (AB-C5-M12FS-PG9-SH_x000D_
)</v>
          </cell>
          <cell r="B6497" t="str">
            <v>22260136_x000D_
(AB-C5-M12FS-PG9-SH_x000D_
)</v>
          </cell>
          <cell r="C6497" t="str">
            <v>OTHER PRODUCTS</v>
          </cell>
          <cell r="D6497" t="str">
            <v>OTHER PRODUCTS</v>
          </cell>
        </row>
        <row r="6498">
          <cell r="A6498" t="str">
            <v>22260135_x000D_
 (AB-C5-M12MS-PG9-SH_x000D_
)</v>
          </cell>
          <cell r="B6498" t="str">
            <v>22260135_x000D_
(AB-C5-M12MS-PG9-SH_x000D_
)</v>
          </cell>
          <cell r="C6498" t="str">
            <v>OTHER PRODUCTS</v>
          </cell>
          <cell r="D6498" t="str">
            <v>OTHER PRODUCTS</v>
          </cell>
        </row>
        <row r="6499">
          <cell r="A6499" t="str">
            <v>BN63B4 (BN63B4-0.18KW/0.25HP4PoleB51400RPMFLANGEMTG.Motor)</v>
          </cell>
          <cell r="B6499" t="str">
            <v>BN63B4(BN63B4-0.18KW/0.25HP4PoleB51400RPMFLANGEMTG.Motor)</v>
          </cell>
          <cell r="C6499" t="str">
            <v>OTHER PRODUCTS</v>
          </cell>
          <cell r="D6499" t="str">
            <v>OTHER PRODUCTS</v>
          </cell>
        </row>
        <row r="6500">
          <cell r="A6500" t="str">
            <v>CDI 250 (CDI Counter With IP 65 Encl.)</v>
          </cell>
          <cell r="B6500" t="str">
            <v>CDI 250(CDI Counter With IP 65 Encl.)</v>
          </cell>
          <cell r="C6500" t="str">
            <v>OTHER PRODUCTS</v>
          </cell>
          <cell r="D6500" t="str">
            <v>OTHER PRODUCTS</v>
          </cell>
        </row>
        <row r="6501">
          <cell r="A6501" t="str">
            <v>LPDLBBU7PA1E100 (CLEANBAY LED HIGH BAY LIGHT 100W CW)</v>
          </cell>
          <cell r="B6501" t="e">
            <v>#N/A</v>
          </cell>
          <cell r="C6501" t="str">
            <v>OTHER PRODUCTS</v>
          </cell>
          <cell r="D6501" t="str">
            <v>OTHER PRODUCTS</v>
          </cell>
        </row>
        <row r="6502">
          <cell r="A6502" t="str">
            <v>K-HLCM (Configurable Weighing Module K-HLCM)</v>
          </cell>
          <cell r="B6502" t="str">
            <v>K-HLCM(Configurable Weighing Module K-HLCM)</v>
          </cell>
          <cell r="C6502" t="str">
            <v>OTHER PRODUCTS</v>
          </cell>
          <cell r="D6502" t="str">
            <v>OTHER PRODUCTS</v>
          </cell>
        </row>
        <row r="6503">
          <cell r="A6503" t="str">
            <v>Delete</v>
          </cell>
          <cell r="B6503" t="str">
            <v>Delete</v>
          </cell>
          <cell r="C6503" t="str">
            <v>OTHER PRODUCTS</v>
          </cell>
          <cell r="D6503" t="str">
            <v>OTHER PRODUCTS</v>
          </cell>
        </row>
        <row r="6504">
          <cell r="A6504" t="str">
            <v>EILY-Z-50W IP 68 LOKOZO Under Water Light</v>
          </cell>
          <cell r="B6504" t="str">
            <v>EILY-Z-50W IP 68 LOKOZO Under Water Light</v>
          </cell>
          <cell r="C6504" t="str">
            <v>OTHER PRODUCTS</v>
          </cell>
          <cell r="D6504" t="str">
            <v>OTHER PRODUCTS</v>
          </cell>
        </row>
        <row r="6505">
          <cell r="A6505" t="str">
            <v>Mounting Structure (Electrical Goods Mounting Structure)</v>
          </cell>
          <cell r="B6505" t="e">
            <v>#N/A</v>
          </cell>
          <cell r="C6505" t="str">
            <v>OTHER PRODUCTS</v>
          </cell>
          <cell r="D6505" t="str">
            <v>OTHER PRODUCTS</v>
          </cell>
        </row>
        <row r="6506">
          <cell r="A6506" t="str">
            <v>LHETBXU7PA6J070 (ENDURA Plus LED Streetlight 70W 5700K)</v>
          </cell>
          <cell r="B6506" t="e">
            <v>#N/A</v>
          </cell>
          <cell r="C6506" t="str">
            <v>OTHER PRODUCTS</v>
          </cell>
          <cell r="D6506" t="str">
            <v>OTHER PRODUCTS</v>
          </cell>
        </row>
        <row r="6507">
          <cell r="A6507" t="str">
            <v>Y7-118703_x000D_
 (ESR5-NZ-21-24VAC-DC_x000D_
)</v>
          </cell>
          <cell r="B6507" t="e">
            <v>#N/A</v>
          </cell>
          <cell r="C6507" t="str">
            <v>OTHER PRODUCTS</v>
          </cell>
          <cell r="D6507" t="str">
            <v>OTHER PRODUCTS</v>
          </cell>
        </row>
        <row r="6508">
          <cell r="A6508" t="str">
            <v>Y7-278875_x000D_
 (FAZ-C25/3_x000D_
)</v>
          </cell>
          <cell r="B6508" t="e">
            <v>#N/A</v>
          </cell>
          <cell r="C6508" t="str">
            <v>OTHER PRODUCTS</v>
          </cell>
          <cell r="D6508" t="str">
            <v>OTHER PRODUCTS</v>
          </cell>
        </row>
        <row r="6509">
          <cell r="A6509" t="str">
            <v>Y7-278867_x000D_
 (FAZ-C6/3_x000D_
)</v>
          </cell>
          <cell r="B6509" t="e">
            <v>#N/A</v>
          </cell>
          <cell r="C6509" t="str">
            <v>OTHER PRODUCTS</v>
          </cell>
          <cell r="D6509" t="str">
            <v>OTHER PRODUCTS</v>
          </cell>
        </row>
        <row r="6510">
          <cell r="A6510" t="str">
            <v>Y7-278556_x000D_
 (FAZ-C8/1_x000D_
)</v>
          </cell>
          <cell r="B6510" t="e">
            <v>#N/A</v>
          </cell>
          <cell r="C6510" t="str">
            <v>OTHER PRODUCTS</v>
          </cell>
          <cell r="D6510" t="str">
            <v>OTHER PRODUCTS</v>
          </cell>
        </row>
        <row r="6511">
          <cell r="A6511" t="str">
            <v>Y7-286054_x000D_
 (FAZ-XHIN11_x000D_
)</v>
          </cell>
          <cell r="B6511" t="e">
            <v>#N/A</v>
          </cell>
          <cell r="C6511" t="str">
            <v>OTHER PRODUCTS</v>
          </cell>
          <cell r="D6511" t="str">
            <v>OTHER PRODUCTS</v>
          </cell>
        </row>
        <row r="6512">
          <cell r="A6512" t="str">
            <v>63105110_x000D_
 (FORK CABLE LUGS L-RB 3F_x000D_
)</v>
          </cell>
          <cell r="B6512" t="str">
            <v>63105110_x000D_
(FORK CABLE LUGS L-RB 3F_x000D_
)</v>
          </cell>
          <cell r="C6512" t="str">
            <v>OTHER PRODUCTS</v>
          </cell>
          <cell r="D6512" t="str">
            <v>OTHER PRODUCTS</v>
          </cell>
        </row>
        <row r="6513">
          <cell r="A6513" t="str">
            <v>Y7-62031_x000D_
 (HI11-P1/P3Z_x000D_
)</v>
          </cell>
          <cell r="B6513" t="e">
            <v>#N/A</v>
          </cell>
          <cell r="C6513" t="str">
            <v>OTHER PRODUCTS</v>
          </cell>
          <cell r="D6513" t="str">
            <v>OTHER PRODUCTS</v>
          </cell>
        </row>
        <row r="6514">
          <cell r="A6514" t="str">
            <v>1-VKK1-4A (Junction Box for 4 Load Cells)</v>
          </cell>
          <cell r="B6514" t="str">
            <v>1-VKK1-4A(Junction Box for 4 Load Cells)</v>
          </cell>
          <cell r="C6514" t="str">
            <v>OTHER PRODUCTS</v>
          </cell>
          <cell r="D6514" t="str">
            <v>OTHER PRODUCTS</v>
          </cell>
        </row>
        <row r="6515">
          <cell r="A6515" t="str">
            <v>K-HLCM-V-C3-220-AI2/21-S3-N-B2-S-N Customized HLC/M</v>
          </cell>
          <cell r="B6515" t="str">
            <v>K-HLCM-V-C3-220-AI2/21-S3-N-B2-S-N Customized HLC/M</v>
          </cell>
          <cell r="C6515" t="str">
            <v>OTHER PRODUCTS</v>
          </cell>
          <cell r="D6515" t="str">
            <v>OTHER PRODUCTS</v>
          </cell>
        </row>
        <row r="6516">
          <cell r="A6516" t="str">
            <v>M-</v>
          </cell>
          <cell r="B6516" t="e">
            <v>#N/A</v>
          </cell>
          <cell r="C6516" t="str">
            <v>OTHER PRODUCTS</v>
          </cell>
          <cell r="D6516" t="str">
            <v>OTHER PRODUCTS</v>
          </cell>
        </row>
        <row r="6517">
          <cell r="A6517" t="str">
            <v>N-</v>
          </cell>
          <cell r="B6517" t="e">
            <v>#N/A</v>
          </cell>
          <cell r="C6517" t="str">
            <v>OTHER PRODUCTS</v>
          </cell>
          <cell r="D6517" t="str">
            <v>OTHER PRODUCTS</v>
          </cell>
        </row>
        <row r="6518">
          <cell r="A6518" t="str">
            <v>NLP-2200 (NLP2200 Nimbus ESLE)</v>
          </cell>
          <cell r="B6518" t="e">
            <v>#N/A</v>
          </cell>
          <cell r="C6518" t="str">
            <v>OTHER PRODUCTS</v>
          </cell>
          <cell r="D6518" t="str">
            <v>OTHER PRODUCTS</v>
          </cell>
        </row>
        <row r="6519">
          <cell r="A6519" t="str">
            <v>1600301_x000D_
 (NSGAFÖU 1,8/3kV 1X2,5_x000D_
)</v>
          </cell>
          <cell r="B6519" t="str">
            <v>1600301_x000D_
(NSGAFÖU 1,8/3kV 1X2,5_x000D_
)</v>
          </cell>
          <cell r="C6519" t="str">
            <v>OTHER PRODUCTS</v>
          </cell>
          <cell r="D6519" t="str">
            <v>OTHER PRODUCTS</v>
          </cell>
        </row>
        <row r="6520">
          <cell r="A6520" t="str">
            <v>15500213_x000D_
 (NYY-J 4X6 Re NCC_x000D_
)</v>
          </cell>
          <cell r="B6520" t="str">
            <v>15500213_x000D_
(NYY-J 4X6 Re NCC_x000D_
)</v>
          </cell>
          <cell r="C6520" t="str">
            <v>OTHER PRODUCTS</v>
          </cell>
          <cell r="D6520" t="str">
            <v>OTHER PRODUCTS</v>
          </cell>
        </row>
        <row r="6521">
          <cell r="A6521" t="str">
            <v>LHLDEJNEML8Z018 (Photon Ultra PL-L Ultra Bright LED PL-L 18W 865 419)</v>
          </cell>
          <cell r="B6521" t="e">
            <v>#N/A</v>
          </cell>
          <cell r="C6521" t="str">
            <v>OTHER PRODUCTS</v>
          </cell>
          <cell r="D6521" t="str">
            <v>OTHER PRODUCTS</v>
          </cell>
        </row>
        <row r="6522">
          <cell r="A6522" t="str">
            <v>0032430_x000D_
 (RE-2Y(ST)Yv 1x2x1,3 BK_x000D_
)</v>
          </cell>
          <cell r="B6522" t="str">
            <v>0032430_x000D_
(RE-2Y(ST)Yv 1x2x1,3 BK_x000D_
)</v>
          </cell>
          <cell r="C6522" t="str">
            <v>OTHER PRODUCTS</v>
          </cell>
          <cell r="D6522" t="str">
            <v>OTHER PRODUCTS</v>
          </cell>
        </row>
        <row r="6523">
          <cell r="A6523" t="str">
            <v>0032431_x000D_
 (RE-2Y(ST)Yv 2x2x1,3 BK_x000D_
)</v>
          </cell>
          <cell r="B6523" t="str">
            <v>0032431_x000D_
(RE-2Y(ST)Yv 2x2x1,3 BK_x000D_
)</v>
          </cell>
          <cell r="C6523" t="str">
            <v>OTHER PRODUCTS</v>
          </cell>
          <cell r="D6523" t="str">
            <v>OTHER PRODUCTS</v>
          </cell>
        </row>
        <row r="6524">
          <cell r="A6524" t="str">
            <v>0032432_x000D_
 (RE-2Y(ST)Yv 4x2x1,3 BK_x000D_
)</v>
          </cell>
          <cell r="B6524" t="str">
            <v>0032432_x000D_
(RE-2Y(ST)Yv 4x2x1,3 BK_x000D_
)</v>
          </cell>
          <cell r="C6524" t="str">
            <v>OTHER PRODUCTS</v>
          </cell>
          <cell r="D6524" t="str">
            <v>OTHER PRODUCTS</v>
          </cell>
        </row>
        <row r="6525">
          <cell r="A6525" t="str">
            <v>0032449_x000D_
 (RE-2Y(ST)Yv PiMF 4x2x0,5 BK_x000D_
)</v>
          </cell>
          <cell r="B6525" t="str">
            <v>0032449_x000D_
(RE-2Y(ST)Yv PiMF 4x2x0,5 BK_x000D_
)</v>
          </cell>
          <cell r="C6525" t="str">
            <v>OTHER PRODUCTS</v>
          </cell>
          <cell r="D6525" t="str">
            <v>OTHER PRODUCTS</v>
          </cell>
        </row>
        <row r="6526">
          <cell r="A6526" t="str">
            <v>132M B3 IE2 1LE7 (SIEMENS 1500 RPM 7.5KW 10 HP)</v>
          </cell>
          <cell r="B6526" t="str">
            <v>132M B3 IE2 1LE7(SIEMENS 1500 RPM 7.5KW 10 HP)</v>
          </cell>
          <cell r="C6526" t="str">
            <v>OTHER PRODUCTS</v>
          </cell>
          <cell r="D6526" t="str">
            <v>OTHER PRODUCTS</v>
          </cell>
        </row>
        <row r="6527">
          <cell r="A6527" t="str">
            <v>Test Link Box (Test Link Box (VSM IP65))</v>
          </cell>
          <cell r="B6527" t="e">
            <v>#N/A</v>
          </cell>
          <cell r="C6527" t="str">
            <v>OTHER PRODUCTS</v>
          </cell>
          <cell r="D6527" t="str">
            <v>OTHER PRODUCTS</v>
          </cell>
        </row>
        <row r="6528">
          <cell r="A6528" t="str">
            <v>34053 (VF44F28P63B5B3WormReductionGear Box)</v>
          </cell>
          <cell r="B6528" t="str">
            <v>34053(VF44F28P63B5B3WormReductionGear Box)</v>
          </cell>
          <cell r="C6528" t="str">
            <v>OTHER PRODUCTS</v>
          </cell>
          <cell r="D6528" t="str">
            <v>OTHER PRODUCTS</v>
          </cell>
        </row>
        <row r="6529">
          <cell r="A6529" t="str">
            <v>Y7-278437_x000D_
 (ZB12-2,4_x000D_
)</v>
          </cell>
          <cell r="B6529" t="e">
            <v>#N/A</v>
          </cell>
          <cell r="C6529" t="str">
            <v>OTHER PRODUCTS</v>
          </cell>
          <cell r="D6529" t="str">
            <v>OTHER PRODUCTS</v>
          </cell>
        </row>
        <row r="6530">
          <cell r="A6530" t="str">
            <v>Y7-65739 (ZFS61/62-P3_x000D_
)</v>
          </cell>
          <cell r="B6530" t="e">
            <v>#N/A</v>
          </cell>
          <cell r="C6530" t="str">
            <v>OTHER PRODUCTS</v>
          </cell>
          <cell r="D6530" t="str">
            <v>OTHER PRODUCTS</v>
          </cell>
        </row>
        <row r="6531">
          <cell r="A6531" t="str">
            <v>53611430_x000D_
 (SKINTOP DIX 11430_x000D_
)</v>
          </cell>
          <cell r="B6531" t="str">
            <v>53611430_x000D_
(SKINTOP DIX 11430_x000D_
)</v>
          </cell>
          <cell r="C6531" t="str">
            <v>LAPP</v>
          </cell>
          <cell r="D6531" t="str">
            <v>Lapp-Non Moving Stocks</v>
          </cell>
        </row>
        <row r="6532">
          <cell r="A6532" t="str">
            <v>53613250_x000D_
 (SKINTOP DIX 13250_x000D_
 (Old))</v>
          </cell>
          <cell r="B6532" t="str">
            <v>53613250_x000D__x000D_
(SKINTOP DIX 13250_x000D__x000D_
 (Old))</v>
          </cell>
          <cell r="C6532" t="str">
            <v>LAPP</v>
          </cell>
          <cell r="D6532" t="str">
            <v>Lapp-Non Moving Stocks</v>
          </cell>
        </row>
        <row r="6533">
          <cell r="A6533" t="str">
            <v>53609230_x000D_
 (SKINTOP DIX 9230_x000D_
)</v>
          </cell>
          <cell r="B6533" t="str">
            <v>53609230_x000D_
(SKINTOP DIX 9230_x000D_
)</v>
          </cell>
          <cell r="C6533" t="str">
            <v>LAPP</v>
          </cell>
          <cell r="D6533" t="str">
            <v>Lapp-Non Moving Stocks</v>
          </cell>
        </row>
        <row r="6534">
          <cell r="A6534" t="str">
            <v>53611001 (SKINTOP DIX ASI M 20_x000D_
)</v>
          </cell>
          <cell r="B6534" t="str">
            <v>53611001(SKINTOP DIX ASI M 20_x000D_
)</v>
          </cell>
          <cell r="C6534" t="str">
            <v>LAPP</v>
          </cell>
          <cell r="D6534" t="str">
            <v>Lapp-Non Moving Stocks</v>
          </cell>
        </row>
        <row r="6535">
          <cell r="A6535" t="str">
            <v>53320260 (SKINTOP DIX-M 20260_x000D_
)</v>
          </cell>
          <cell r="B6535" t="str">
            <v>53320260(SKINTOP DIX-M 20260_x000D_
)</v>
          </cell>
          <cell r="C6535" t="str">
            <v>LAPP</v>
          </cell>
          <cell r="D6535" t="str">
            <v>Lapp-Non Moving Stocks</v>
          </cell>
        </row>
        <row r="6536">
          <cell r="A6536" t="str">
            <v>53320340 (SKINTOP DIX-M 20340_x000D_
)</v>
          </cell>
          <cell r="B6536" t="str">
            <v>53320340(SKINTOP DIX-M 20340_x000D_
)</v>
          </cell>
          <cell r="C6536" t="str">
            <v>LAPP</v>
          </cell>
          <cell r="D6536" t="str">
            <v>Lapp-Non Moving Stocks</v>
          </cell>
        </row>
        <row r="6537">
          <cell r="A6537" t="str">
            <v>53320353 (SKINTOP DIX-M 20353)</v>
          </cell>
          <cell r="B6537" t="str">
            <v>53320353(SKINTOP DIX-M 20353)</v>
          </cell>
          <cell r="C6537" t="str">
            <v>LAPP</v>
          </cell>
          <cell r="D6537" t="str">
            <v>Lapp-Non Moving Stocks</v>
          </cell>
        </row>
        <row r="6538">
          <cell r="A6538" t="str">
            <v>53325260 (SKINTOP DIX-M 25260_x000D_
)</v>
          </cell>
          <cell r="B6538" t="str">
            <v>53325260(SKINTOP DIX-M 25260_x000D_
)</v>
          </cell>
          <cell r="C6538" t="str">
            <v>LAPP</v>
          </cell>
          <cell r="D6538" t="str">
            <v>Lapp-Non Moving Stocks</v>
          </cell>
        </row>
        <row r="6539">
          <cell r="A6539" t="str">
            <v>53332460 (SKINTOP DIX-M 32460_x000D_
)</v>
          </cell>
          <cell r="B6539" t="str">
            <v>53332460(SKINTOP DIX-M 32460_x000D_
)</v>
          </cell>
          <cell r="C6539" t="str">
            <v>LAPP</v>
          </cell>
          <cell r="D6539" t="str">
            <v>Lapp-Non Moving Stocks</v>
          </cell>
        </row>
        <row r="6540">
          <cell r="A6540" t="str">
            <v>54113000 (SKINTOP DV-M 12_x000D_
)</v>
          </cell>
          <cell r="B6540" t="str">
            <v>54113000(SKINTOP DV-M 12_x000D_
)</v>
          </cell>
          <cell r="C6540" t="str">
            <v>LAPP</v>
          </cell>
          <cell r="D6540" t="str">
            <v>Lapp-Non Moving Stocks</v>
          </cell>
        </row>
        <row r="6541">
          <cell r="A6541" t="str">
            <v>54113010 (SKINTOP DV-M 16_x000D_
)</v>
          </cell>
          <cell r="B6541" t="str">
            <v>54113010(SKINTOP DV-M 16_x000D_
)</v>
          </cell>
          <cell r="C6541" t="str">
            <v>LAPP</v>
          </cell>
          <cell r="D6541" t="str">
            <v>Lapp-Non Moving Stocks</v>
          </cell>
        </row>
        <row r="6542">
          <cell r="A6542" t="str">
            <v>54113020_x000D_
 (SKINTOP DV-M 20_x000D_
)</v>
          </cell>
          <cell r="B6542" t="str">
            <v>54113020_x000D_
(SKINTOP DV-M 20_x000D_
)</v>
          </cell>
          <cell r="C6542" t="str">
            <v>LAPP</v>
          </cell>
          <cell r="D6542" t="str">
            <v>Lapp-Non Moving Stocks</v>
          </cell>
        </row>
        <row r="6543">
          <cell r="A6543" t="str">
            <v>54113030_x000D_
 (SKINTOP DV-M 25_x000D_
)</v>
          </cell>
          <cell r="B6543" t="str">
            <v>54113030_x000D_
(SKINTOP DV-M 25_x000D_
)</v>
          </cell>
          <cell r="C6543" t="str">
            <v>LAPP</v>
          </cell>
          <cell r="D6543" t="str">
            <v>Lapp-Non Moving Stocks</v>
          </cell>
        </row>
        <row r="6544">
          <cell r="A6544" t="str">
            <v>54113050_x000D_
 (SKINTOP DV-M 40_x000D_
)</v>
          </cell>
          <cell r="B6544" t="str">
            <v>54113050_x000D_
(SKINTOP DV-M 40_x000D_
)</v>
          </cell>
          <cell r="C6544" t="str">
            <v>LAPP</v>
          </cell>
          <cell r="D6544" t="str">
            <v>Lapp-Non Moving Stocks</v>
          </cell>
        </row>
        <row r="6545">
          <cell r="A6545" t="str">
            <v>53800641 (SKINTOP DV PG 9_x000D_
)</v>
          </cell>
          <cell r="B6545" t="str">
            <v>53800641(SKINTOP DV PG 9_x000D_
)</v>
          </cell>
          <cell r="C6545" t="str">
            <v>LAPP</v>
          </cell>
          <cell r="D6545" t="str">
            <v>Lapp-Non Moving Stocks</v>
          </cell>
        </row>
        <row r="6546">
          <cell r="A6546" t="str">
            <v>53119100_x000D_
 (SKINTOP GMP-GL-M 12x1,5 RAL 9005 BK_x000D_
)</v>
          </cell>
          <cell r="B6546" t="str">
            <v>53119100_x000D_
(SKINTOP GMP-GL-M 12x1,5 RAL 9005 BK_x000D_
)</v>
          </cell>
          <cell r="C6546" t="str">
            <v>LAPP</v>
          </cell>
          <cell r="D6546" t="str">
            <v>Lapp-Non Moving Stocks</v>
          </cell>
        </row>
        <row r="6547">
          <cell r="A6547" t="str">
            <v>53119120 (SKINTOP GMP-GL-M 20x1,5 RAL 9005 BK)</v>
          </cell>
          <cell r="B6547" t="str">
            <v>53119120(SKINTOP GMP-GL-M 20x1,5 RAL 9005 BK)</v>
          </cell>
          <cell r="C6547" t="str">
            <v>LAPP</v>
          </cell>
          <cell r="D6547" t="str">
            <v>Lapp-Non Moving Stocks</v>
          </cell>
        </row>
        <row r="6548">
          <cell r="A6548" t="str">
            <v>53119130_x000D_
 (SKINTOP GMP-GL-M 25x1,5 RAL 9005 BK_x000D_
)</v>
          </cell>
          <cell r="B6548" t="str">
            <v>53119130_x000D_
(SKINTOP GMP-GL-M 25x1,5 RAL 9005 BK_x000D_
)</v>
          </cell>
          <cell r="C6548" t="str">
            <v>LAPP</v>
          </cell>
          <cell r="D6548" t="str">
            <v>Lapp-Non Moving Stocks</v>
          </cell>
        </row>
        <row r="6549">
          <cell r="A6549" t="str">
            <v>53119140 (SKINTOP GMP-GL-M 32x1,5 RAL 9005 BK_x000D_
)</v>
          </cell>
          <cell r="B6549" t="str">
            <v>53119140(SKINTOP GMP-GL-M 32x1,5 RAL 9005 BK_x000D_
)</v>
          </cell>
          <cell r="C6549" t="str">
            <v>LAPP</v>
          </cell>
          <cell r="D6549" t="str">
            <v>Lapp-Non Moving Stocks</v>
          </cell>
        </row>
        <row r="6550">
          <cell r="A6550" t="str">
            <v>53119150 (SKINTOP GMP-GL-M 40x1,5 RAL 9005 BK_x000D_
)</v>
          </cell>
          <cell r="B6550" t="str">
            <v>53119150(SKINTOP GMP-GL-M 40x1,5 RAL 9005 BK_x000D_
)</v>
          </cell>
          <cell r="C6550" t="str">
            <v>LAPP</v>
          </cell>
          <cell r="D6550" t="str">
            <v>Lapp-Non Moving Stocks</v>
          </cell>
        </row>
        <row r="6551">
          <cell r="A6551" t="str">
            <v>53119160 (SKINTOP GMP-GL-M 50x1,5 RAL 9005 BK)</v>
          </cell>
          <cell r="B6551" t="str">
            <v>53119160(SKINTOP GMP-GL-M 50x1,5 RAL 9005 BK)</v>
          </cell>
          <cell r="C6551" t="str">
            <v>LAPP</v>
          </cell>
          <cell r="D6551" t="str">
            <v>Lapp-Non Moving Stocks</v>
          </cell>
        </row>
        <row r="6552">
          <cell r="A6552" t="str">
            <v>53019021_x000D_
 (SKINTOP GMP-GL PG  11   GREY  RAL 7035_x000D_
)</v>
          </cell>
          <cell r="B6552" t="str">
            <v>53019021_x000D_
(SKINTOP GMP-GL PG  11   GREY  RAL 7035_x000D_
)</v>
          </cell>
          <cell r="C6552" t="str">
            <v>LAPP</v>
          </cell>
          <cell r="D6552" t="str">
            <v>Lapp-Non Moving Stocks</v>
          </cell>
        </row>
        <row r="6553">
          <cell r="A6553" t="str">
            <v>53019220 (SKINTOP GMP-GL PG 11 RAL 9005 BK)</v>
          </cell>
          <cell r="B6553" t="str">
            <v>53019220(SKINTOP GMP-GL PG 11 RAL 9005 BK)</v>
          </cell>
          <cell r="C6553" t="str">
            <v>LAPP</v>
          </cell>
          <cell r="D6553" t="str">
            <v>Lapp-Non Moving Stocks</v>
          </cell>
        </row>
        <row r="6554">
          <cell r="A6554" t="str">
            <v>53019230 (SKINTOP GMP-GL PG 13,5 RAL 9005 BK)</v>
          </cell>
          <cell r="B6554" t="str">
            <v>53019230(SKINTOP GMP-GL PG 13,5 RAL 9005 BK)</v>
          </cell>
          <cell r="C6554" t="str">
            <v>LAPP</v>
          </cell>
          <cell r="D6554" t="str">
            <v>Lapp-Non Moving Stocks</v>
          </cell>
        </row>
        <row r="6555">
          <cell r="A6555" t="str">
            <v>53019041 (SKINTOP GMP-GL PG  16   GREY  RAL 7035_x000D_
)</v>
          </cell>
          <cell r="B6555" t="str">
            <v>53019041(SKINTOP GMP-GL PG  16   GREY  RAL 7035_x000D_
)</v>
          </cell>
          <cell r="C6555" t="str">
            <v>LAPP</v>
          </cell>
          <cell r="D6555" t="str">
            <v>Lapp-Non Moving Stocks</v>
          </cell>
        </row>
        <row r="6556">
          <cell r="A6556" t="str">
            <v>53019061 (SKINTOP GMP-GL PG  29   GREY  RAL 7035_x000D_
)</v>
          </cell>
          <cell r="B6556" t="str">
            <v>53019061(SKINTOP GMP-GL PG 29 GREY RAL 7035_x000D_
)</v>
          </cell>
          <cell r="C6556" t="str">
            <v>LAPP</v>
          </cell>
          <cell r="D6556" t="str">
            <v>Lapp-Non Moving Stocks</v>
          </cell>
        </row>
        <row r="6557">
          <cell r="A6557" t="str">
            <v>53019070 (SKINTOP GMP-GL PG 36 RAL 7001 SGY)</v>
          </cell>
          <cell r="B6557" t="str">
            <v>53019070(SKINTOP GMP-GL PG 36 RAL 7001 SGY)</v>
          </cell>
          <cell r="C6557" t="str">
            <v>LAPP</v>
          </cell>
          <cell r="D6557" t="str">
            <v>Lapp-Non Moving Stocks</v>
          </cell>
        </row>
        <row r="6558">
          <cell r="A6558" t="str">
            <v>53019080_x000D_
 (SKINTOP GMP-GL PG 42 RAL 7001 SGY_x000D_
)</v>
          </cell>
          <cell r="B6558" t="str">
            <v>53019080_x000D_
(SKINTOP GMP-GL PG 42 RAL 7001 SGY_x000D_
)</v>
          </cell>
          <cell r="C6558" t="str">
            <v>LAPP</v>
          </cell>
          <cell r="D6558" t="str">
            <v>Lapp-Non Moving Stocks</v>
          </cell>
        </row>
        <row r="6559">
          <cell r="A6559" t="str">
            <v>53019280 (SKINTOP GMP-GL PG 42 RAL 9005 BK_x000D_
)</v>
          </cell>
          <cell r="B6559" t="str">
            <v>53019280(SKINTOP GMP-GL PG 42 RAL 9005 BK_x000D_
)</v>
          </cell>
          <cell r="C6559" t="str">
            <v>LAPP</v>
          </cell>
          <cell r="D6559" t="str">
            <v>Lapp-Non Moving Stocks</v>
          </cell>
        </row>
        <row r="6560">
          <cell r="A6560" t="str">
            <v>53019200 (SKINTOP GMP-GL PG 7 RAL 9005 BK)</v>
          </cell>
          <cell r="B6560" t="str">
            <v>53019200(SKINTOP GMP-GL PG 7 RAL 9005 BK)</v>
          </cell>
          <cell r="C6560" t="str">
            <v>LAPP</v>
          </cell>
          <cell r="D6560" t="str">
            <v>Lapp-Non Moving Stocks</v>
          </cell>
        </row>
        <row r="6561">
          <cell r="A6561" t="str">
            <v>53019011 (SKINTOP GMP-GL PG  9    GREY  RAL 7035)</v>
          </cell>
          <cell r="B6561" t="str">
            <v>53019011(SKINTOP GMP-GL PG  9    GREY  RAL 7035)</v>
          </cell>
          <cell r="C6561" t="str">
            <v>LAPP</v>
          </cell>
          <cell r="D6561" t="str">
            <v>Lapp-Non Moving Stocks</v>
          </cell>
        </row>
        <row r="6562">
          <cell r="A6562" t="str">
            <v>53019210 (SKINTOP GMP-GL PG 9 RAL 9005 BK)</v>
          </cell>
          <cell r="B6562" t="str">
            <v>53019210(SKINTOP GMP-GL PG 9 RAL 9005 BK)</v>
          </cell>
          <cell r="C6562" t="str">
            <v>LAPP</v>
          </cell>
          <cell r="D6562" t="str">
            <v>Lapp-Non Moving Stocks</v>
          </cell>
        </row>
        <row r="6563">
          <cell r="A6563" t="str">
            <v>530XXXXX (SKINTOP GMP-GL XXXXX)</v>
          </cell>
          <cell r="B6563" t="str">
            <v>530XXXXX(SKINTOP GMP-GL XXXXX)</v>
          </cell>
          <cell r="C6563" t="str">
            <v>LAPP</v>
          </cell>
          <cell r="D6563" t="str">
            <v>Lapp-Non Moving Stocks</v>
          </cell>
        </row>
        <row r="6564">
          <cell r="A6564" t="str">
            <v>53019051 (SKINTOP® GMP-GL PG 21 RAL 7035 LGY)</v>
          </cell>
          <cell r="B6564" t="str">
            <v>53019051(SKINTOP® GMP-GL PG 21 RAL 7035 LGY)</v>
          </cell>
          <cell r="C6564" t="str">
            <v>LAPP</v>
          </cell>
          <cell r="D6564" t="str">
            <v>Lapp-Non Moving Stocks</v>
          </cell>
        </row>
        <row r="6565">
          <cell r="A6565" t="str">
            <v>53019001 (SKINTOP® GMP-GL PG 7 RAL 7035 LGY)</v>
          </cell>
          <cell r="B6565" t="str">
            <v>53019001(SKINTOP® GMP-GL PG 7 RAL 7035 LGY)</v>
          </cell>
          <cell r="C6565" t="str">
            <v>LAPP</v>
          </cell>
          <cell r="D6565" t="str">
            <v>Lapp-Non Moving Stocks</v>
          </cell>
        </row>
        <row r="6566">
          <cell r="A6566" t="str">
            <v>53806743 (SKINTOP INOX M32X1,5)</v>
          </cell>
          <cell r="B6566" t="str">
            <v>53806743(SKINTOP INOX M32X1,5)</v>
          </cell>
          <cell r="C6566" t="str">
            <v>LAPP</v>
          </cell>
          <cell r="D6566" t="str">
            <v>Lapp-Non Moving Stocks</v>
          </cell>
        </row>
        <row r="6567">
          <cell r="A6567" t="str">
            <v>52006116 (SKINDICHT BLK-GL-M 16x1,5 +O-RING BK)</v>
          </cell>
          <cell r="B6567" t="str">
            <v>52006116(SKINDICHT BLK-GL-M 16x1,5 +O-RING BK)</v>
          </cell>
          <cell r="C6567" t="str">
            <v>LAPP</v>
          </cell>
          <cell r="D6567" t="str">
            <v>Lapp-Non Moving Stocks</v>
          </cell>
        </row>
        <row r="6568">
          <cell r="A6568" t="str">
            <v>52006146 (SKINDICHT BLK-GL-M 32x1,5 +O-RING BK)</v>
          </cell>
          <cell r="B6568" t="str">
            <v>52006146(SKINDICHT BLK-GL-M 32x1,5 +O-RING BK)</v>
          </cell>
          <cell r="C6568" t="str">
            <v>LAPP</v>
          </cell>
          <cell r="D6568" t="str">
            <v>Lapp-Non Moving Stocks</v>
          </cell>
        </row>
        <row r="6569">
          <cell r="A6569" t="str">
            <v>52006147 (SKINDICHT BLK-GL-M 32x1,5 +O-RING GY)</v>
          </cell>
          <cell r="B6569" t="str">
            <v>52006147(SKINDICHT BLK-GL-M 32x1,5 +O-RING GY)</v>
          </cell>
          <cell r="C6569" t="str">
            <v>LAPP</v>
          </cell>
          <cell r="D6569" t="str">
            <v>Lapp-Non Moving Stocks</v>
          </cell>
        </row>
        <row r="6570">
          <cell r="A6570" t="str">
            <v>52006176 (SKINDICHT BLK-GL-M 63x1,5 +O-RING BK)</v>
          </cell>
          <cell r="B6570" t="str">
            <v>52006176(SKINDICHT BLK-GL-M 63x1,5 +O-RING BK)</v>
          </cell>
          <cell r="C6570" t="str">
            <v>LAPP</v>
          </cell>
          <cell r="D6570" t="str">
            <v>Lapp-Non Moving Stocks</v>
          </cell>
        </row>
        <row r="6571">
          <cell r="A6571" t="str">
            <v>52103105 (SKINDICHT BL-M 12x1,5 +O-RING)</v>
          </cell>
          <cell r="B6571" t="str">
            <v>52103105(SKINDICHT BL-M 12x1,5 +O-RING)</v>
          </cell>
          <cell r="C6571" t="str">
            <v>LAPP</v>
          </cell>
          <cell r="D6571" t="str">
            <v>Lapp-Non Moving Stocks</v>
          </cell>
        </row>
        <row r="6572">
          <cell r="A6572" t="str">
            <v>54001630 (SKINDICHT BL PG 13,5 +0-RING_x000D_
)</v>
          </cell>
          <cell r="B6572" t="str">
            <v>54001630(SKINDICHT BL PG 13,5 +0-RING_x000D_
)</v>
          </cell>
          <cell r="C6572" t="str">
            <v>LAPP</v>
          </cell>
          <cell r="D6572" t="str">
            <v>Lapp-Non Moving Stocks</v>
          </cell>
        </row>
        <row r="6573">
          <cell r="A6573" t="str">
            <v>53102010_x000D_
 (SKINDICHT O-RING M16/13x2_x000D_
)</v>
          </cell>
          <cell r="B6573" t="str">
            <v>53102010_x000D_
(SKINDICHT O-RING M16/13x2_x000D_
)</v>
          </cell>
          <cell r="C6573" t="str">
            <v>LAPP</v>
          </cell>
          <cell r="D6573" t="str">
            <v>Lapp-Non Moving Stocks</v>
          </cell>
        </row>
        <row r="6574">
          <cell r="A6574" t="str">
            <v>53102040 (SKINDICHT O-RING M32/28x2_x000D_
)</v>
          </cell>
          <cell r="B6574" t="str">
            <v>53102040(SKINDICHT O-RING M32/28x2_x000D_
)</v>
          </cell>
          <cell r="C6574" t="str">
            <v>LAPP</v>
          </cell>
          <cell r="D6574" t="str">
            <v>Lapp-Non Moving Stocks</v>
          </cell>
        </row>
        <row r="6575">
          <cell r="A6575" t="str">
            <v>52004130 (SKINDICHT SE PG 16)</v>
          </cell>
          <cell r="B6575" t="str">
            <v>52004130(SKINDICHT SE PG 16)</v>
          </cell>
          <cell r="C6575" t="str">
            <v>LAPP</v>
          </cell>
          <cell r="D6575" t="str">
            <v>Lapp-Non Moving Stocks</v>
          </cell>
        </row>
        <row r="6576">
          <cell r="A6576" t="str">
            <v>0152040 (KN91L NiCr/Ni KCA 2x0,5 DIN_x000D_
)</v>
          </cell>
          <cell r="B6576" t="str">
            <v>0152040(KN91L NiCr/Ni KCA 2x0,5 DIN_x000D_
)</v>
          </cell>
          <cell r="C6576" t="str">
            <v>LAPP</v>
          </cell>
          <cell r="D6576" t="str">
            <v>Lapp-Non Moving Stocks</v>
          </cell>
        </row>
        <row r="6577">
          <cell r="A6577" t="str">
            <v>52005680 (SKINDICHT SVFK PG 21)</v>
          </cell>
          <cell r="B6577" t="str">
            <v>52005680(SKINDICHT SVFK PG 21)</v>
          </cell>
          <cell r="C6577" t="str">
            <v>LAPP</v>
          </cell>
          <cell r="D6577" t="str">
            <v>Lapp-Non Moving Stocks</v>
          </cell>
        </row>
        <row r="6578">
          <cell r="A6578" t="str">
            <v>52005690 (SKINDICHT SVFK PG 29_x000D_
)</v>
          </cell>
          <cell r="B6578" t="str">
            <v>52005690(SKINDICHT SVFK PG 29_x000D_
)</v>
          </cell>
          <cell r="C6578" t="str">
            <v>LAPP</v>
          </cell>
          <cell r="D6578" t="str">
            <v>Lapp-Non Moving Stocks</v>
          </cell>
        </row>
        <row r="6579">
          <cell r="A6579" t="str">
            <v>52005710 (SKINDICHT SVFK PG 42_x000D_
)</v>
          </cell>
          <cell r="B6579" t="str">
            <v>52005710(SKINDICHT SVFK PG 42_x000D_
)</v>
          </cell>
          <cell r="C6579" t="str">
            <v>LAPP</v>
          </cell>
          <cell r="D6579" t="str">
            <v>Lapp-Non Moving Stocks</v>
          </cell>
        </row>
        <row r="6580">
          <cell r="A6580" t="str">
            <v>52107340 (SKINDICHT SVF-M 25x1,5/21)</v>
          </cell>
          <cell r="B6580" t="str">
            <v>52107340(SKINDICHT SVF-M 25x1,5/21)</v>
          </cell>
          <cell r="C6580" t="str">
            <v>LAPP</v>
          </cell>
          <cell r="D6580" t="str">
            <v>Lapp-Non Moving Stocks</v>
          </cell>
        </row>
        <row r="6581">
          <cell r="A6581" t="str">
            <v>52005510_x000D_
 (SKINDICHT SVF PG 36_x000D_
)</v>
          </cell>
          <cell r="B6581" t="str">
            <v>52005510_x000D_
(SKINDICHT SVF PG 36_x000D_
)</v>
          </cell>
          <cell r="C6581" t="str">
            <v>LAPP</v>
          </cell>
          <cell r="D6581" t="str">
            <v>Lapp-Non Moving Stocks</v>
          </cell>
        </row>
        <row r="6582">
          <cell r="A6582" t="str">
            <v>52005530_x000D_
 (SKINDICHT SVF PG 48_x000D_
)</v>
          </cell>
          <cell r="B6582" t="str">
            <v>52005530_x000D_
(SKINDICHT SVF PG 48_x000D_
)</v>
          </cell>
          <cell r="C6582" t="str">
            <v>LAPP</v>
          </cell>
          <cell r="D6582" t="str">
            <v>Lapp-Non Moving Stocks</v>
          </cell>
        </row>
        <row r="6583">
          <cell r="A6583" t="str">
            <v>52104360 (SKINDICHT ZS-M 20x1,5/11)</v>
          </cell>
          <cell r="B6583" t="str">
            <v>52104360(SKINDICHT ZS-M 20x1,5/11)</v>
          </cell>
          <cell r="C6583" t="str">
            <v>LAPP</v>
          </cell>
          <cell r="D6583" t="str">
            <v>Lapp-Non Moving Stocks</v>
          </cell>
        </row>
        <row r="6584">
          <cell r="A6584" t="str">
            <v>53017610_x000D_
 ("SKINTOP BS ISO M 16x1,5 RAL 7001 SGY"_x000D_
)</v>
          </cell>
          <cell r="B6584" t="str">
            <v>53017610_x000D_
("SKINTOP BS ISO M 16x1,5 RAL 7001 SGY"_x000D_
)</v>
          </cell>
          <cell r="C6584" t="str">
            <v>LAPP</v>
          </cell>
          <cell r="D6584" t="str">
            <v>Lapp-Non Moving Stocks</v>
          </cell>
        </row>
        <row r="6585">
          <cell r="A6585" t="str">
            <v>53018030_x000D_
 ("SKINTOP ST PG 13,5 RAL 7035 LGY"_x000D_
)</v>
          </cell>
          <cell r="B6585" t="str">
            <v>53018030_x000D_
("SKINTOP ST PG 13,5 RAL 7035 LGY"_x000D_
)</v>
          </cell>
          <cell r="C6585" t="str">
            <v>LAPP</v>
          </cell>
          <cell r="D6585" t="str">
            <v>Lapp-Non Moving Stocks</v>
          </cell>
        </row>
        <row r="6586">
          <cell r="A6586" t="str">
            <v>53111710 (SKINTOP BS-M 16x1,5 RAL 9005 BK)</v>
          </cell>
          <cell r="B6586" t="str">
            <v>53111710(SKINTOP BS-M 16x1,5 RAL 9005 BK)</v>
          </cell>
          <cell r="C6586" t="str">
            <v>LAPP</v>
          </cell>
          <cell r="D6586" t="str">
            <v>Lapp-Non Moving Stocks</v>
          </cell>
        </row>
        <row r="6587">
          <cell r="A6587" t="str">
            <v>53111720_x000D_
 (SKINTOP BS-M 20x1,5 RAL 9005 BK_x000D_
)</v>
          </cell>
          <cell r="B6587" t="str">
            <v>53111720_x000D_
(SKINTOP BS-M 20x1,5 RAL 9005 BK_x000D_
)</v>
          </cell>
          <cell r="C6587" t="str">
            <v>LAPP</v>
          </cell>
          <cell r="D6587" t="str">
            <v>Lapp-Non Moving Stocks</v>
          </cell>
        </row>
        <row r="6588">
          <cell r="A6588" t="str">
            <v>53015620 (SKINTOP BS PG 11 RAL 7001 SGY)</v>
          </cell>
          <cell r="B6588" t="str">
            <v>53015620(SKINTOP BS PG 11 RAL 7001 SGY)</v>
          </cell>
          <cell r="C6588" t="str">
            <v>LAPP</v>
          </cell>
          <cell r="D6588" t="str">
            <v>Lapp-Non Moving Stocks</v>
          </cell>
        </row>
        <row r="6589">
          <cell r="A6589" t="str">
            <v>53015630 (SKINTOP BS PG 13,5 RAL 7001 SGY_x000D_
)</v>
          </cell>
          <cell r="B6589" t="str">
            <v>53015630(SKINTOP BS PG 13,5 RAL 7001 SGY_x000D_
)</v>
          </cell>
          <cell r="C6589" t="str">
            <v>LAPP</v>
          </cell>
          <cell r="D6589" t="str">
            <v>Lapp-Non Moving Stocks</v>
          </cell>
        </row>
        <row r="6590">
          <cell r="A6590" t="str">
            <v>53015640 (SKINTOP BS PG 16 RAL 7001 SGY_x000D_
)</v>
          </cell>
          <cell r="B6590" t="str">
            <v>53015640(SKINTOP BS PG 16 RAL 7001 SGY_x000D_
)</v>
          </cell>
          <cell r="C6590" t="str">
            <v>LAPP</v>
          </cell>
          <cell r="D6590" t="str">
            <v>Lapp-Non Moving Stocks</v>
          </cell>
        </row>
        <row r="6591">
          <cell r="A6591" t="str">
            <v>53015600 (SKINTOP BS PG 7 RAL 7001 SGY)</v>
          </cell>
          <cell r="B6591" t="str">
            <v>53015600(SKINTOP BS PG 7 RAL 7001 SGY)</v>
          </cell>
          <cell r="C6591" t="str">
            <v>LAPP</v>
          </cell>
          <cell r="D6591" t="str">
            <v>Lapp-Non Moving Stocks</v>
          </cell>
        </row>
        <row r="6592">
          <cell r="A6592" t="str">
            <v>53015610 (SKINTOP BS PG 9 RAL 7001 SGY)</v>
          </cell>
          <cell r="B6592" t="str">
            <v>53015610(SKINTOP BS PG 9 RAL 7001 SGY)</v>
          </cell>
          <cell r="C6592" t="str">
            <v>LAPP</v>
          </cell>
          <cell r="D6592" t="str">
            <v>Lapp-Non Moving Stocks</v>
          </cell>
        </row>
        <row r="6593">
          <cell r="A6593" t="str">
            <v>53112911 (SKINTOP CLICK BS M 20 RAL 9005 BK)</v>
          </cell>
          <cell r="B6593" t="str">
            <v>53112911(SKINTOP CLICK BS M 20 RAL 9005 BK)</v>
          </cell>
          <cell r="C6593" t="str">
            <v>LAPP</v>
          </cell>
          <cell r="D6593" t="str">
            <v>Lapp-Non Moving Stocks</v>
          </cell>
        </row>
        <row r="6594">
          <cell r="A6594" t="str">
            <v>52220006 (SKINTOP CUBE MODULE 40x40 large_x000D_
)</v>
          </cell>
          <cell r="B6594" t="str">
            <v>52220006(SKINTOP CUBE MODULE 40x40 large_x000D_
)</v>
          </cell>
          <cell r="C6594" t="str">
            <v>LAPP</v>
          </cell>
          <cell r="D6594" t="str">
            <v>Lapp-Non Moving Stocks</v>
          </cell>
        </row>
        <row r="6595">
          <cell r="A6595" t="str">
            <v>53611240 (SKINTOP DIX 11240_x000D_
)</v>
          </cell>
          <cell r="B6595" t="str">
            <v>53611240(SKINTOP DIX 11240_x000D_
)</v>
          </cell>
          <cell r="C6595" t="str">
            <v>LAPP</v>
          </cell>
          <cell r="D6595" t="str">
            <v>Lapp-Non Moving Stocks</v>
          </cell>
        </row>
        <row r="6596">
          <cell r="A6596" t="str">
            <v>53316220 (SKINTOP DIX-M 16220_x000D_
)</v>
          </cell>
          <cell r="B6596" t="str">
            <v>53316220(SKINTOP DIX-M 16220_x000D_
)</v>
          </cell>
          <cell r="C6596" t="str">
            <v>LAPP</v>
          </cell>
          <cell r="D6596" t="str">
            <v>Lapp-Non Moving Stocks</v>
          </cell>
        </row>
        <row r="6597">
          <cell r="A6597" t="str">
            <v>53316420 (SKINTOP DIX-M 16420_x000D_
)</v>
          </cell>
          <cell r="B6597" t="str">
            <v>53316420(SKINTOP DIX-M 16420_x000D_
)</v>
          </cell>
          <cell r="C6597" t="str">
            <v>LAPP</v>
          </cell>
          <cell r="D6597" t="str">
            <v>Lapp-Non Moving Stocks</v>
          </cell>
        </row>
        <row r="6598">
          <cell r="A6598" t="str">
            <v>53320250 (SKINTOP DIX-M 20250_x000D_
)</v>
          </cell>
          <cell r="B6598" t="str">
            <v>53320250(SKINTOP DIX-M 20250_x000D_
)</v>
          </cell>
          <cell r="C6598" t="str">
            <v>LAPP</v>
          </cell>
          <cell r="D6598" t="str">
            <v>Lapp-Non Moving Stocks</v>
          </cell>
        </row>
        <row r="6599">
          <cell r="A6599" t="str">
            <v>53325370 (SKINTOP DIX-M 25370_x000D_
)</v>
          </cell>
          <cell r="B6599" t="str">
            <v>53325370(SKINTOP DIX-M 25370_x000D_
)</v>
          </cell>
          <cell r="C6599" t="str">
            <v>LAPP</v>
          </cell>
          <cell r="D6599" t="str">
            <v>Lapp-Non Moving Stocks</v>
          </cell>
        </row>
        <row r="6600">
          <cell r="A6600" t="str">
            <v>54113040 (SKINTOP DV-M 32)</v>
          </cell>
          <cell r="B6600" t="str">
            <v>54113040(SKINTOP DV-M 32)</v>
          </cell>
          <cell r="C6600" t="str">
            <v>LAPP</v>
          </cell>
          <cell r="D6600" t="str">
            <v>Lapp-Non Moving Stocks</v>
          </cell>
        </row>
        <row r="6601">
          <cell r="A6601" t="str">
            <v>54115230 (SKINTOP K-M 25X1,5 ATEX Plus BK)</v>
          </cell>
          <cell r="B6601" t="str">
            <v>54115230(SKINTOP K-M 25X1,5 ATEX Plus BK)</v>
          </cell>
          <cell r="C6601" t="str">
            <v>LAPP</v>
          </cell>
          <cell r="D6601" t="str">
            <v>Lapp-Non Moving Stocks</v>
          </cell>
        </row>
        <row r="6602">
          <cell r="A6602" t="str">
            <v>54115200 (SKINTOP K-M EExe II ATEX 12x1,5 BK_x000D_
)</v>
          </cell>
          <cell r="B6602" t="str">
            <v>54115200(SKINTOP K-M EExe II ATEX 12x1,5 BK_x000D_
)</v>
          </cell>
          <cell r="C6602" t="str">
            <v>LAPP</v>
          </cell>
          <cell r="D6602" t="str">
            <v>Lapp-Non Moving Stocks</v>
          </cell>
        </row>
        <row r="6603">
          <cell r="A6603" t="str">
            <v>54115400 (SKINTOP K-M EExe II ATEX 12x1,5 BU)</v>
          </cell>
          <cell r="B6603" t="str">
            <v>54115400(SKINTOP K-M EExe II ATEX 12x1,5 BU)</v>
          </cell>
          <cell r="C6603" t="str">
            <v>LAPP</v>
          </cell>
          <cell r="D6603" t="str">
            <v>Lapp-Non Moving Stocks</v>
          </cell>
        </row>
        <row r="6604">
          <cell r="A6604" t="str">
            <v>54115210 (SKINTOP K-M EExe II ATEX 16x1,5 BK)</v>
          </cell>
          <cell r="B6604" t="str">
            <v>54115210(SKINTOP K-M EExe II ATEX 16x1,5 BK)</v>
          </cell>
          <cell r="C6604" t="str">
            <v>LAPP</v>
          </cell>
          <cell r="D6604" t="str">
            <v>Lapp-Non Moving Stocks</v>
          </cell>
        </row>
        <row r="6605">
          <cell r="A6605" t="str">
            <v>54115220 (SKINTOP K-M EExe II ATEX 20x1,5 BK_x000D_
)</v>
          </cell>
          <cell r="B6605" t="str">
            <v>54115220(SKINTOP K-M EExe II ATEX 20x1,5 BK_x000D_
)</v>
          </cell>
          <cell r="C6605" t="str">
            <v>LAPP</v>
          </cell>
          <cell r="D6605" t="str">
            <v>Lapp-Non Moving Stocks</v>
          </cell>
        </row>
        <row r="6606">
          <cell r="A6606" t="str">
            <v>54115430 (SKINTOP K-M EExe II ATEX 25x1,5 BU)</v>
          </cell>
          <cell r="B6606" t="str">
            <v>54115430(SKINTOP K-M EExe II ATEX 25x1,5 BU)</v>
          </cell>
          <cell r="C6606" t="str">
            <v>LAPP</v>
          </cell>
          <cell r="D6606" t="str">
            <v>Lapp-Non Moving Stocks</v>
          </cell>
        </row>
        <row r="6607">
          <cell r="A6607" t="str">
            <v>54115250 (SKINTOP K-M EExe II ATEX 40x1,5 BK_x000D_
)</v>
          </cell>
          <cell r="B6607" t="str">
            <v>54115250(SKINTOP K-M EExe II ATEX 40x1,5 BK_x000D_
)</v>
          </cell>
          <cell r="C6607" t="str">
            <v>LAPP</v>
          </cell>
          <cell r="D6607" t="str">
            <v>Lapp-Non Moving Stocks</v>
          </cell>
        </row>
        <row r="6608">
          <cell r="A6608" t="str">
            <v>54115260 (SKINTOP K-M EExe II ATEX 50x1,5 BK_x000D_
)</v>
          </cell>
          <cell r="B6608" t="str">
            <v>54115260(SKINTOP K-M EExe II ATEX 50x1,5 BK_x000D_
)</v>
          </cell>
          <cell r="C6608" t="str">
            <v>LAPP</v>
          </cell>
          <cell r="D6608" t="str">
            <v>Lapp-Non Moving Stocks</v>
          </cell>
        </row>
        <row r="6609">
          <cell r="A6609" t="str">
            <v>54115270 (SKINTOP K-M EExe II ATEX 63x1,5 BK_x000D_
)</v>
          </cell>
          <cell r="B6609" t="str">
            <v>54115270(SKINTOP K-M EExe II ATEX 63x1,5 BK_x000D_
)</v>
          </cell>
          <cell r="C6609" t="str">
            <v>LAPP</v>
          </cell>
          <cell r="D6609" t="str">
            <v>Lapp-Non Moving Stocks</v>
          </cell>
        </row>
        <row r="6610">
          <cell r="A6610" t="str">
            <v>54115205 (SKINTOP KR-M EExe II ATEX 12x1,5 BK_x000D_
)</v>
          </cell>
          <cell r="B6610" t="str">
            <v>54115205(SKINTOP KR-M EExe II ATEX 12x1,5 BK_x000D_
)</v>
          </cell>
          <cell r="C6610" t="str">
            <v>LAPP</v>
          </cell>
          <cell r="D6610" t="str">
            <v>Lapp-Non Moving Stocks</v>
          </cell>
        </row>
        <row r="6611">
          <cell r="A6611" t="str">
            <v>54115215 (SKINTOP KR-M EExe II ATEX 16x1,5 BK_x000D_
)</v>
          </cell>
          <cell r="B6611" t="str">
            <v>54115215(SKINTOP KR-M EExe II ATEX 16x1,5 BK_x000D_
)</v>
          </cell>
          <cell r="C6611" t="str">
            <v>LAPP</v>
          </cell>
          <cell r="D6611" t="str">
            <v>Lapp-Non Moving Stocks</v>
          </cell>
        </row>
        <row r="6612">
          <cell r="A6612" t="str">
            <v>54115225 (SKINTOP KR-M EExe II ATEX 20x1,5 BK_x000D_
)</v>
          </cell>
          <cell r="B6612" t="str">
            <v>54115225(SKINTOP KR-M EExe II ATEX 20x1,5 BK_x000D_
)</v>
          </cell>
          <cell r="C6612" t="str">
            <v>LAPP</v>
          </cell>
          <cell r="D6612" t="str">
            <v>Lapp-Non Moving Stocks</v>
          </cell>
        </row>
        <row r="6613">
          <cell r="A6613" t="str">
            <v>54115235 (SKINTOP KR-M EExe II ATEX 25x1,5 BK_x000D_
)</v>
          </cell>
          <cell r="B6613" t="str">
            <v>54115235(SKINTOP KR-M EExe II ATEX 25x1,5 BK_x000D_
)</v>
          </cell>
          <cell r="C6613" t="str">
            <v>LAPP</v>
          </cell>
          <cell r="D6613" t="str">
            <v>Lapp-Non Moving Stocks</v>
          </cell>
        </row>
        <row r="6614">
          <cell r="A6614" t="str">
            <v>54115245 (SKINTOP KRMEExeIIATEX 32x1,5 BK_x000D_
)</v>
          </cell>
          <cell r="B6614" t="str">
            <v>54115245(SKINTOP KRMEExeIIATEX 32x1,5 BK_x000D_
)</v>
          </cell>
          <cell r="C6614" t="str">
            <v>LAPP</v>
          </cell>
          <cell r="D6614" t="str">
            <v>Lapp-Non Moving Stocks</v>
          </cell>
        </row>
        <row r="6615">
          <cell r="A6615" t="str">
            <v>54115255 (SKINTOP KR-M EExe II ATEX 40x1,5 BK_x000D_
)</v>
          </cell>
          <cell r="B6615" t="str">
            <v>54115255(SKINTOP KR-M EExe II ATEX 40x1,5 BK_x000D_
)</v>
          </cell>
          <cell r="C6615" t="str">
            <v>LAPP</v>
          </cell>
          <cell r="D6615" t="str">
            <v>Lapp-Non Moving Stocks</v>
          </cell>
        </row>
        <row r="6616">
          <cell r="A6616" t="str">
            <v>54115265 (SKINTOP KR-M EExe II ATEX 50x1,5 BK_x000D_
)</v>
          </cell>
          <cell r="B6616" t="str">
            <v>54115265(SKINTOP KR-M EExe II ATEX 50x1,5 BK_x000D_
)</v>
          </cell>
          <cell r="C6616" t="str">
            <v>LAPP</v>
          </cell>
          <cell r="D6616" t="str">
            <v>Lapp-Non Moving Stocks</v>
          </cell>
        </row>
        <row r="6617">
          <cell r="A6617" t="str">
            <v>54115275 (SKINTOP KR-M EExe II ATEX 63x1,5 BK_x000D_
)</v>
          </cell>
          <cell r="B6617" t="str">
            <v>54115275(SKINTOP KR-M EExe II ATEX 63x1,5 BK_x000D_
)</v>
          </cell>
          <cell r="C6617" t="str">
            <v>LAPP</v>
          </cell>
          <cell r="D6617" t="str">
            <v>Lapp-Non Moving Stocks</v>
          </cell>
        </row>
        <row r="6618">
          <cell r="A6618" t="str">
            <v>53112000 (SKINTOP MS-M 12x1,5_x000D_
)</v>
          </cell>
          <cell r="B6618" t="str">
            <v>53112000(SKINTOP MS-M 12x1,5_x000D_
)</v>
          </cell>
          <cell r="C6618" t="str">
            <v>LAPP</v>
          </cell>
          <cell r="D6618" t="str">
            <v>Lapp-Non Moving Stocks</v>
          </cell>
        </row>
        <row r="6619">
          <cell r="A6619" t="str">
            <v>53112010 (SKINTOP MS-M 16x1,5)</v>
          </cell>
          <cell r="B6619" t="str">
            <v>53112010(SKINTOP MS-M 16x1,5)</v>
          </cell>
          <cell r="C6619" t="str">
            <v>LAPP</v>
          </cell>
          <cell r="D6619" t="str">
            <v>Lapp-Non Moving Stocks</v>
          </cell>
        </row>
        <row r="6620">
          <cell r="A6620" t="str">
            <v>53112020 (SKINTOP MS-M 20x1,5)</v>
          </cell>
          <cell r="B6620" t="str">
            <v>53112020(SKINTOP MS-M 20x1,5)</v>
          </cell>
          <cell r="C6620" t="str">
            <v>LAPP</v>
          </cell>
          <cell r="D6620" t="str">
            <v>Lapp-Non Moving Stocks</v>
          </cell>
        </row>
        <row r="6621">
          <cell r="A6621" t="str">
            <v>53112030 (SKINTOP MS-M 25x1,5)</v>
          </cell>
          <cell r="B6621" t="str">
            <v>53112030(SKINTOP MS-M 25x1,5)</v>
          </cell>
          <cell r="C6621" t="str">
            <v>LAPP</v>
          </cell>
          <cell r="D6621" t="str">
            <v>Lapp-Non Moving Stocks</v>
          </cell>
        </row>
        <row r="6622">
          <cell r="A6622" t="str">
            <v>53112730_x000D_
 (SKINTOP MS-M 25x1,5 ATEX_x000D_
)</v>
          </cell>
          <cell r="B6622" t="str">
            <v>53112730_x000D_
(SKINTOP MS-M 25x1,5 ATEX_x000D_
)</v>
          </cell>
          <cell r="C6622" t="str">
            <v>LAPP</v>
          </cell>
          <cell r="D6622" t="str">
            <v>Lapp-Non Moving Stocks</v>
          </cell>
        </row>
        <row r="6623">
          <cell r="A6623" t="str">
            <v>53112040 (SKINTOP MS-M 32x1,5)</v>
          </cell>
          <cell r="B6623" t="str">
            <v>53112040(SKINTOP MS-M 32x1,5)</v>
          </cell>
          <cell r="C6623" t="str">
            <v>LAPP</v>
          </cell>
          <cell r="D6623" t="str">
            <v>Lapp-Non Moving Stocks</v>
          </cell>
        </row>
        <row r="6624">
          <cell r="A6624" t="str">
            <v>53112050 (SKINTOP MS-M 40x1,5_x000D_
)</v>
          </cell>
          <cell r="B6624" t="str">
            <v>53112050(SKINTOP MS-M 40x1,5_x000D_
)</v>
          </cell>
          <cell r="C6624" t="str">
            <v>LAPP</v>
          </cell>
          <cell r="D6624" t="str">
            <v>Lapp-Non Moving Stocks</v>
          </cell>
        </row>
        <row r="6625">
          <cell r="A6625" t="str">
            <v>53112060 (SKINTOP MS-M 50x1,5_x000D_
)</v>
          </cell>
          <cell r="B6625" t="str">
            <v>53112060(SKINTOP MS-M 50x1,5_x000D_
)</v>
          </cell>
          <cell r="C6625" t="str">
            <v>LAPP</v>
          </cell>
          <cell r="D6625" t="str">
            <v>Lapp-Non Moving Stocks</v>
          </cell>
        </row>
        <row r="6626">
          <cell r="A6626" t="str">
            <v>53112860_x000D_
 (SKINTOP MS-M 50X1,5 ATEX XL_x000D_
)</v>
          </cell>
          <cell r="B6626" t="str">
            <v>53112860_x000D_
(SKINTOP MS-M 50X1,5 ATEX XL_x000D_
)</v>
          </cell>
          <cell r="C6626" t="str">
            <v>LAPP</v>
          </cell>
          <cell r="D6626" t="str">
            <v>Lapp-Non Moving Stocks</v>
          </cell>
        </row>
        <row r="6627">
          <cell r="A6627" t="str">
            <v>53112770_x000D_
 (SKINTOP MS-M 63x1,5 ATEX_x000D_
)</v>
          </cell>
          <cell r="B6627" t="str">
            <v>53112770_x000D_
(SKINTOP MS-M 63x1,5 ATEX_x000D_
)</v>
          </cell>
          <cell r="C6627" t="str">
            <v>LAPP</v>
          </cell>
          <cell r="D6627" t="str">
            <v>Lapp-Non Moving Stocks</v>
          </cell>
        </row>
        <row r="6628">
          <cell r="A6628" t="str">
            <v>53112024_x000D_
 (SKINTOP MS-NPT 1/2''_x000D_
)</v>
          </cell>
          <cell r="B6628" t="str">
            <v>53112024_x000D_
(SKINTOP MS-NPT 1/2''_x000D_
)</v>
          </cell>
          <cell r="C6628" t="str">
            <v>LAPP</v>
          </cell>
          <cell r="D6628" t="str">
            <v>Lapp-Non Moving Stocks</v>
          </cell>
        </row>
        <row r="6629">
          <cell r="A6629" t="str">
            <v>53112100 (SKINTOP MSR-M 12x1,5)</v>
          </cell>
          <cell r="B6629" t="str">
            <v>53112100(SKINTOP MSR-M 12x1,5)</v>
          </cell>
          <cell r="C6629" t="str">
            <v>LAPP</v>
          </cell>
          <cell r="D6629" t="str">
            <v>Lapp-Non Moving Stocks</v>
          </cell>
        </row>
        <row r="6630">
          <cell r="A6630" t="str">
            <v>53112120 (SKINTOP MSR-M 20x1,5)</v>
          </cell>
          <cell r="B6630" t="str">
            <v>53112120(SKINTOP MSR-M 20x1,5)</v>
          </cell>
          <cell r="C6630" t="str">
            <v>LAPP</v>
          </cell>
          <cell r="D6630" t="str">
            <v>Lapp-Non Moving Stocks</v>
          </cell>
        </row>
        <row r="6631">
          <cell r="A6631" t="str">
            <v>53112140 (SKINTOP MSR-M 32x1,5_x000D_
)</v>
          </cell>
          <cell r="B6631" t="str">
            <v>53112140(SKINTOP MSR-M 32x1,5_x000D_
)</v>
          </cell>
          <cell r="C6631" t="str">
            <v>LAPP</v>
          </cell>
          <cell r="D6631" t="str">
            <v>Lapp-Non Moving Stocks</v>
          </cell>
        </row>
        <row r="6632">
          <cell r="A6632" t="str">
            <v>53112620 (SKINTOP MS-SC-M 16x1,5)</v>
          </cell>
          <cell r="B6632" t="str">
            <v>53112620(SKINTOP MS-SC-M 16x1,5)</v>
          </cell>
          <cell r="C6632" t="str">
            <v>LAPP</v>
          </cell>
          <cell r="D6632" t="str">
            <v>Lapp-Non Moving Stocks</v>
          </cell>
        </row>
        <row r="6633">
          <cell r="A6633" t="str">
            <v>53112630 (SKINTOP MS-SC-M 20x1,5)</v>
          </cell>
          <cell r="B6633" t="str">
            <v>53112630(SKINTOP MS-SC-M 20x1,5)</v>
          </cell>
          <cell r="C6633" t="str">
            <v>LAPP</v>
          </cell>
          <cell r="D6633" t="str">
            <v>Lapp-Non Moving Stocks</v>
          </cell>
        </row>
        <row r="6634">
          <cell r="A6634" t="str">
            <v>53112640 (SKINTOP MS-SC-M 25x1,5)</v>
          </cell>
          <cell r="B6634" t="str">
            <v>53112640(SKINTOP MS-SC-M 25x1,5)</v>
          </cell>
          <cell r="C6634" t="str">
            <v>LAPP</v>
          </cell>
          <cell r="D6634" t="str">
            <v>Lapp-Non Moving Stocks</v>
          </cell>
        </row>
        <row r="6635">
          <cell r="A6635" t="str">
            <v>53112650 (SKINTOP MS-SC M 32x1,5)</v>
          </cell>
          <cell r="B6635" t="str">
            <v>53112650(SKINTOP MS-SC M 32x1,5)</v>
          </cell>
          <cell r="C6635" t="str">
            <v>LAPP</v>
          </cell>
          <cell r="D6635" t="str">
            <v>Lapp-Non Moving Stocks</v>
          </cell>
        </row>
        <row r="6636">
          <cell r="A6636" t="str">
            <v>53112660 (SKINTOP MS-SC M 40x1,5)</v>
          </cell>
          <cell r="B6636" t="str">
            <v>53112660(SKINTOP MS-SC M 40x1,5)</v>
          </cell>
          <cell r="C6636" t="str">
            <v>LAPP</v>
          </cell>
          <cell r="D6636" t="str">
            <v>Lapp-Non Moving Stocks</v>
          </cell>
        </row>
        <row r="6637">
          <cell r="A6637" t="str">
            <v>53112677 (SKINTOP MS-SC-M BRUSH 32x1,5)</v>
          </cell>
          <cell r="B6637" t="str">
            <v>53112677(SKINTOP MS-SC-M BRUSH 32x1,5)</v>
          </cell>
          <cell r="C6637" t="str">
            <v>LAPP</v>
          </cell>
          <cell r="D6637" t="str">
            <v>Lapp-Non Moving Stocks</v>
          </cell>
        </row>
        <row r="6638">
          <cell r="A6638" t="str">
            <v>53112678 (SKINTOP MS-SC-M BRUSH 40X1,5)</v>
          </cell>
          <cell r="B6638" t="str">
            <v>53112678(SKINTOP MS-SC-M BRUSH 40X1,5)</v>
          </cell>
          <cell r="C6638" t="str">
            <v>LAPP</v>
          </cell>
          <cell r="D6638" t="str">
            <v>Lapp-Non Moving Stocks</v>
          </cell>
        </row>
        <row r="6639">
          <cell r="A6639" t="str">
            <v>53112635 (SKINTOP MS-SC-M-XL 20x1,5)</v>
          </cell>
          <cell r="B6639" t="str">
            <v>53112635(SKINTOP MS-SC-M-XL 20x1,5)</v>
          </cell>
          <cell r="C6639" t="str">
            <v>LAPP</v>
          </cell>
          <cell r="D6639" t="str">
            <v>Lapp-Non Moving Stocks</v>
          </cell>
        </row>
        <row r="6640">
          <cell r="A6640" t="str">
            <v>52115720 (SKINTOP MS-XL PG 11_x000D_
)</v>
          </cell>
          <cell r="B6640" t="str">
            <v>52115720(SKINTOP MS-XL PG 11_x000D_
)</v>
          </cell>
          <cell r="C6640" t="str">
            <v>LAPP</v>
          </cell>
          <cell r="D6640" t="str">
            <v>Lapp-Non Moving Stocks</v>
          </cell>
        </row>
        <row r="6641">
          <cell r="A6641" t="str">
            <v>54113032 (SKINTOP SDV-M 25 ATEX_x000D_
)</v>
          </cell>
          <cell r="B6641" t="str">
            <v>54113032(SKINTOP SDV-M 25 ATEX_x000D_
)</v>
          </cell>
          <cell r="C6641" t="str">
            <v>LAPP</v>
          </cell>
          <cell r="D6641" t="str">
            <v>Lapp-Non Moving Stocks</v>
          </cell>
        </row>
        <row r="6642">
          <cell r="A6642" t="str">
            <v>53016030 (SKINTOP ST 1/2'' RAL 7001 SGY_x000D_
)</v>
          </cell>
          <cell r="B6642" t="str">
            <v>53016030(SKINTOP ST 1/2'' RAL 7001 SGY_x000D_
)</v>
          </cell>
          <cell r="C6642" t="str">
            <v>LAPP</v>
          </cell>
          <cell r="D6642" t="str">
            <v>Lapp-Non Moving Stocks</v>
          </cell>
        </row>
        <row r="6643">
          <cell r="A6643" t="str">
            <v>53016050 (SKINTOP ST 3/4'' RAL 7001 SGY)</v>
          </cell>
          <cell r="B6643" t="str">
            <v>53016050(SKINTOP ST 3/4'' RAL 7001 SGY)</v>
          </cell>
          <cell r="C6643" t="str">
            <v>LAPP</v>
          </cell>
          <cell r="D6643" t="str">
            <v>Lapp-Non Moving Stocks</v>
          </cell>
        </row>
        <row r="6644">
          <cell r="A6644" t="str">
            <v>53017210 (SKINTOP ST ISO M 16x1,5 RAL 9005 BK_x000D_
)</v>
          </cell>
          <cell r="B6644" t="str">
            <v>53017210(SKINTOP ST ISO M 16x1,5 RAL 9005 BK_x000D_
)</v>
          </cell>
          <cell r="C6644" t="str">
            <v>LAPP</v>
          </cell>
          <cell r="D6644" t="str">
            <v>Lapp-Non Moving Stocks</v>
          </cell>
        </row>
        <row r="6645">
          <cell r="A6645" t="str">
            <v>53111000 (SKINTOP ST-M 12x1,5 RAL 7001 SGY)</v>
          </cell>
          <cell r="B6645" t="str">
            <v>53111000(SKINTOP ST-M 12x1,5 RAL 7001 SGY)</v>
          </cell>
          <cell r="C6645" t="str">
            <v>LAPP</v>
          </cell>
          <cell r="D6645" t="str">
            <v>Lapp-Non Moving Stocks</v>
          </cell>
        </row>
        <row r="6646">
          <cell r="A6646" t="str">
            <v>53111200_x000D_
 (SKINTOP ST-M 12x1,5 RAL 9005 BK_x000D_
)</v>
          </cell>
          <cell r="B6646" t="str">
            <v>53111200_x000D_
(SKINTOP ST-M 12x1,5 RAL 9005 BK_x000D_
)</v>
          </cell>
          <cell r="C6646" t="str">
            <v>LAPP</v>
          </cell>
          <cell r="D6646" t="str">
            <v>Lapp-Non Moving Stocks</v>
          </cell>
        </row>
        <row r="6647">
          <cell r="A6647" t="str">
            <v>53111220_x000D_
 (SKINTOP ST-M 20x1,5 RAL 9005 BK_x000D_
)</v>
          </cell>
          <cell r="B6647" t="str">
            <v>53111220_x000D_
(SKINTOP ST-M 20x1,5 RAL 9005 BK_x000D_
)</v>
          </cell>
          <cell r="C6647" t="str">
            <v>LAPP</v>
          </cell>
          <cell r="D6647" t="str">
            <v>Lapp-Non Moving Stocks</v>
          </cell>
        </row>
        <row r="6648">
          <cell r="A6648" t="str">
            <v>53111230 (SKINTOP ST-M 25x1,5 RAL 9005 BK)</v>
          </cell>
          <cell r="B6648" t="str">
            <v>53111230(SKINTOP ST-M 25x1,5 RAL 9005 BK)</v>
          </cell>
          <cell r="C6648" t="str">
            <v>LAPP</v>
          </cell>
          <cell r="D6648" t="str">
            <v>Lapp-Non Moving Stocks</v>
          </cell>
        </row>
        <row r="6649">
          <cell r="A6649" t="str">
            <v>53111250 (SKINTOP ST-M 40x1,5 RAL 9005 BK)</v>
          </cell>
          <cell r="B6649" t="str">
            <v>53111250(SKINTOP ST-M 40x1,5 RAL 9005 BK)</v>
          </cell>
          <cell r="C6649" t="str">
            <v>LAPP</v>
          </cell>
          <cell r="D6649" t="str">
            <v>Lapp-Non Moving Stocks</v>
          </cell>
        </row>
        <row r="6650">
          <cell r="A6650" t="str">
            <v>53111460 (SKINTOP ST-M 50x1,5 RAL 7035 LGY)</v>
          </cell>
          <cell r="B6650" t="str">
            <v>53111460(SKINTOP ST-M 50x1,5 RAL 7035 LGY)</v>
          </cell>
          <cell r="C6650" t="str">
            <v>LAPP</v>
          </cell>
          <cell r="D6650" t="str">
            <v>Lapp-Non Moving Stocks</v>
          </cell>
        </row>
        <row r="6651">
          <cell r="A6651" t="str">
            <v>53018020 (SKINTOP ST PG 11 RAL 7035 LGY)</v>
          </cell>
          <cell r="B6651" t="str">
            <v>53018020(SKINTOP ST PG 11 RAL 7035 LGY)</v>
          </cell>
          <cell r="C6651" t="str">
            <v>LAPP</v>
          </cell>
          <cell r="D6651" t="str">
            <v>Lapp-Non Moving Stocks</v>
          </cell>
        </row>
        <row r="6652">
          <cell r="A6652" t="str">
            <v>53015230 (SKINTOP ST PG 13,5 RAL 9005 BK)</v>
          </cell>
          <cell r="B6652" t="str">
            <v>53015230(SKINTOP ST PG 13,5 RAL 9005 BK)</v>
          </cell>
          <cell r="C6652" t="str">
            <v>LAPP</v>
          </cell>
          <cell r="D6652" t="str">
            <v>Lapp-Non Moving Stocks</v>
          </cell>
        </row>
        <row r="6653">
          <cell r="A6653" t="str">
            <v>53018040 (SKINTOP ST PG 16 RAL 7035 LGY)</v>
          </cell>
          <cell r="B6653" t="str">
            <v>53018040(SKINTOP ST PG 16 RAL 7035 LGY)</v>
          </cell>
          <cell r="C6653" t="str">
            <v>LAPP</v>
          </cell>
          <cell r="D6653" t="str">
            <v>Lapp-Non Moving Stocks</v>
          </cell>
        </row>
        <row r="6654">
          <cell r="A6654" t="str">
            <v>53018050 (SKINTOP ST PG 21 RAL 7035 LGY)</v>
          </cell>
          <cell r="B6654" t="str">
            <v>53018050(SKINTOP ST PG 21 RAL 7035 LGY)</v>
          </cell>
          <cell r="C6654" t="str">
            <v>LAPP</v>
          </cell>
          <cell r="D6654" t="str">
            <v>Lapp-Non Moving Stocks</v>
          </cell>
        </row>
        <row r="6655">
          <cell r="A6655" t="str">
            <v>53015250_x000D_
 (SKINTOP ST PG 21 RAL 9005 BK_x000D_
)</v>
          </cell>
          <cell r="B6655" t="str">
            <v>53015250_x000D_
(SKINTOP ST PG 21 RAL 9005 BK_x000D_
)</v>
          </cell>
          <cell r="C6655" t="str">
            <v>LAPP</v>
          </cell>
          <cell r="D6655" t="str">
            <v>Lapp-Non Moving Stocks</v>
          </cell>
        </row>
        <row r="6656">
          <cell r="A6656" t="str">
            <v>53018060 (SKINTOP ST PG 29 RAL 7035 LGY_x000D_
)</v>
          </cell>
          <cell r="B6656" t="str">
            <v>53018060(SKINTOP ST PG 29 RAL 7035 LGY_x000D_
)</v>
          </cell>
          <cell r="C6656" t="str">
            <v>LAPP</v>
          </cell>
          <cell r="D6656" t="str">
            <v>Lapp-Non Moving Stocks</v>
          </cell>
        </row>
        <row r="6657">
          <cell r="A6657" t="str">
            <v>53015070 (SKINTOP ST PG 36 RAL 7001 SGY)</v>
          </cell>
          <cell r="B6657" t="str">
            <v>53015070(SKINTOP ST PG 36 RAL 7001 SGY)</v>
          </cell>
          <cell r="C6657" t="str">
            <v>LAPP</v>
          </cell>
          <cell r="D6657" t="str">
            <v>Lapp-Non Moving Stocks</v>
          </cell>
        </row>
        <row r="6658">
          <cell r="A6658" t="str">
            <v>53015270 (SKINTOP ST PG 36 RAL 9005 BK)</v>
          </cell>
          <cell r="B6658" t="str">
            <v>53015270(SKINTOP ST PG 36 RAL 9005 BK)</v>
          </cell>
          <cell r="C6658" t="str">
            <v>LAPP</v>
          </cell>
          <cell r="D6658" t="str">
            <v>Lapp-Non Moving Stocks</v>
          </cell>
        </row>
        <row r="6659">
          <cell r="A6659" t="str">
            <v>53015080_x000D_
 (SKINTOP ST PG 42 RAL 7001 SGY_x000D_
)</v>
          </cell>
          <cell r="B6659" t="str">
            <v>53015080_x000D_
(SKINTOP ST PG 42 RAL 7001 SGY_x000D_
)</v>
          </cell>
          <cell r="C6659" t="str">
            <v>LAPP</v>
          </cell>
          <cell r="D6659" t="str">
            <v>Lapp-Non Moving Stocks</v>
          </cell>
        </row>
        <row r="6660">
          <cell r="A6660" t="str">
            <v>53015090_x000D_
 (SKINTOP ST PG 48 RAL 7001 SGY_x000D_
)</v>
          </cell>
          <cell r="B6660" t="str">
            <v>53015090_x000D_
(SKINTOP ST PG 48 RAL 7001 SGY_x000D_
)</v>
          </cell>
          <cell r="C6660" t="str">
            <v>LAPP</v>
          </cell>
          <cell r="D6660" t="str">
            <v>Lapp-Non Moving Stocks</v>
          </cell>
        </row>
        <row r="6661">
          <cell r="A6661" t="str">
            <v>53015200_x000D_
 (SKINTOP ST PG 7 RAL 9005 BK_x000D_
)</v>
          </cell>
          <cell r="B6661" t="str">
            <v>53015200_x000D_
(SKINTOP ST PG 7 RAL 9005 BK_x000D_
)</v>
          </cell>
          <cell r="C6661" t="str">
            <v>LAPP</v>
          </cell>
          <cell r="D6661" t="str">
            <v>Lapp-Non Moving Stocks</v>
          </cell>
        </row>
        <row r="6662">
          <cell r="A6662" t="str">
            <v>53018010 (SKINTOP ST PG 9 RAL 7035 LGY)</v>
          </cell>
          <cell r="B6662" t="str">
            <v>53018010(SKINTOP ST PG 9 RAL 7035 LGY)</v>
          </cell>
          <cell r="C6662" t="str">
            <v>LAPP</v>
          </cell>
          <cell r="D6662" t="str">
            <v>Lapp-Non Moving Stocks</v>
          </cell>
        </row>
        <row r="6663">
          <cell r="A6663" t="str">
            <v>53016130 (SKINTOP STR 1/2'' RAL 7001 SGY_x000D_
)</v>
          </cell>
          <cell r="B6663" t="str">
            <v>53016130(SKINTOP STR 1/2'' RAL 7001 SGY_x000D_
)</v>
          </cell>
          <cell r="C6663" t="str">
            <v>LAPP</v>
          </cell>
          <cell r="D6663" t="str">
            <v>Lapp-Non Moving Stocks</v>
          </cell>
        </row>
        <row r="6664">
          <cell r="A6664" t="str">
            <v>53111100 (SKINTOP STR-M 12x1,5 RAL 7001 SGY_x000D_
)</v>
          </cell>
          <cell r="B6664" t="str">
            <v>53111100(SKINTOP STR-M 12x1,5 RAL 7001 SGY_x000D_
)</v>
          </cell>
          <cell r="C6664" t="str">
            <v>LAPP</v>
          </cell>
          <cell r="D6664" t="str">
            <v>Lapp-Non Moving Stocks</v>
          </cell>
        </row>
        <row r="6665">
          <cell r="A6665" t="str">
            <v>53111110 (SKINTOP STR-M 16x1,5 RAL 7001 SGY_x000D_
)</v>
          </cell>
          <cell r="B6665" t="str">
            <v>53111110(SKINTOP STR-M 16x1,5 RAL 7001 SGY_x000D_
)</v>
          </cell>
          <cell r="C6665" t="str">
            <v>LAPP</v>
          </cell>
          <cell r="D6665" t="str">
            <v>Lapp-Non Moving Stocks</v>
          </cell>
        </row>
        <row r="6666">
          <cell r="A6666" t="str">
            <v>53111120 (SKINTOP STR-M 20x1,5 RAL 7001 SGY_x000D_
)</v>
          </cell>
          <cell r="B6666" t="str">
            <v>53111120(SKINTOP STR-M 20x1,5 RAL 7001 SGY_x000D_
)</v>
          </cell>
          <cell r="C6666" t="str">
            <v>LAPP</v>
          </cell>
          <cell r="D6666" t="str">
            <v>Lapp-Non Moving Stocks</v>
          </cell>
        </row>
        <row r="6667">
          <cell r="A6667" t="str">
            <v>53111320_x000D_
 (SKINTOP STR-M 20x1,5 RAL 9005 BK)</v>
          </cell>
          <cell r="B6667" t="str">
            <v>53111320_x000D_
(SKINTOP STR-M 20x1,5 RAL 9005 BK)</v>
          </cell>
          <cell r="C6667" t="str">
            <v>LAPP</v>
          </cell>
          <cell r="D6667" t="str">
            <v>Lapp-Non Moving Stocks</v>
          </cell>
        </row>
        <row r="6668">
          <cell r="A6668" t="str">
            <v>53111130 (SKINTOP STR-M 25x1,5 RAL 7001 SGY_x000D_
)</v>
          </cell>
          <cell r="B6668" t="str">
            <v>53111130(SKINTOP STR-M 25x1,5 RAL 7001 SGY_x000D_
)</v>
          </cell>
          <cell r="C6668" t="str">
            <v>LAPP</v>
          </cell>
          <cell r="D6668" t="str">
            <v>Lapp-Non Moving Stocks</v>
          </cell>
        </row>
        <row r="6669">
          <cell r="A6669" t="str">
            <v>53111140 (SKINTOP STR-M 32x1,5 RAL 7001 SGY_x000D_
)</v>
          </cell>
          <cell r="B6669" t="str">
            <v>53111140(SKINTOP STR-M 32x1,5 RAL 7001 SGY_x000D_
)</v>
          </cell>
          <cell r="C6669" t="str">
            <v>LAPP</v>
          </cell>
          <cell r="D6669" t="str">
            <v>Lapp-Non Moving Stocks</v>
          </cell>
        </row>
        <row r="6670">
          <cell r="A6670" t="str">
            <v>53111150 (SKINTOP STR-M 40x1,5 RAL 7001 SGY_x000D_
)</v>
          </cell>
          <cell r="B6670" t="str">
            <v>53111150(SKINTOP STR-M 40x1,5 RAL 7001 SGY_x000D_
)</v>
          </cell>
          <cell r="C6670" t="str">
            <v>LAPP</v>
          </cell>
          <cell r="D6670" t="str">
            <v>Lapp-Non Moving Stocks</v>
          </cell>
        </row>
        <row r="6671">
          <cell r="A6671" t="str">
            <v>53015120_x000D_
 (SKINTOP STR PG 11 RAL 7001 SGY_x000D_
)</v>
          </cell>
          <cell r="B6671" t="str">
            <v>53015120_x000D_
(SKINTOP STR PG 11 RAL 7001 SGY_x000D_
)</v>
          </cell>
          <cell r="C6671" t="str">
            <v>LAPP</v>
          </cell>
          <cell r="D6671" t="str">
            <v>Lapp-Non Moving Stocks</v>
          </cell>
        </row>
        <row r="6672">
          <cell r="A6672" t="str">
            <v>53015130_x000D_
 (SKINTOP STR PG 13,5 RAL 7001 SGY_x000D_
)</v>
          </cell>
          <cell r="B6672" t="str">
            <v>53015130_x000D_
(SKINTOP STR PG 13,5 RAL 7001 SGY_x000D_
)</v>
          </cell>
          <cell r="C6672" t="str">
            <v>LAPP</v>
          </cell>
          <cell r="D6672" t="str">
            <v>Lapp-Non Moving Stocks</v>
          </cell>
        </row>
        <row r="6673">
          <cell r="A6673" t="str">
            <v>53015140 (SKINTOP STR PG 16 RAL 7001 SGY_x000D_
)</v>
          </cell>
          <cell r="B6673" t="str">
            <v>53015140(SKINTOP STR PG 16 RAL 7001 SGY_x000D_
)</v>
          </cell>
          <cell r="C6673" t="str">
            <v>LAPP</v>
          </cell>
          <cell r="D6673" t="str">
            <v>Lapp-Non Moving Stocks</v>
          </cell>
        </row>
        <row r="6674">
          <cell r="A6674" t="str">
            <v>53015150_x000D_
 (SKINTOP STR PG 21 RAL 7001 SGY_x000D_
)</v>
          </cell>
          <cell r="B6674" t="str">
            <v>53015150_x000D_
(SKINTOP STR PG 21 RAL 7001 SGY_x000D_
)</v>
          </cell>
          <cell r="C6674" t="str">
            <v>LAPP</v>
          </cell>
          <cell r="D6674" t="str">
            <v>Lapp-Non Moving Stocks</v>
          </cell>
        </row>
        <row r="6675">
          <cell r="A6675" t="str">
            <v>53015170 (SKINTOP STR PG 36 RAL 7001 SGY_x000D_
)</v>
          </cell>
          <cell r="B6675" t="str">
            <v>53015170(SKINTOP STR PG 36 RAL 7001 SGY_x000D_
)</v>
          </cell>
          <cell r="C6675" t="str">
            <v>LAPP</v>
          </cell>
          <cell r="D6675" t="str">
            <v>Lapp-Non Moving Stocks</v>
          </cell>
        </row>
        <row r="6676">
          <cell r="A6676" t="str">
            <v>53015100 (SKINTOP STR PG 7 RAL 7001 SGY_x000D_
)</v>
          </cell>
          <cell r="B6676" t="str">
            <v>53015100(SKINTOP STR PG 7 RAL 7001 SGY_x000D_
)</v>
          </cell>
          <cell r="C6676" t="str">
            <v>LAPP</v>
          </cell>
          <cell r="D6676" t="str">
            <v>Lapp-Non Moving Stocks</v>
          </cell>
        </row>
        <row r="6677">
          <cell r="A6677" t="str">
            <v>53015110 (SKINTOP STR PG 9 RAL 7001 SGY_x000D_
)</v>
          </cell>
          <cell r="B6677" t="str">
            <v>53015110(SKINTOP STR PG 9 RAL 7001 SGY_x000D_
)</v>
          </cell>
          <cell r="C6677" t="str">
            <v>LAPP</v>
          </cell>
          <cell r="D6677" t="str">
            <v>Lapp-Non Moving Stocks</v>
          </cell>
        </row>
        <row r="6678">
          <cell r="A6678" t="str">
            <v>54110844_x000D_
 (SKINTOP® BRUSH ADD-ON M40_x000D_
)</v>
          </cell>
          <cell r="B6678" t="str">
            <v>54110844_x000D_
(SKINTOP® BRUSH ADD-ON M40_x000D_
)</v>
          </cell>
          <cell r="C6678" t="str">
            <v>LAPP</v>
          </cell>
          <cell r="D6678" t="str">
            <v>Lapp-Non Moving Stocks</v>
          </cell>
        </row>
        <row r="6679">
          <cell r="A6679" t="str">
            <v>54110845 (SKINTOP® BRUSH ADD-ON M50)</v>
          </cell>
          <cell r="B6679" t="str">
            <v>54110845(SKINTOP® BRUSH ADD-ON M50)</v>
          </cell>
          <cell r="C6679" t="str">
            <v>LAPP</v>
          </cell>
          <cell r="D6679" t="str">
            <v>Lapp-Non Moving Stocks</v>
          </cell>
        </row>
        <row r="6680">
          <cell r="A6680" t="str">
            <v>53105301 (SKINTOP® HYGIENIC SC M16x1,5)</v>
          </cell>
          <cell r="B6680" t="str">
            <v>53105301(SKINTOP® HYGIENIC SC M16x1,5)</v>
          </cell>
          <cell r="C6680" t="str">
            <v>LAPP</v>
          </cell>
          <cell r="D6680" t="str">
            <v>Lapp-Non Moving Stocks</v>
          </cell>
        </row>
        <row r="6681">
          <cell r="A6681" t="str">
            <v>53105302 (SKINTOP® HYGIENIC SC M20x1,5)</v>
          </cell>
          <cell r="B6681" t="str">
            <v>53105302(SKINTOP® HYGIENIC SC M20x1,5)</v>
          </cell>
          <cell r="C6681" t="str">
            <v>LAPP</v>
          </cell>
          <cell r="D6681" t="str">
            <v>Lapp-Non Moving Stocks</v>
          </cell>
        </row>
        <row r="6682">
          <cell r="A6682" t="str">
            <v>53111240 (SKINTOP® ST-M 32x1,5 RAL 9005 BK)</v>
          </cell>
          <cell r="B6682" t="str">
            <v>53111240(SKINTOP® ST-M 32x1,5 RAL 9005 BK)</v>
          </cell>
          <cell r="C6682" t="str">
            <v>LAPP</v>
          </cell>
          <cell r="D6682" t="str">
            <v>Lapp-Non Moving Stocks</v>
          </cell>
        </row>
        <row r="6683">
          <cell r="A6683" t="str">
            <v>53111310_x000D_
 (SKINTOP® STR-M 16x1,5 RAL 9005 BK_x000D_
)</v>
          </cell>
          <cell r="B6683" t="str">
            <v>53111310_x000D_
(SKINTOP® STR-M 16x1,5 RAL 9005 BK_x000D_
)</v>
          </cell>
          <cell r="C6683" t="str">
            <v>LAPP</v>
          </cell>
          <cell r="D6683" t="str">
            <v>Lapp-Non Moving Stocks</v>
          </cell>
        </row>
        <row r="6684">
          <cell r="A6684" t="str">
            <v>CE6324 (RJ 45 plug screned fawn  Hirose (VE=50)_x000D_
)</v>
          </cell>
          <cell r="B6684" t="str">
            <v>CE6324(RJ 45 plug screned fawn Hirose(VE=50)_x000D_
)</v>
          </cell>
          <cell r="C6684" t="str">
            <v>LAPP</v>
          </cell>
          <cell r="D6684" t="str">
            <v>Lapp-Non Moving Stocks</v>
          </cell>
        </row>
        <row r="6685">
          <cell r="A6685" t="str">
            <v>52103140_x000D_
 (SKINDICHT BL-M 32x1,5_x000D_
)</v>
          </cell>
          <cell r="B6685" t="str">
            <v>52103140_x000D_
(SKINDICHT BL-M 32x1,5_x000D_
)</v>
          </cell>
          <cell r="C6685" t="str">
            <v>LAPP</v>
          </cell>
          <cell r="D6685" t="str">
            <v>Lapp-Non Moving Stocks</v>
          </cell>
        </row>
        <row r="6686">
          <cell r="A6686" t="str">
            <v>52103405 (SKINDICHT BL-M 6kt. 12x1,5 +O-RING_x000D_
)</v>
          </cell>
          <cell r="B6686" t="str">
            <v>52103405(SKINDICHT BL-M 6kt. 12x1,5 +O-RING_x000D_
)</v>
          </cell>
          <cell r="C6686" t="str">
            <v>LAPP</v>
          </cell>
          <cell r="D6686" t="str">
            <v>Lapp-Non Moving Stocks</v>
          </cell>
        </row>
        <row r="6687">
          <cell r="A6687" t="str">
            <v>53019031_x000D_
 ("SKINTOP GMP-GL PG  13,5 GREY  RAL 7035"_x000D_
)</v>
          </cell>
          <cell r="B6687" t="str">
            <v>53019031_x000D_
("SKINTOP GMP-GL PG  13,5 GREY  RAL 7035"_x000D_
)</v>
          </cell>
          <cell r="C6687" t="str">
            <v>LAPP</v>
          </cell>
          <cell r="D6687" t="str">
            <v>Lapp-Non Moving Stocks</v>
          </cell>
        </row>
        <row r="6688">
          <cell r="A6688" t="str">
            <v>51730020 (SKINDICHT KUK PG 13,5/9)</v>
          </cell>
          <cell r="B6688" t="str">
            <v>51730020(SKINDICHT KUK PG 13,5/9)</v>
          </cell>
          <cell r="C6688" t="str">
            <v>LAPP</v>
          </cell>
          <cell r="D6688" t="str">
            <v>Lapp-Non Moving Stocks</v>
          </cell>
        </row>
        <row r="6689">
          <cell r="A6689" t="str">
            <v>52104483_x000D_
 (SKINDICHT KU-M 50x1,5/20x1,5_x000D_
)</v>
          </cell>
          <cell r="B6689" t="str">
            <v>52104483_x000D_
(SKINDICHT KU-M 50x1,5/20x1,5_x000D_
)</v>
          </cell>
          <cell r="C6689" t="str">
            <v>LAPP</v>
          </cell>
          <cell r="D6689" t="str">
            <v>Lapp-Non Moving Stocks</v>
          </cell>
        </row>
        <row r="6690">
          <cell r="A6690" t="str">
            <v>52104487_x000D_
 (SKINDICHT KU-M 63x1,5/25x1,5_x000D_
)</v>
          </cell>
          <cell r="B6690" t="str">
            <v>52104487_x000D_
(SKINDICHT KU-M 63x1,5/25x1,5_x000D_
)</v>
          </cell>
          <cell r="C6690" t="str">
            <v>LAPP</v>
          </cell>
          <cell r="D6690" t="str">
            <v>Lapp-Non Moving Stocks</v>
          </cell>
        </row>
        <row r="6691">
          <cell r="A6691" t="str">
            <v>52104488_x000D_
 (SKINDICHT KU-M 63x1,5/32x1,5_x000D_
)</v>
          </cell>
          <cell r="B6691" t="str">
            <v>52104488_x000D_
(SKINDICHT KU-M 63x1,5/32x1,5_x000D_
)</v>
          </cell>
          <cell r="C6691" t="str">
            <v>LAPP</v>
          </cell>
          <cell r="D6691" t="str">
            <v>Lapp-Non Moving Stocks</v>
          </cell>
        </row>
        <row r="6692">
          <cell r="A6692" t="str">
            <v>53112800 (SKINTOP MS-M 12X1,5 ATEX XL_x000D_
)</v>
          </cell>
          <cell r="B6692" t="str">
            <v>53112800(SKINTOP MS-M 12X1,5 ATEX XL_x000D_
)</v>
          </cell>
          <cell r="C6692" t="str">
            <v>LAPP</v>
          </cell>
          <cell r="D6692" t="str">
            <v>Lapp-Non Moving Stocks</v>
          </cell>
        </row>
        <row r="6693">
          <cell r="A6693" t="str">
            <v>53112810 (SKINTOP MS-M 16X1,5 ATEX XL_x000D_
)</v>
          </cell>
          <cell r="B6693" t="str">
            <v>53112810(SKINTOP MS-M 16X1,5 ATEX XL_x000D_
)</v>
          </cell>
          <cell r="C6693" t="str">
            <v>LAPP</v>
          </cell>
          <cell r="D6693" t="str">
            <v>Lapp-Non Moving Stocks</v>
          </cell>
        </row>
        <row r="6694">
          <cell r="A6694" t="str">
            <v>53112070 (SKINTOP MS-M 63x1,5)</v>
          </cell>
          <cell r="B6694" t="str">
            <v>53112070(SKINTOP MS-M 63x1,5)</v>
          </cell>
          <cell r="C6694" t="str">
            <v>LAPP</v>
          </cell>
          <cell r="D6694" t="str">
            <v>Lapp-Non Moving Stocks</v>
          </cell>
        </row>
        <row r="6695">
          <cell r="A6695" t="str">
            <v>53112510 (SKINTOP MS-M 75x1,5)</v>
          </cell>
          <cell r="B6695" t="str">
            <v>53112510(SKINTOP MS-M 75x1,5)</v>
          </cell>
          <cell r="C6695" t="str">
            <v>LAPP</v>
          </cell>
          <cell r="D6695" t="str">
            <v>Lapp-Non Moving Stocks</v>
          </cell>
        </row>
        <row r="6696">
          <cell r="A6696" t="str">
            <v>53112005 (SKINTOP MS-M-XL 12x1,5)</v>
          </cell>
          <cell r="B6696" t="str">
            <v>53112005(SKINTOP MS-M-XL 12x1,5)</v>
          </cell>
          <cell r="C6696" t="str">
            <v>LAPP</v>
          </cell>
          <cell r="D6696" t="str">
            <v>Lapp-Non Moving Stocks</v>
          </cell>
        </row>
        <row r="6697">
          <cell r="A6697" t="str">
            <v>53112015 (SKINTOP MS-M-XL 16x1,5)</v>
          </cell>
          <cell r="B6697" t="str">
            <v>53112015(SKINTOP MS-M-XL 16x1,5)</v>
          </cell>
          <cell r="C6697" t="str">
            <v>LAPP</v>
          </cell>
          <cell r="D6697" t="str">
            <v>Lapp-Non Moving Stocks</v>
          </cell>
        </row>
        <row r="6698">
          <cell r="A6698" t="str">
            <v>53112025 (SKINTOP MS-M-XL 20x1,5)</v>
          </cell>
          <cell r="B6698" t="str">
            <v>53112025(SKINTOP MS-M-XL 20x1,5)</v>
          </cell>
          <cell r="C6698" t="str">
            <v>LAPP</v>
          </cell>
          <cell r="D6698" t="str">
            <v>Lapp-Non Moving Stocks</v>
          </cell>
        </row>
        <row r="6699">
          <cell r="A6699" t="str">
            <v>53112035 (SKINTOP MS-M-XL 25x1,5)</v>
          </cell>
          <cell r="B6699" t="str">
            <v>53112035(SKINTOP MS-M-XL 25x1,5)</v>
          </cell>
          <cell r="C6699" t="str">
            <v>LAPP</v>
          </cell>
          <cell r="D6699" t="str">
            <v>Lapp-Non Moving Stocks</v>
          </cell>
        </row>
        <row r="6700">
          <cell r="A6700" t="str">
            <v>53112735 (SKINTOP MSR-M 25X1.5 ATEX)</v>
          </cell>
          <cell r="B6700" t="str">
            <v>53112735(SKINTOP MSR-M 25X1.5 ATEX)</v>
          </cell>
          <cell r="C6700" t="str">
            <v>LAPP</v>
          </cell>
          <cell r="D6700" t="str">
            <v>Lapp-Non Moving Stocks</v>
          </cell>
        </row>
        <row r="6701">
          <cell r="A6701" t="str">
            <v>53112610 (SKINTOP MS-SC-M 12x1,5_x000D_
)</v>
          </cell>
          <cell r="B6701" t="str">
            <v>53112610(SKINTOP MS-SC-M 12x1,5_x000D_
)</v>
          </cell>
          <cell r="C6701" t="str">
            <v>LAPP</v>
          </cell>
          <cell r="D6701" t="str">
            <v>Lapp-Non Moving Stocks</v>
          </cell>
        </row>
        <row r="6702">
          <cell r="A6702" t="str">
            <v>53112670 (SKINTOP MS-SC-M 50x1,5_x000D_
)</v>
          </cell>
          <cell r="B6702" t="str">
            <v>53112670(SKINTOP MS-SC-M 50x1,5_x000D_
)</v>
          </cell>
          <cell r="C6702" t="str">
            <v>LAPP</v>
          </cell>
          <cell r="D6702" t="str">
            <v>Lapp-Non Moving Stocks</v>
          </cell>
        </row>
        <row r="6703">
          <cell r="A6703" t="str">
            <v>53112680 (SKINTOP MS-SC-M Brush 63x1,5_x000D_
)</v>
          </cell>
          <cell r="B6703" t="str">
            <v>53112680(SKINTOP MS-SC-M Brush 63x1,5_x000D_
)</v>
          </cell>
          <cell r="C6703" t="str">
            <v>LAPP</v>
          </cell>
          <cell r="D6703" t="str">
            <v>Lapp-Non Moving Stocks</v>
          </cell>
        </row>
        <row r="6704">
          <cell r="A6704" t="str">
            <v>53112681 (SKINTOP MS-SC-M Brush 63x1,5 plus_x000D_
)</v>
          </cell>
          <cell r="B6704" t="str">
            <v>53112681(SKINTOP MS-SC-M Brush 63x1,5 plus_x000D_
)</v>
          </cell>
          <cell r="C6704" t="str">
            <v>LAPP</v>
          </cell>
          <cell r="D6704" t="str">
            <v>Lapp-Non Moving Stocks</v>
          </cell>
        </row>
        <row r="6705">
          <cell r="A6705" t="str">
            <v>53112710 (SKINTOP® MS-M 16x1,5 ATEX)</v>
          </cell>
          <cell r="B6705" t="str">
            <v>53112710(SKINTOP® MS-M 16x1,5 ATEX)</v>
          </cell>
          <cell r="C6705" t="str">
            <v>LAPP</v>
          </cell>
          <cell r="D6705" t="str">
            <v>Lapp-Non Moving Stocks</v>
          </cell>
        </row>
        <row r="6706">
          <cell r="A6706" t="str">
            <v>53112720 (SKINTOP® MS-M 20x1,5 ATEX)</v>
          </cell>
          <cell r="B6706" t="str">
            <v>53112720(SKINTOP® MS-M 20x1,5 ATEX)</v>
          </cell>
          <cell r="C6706" t="str">
            <v>LAPP</v>
          </cell>
          <cell r="D6706" t="str">
            <v>Lapp-Non Moving Stocks</v>
          </cell>
        </row>
        <row r="6707">
          <cell r="A6707" t="str">
            <v>53112740 (SKINTOP® MS-M 32x1,5 ATEX)</v>
          </cell>
          <cell r="B6707" t="str">
            <v>53112740(SKINTOP® MS-M 32x1,5 ATEX)</v>
          </cell>
          <cell r="C6707" t="str">
            <v>LAPP</v>
          </cell>
          <cell r="D6707" t="str">
            <v>Lapp-Non Moving Stocks</v>
          </cell>
        </row>
        <row r="6708">
          <cell r="A6708" t="str">
            <v>53112850 (SKINTOP® MS-M 40X1,5 ATEX XL)</v>
          </cell>
          <cell r="B6708" t="str">
            <v>53112850(SKINTOP® MS-M 40X1,5 ATEX XL)</v>
          </cell>
          <cell r="C6708" t="str">
            <v>LAPP</v>
          </cell>
          <cell r="D6708" t="str">
            <v>Lapp-Non Moving Stocks</v>
          </cell>
        </row>
        <row r="6709">
          <cell r="A6709" t="str">
            <v>52015720 (SKINTOP MS PG 11)</v>
          </cell>
          <cell r="B6709" t="str">
            <v>52015720(SKINTOP MS PG 11)</v>
          </cell>
          <cell r="C6709" t="str">
            <v>LAPP</v>
          </cell>
          <cell r="D6709" t="str">
            <v>Lapp-Non Moving Stocks</v>
          </cell>
        </row>
        <row r="6710">
          <cell r="A6710" t="str">
            <v>52015730 (SKINTOP MS PG 13,5_x000D_
)</v>
          </cell>
          <cell r="B6710" t="str">
            <v>52015730(SKINTOP MS PG 13,5_x000D_
)</v>
          </cell>
          <cell r="C6710" t="str">
            <v>LAPP</v>
          </cell>
          <cell r="D6710" t="str">
            <v>Lapp-Non Moving Stocks</v>
          </cell>
        </row>
        <row r="6711">
          <cell r="A6711" t="str">
            <v>52015740 (SKINTOP MS PG 16)</v>
          </cell>
          <cell r="B6711" t="str">
            <v>52015740(SKINTOP MS PG 16)</v>
          </cell>
          <cell r="C6711" t="str">
            <v>LAPP</v>
          </cell>
          <cell r="D6711" t="str">
            <v>Lapp-Non Moving Stocks</v>
          </cell>
        </row>
        <row r="6712">
          <cell r="A6712" t="str">
            <v>52015750 (SKINTOP MS PG 21)</v>
          </cell>
          <cell r="B6712" t="str">
            <v>52015750(SKINTOP MS PG 21)</v>
          </cell>
          <cell r="C6712" t="str">
            <v>LAPP</v>
          </cell>
          <cell r="D6712" t="str">
            <v>Lapp-Non Moving Stocks</v>
          </cell>
        </row>
        <row r="6713">
          <cell r="A6713" t="str">
            <v>52015760 (SKINTOP MS PG 29)</v>
          </cell>
          <cell r="B6713" t="str">
            <v>52015760(SKINTOP MS PG 29)</v>
          </cell>
          <cell r="C6713" t="str">
            <v>LAPP</v>
          </cell>
          <cell r="D6713" t="str">
            <v>Lapp-Non Moving Stocks</v>
          </cell>
        </row>
        <row r="6714">
          <cell r="A6714" t="str">
            <v>52015700 (SKINTOP MS PG 7)</v>
          </cell>
          <cell r="B6714" t="str">
            <v>52015700(SKINTOP MS PG 7)</v>
          </cell>
          <cell r="C6714" t="str">
            <v>LAPP</v>
          </cell>
          <cell r="D6714" t="str">
            <v>Lapp-Non Moving Stocks</v>
          </cell>
        </row>
        <row r="6715">
          <cell r="A6715" t="str">
            <v>52015710 (SKINTOP MS PG 9)</v>
          </cell>
          <cell r="B6715" t="str">
            <v>52015710(SKINTOP MS PG 9)</v>
          </cell>
          <cell r="C6715" t="str">
            <v>LAPP</v>
          </cell>
          <cell r="D6715" t="str">
            <v>Lapp-Non Moving Stocks</v>
          </cell>
        </row>
        <row r="6716">
          <cell r="A6716" t="str">
            <v>52006143 (SKINDICHT BLK-GL-M 32x1,5 BK)</v>
          </cell>
          <cell r="B6716" t="str">
            <v>52006143(SKINDICHT BLK-GL-M 32x1,5 BK)</v>
          </cell>
          <cell r="C6716" t="str">
            <v>LAPP</v>
          </cell>
          <cell r="D6716" t="str">
            <v>Lapp-Non Moving Stocks</v>
          </cell>
        </row>
        <row r="6717">
          <cell r="A6717" t="str">
            <v>52006173 (SKINDICHT BLK-GL-M 63x1,5 BK)</v>
          </cell>
          <cell r="B6717" t="str">
            <v>52006173(SKINDICHT BLK-GL-M 63x1,5 BK)</v>
          </cell>
          <cell r="C6717" t="str">
            <v>LAPP</v>
          </cell>
          <cell r="D6717" t="str">
            <v>Lapp-Non Moving Stocks</v>
          </cell>
        </row>
        <row r="6718">
          <cell r="A6718" t="str">
            <v>52006110 (SKINDICHT BLK-GL-M 16x1,5 RAL 7035 LGY)</v>
          </cell>
          <cell r="B6718" t="str">
            <v>52006110(SKINDICHT BLK-GL-M 16x1,5 RAL 7035 LGY)</v>
          </cell>
          <cell r="C6718" t="str">
            <v>LAPP</v>
          </cell>
          <cell r="D6718" t="str">
            <v>Lapp-Non Moving Stocks</v>
          </cell>
        </row>
        <row r="6719">
          <cell r="A6719" t="str">
            <v>52006120 (SKINDICHT BLK-GL-M 20x1,5 RAL 7035 LGY_x000D_
)</v>
          </cell>
          <cell r="B6719" t="str">
            <v>52006120(SKINDICHT BLK-GL-M 20x1,5 RAL 7035 LGY_x000D_
)</v>
          </cell>
          <cell r="C6719" t="str">
            <v>LAPP</v>
          </cell>
          <cell r="D6719" t="str">
            <v>Lapp-Non Moving Stocks</v>
          </cell>
        </row>
        <row r="6720">
          <cell r="A6720" t="str">
            <v>52006130 (SKINDICHT BLK-GL-M 25x1,5 RAL 7035 LGY_x000D_
)</v>
          </cell>
          <cell r="B6720" t="str">
            <v>52006130(SKINDICHT BLK-GL-M 25x1,5 RAL 7035 LGY_x000D_
)</v>
          </cell>
          <cell r="C6720" t="str">
            <v>LAPP</v>
          </cell>
          <cell r="D6720" t="str">
            <v>Lapp-Non Moving Stocks</v>
          </cell>
        </row>
        <row r="6721">
          <cell r="A6721" t="str">
            <v>52006140 (SKINDICHT BLK-GL-M 32x1,5 RAL 7035 LGY_x000D_
)</v>
          </cell>
          <cell r="B6721" t="str">
            <v>52006140(SKINDICHT BLK-GL-M 32x1,5 RAL 7035 LGY_x000D_
)</v>
          </cell>
          <cell r="C6721" t="str">
            <v>LAPP</v>
          </cell>
          <cell r="D6721" t="str">
            <v>Lapp-Non Moving Stocks</v>
          </cell>
        </row>
        <row r="6722">
          <cell r="A6722" t="str">
            <v>52006150 (SKINDICHT BLK-GL-M 40x1,5 RAL 7035 LGY)</v>
          </cell>
          <cell r="B6722" t="str">
            <v>52006150(SKINDICHT BLK-GL-M 40x1,5 RAL 7035 LGY)</v>
          </cell>
          <cell r="C6722" t="str">
            <v>LAPP</v>
          </cell>
          <cell r="D6722" t="str">
            <v>Lapp-Non Moving Stocks</v>
          </cell>
        </row>
        <row r="6723">
          <cell r="A6723" t="str">
            <v>52024851 (SKINDICHT BLK-GL PG13,5 RAL 7035 LGY)</v>
          </cell>
          <cell r="B6723" t="str">
            <v>52024851(SKINDICHT BLK-GL PG13,5 RAL 7035 LGY)</v>
          </cell>
          <cell r="C6723" t="str">
            <v>LAPP</v>
          </cell>
          <cell r="D6723" t="str">
            <v>Lapp-Non Moving Stocks</v>
          </cell>
        </row>
        <row r="6724">
          <cell r="A6724" t="str">
            <v>52024848 (SKINDICHT BLK-GL PG7 RAL 7035 LGY)</v>
          </cell>
          <cell r="B6724" t="str">
            <v>52024848(SKINDICHT BLK-GL PG7 RAL 7035 LGY)</v>
          </cell>
          <cell r="C6724" t="str">
            <v>LAPP</v>
          </cell>
          <cell r="D6724" t="str">
            <v>Lapp-Non Moving Stocks</v>
          </cell>
        </row>
        <row r="6725">
          <cell r="A6725" t="str">
            <v>52006111 (SKINDICHT BLK-GL-M 16x1,5 RAL7001 SGY)</v>
          </cell>
          <cell r="B6725" t="str">
            <v>52006111(SKINDICHT BLK-GL-M 16x1,5 RAL7001 SGY)</v>
          </cell>
          <cell r="C6725" t="str">
            <v>LAPP</v>
          </cell>
          <cell r="D6725" t="str">
            <v>Lapp-Non Moving Stocks</v>
          </cell>
        </row>
        <row r="6726">
          <cell r="A6726" t="str">
            <v>52006121 (SKINDICHT BLK-GL-M 20x1,5 RAL 7001 SGY)</v>
          </cell>
          <cell r="B6726" t="str">
            <v>52006121(SKINDICHT BLK-GL-M 20x1,5 RAL 7001 SGY)</v>
          </cell>
          <cell r="C6726" t="str">
            <v>LAPP</v>
          </cell>
          <cell r="D6726" t="str">
            <v>Lapp-Non Moving Stocks</v>
          </cell>
        </row>
        <row r="6727">
          <cell r="A6727" t="str">
            <v>52006131 (SKINDICHT BLK-GL-M 25x1,5 RAL 7001 SGY)</v>
          </cell>
          <cell r="B6727" t="str">
            <v>52006131(SKINDICHT BLK-GL-M 25x1,5 RAL 7001 SGY)</v>
          </cell>
          <cell r="C6727" t="str">
            <v>LAPP</v>
          </cell>
          <cell r="D6727" t="str">
            <v>Lapp-Non Moving Stocks</v>
          </cell>
        </row>
        <row r="6728">
          <cell r="A6728" t="str">
            <v>52006151 (SKINDICHT BLK-GL-M 40x1,5 RAL 7001 SGY_x000D_
)</v>
          </cell>
          <cell r="B6728" t="str">
            <v>52006151(SKINDICHT BLK-GL-M 40x1,5 RAL 7001 SGY_x000D_
)</v>
          </cell>
          <cell r="C6728" t="str">
            <v>LAPP</v>
          </cell>
          <cell r="D6728" t="str">
            <v>Lapp-Non Moving Stocks</v>
          </cell>
        </row>
        <row r="6729">
          <cell r="A6729" t="str">
            <v>52006161 (SKINDICHT BLK-GL-M 50x1,5 RAL 7001 SGY_x000D_
)</v>
          </cell>
          <cell r="B6729" t="str">
            <v>52006161(SKINDICHT BLK-GL-M 50x1,5 RAL 7001 SGY_x000D_
)</v>
          </cell>
          <cell r="C6729" t="str">
            <v>LAPP</v>
          </cell>
          <cell r="D6729" t="str">
            <v>Lapp-Non Moving Stocks</v>
          </cell>
        </row>
        <row r="6730">
          <cell r="A6730" t="str">
            <v>3860003 (OLFLEX 110 SY 3 G 0.5 sqmm FRLS GY)</v>
          </cell>
          <cell r="B6730" t="str">
            <v>3860003(OLFLEX 110 SY 3 G 0.5 sqmm FRLS GY)</v>
          </cell>
          <cell r="C6730" t="str">
            <v>LAPP</v>
          </cell>
          <cell r="D6730" t="str">
            <v>Lapp-Non Moving Stocks</v>
          </cell>
        </row>
        <row r="6731">
          <cell r="A6731" t="str">
            <v>3860004 (OLFLEX 110 SY 4 G 0.5 sqmm FRLS GY)</v>
          </cell>
          <cell r="B6731" t="str">
            <v>3860004(OLFLEX 110 SY 4 G 0.5 sqmm FRLS GY)</v>
          </cell>
          <cell r="C6731" t="str">
            <v>LAPP</v>
          </cell>
          <cell r="D6731" t="str">
            <v>Lapp-Non Moving Stocks</v>
          </cell>
        </row>
        <row r="6732">
          <cell r="A6732" t="str">
            <v>3860015 (Olflex 110 SY FR-LSH 15G0.5 GY)</v>
          </cell>
          <cell r="B6732" t="str">
            <v>3860015(Olflex 110 SY FR-LSH 15G0.5 GY)</v>
          </cell>
          <cell r="C6732" t="str">
            <v>LAPP</v>
          </cell>
          <cell r="D6732" t="str">
            <v>Lapp-Non Moving Stocks</v>
          </cell>
        </row>
        <row r="6733">
          <cell r="A6733" t="str">
            <v>382300906 (Olflex 110 SY GY 4G4)</v>
          </cell>
          <cell r="B6733" t="str">
            <v>382300906(Olflex 110 SY GY 4G4)</v>
          </cell>
          <cell r="C6733" t="str">
            <v>LAPP</v>
          </cell>
          <cell r="D6733" t="str">
            <v>Lapp-Non Moving Stocks</v>
          </cell>
        </row>
        <row r="6734">
          <cell r="A6734" t="str">
            <v>383301834H (LAPP KABEL® 1CX2.25 Sq mm SC FEP 1000 V)</v>
          </cell>
          <cell r="B6734" t="str">
            <v>383301834H(LAPP KABEL® 1CX2.25 Sq mm SC FEP 1000 V)</v>
          </cell>
          <cell r="C6734" t="str">
            <v>LAPP</v>
          </cell>
          <cell r="D6734" t="str">
            <v>Lapp-Non Moving Stocks</v>
          </cell>
        </row>
        <row r="6735">
          <cell r="A6735" t="str">
            <v>383301501H (LAPP KABEL® 1C×13/19/26 AWG FSFEP 1000 V)</v>
          </cell>
          <cell r="B6735" t="str">
            <v>383301501H(LAPP KABEL® 1C×13/19/26 AWG FSFEP 1000 V)</v>
          </cell>
          <cell r="C6735" t="str">
            <v>LAPP</v>
          </cell>
          <cell r="D6735" t="str">
            <v>Lapp-Non Moving Stocks</v>
          </cell>
        </row>
        <row r="6736">
          <cell r="A6736" t="str">
            <v>382303656 (LAPP KABEL® 2x2x0.5 F2X OS YC3 S YC3 05)</v>
          </cell>
          <cell r="B6736" t="str">
            <v>382303656(LAPP KABEL® 2x2x0.5 F2X OS YC3 S YC3 05)</v>
          </cell>
          <cell r="C6736" t="str">
            <v>LAPP</v>
          </cell>
          <cell r="D6736" t="str">
            <v>Lapp-Non Moving Stocks</v>
          </cell>
        </row>
        <row r="6737">
          <cell r="A6737" t="str">
            <v>486213025 (LAPP KABEL® 2x2x1.5 REN2XOSYC3SWAYC303 G_x000D_)</v>
          </cell>
          <cell r="B6737" t="str">
            <v>486213025(LAPP KABEL® 2x2x1.5 REN2XOSYC3SWAYC303 G_x000D_)</v>
          </cell>
          <cell r="C6737" t="str">
            <v>LAPP</v>
          </cell>
          <cell r="D6737" t="str">
            <v>Lapp-Non Moving Stocks</v>
          </cell>
        </row>
        <row r="6738">
          <cell r="A6738" t="str">
            <v>382306203 (LAPP KABEL® 3x1.5 F2XY2SWAY2 1 BK)</v>
          </cell>
          <cell r="B6738" t="str">
            <v>382306203(LAPP KABEL® 3x1.5 F2XY2SWAY2 1 BK)</v>
          </cell>
          <cell r="C6738" t="str">
            <v>LAPP</v>
          </cell>
          <cell r="D6738" t="str">
            <v>Lapp-Non Moving Stocks</v>
          </cell>
        </row>
        <row r="6739">
          <cell r="A6739" t="str">
            <v>483614371 (OLFLEX INSTRUM 12X1.5 FEN2XOSHXSHX 1GY)</v>
          </cell>
          <cell r="B6739" t="str">
            <v>483614371(OLFLEX INSTRUM 12X1.5 FEN2XOSHXSHX 1GY)</v>
          </cell>
          <cell r="C6739" t="str">
            <v>LAPP</v>
          </cell>
          <cell r="D6739" t="str">
            <v>Lapp-Non Moving Stocks</v>
          </cell>
        </row>
        <row r="6740">
          <cell r="A6740" t="str">
            <v>483587761 (OLFLEX INSTRUM 14X1 FEN2XOSY2SY2 1GY)</v>
          </cell>
          <cell r="B6740" t="str">
            <v>483587761(OLFLEX INSTRUM 14X1 FEN2XOSY2SY2 1GY)</v>
          </cell>
          <cell r="C6740" t="str">
            <v>LAPP</v>
          </cell>
          <cell r="D6740" t="str">
            <v>Lapp-Non Moving Stocks</v>
          </cell>
        </row>
        <row r="6741">
          <cell r="A6741" t="str">
            <v>483581971 (OLFLEX INSTRUM 1X3X0.5 FEN2XOSY2SY2 1GY)</v>
          </cell>
          <cell r="B6741" t="str">
            <v>483581971(OLFLEX INSTRUM 1X3X0.5 FEN2XOSY2SY2 1GY)</v>
          </cell>
          <cell r="C6741" t="str">
            <v>LAPP</v>
          </cell>
          <cell r="D6741" t="str">
            <v>Lapp-Non Moving Stocks</v>
          </cell>
        </row>
        <row r="6742">
          <cell r="A6742" t="str">
            <v>483585031 (OLFLEX INSTRUM 1X3X1.5 FEN2XOSY2SY2 1GY)</v>
          </cell>
          <cell r="B6742" t="str">
            <v>483585031(OLFLEX INSTRUM 1X3X1.5 FEN2XOSY2SY2 1GY)</v>
          </cell>
          <cell r="C6742" t="str">
            <v>LAPP</v>
          </cell>
          <cell r="D6742" t="str">
            <v>Lapp-Non Moving Stocks</v>
          </cell>
        </row>
        <row r="6743">
          <cell r="A6743" t="str">
            <v>483584011 (OLFLEX INSTRUM 1X3X1 FEN2XOSY2SY2 1GY)</v>
          </cell>
          <cell r="B6743" t="str">
            <v>483584011(OLFLEX INSTRUM 1X3X1 FEN2XOSY2SY2 1GY)</v>
          </cell>
          <cell r="C6743" t="str">
            <v>LAPP</v>
          </cell>
          <cell r="D6743" t="str">
            <v>Lapp-Non Moving Stocks</v>
          </cell>
        </row>
        <row r="6744">
          <cell r="A6744" t="str">
            <v>483614611 (OLFLEX INSTRUM 24X1.5 FEN2XOSHXSHX 1GY)</v>
          </cell>
          <cell r="B6744" t="str">
            <v>483614611(OLFLEX INSTRUM 24X1.5 FEN2XOSHXSHX 1GY)</v>
          </cell>
          <cell r="C6744" t="str">
            <v>LAPP</v>
          </cell>
          <cell r="D6744" t="str">
            <v>Lapp-Non Moving Stocks</v>
          </cell>
        </row>
        <row r="6745">
          <cell r="A6745" t="str">
            <v>483588691 (OLFLEX INSTRUM 24X1.5 FEN2XOSY2SY2 1GY)</v>
          </cell>
          <cell r="B6745" t="str">
            <v>483588691(OLFLEX INSTRUM 24X1.5 FEN2XOSY2SY2 1GY)</v>
          </cell>
          <cell r="C6745" t="str">
            <v>LAPP</v>
          </cell>
          <cell r="D6745" t="str">
            <v>Lapp-Non Moving Stocks</v>
          </cell>
        </row>
        <row r="6746">
          <cell r="A6746" t="str">
            <v>48444723 (OLFLEX INSTRUM 2X0.5 RTENYOSYUVAR 05 GY)</v>
          </cell>
          <cell r="B6746" t="str">
            <v>48444723(OLFLEX INSTRUM 2X0.5 RTENYOSYUVAR 05 GY)</v>
          </cell>
          <cell r="C6746" t="str">
            <v>LAPP</v>
          </cell>
          <cell r="D6746" t="str">
            <v>Lapp-Non Moving Stocks</v>
          </cell>
        </row>
        <row r="6747">
          <cell r="A6747" t="str">
            <v>483588091 (OLFLEX INSTRUM 32X1 FEN2XOSY2SY2 1GY)</v>
          </cell>
          <cell r="B6747" t="str">
            <v>483588091(OLFLEX INSTRUM 32X1 FEN2XOSY2SY2 1GY)</v>
          </cell>
          <cell r="C6747" t="str">
            <v>LAPP</v>
          </cell>
          <cell r="D6747" t="str">
            <v>Lapp-Non Moving Stocks</v>
          </cell>
        </row>
        <row r="6748">
          <cell r="A6748" t="str">
            <v>483825351 (Olflex Instrum 3Px1 Sqmm)</v>
          </cell>
          <cell r="B6748" t="str">
            <v>483825351(Olflex Instrum 3Px1 Sqmm)</v>
          </cell>
          <cell r="C6748" t="str">
            <v>LAPP</v>
          </cell>
          <cell r="D6748" t="str">
            <v>Lapp-Non Moving Stocks</v>
          </cell>
        </row>
        <row r="6749">
          <cell r="A6749" t="str">
            <v>1024302 (OLFLEX INSTRUM 4X0.5 RTENYOSYUVAR 05 G)</v>
          </cell>
          <cell r="B6749" t="str">
            <v>1024302(OLFLEX INSTRUM 4X0.5 RTENYOSYUVAR 05 G)</v>
          </cell>
          <cell r="C6749" t="str">
            <v>LAPP</v>
          </cell>
          <cell r="D6749" t="str">
            <v>Lapp-Non Moving Stocks</v>
          </cell>
        </row>
        <row r="6750">
          <cell r="A6750" t="str">
            <v>48444729 (OLFLEX INSTRUM 4X0.5 RTENYOSYUVAR 05 GY)</v>
          </cell>
          <cell r="B6750" t="str">
            <v>48444729(OLFLEX INSTRUM 4X0.5 RTENYOSYUVAR 05 GY)</v>
          </cell>
          <cell r="C6750" t="str">
            <v>LAPP</v>
          </cell>
          <cell r="D6750" t="str">
            <v>Lapp-Non Moving Stocks</v>
          </cell>
        </row>
        <row r="6751">
          <cell r="A6751" t="str">
            <v>483588271 (OLFLEX INSTRUM 4X1.5 FEN2XOSY2SY2 1GY)</v>
          </cell>
          <cell r="B6751" t="str">
            <v>483588271(OLFLEX INSTRUM 4X1.5 FEN2XOSY2SY2 1GY)</v>
          </cell>
          <cell r="C6751" t="str">
            <v>LAPP</v>
          </cell>
          <cell r="D6751" t="str">
            <v>Lapp-Non Moving Stocks</v>
          </cell>
        </row>
        <row r="6752">
          <cell r="A6752" t="str">
            <v>483613471 (OLFLEX INSTRUM 4X1 FEN2XOSHXSHX 1GY)</v>
          </cell>
          <cell r="B6752" t="str">
            <v>483613471(OLFLEX INSTRUM 4X1 FEN2XOSHXSHX 1GY)</v>
          </cell>
          <cell r="C6752" t="str">
            <v>LAPP</v>
          </cell>
          <cell r="D6752" t="str">
            <v>Lapp-Non Moving Stocks</v>
          </cell>
        </row>
        <row r="6753">
          <cell r="A6753" t="str">
            <v>483587551 (OLFLEX INSTRUM 4X1 FEN2XOSY2SY2 1GY)</v>
          </cell>
          <cell r="B6753" t="str">
            <v>483587551(OLFLEX INSTRUM 4X1 FEN2XOSY2SY2 1GY)</v>
          </cell>
          <cell r="C6753" t="str">
            <v>LAPP</v>
          </cell>
          <cell r="D6753" t="str">
            <v>Lapp-Non Moving Stocks</v>
          </cell>
        </row>
        <row r="6754">
          <cell r="A6754" t="str">
            <v>483587581 (OLFLEX INSTRUM 5X1 FEN2XOSY2SY2 1GY)</v>
          </cell>
          <cell r="B6754" t="str">
            <v>483587581(OLFLEX INSTRUM 5X1 FEN2XOSY2SY2 1GY)</v>
          </cell>
          <cell r="C6754" t="str">
            <v>LAPP</v>
          </cell>
          <cell r="D6754" t="str">
            <v>Lapp-Non Moving Stocks</v>
          </cell>
        </row>
        <row r="6755">
          <cell r="A6755" t="str">
            <v>483587611 (OLFLEX INSTRUM 6X1 FEN2XOSY2SY2 1GY)</v>
          </cell>
          <cell r="B6755" t="str">
            <v>483587611(OLFLEX INSTRUM 6X1 FEN2XOSY2SY2 1GY)</v>
          </cell>
          <cell r="C6755" t="str">
            <v>LAPP</v>
          </cell>
          <cell r="D6755" t="str">
            <v>Lapp-Non Moving Stocks</v>
          </cell>
        </row>
        <row r="6756">
          <cell r="A6756" t="str">
            <v>483587671 (OLFLEX INSTRUM 8X1 FEN2XOSY2SY2 1GY)</v>
          </cell>
          <cell r="B6756" t="str">
            <v>483587671(OLFLEX INSTRUM 8X1 FEN2XOSY2SY2 1GY)</v>
          </cell>
          <cell r="C6756" t="str">
            <v>LAPP</v>
          </cell>
          <cell r="D6756" t="str">
            <v>Lapp-Non Moving Stocks</v>
          </cell>
        </row>
        <row r="6757">
          <cell r="A6757" t="str">
            <v>48389545 (Olflex instrum®4x1.5 REN2XOSY2SWAY2 05BK)</v>
          </cell>
          <cell r="B6757" t="str">
            <v>48389545(Olflex instrum®4x1.5 REN2XOSY2SWAY2 05BK)</v>
          </cell>
          <cell r="C6757" t="str">
            <v>LAPP</v>
          </cell>
          <cell r="D6757" t="str">
            <v>Lapp-Non Moving Stocks</v>
          </cell>
        </row>
        <row r="6758">
          <cell r="A6758" t="str">
            <v>48359653 (OLFLEX INSTURM 12P1.5 FTEN 2XISOSY2SY205BK10)</v>
          </cell>
          <cell r="B6758" t="str">
            <v>48359653(OLFLEX INSTURM 12P1.5 FTEN 2XISOSY2SY205BK10)</v>
          </cell>
          <cell r="C6758" t="str">
            <v>LAPP</v>
          </cell>
          <cell r="D6758" t="str">
            <v>Lapp-Non Moving Stocks</v>
          </cell>
        </row>
        <row r="6759">
          <cell r="A6759" t="str">
            <v>48389644 (ÖLFLEXINSTRUM16x0.5REN2XOSY2ARMYC2 05 BK)</v>
          </cell>
          <cell r="B6759" t="str">
            <v>48389644(ÖLFLEXINSTRUM16x0.5REN2XOSY2ARMYC2 05 BK)</v>
          </cell>
          <cell r="C6759" t="str">
            <v>LAPP</v>
          </cell>
          <cell r="D6759" t="str">
            <v>Lapp-Non Moving Stocks</v>
          </cell>
        </row>
        <row r="6760">
          <cell r="A6760" t="str">
            <v>484330511 (ÖLFLEXINSTRUM1x2x1RENY3OS Y2SWAYC2UVAR1BK)</v>
          </cell>
          <cell r="B6760" t="str">
            <v>484330511(ÖLFLEXINSTRUM1x2x1RENY3OS Y2SWAYC2UVAR1BK)</v>
          </cell>
          <cell r="C6760" t="str">
            <v>LAPP</v>
          </cell>
          <cell r="D6760" t="str">
            <v>Lapp-Non Moving Stocks</v>
          </cell>
        </row>
        <row r="6761">
          <cell r="A6761" t="str">
            <v>48382976 (ÖLFLEX INSTRUM 1x3x1 REN YOS YSWAY 05 BU_x000D_
)</v>
          </cell>
          <cell r="B6761" t="str">
            <v>48382976(ÖLFLEX INSTRUM 1x3x1 REN YOS YSWAY 05 BU_x000D_
)</v>
          </cell>
          <cell r="C6761" t="str">
            <v>LAPP</v>
          </cell>
          <cell r="D6761" t="str">
            <v>Lapp-Non Moving Stocks</v>
          </cell>
        </row>
        <row r="6762">
          <cell r="A6762" t="str">
            <v>48389827 (ÖLFLEXINSTRUM2x1.5REN2XOSY2ARMYC2 05 bk)</v>
          </cell>
          <cell r="B6762" t="str">
            <v>48389827(ÖLFLEXINSTRUM2x1.5REN2XOSY2ARMYC2 05 bk)</v>
          </cell>
          <cell r="C6762" t="str">
            <v>LAPP</v>
          </cell>
          <cell r="D6762" t="str">
            <v>Lapp-Non Moving Stocks</v>
          </cell>
        </row>
        <row r="6763">
          <cell r="A6763" t="str">
            <v>48331101 (ÖLFLEX INSTRUM 2x1 F EN Y OS Y 05 GY_x000D_
)</v>
          </cell>
          <cell r="B6763" t="str">
            <v>48331101(ÖLFLEX INSTRUM 2x1 F EN Y OS Y 05 GY_x000D_
)</v>
          </cell>
          <cell r="C6763" t="str">
            <v>LAPP</v>
          </cell>
          <cell r="D6763" t="str">
            <v>Lapp-Non Moving Stocks</v>
          </cell>
        </row>
        <row r="6764">
          <cell r="A6764" t="str">
            <v>48388849 (ÖLFLEXINSTRUM2x2x1.5REN2XOSY2ARMYC2 05BK)</v>
          </cell>
          <cell r="B6764" t="str">
            <v>48388849(ÖLFLEXINSTRUM2x2x1.5REN2XOSY2ARMYC2 05BK)</v>
          </cell>
          <cell r="C6764" t="str">
            <v>LAPP</v>
          </cell>
          <cell r="D6764" t="str">
            <v>Lapp-Non Moving Stocks</v>
          </cell>
        </row>
        <row r="6765">
          <cell r="A6765" t="str">
            <v>48444726 (ÖLFLEX INSTRUM 3x0.5 RTENYOSYUVAR 05 GY)</v>
          </cell>
          <cell r="B6765" t="str">
            <v>48444726(ÖLFLEX INSTRUM 3x0.5 RTENYOSYUVAR 05 GY)</v>
          </cell>
          <cell r="C6765" t="str">
            <v>LAPP</v>
          </cell>
          <cell r="D6765" t="str">
            <v>Lapp-Non Moving Stocks</v>
          </cell>
        </row>
        <row r="6766">
          <cell r="A6766" t="str">
            <v>48331104 (ÖLFLEX INSTRUM 3x1 F EN Y OS Y 05 GY_x000D_
)</v>
          </cell>
          <cell r="B6766" t="str">
            <v>48331104(ÖLFLEX INSTRUM 3x1 F EN Y OS Y 05 GY_x000D_
)</v>
          </cell>
          <cell r="C6766" t="str">
            <v>LAPP</v>
          </cell>
          <cell r="D6766" t="str">
            <v>Lapp-Non Moving Stocks</v>
          </cell>
        </row>
        <row r="6767">
          <cell r="A6767" t="str">
            <v>48388885 (ÖLFLEXINSTRUM3x2x1.5REN2XISOSY2ARMYC2 BK)</v>
          </cell>
          <cell r="B6767" t="str">
            <v>48388885(ÖLFLEXINSTRUM3x2x1.5REN2XISOSY2ARMYC2 BK)</v>
          </cell>
          <cell r="C6767" t="str">
            <v>LAPP</v>
          </cell>
          <cell r="D6767" t="str">
            <v>Lapp-Non Moving Stocks</v>
          </cell>
        </row>
        <row r="6768">
          <cell r="A6768" t="str">
            <v>48389833 (ÖLFLEXINSTRUM4x1.5REN2XOSY2ARMYC2 05 BK)</v>
          </cell>
          <cell r="B6768" t="str">
            <v>48389833(ÖLFLEXINSTRUM4x1.5REN2XOSY2ARMYC2 05 BK)</v>
          </cell>
          <cell r="C6768" t="str">
            <v>LAPP</v>
          </cell>
          <cell r="D6768" t="str">
            <v>Lapp-Non Moving Stocks</v>
          </cell>
        </row>
        <row r="6769">
          <cell r="A6769" t="str">
            <v>48444741 (ÖLFLEX INSTRUM 8x0.5 RTENYOSYUVAR 05 GY)</v>
          </cell>
          <cell r="B6769" t="str">
            <v>48444741(ÖLFLEX INSTRUM 8x0.5 RTENYOSYUVAR 05 GY)</v>
          </cell>
          <cell r="C6769" t="str">
            <v>LAPP</v>
          </cell>
          <cell r="D6769" t="str">
            <v>Lapp-Non Moving Stocks</v>
          </cell>
        </row>
        <row r="6770">
          <cell r="A6770" t="str">
            <v>48388450 (ÖLFLEXINSTRUM8x2x0.5REN2XOSY2ARMYC2 BK)</v>
          </cell>
          <cell r="B6770" t="str">
            <v>48388450(ÖLFLEXINSTRUM8x2x0.5REN2XOSY2ARMYC2 BK)</v>
          </cell>
          <cell r="C6770" t="str">
            <v>LAPP</v>
          </cell>
          <cell r="D6770" t="str">
            <v>Lapp-Non Moving Stocks</v>
          </cell>
        </row>
        <row r="6771">
          <cell r="A6771" t="str">
            <v>483956991 (ÖLFLEX® INSTRUM 10TIRTENY3ISOSYC2SSAYC21BU)</v>
          </cell>
          <cell r="B6771" t="str">
            <v>483956991(ÖLFLEX® INSTRUM 10TIRTENY3ISOSYC2SSAYC21BU)</v>
          </cell>
          <cell r="C6771" t="str">
            <v>LAPP</v>
          </cell>
          <cell r="D6771" t="str">
            <v>Lapp-Non Moving Stocks</v>
          </cell>
        </row>
        <row r="6772">
          <cell r="A6772" t="str">
            <v>483833481 (ÖLFLEX® INSTRUM 12X1 RENYOSYSWAY 1 BU 30)</v>
          </cell>
          <cell r="B6772" t="str">
            <v>483833481(ÖLFLEX® INSTRUM 12X1 RENYOSYSWAY 1 BU 30)</v>
          </cell>
          <cell r="C6772" t="str">
            <v>LAPP</v>
          </cell>
          <cell r="D6772" t="str">
            <v>Lapp-Non Moving Stocks</v>
          </cell>
        </row>
        <row r="6773">
          <cell r="A6773" t="str">
            <v>483968721 (ÖLFLEX®INSTRUM16P0.5RTEN2X ISOSYC2SSAYC21)</v>
          </cell>
          <cell r="B6773" t="str">
            <v>483968721(ÖLFLEX®INSTRUM16P0.5RTEN2X ISOSYC2SSAYC21)</v>
          </cell>
          <cell r="C6773" t="str">
            <v>LAPP</v>
          </cell>
          <cell r="D6773" t="str">
            <v>Lapp-Non Moving Stocks</v>
          </cell>
        </row>
        <row r="6774">
          <cell r="A6774" t="str">
            <v>382305770 (ÖLFLEX® INSTRUM 16x2x1 REN2XISOSY2SSAY2 1 BU)</v>
          </cell>
          <cell r="B6774" t="str">
            <v>382305770(ÖLFLEX® INSTRUM 16x2x1 REN2XISOSY2SSAY2 1 BU)</v>
          </cell>
          <cell r="C6774" t="str">
            <v>LAPP</v>
          </cell>
          <cell r="D6774" t="str">
            <v>Lapp-Non Moving Stocks</v>
          </cell>
        </row>
        <row r="6775">
          <cell r="A6775" t="str">
            <v>483974721 (ÖLFLEX®INSTRUM18x1RTEN2XO SYC2SWAYC21BU)</v>
          </cell>
          <cell r="B6775" t="str">
            <v>483974721(ÖLFLEX®INSTRUM18x1RTEN2XO SYC2SWAYC21BU)</v>
          </cell>
          <cell r="C6775" t="str">
            <v>LAPP</v>
          </cell>
          <cell r="D6775" t="str">
            <v>Lapp-Non Moving Stocks</v>
          </cell>
        </row>
        <row r="6776">
          <cell r="A6776" t="str">
            <v>483973311 (ÖLFLEX®INSTRUM19x0.5RTEN2X OSYC2SWAYC21BU)</v>
          </cell>
          <cell r="B6776" t="str">
            <v>483973311(ÖLFLEX®INSTRUM19x0.5RTEN2X OSYC2SWAYC21BU)</v>
          </cell>
          <cell r="C6776" t="str">
            <v>LAPP</v>
          </cell>
          <cell r="D6776" t="str">
            <v>Lapp-Non Moving Stocks</v>
          </cell>
        </row>
        <row r="6777">
          <cell r="A6777" t="str">
            <v>48408407 (ÖLFLEX® INSTRUM 1P0.75REN2XOSHXUVAR05BU)</v>
          </cell>
          <cell r="B6777" t="str">
            <v>48408407(ÖLFLEX® INSTRUM 1P0.75REN2XOSHXUVAR05BU)</v>
          </cell>
          <cell r="C6777" t="str">
            <v>LAPP</v>
          </cell>
          <cell r="D6777" t="str">
            <v>Lapp-Non Moving Stocks</v>
          </cell>
        </row>
        <row r="6778">
          <cell r="A6778" t="str">
            <v>48351777 (ÖLFLEX® INSTRUM 1p1 Fen Y Os Ysy 05 Gy)</v>
          </cell>
          <cell r="B6778" t="str">
            <v>48351777(ÖLFLEX® INSTRUM 1p1 Fen Y Os Ysy 05 Gy)</v>
          </cell>
          <cell r="C6778" t="str">
            <v>LAPP</v>
          </cell>
          <cell r="D6778" t="str">
            <v>Lapp-Non Moving Stocks</v>
          </cell>
        </row>
        <row r="6779">
          <cell r="A6779" t="str">
            <v>483410261 (ÖLFLEX® INSTRUM 1P1 RENYOSY 1BK)</v>
          </cell>
          <cell r="B6779" t="str">
            <v>483410261(ÖLFLEX® INSTRUM 1P1 RENYOSY 1BK)</v>
          </cell>
          <cell r="C6779" t="str">
            <v>LAPP</v>
          </cell>
          <cell r="D6779" t="str">
            <v>Lapp-Non Moving Stocks</v>
          </cell>
        </row>
        <row r="6780">
          <cell r="A6780" t="str">
            <v>483857751 (ÖLFLEX® INSTRUM 1x2x1.5 RENY3OSY2SWAYC2 1 BU)</v>
          </cell>
          <cell r="B6780" t="str">
            <v>483857751(ÖLFLEX® INSTRUM 1x2x1.5 RENY3OSY2SWAYC2 1 BU)</v>
          </cell>
          <cell r="C6780" t="str">
            <v>LAPP</v>
          </cell>
          <cell r="D6780" t="str">
            <v>Lapp-Non Moving Stocks</v>
          </cell>
        </row>
        <row r="6781">
          <cell r="A6781" t="str">
            <v>382305767 (ÖLFLEX® INSTRUM 1x2x1 REN2XOSY2SWAY2 1 BU)</v>
          </cell>
          <cell r="B6781" t="str">
            <v>382305767(ÖLFLEX® INSTRUM 1x2x1 REN2XOSY2SWAY2 1 BU)</v>
          </cell>
          <cell r="C6781" t="str">
            <v>LAPP</v>
          </cell>
          <cell r="D6781" t="str">
            <v>Lapp-Non Moving Stocks</v>
          </cell>
        </row>
        <row r="6782">
          <cell r="A6782" t="str">
            <v>484322841 (ÖLFLEX®INSTRUM1x2x1RTENYOSYSWAYC2UVAR1BU_x000D_)</v>
          </cell>
          <cell r="B6782" t="str">
            <v>484322841(ÖLFLEX®INSTRUM1x2x1RTENYOSYSWAYC2UVAR1BU_x000D_)</v>
          </cell>
          <cell r="C6782" t="str">
            <v>LAPP</v>
          </cell>
          <cell r="D6782" t="str">
            <v>Lapp-Non Moving Stocks</v>
          </cell>
        </row>
        <row r="6783">
          <cell r="A6783" t="str">
            <v>382305772 (ÖLFLEX® INSTRUM 1x3x1 REN2XOSY2SWAY2 1 BU)</v>
          </cell>
          <cell r="B6783" t="str">
            <v>382305772(ÖLFLEX® INSTRUM 1x3x1 REN2XOSY2SWAY2 1 BU)</v>
          </cell>
          <cell r="C6783" t="str">
            <v>LAPP</v>
          </cell>
          <cell r="D6783" t="str">
            <v>Lapp-Non Moving Stocks</v>
          </cell>
        </row>
        <row r="6784">
          <cell r="A6784" t="str">
            <v>483860991 (ÖLFLEX® INSTRUM 1x3x1 RENY3OSY2SWAYC2 1 BU)</v>
          </cell>
          <cell r="B6784" t="str">
            <v>483860991(ÖLFLEX® INSTRUM 1x3x1 RENY3OSY2SWAYC2 1 BU)</v>
          </cell>
          <cell r="C6784" t="str">
            <v>LAPP</v>
          </cell>
          <cell r="D6784" t="str">
            <v>Lapp-Non Moving Stocks</v>
          </cell>
        </row>
        <row r="6785">
          <cell r="A6785" t="str">
            <v>483833001 (ÖLFLEX® INSTRUM 24X0.75 RENYOSYSWAY 1 BU)</v>
          </cell>
          <cell r="B6785" t="str">
            <v>483833001(ÖLFLEX® INSTRUM 24X0.75 RENYOSYSWAY 1 BU)</v>
          </cell>
          <cell r="C6785" t="str">
            <v>LAPP</v>
          </cell>
          <cell r="D6785" t="str">
            <v>Lapp-Non Moving Stocks</v>
          </cell>
        </row>
        <row r="6786">
          <cell r="A6786" t="str">
            <v>382305771 (ÖLFLEX® INSTRUM 24x2x1 REN2XISOSY2SSAY2 1 BU)</v>
          </cell>
          <cell r="B6786" t="str">
            <v>382305771(ÖLFLEX® INSTRUM 24x2x1 REN2XISOSY2SSAY2 1 BU)</v>
          </cell>
          <cell r="C6786" t="str">
            <v>LAPP</v>
          </cell>
          <cell r="D6786" t="str">
            <v>Lapp-Non Moving Stocks</v>
          </cell>
        </row>
        <row r="6787">
          <cell r="A6787" t="str">
            <v>483968481 (ÖLFLEX®INSTRUM2P0.5RTEN2XI SOSYC2SWAYC21B)</v>
          </cell>
          <cell r="B6787" t="str">
            <v>483968481(ÖLFLEX®INSTRUM2P0.5RTEN2XI SOSYC2SWAYC21B)</v>
          </cell>
          <cell r="C6787" t="str">
            <v>LAPP</v>
          </cell>
          <cell r="D6787" t="str">
            <v>Lapp-Non Moving Stocks</v>
          </cell>
        </row>
        <row r="6788">
          <cell r="A6788" t="str">
            <v>48385639 (ÖLFLEX® INSTRUM2PIRENY3OS Y2SWAYC205BK)</v>
          </cell>
          <cell r="B6788" t="str">
            <v>48385639(ÖLFLEX® INSTRUM2PIRENY3OS Y2SWAYC205BK)</v>
          </cell>
          <cell r="C6788" t="str">
            <v>LAPP</v>
          </cell>
          <cell r="D6788" t="str">
            <v>Lapp-Non Moving Stocks</v>
          </cell>
        </row>
        <row r="6789">
          <cell r="A6789" t="str">
            <v>48389539 (ÖLFLEX® INSTRUM 2x1.5 REN2XOSY2SWAY205BK)</v>
          </cell>
          <cell r="B6789" t="str">
            <v>48389539(ÖLFLEX® INSTRUM 2x1.5 REN2XOSY2SWAY205BK)</v>
          </cell>
          <cell r="C6789" t="str">
            <v>LAPP</v>
          </cell>
          <cell r="D6789" t="str">
            <v>Lapp-Non Moving Stocks</v>
          </cell>
        </row>
        <row r="6790">
          <cell r="A6790" t="str">
            <v>483833241 (ÖLFLEX® INSTRUM 2X1 RENYOSYSWAY 1 BU 10)</v>
          </cell>
          <cell r="B6790" t="str">
            <v>483833241(ÖLFLEX® INSTRUM 2X1 RENYOSYSWAY 1 BU 10)</v>
          </cell>
          <cell r="C6790" t="str">
            <v>LAPP</v>
          </cell>
          <cell r="D6790" t="str">
            <v>Lapp-Non Moving Stocks</v>
          </cell>
        </row>
        <row r="6791">
          <cell r="A6791" t="str">
            <v>483738441 (ÖLFLEX® INSTRUM 2x2x0.75 FTENYOSYC2SYC2 1 BU)</v>
          </cell>
          <cell r="B6791" t="str">
            <v>483738441(ÖLFLEX® INSTRUM 2x2x0.75 FTENYOSYC2SYC2 1 BU)</v>
          </cell>
          <cell r="C6791" t="str">
            <v>LAPP</v>
          </cell>
          <cell r="D6791" t="str">
            <v>Lapp-Non Moving Stocks</v>
          </cell>
        </row>
        <row r="6792">
          <cell r="A6792" t="str">
            <v>48351813 (ÖLFLEX® INSTRUM 2x2x1_x000D_
FENYISOSYSY 05 GY 10)</v>
          </cell>
          <cell r="B6792" t="str">
            <v>48351813(ÖLFLEX® INSTRUM 2x2x1_x000D_
FENYISOSYSY 05 GY 10)</v>
          </cell>
          <cell r="C6792" t="str">
            <v>LAPP</v>
          </cell>
          <cell r="D6792" t="str">
            <v>Lapp-Non Moving Stocks</v>
          </cell>
        </row>
        <row r="6793">
          <cell r="A6793" t="str">
            <v>382305768 (ÖLFLEX® INSTRUM 2x2x1 REN2XISOSY2SWAY2 1 BU)</v>
          </cell>
          <cell r="B6793" t="str">
            <v>382305768(ÖLFLEX® INSTRUM 2x2x1 REN2XISOSY2SWAY2 1 BU)</v>
          </cell>
          <cell r="C6793" t="str">
            <v>LAPP</v>
          </cell>
          <cell r="D6793" t="str">
            <v>Lapp-Non Moving Stocks</v>
          </cell>
        </row>
        <row r="6794">
          <cell r="A6794" t="str">
            <v>483973551 (ÖLFLEX®INSTRUM35x0.5RTEN2X OSYC2SSAYC21BU)</v>
          </cell>
          <cell r="B6794" t="str">
            <v>483973551(ÖLFLEX®INSTRUM35x0.5RTEN2X OSYC2SSAYC21BU)</v>
          </cell>
          <cell r="C6794" t="str">
            <v>LAPP</v>
          </cell>
          <cell r="D6794" t="str">
            <v>Lapp-Non Moving Stocks</v>
          </cell>
        </row>
        <row r="6795">
          <cell r="A6795" t="str">
            <v>483972951 (ÖLFLEX®INSTRUM3x0.5RTEN2X OSYC2SWAYC21BU_x000D_)</v>
          </cell>
          <cell r="B6795" t="str">
            <v>483972951(ÖLFLEX®INSTRUM3x0.5RTEN2X OSYC2SWAYC21BU_x000D_)</v>
          </cell>
          <cell r="C6795" t="str">
            <v>LAPP</v>
          </cell>
          <cell r="D6795" t="str">
            <v>Lapp-Non Moving Stocks</v>
          </cell>
        </row>
        <row r="6796">
          <cell r="A6796" t="str">
            <v>48331176 (ÖLFLEX® INSTRUM 3x1.5 FENYOSY 05 GY)</v>
          </cell>
          <cell r="B6796" t="str">
            <v>48331176(ÖLFLEX® INSTRUM 3x1.5 FENYOSY 05 GY)</v>
          </cell>
          <cell r="C6796" t="str">
            <v>LAPP</v>
          </cell>
          <cell r="D6796" t="str">
            <v>Lapp-Non Moving Stocks</v>
          </cell>
        </row>
        <row r="6797">
          <cell r="A6797" t="str">
            <v>48331105 (ÖLFLEX® INSTRUM 3X1 F EN Y OS Y 05 BK)</v>
          </cell>
          <cell r="B6797" t="str">
            <v>48331105(ÖLFLEX® INSTRUM 3X1 F EN Y OS Y 05 BK)</v>
          </cell>
          <cell r="C6797" t="str">
            <v>LAPP</v>
          </cell>
          <cell r="D6797" t="str">
            <v>Lapp-Non Moving Stocks</v>
          </cell>
        </row>
        <row r="6798">
          <cell r="A6798" t="str">
            <v>483974391 (ÖLFLEX®INSTRUM3x1RTEN2XOS YC2SWAYC21BU)</v>
          </cell>
          <cell r="B6798" t="str">
            <v>483974391(ÖLFLEX®INSTRUM3x1RTEN2XOS YC2SWAYC21BU)</v>
          </cell>
          <cell r="C6798" t="str">
            <v>LAPP</v>
          </cell>
          <cell r="D6798" t="str">
            <v>Lapp-Non Moving Stocks</v>
          </cell>
        </row>
        <row r="6799">
          <cell r="A6799" t="str">
            <v>483738471 (ÖLFLEX® INSTRUM 3x2x0.75 FTENYOSYC2SYC2 1 BU)</v>
          </cell>
          <cell r="B6799" t="str">
            <v>483738471(ÖLFLEX® INSTRUM 3x2x0.75 FTENYOSYC2SYC2 1 BU)</v>
          </cell>
          <cell r="C6799" t="str">
            <v>LAPP</v>
          </cell>
          <cell r="D6799" t="str">
            <v>Lapp-Non Moving Stocks</v>
          </cell>
        </row>
        <row r="6800">
          <cell r="A6800" t="str">
            <v>48385645 (ÖLFLEX® INSTRUM 4P1RENY3OSY2SWAYC2 05BK)</v>
          </cell>
          <cell r="B6800" t="str">
            <v>48385645(ÖLFLEX® INSTRUM 4P1RENY3OSY2SWAYC2 05BK)</v>
          </cell>
          <cell r="C6800" t="str">
            <v>LAPP</v>
          </cell>
          <cell r="D6800" t="str">
            <v>Lapp-Non Moving Stocks</v>
          </cell>
        </row>
        <row r="6801">
          <cell r="A6801" t="str">
            <v>382305773 (ÖLFLEX® INSTRUM 4x3x1 REN2XISOSY2SSAY2 1 BU)</v>
          </cell>
          <cell r="B6801" t="str">
            <v>382305773(ÖLFLEX® INSTRUM 4x3x1 REN2XISOSY2SSAY2 1 BU)</v>
          </cell>
          <cell r="C6801" t="str">
            <v>LAPP</v>
          </cell>
          <cell r="D6801" t="str">
            <v>Lapp-Non Moving Stocks</v>
          </cell>
        </row>
        <row r="6802">
          <cell r="A6802" t="str">
            <v>483968601 (ÖLFLEX®INSTRUM6P0.5RTEN2XI SOSYC2SWAYC21B)</v>
          </cell>
          <cell r="B6802" t="str">
            <v>483968601(ÖLFLEX®INSTRUM6P0.5RTEN2XI SOSYC2SWAYC21B)</v>
          </cell>
          <cell r="C6802" t="str">
            <v>LAPP</v>
          </cell>
          <cell r="D6802" t="str">
            <v>Lapp-Non Moving Stocks</v>
          </cell>
        </row>
        <row r="6803">
          <cell r="A6803" t="str">
            <v>48389551 (ÖLFLEX® INSTRUM 6x1.5 REN2XOSY2SWAY205BK)</v>
          </cell>
          <cell r="B6803" t="str">
            <v>48389551(ÖLFLEX® INSTRUM 6x1.5 REN2XOSY2SWAY205BK)</v>
          </cell>
          <cell r="C6803" t="str">
            <v>LAPP</v>
          </cell>
          <cell r="D6803" t="str">
            <v>Lapp-Non Moving Stocks</v>
          </cell>
        </row>
        <row r="6804">
          <cell r="A6804" t="str">
            <v>483833361 (ÖLFLEX® INSTRUM 6X1 RENYOSYSWAY 1 BU 20)</v>
          </cell>
          <cell r="B6804" t="str">
            <v>483833361(ÖLFLEX® INSTRUM 6X1 RENYOSYSWAY 1 BU 20)</v>
          </cell>
          <cell r="C6804" t="str">
            <v>LAPP</v>
          </cell>
          <cell r="D6804" t="str">
            <v>Lapp-Non Moving Stocks</v>
          </cell>
        </row>
        <row r="6805">
          <cell r="A6805" t="str">
            <v>483886881 (ÖLFLEX® INSTRUM  6x2x1REN2XISOSY2SSAY21BU_x000D_
)</v>
          </cell>
          <cell r="B6805" t="str">
            <v>483886881(ÖLFLEX® INSTRUM 6x2x1REN2XISOSY2SSAY21BU_x000D_
)</v>
          </cell>
          <cell r="C6805" t="str">
            <v>LAPP</v>
          </cell>
          <cell r="D6805" t="str">
            <v>Lapp-Non Moving Stocks</v>
          </cell>
        </row>
        <row r="6806">
          <cell r="A6806" t="str">
            <v>483374071 (ÖLFLEX® INSTRUM 8C x 0.5)</v>
          </cell>
          <cell r="B6806" t="str">
            <v>483374071(ÖLFLEX® INSTRUM 8C x 0.5)</v>
          </cell>
          <cell r="C6806" t="str">
            <v>LAPP</v>
          </cell>
          <cell r="D6806" t="str">
            <v>Lapp-Non Moving Stocks</v>
          </cell>
        </row>
        <row r="6807">
          <cell r="A6807" t="str">
            <v>484417791 (ÖLFLEX® INSTRUM 8T1RTEN2XISOSYC2SSAYC2UV)</v>
          </cell>
          <cell r="B6807" t="str">
            <v>484417791(ÖLFLEX® INSTRUM 8T1RTEN2XISOSYC2SSAYC2UV)</v>
          </cell>
          <cell r="C6807" t="str">
            <v>LAPP</v>
          </cell>
          <cell r="D6807" t="str">
            <v>Lapp-Non Moving Stocks</v>
          </cell>
        </row>
        <row r="6808">
          <cell r="A6808" t="str">
            <v>382305769 (ÖLFLEX® INSTRUM 8x2x1 REN2XISOSY2SSAY2 1 BU)</v>
          </cell>
          <cell r="B6808" t="str">
            <v>382305769(ÖLFLEX® INSTRUM 8x2x1 REN2XISOSY2SSAY2 1 BU)</v>
          </cell>
          <cell r="C6808" t="str">
            <v>LAPP</v>
          </cell>
          <cell r="D6808" t="str">
            <v>Lapp-Non Moving Stocks</v>
          </cell>
        </row>
        <row r="6809">
          <cell r="A6809" t="str">
            <v>382305774 (ÖLFLEX® INSTRUM 8x3x1 REN2XISOSY2SSAY2 1 BU)</v>
          </cell>
          <cell r="B6809" t="str">
            <v>382305774(ÖLFLEX® INSTRUM 8x3x1 REN2XISOSY2SSAY2 1 BU)</v>
          </cell>
          <cell r="C6809" t="str">
            <v>LAPP</v>
          </cell>
          <cell r="D6809" t="str">
            <v>Lapp-Non Moving Stocks</v>
          </cell>
        </row>
        <row r="6810">
          <cell r="A6810" t="str">
            <v>73220229_x000D_
 ("SPIREX DATA 7x0,14/500"_x000D_
)</v>
          </cell>
          <cell r="B6810" t="str">
            <v>73220229_x000D_
("SPIREX DATA 7x0,14/500"_x000D_
)</v>
          </cell>
          <cell r="C6810" t="str">
            <v>LAPP</v>
          </cell>
          <cell r="D6810" t="str">
            <v>Lapp-Non Moving Stocks</v>
          </cell>
        </row>
        <row r="6811">
          <cell r="A6811" t="str">
            <v>126227 (120sqmmx3C HT XLPE ARMD Indl Cable 11KV)</v>
          </cell>
          <cell r="B6811" t="str">
            <v>126227(120sqmmx3C HT XLPE ARMD Indl Cable 11KV)</v>
          </cell>
          <cell r="C6811" t="str">
            <v>LAPP</v>
          </cell>
          <cell r="D6811" t="str">
            <v>Lapp-Non Moving Stocks</v>
          </cell>
        </row>
        <row r="6812">
          <cell r="A6812" t="str">
            <v>GLN-703 (12W Twin Avaition Lamp 230V IPH)</v>
          </cell>
          <cell r="B6812" t="str">
            <v>GLN-703(12W Twin Avaition Lamp 230V IPH)</v>
          </cell>
          <cell r="C6812" t="str">
            <v>LAPP</v>
          </cell>
          <cell r="D6812" t="str">
            <v>Lapp-Non Moving Stocks</v>
          </cell>
        </row>
        <row r="6813">
          <cell r="A6813" t="str">
            <v>Mondo Suspen Wire (1Mtr Hanging Wire)</v>
          </cell>
          <cell r="B6813" t="e">
            <v>#N/A</v>
          </cell>
          <cell r="C6813" t="str">
            <v>LAPP</v>
          </cell>
          <cell r="D6813" t="str">
            <v>Lapp-Non Moving Stocks</v>
          </cell>
        </row>
        <row r="6814">
          <cell r="A6814" t="str">
            <v>113312 (2.5 SQ.MM X3CORE FRLS ARMS COPPER INDL. CABLE 1.1KV)</v>
          </cell>
          <cell r="B6814" t="str">
            <v>113312(2.5 SQ.MM X3CORE FRLS ARMS COPPER INDL. CABLE 1.1KV)</v>
          </cell>
          <cell r="C6814" t="str">
            <v>LAPP</v>
          </cell>
          <cell r="D6814" t="str">
            <v>Lapp-Non Moving Stocks</v>
          </cell>
        </row>
        <row r="6815">
          <cell r="A6815" t="str">
            <v>38230231 (2X1.5 OS SY 1100V TANS)</v>
          </cell>
          <cell r="B6815" t="str">
            <v>38230231(2X1.5 OS SY 1100V TANS)</v>
          </cell>
          <cell r="C6815" t="str">
            <v>LAPP</v>
          </cell>
          <cell r="D6815" t="str">
            <v>Lapp-Non Moving Stocks</v>
          </cell>
        </row>
        <row r="6816">
          <cell r="A6816" t="str">
            <v>382302390 (2x1.5 sqmm SY 1100V FRLS BK EK)</v>
          </cell>
          <cell r="B6816" t="str">
            <v>382302390(2x1.5 sqmm SY 1100V FRLS BK EK)</v>
          </cell>
          <cell r="C6816" t="str">
            <v>LAPP</v>
          </cell>
          <cell r="D6816" t="str">
            <v>Lapp-Non Moving Stocks</v>
          </cell>
        </row>
        <row r="6817">
          <cell r="A6817" t="str">
            <v xml:space="preserve">30Mtrs  High Mast Pole With Accessories Base plate 740x30MM Thickness With Gland Plate Foundation Bolt 30 x x12Nos At 630 PCD X12 F BOLT Bottom Dia 540x4MM Thickness x10.5MTRS Middle dia 450x3MM thickness x10.5Mtrs Top Dia 150x3MM Thickness x 10MTRS Inbuilt Power Tool, 3HP Motor, SS Rope and pulley &amp; 30Mtrs TAILLING  Cable, HEAD FRAME WITH ACCESSORIES , hardware BOX WITH ALL  accessories Light Fitting Ring With Accessories, _x000D_
</v>
          </cell>
          <cell r="B6817" t="e">
            <v>#VALUE!</v>
          </cell>
          <cell r="C6817" t="str">
            <v>JEF</v>
          </cell>
          <cell r="D6817" t="str">
            <v>JEF</v>
          </cell>
        </row>
        <row r="6818">
          <cell r="A6818" t="str">
            <v>126231 (3C X 300 SQ.MM HT XLPE ARMD_x000D_
INDL.CBL 11KV GR.(E)_x000D_
Cat Ref : MVIS17AXSFY2003C300SA001S_x000D_
)</v>
          </cell>
          <cell r="B6818" t="str">
            <v>126231(3C X 300 SQ.MM HT XLPE ARMD_x000D_
INDL.CBL 11KV GR.(E)_x000D_
Cat Ref : MVIS17AXSFY2003C300SA001S_x000D_
)</v>
          </cell>
          <cell r="C6818" t="str">
            <v>LAPP</v>
          </cell>
          <cell r="D6818" t="str">
            <v>Lapp-Non Moving Stocks</v>
          </cell>
        </row>
        <row r="6819">
          <cell r="A6819" t="str">
            <v>111067 (400 Sq.MM X 3.5 Core Armd Alum Indl Cable 1.1kvgr)</v>
          </cell>
          <cell r="B6819" t="str">
            <v>111067(400 Sq.MM X 3.5 Core Armd Alum Indl Cable 1.1kvgr)</v>
          </cell>
          <cell r="C6819" t="str">
            <v>LAPP</v>
          </cell>
          <cell r="D6819" t="str">
            <v>Lapp-Non Moving Stocks</v>
          </cell>
        </row>
        <row r="6820">
          <cell r="A6820" t="str">
            <v>4Cx25sqmm (4Cx25sqmm ALU ARMD 1100V Polycab Cable)</v>
          </cell>
          <cell r="B6820" t="str">
            <v>4Cx25sqmm(4Cx25sqmm ALU ARMD 1100V Polycab Cable)</v>
          </cell>
          <cell r="C6820" t="str">
            <v>LAPP</v>
          </cell>
          <cell r="D6820" t="str">
            <v>Lapp-Non Moving Stocks</v>
          </cell>
        </row>
        <row r="6821">
          <cell r="A6821" t="str">
            <v>22262011 (AB-C4-M12FST-PG11)</v>
          </cell>
          <cell r="B6821" t="str">
            <v>22262011(AB-C4-M12FST-PG11)</v>
          </cell>
          <cell r="C6821" t="str">
            <v>LAPP</v>
          </cell>
          <cell r="D6821" t="str">
            <v>Lapp-Non Moving Stocks</v>
          </cell>
        </row>
        <row r="6822">
          <cell r="A6822" t="str">
            <v>22262010 (AB-C4-M12MST-PG11)</v>
          </cell>
          <cell r="B6822" t="str">
            <v>22262010(AB-C4-M12MST-PG11)</v>
          </cell>
          <cell r="C6822" t="str">
            <v>LAPP</v>
          </cell>
          <cell r="D6822" t="str">
            <v>Lapp-Non Moving Stocks</v>
          </cell>
        </row>
        <row r="6823">
          <cell r="A6823" t="str">
            <v>22260638 (AB-C5-M12FA-PG9_x000D_
)</v>
          </cell>
          <cell r="B6823" t="str">
            <v>22260638(AB-C5-M12FA-PG9_x000D_
)</v>
          </cell>
          <cell r="C6823" t="str">
            <v>LAPP</v>
          </cell>
          <cell r="D6823" t="str">
            <v>Lapp-Non Moving Stocks</v>
          </cell>
        </row>
        <row r="6824">
          <cell r="A6824" t="str">
            <v>22260644 (AB-C5-M12FS-PG9)</v>
          </cell>
          <cell r="B6824" t="str">
            <v>22260644(AB-C5-M12FS-PG9)</v>
          </cell>
          <cell r="C6824" t="str">
            <v>LAPP</v>
          </cell>
          <cell r="D6824" t="str">
            <v>Lapp-Non Moving Stocks</v>
          </cell>
        </row>
        <row r="6825">
          <cell r="A6825" t="str">
            <v>22260651 (AB-C5-M12MS-PG9)</v>
          </cell>
          <cell r="B6825" t="str">
            <v>22260651(AB-C5-M12MS-PG9)</v>
          </cell>
          <cell r="C6825" t="str">
            <v>LAPP</v>
          </cell>
          <cell r="D6825" t="str">
            <v>Lapp-Non Moving Stocks</v>
          </cell>
        </row>
        <row r="6826">
          <cell r="A6826" t="str">
            <v>Cable Cutting Charges</v>
          </cell>
          <cell r="B6826" t="str">
            <v>Cable Cutting Charges</v>
          </cell>
          <cell r="C6826" t="str">
            <v>LAPP</v>
          </cell>
          <cell r="D6826" t="str">
            <v>Lapp-Non Moving Stocks</v>
          </cell>
        </row>
        <row r="6827">
          <cell r="A6827" t="str">
            <v>61830320 (CABLE EATER SHR-20-PPB BK_x000D_
)</v>
          </cell>
          <cell r="B6827" t="str">
            <v>61830320(CABLE EATER SHR-20-PPB BK_x000D_
)</v>
          </cell>
          <cell r="C6827" t="str">
            <v>LAPP</v>
          </cell>
          <cell r="D6827" t="str">
            <v>Lapp-Non Moving Stocks</v>
          </cell>
        </row>
        <row r="6828">
          <cell r="A6828" t="str">
            <v>62120045 (CABLE SHEARS KS 20_x000D_
)</v>
          </cell>
          <cell r="B6828" t="str">
            <v>62120045(CABLE SHEARS KS 20_x000D_
)</v>
          </cell>
          <cell r="C6828" t="str">
            <v>LAPP</v>
          </cell>
          <cell r="D6828" t="str">
            <v>Lapp-Non Moving Stocks</v>
          </cell>
        </row>
        <row r="6829">
          <cell r="A6829" t="str">
            <v>62200421 (CABLE TROLLEY FLATCABLE)</v>
          </cell>
          <cell r="B6829" t="str">
            <v>62200421(CABLE TROLLEY FLATCABLE)</v>
          </cell>
          <cell r="C6829" t="str">
            <v>LAPP</v>
          </cell>
          <cell r="D6829" t="str">
            <v>Lapp-Non Moving Stocks</v>
          </cell>
        </row>
        <row r="6830">
          <cell r="A6830" t="str">
            <v>38061979 (CHAIN250L025060,AN325L060KM,CFC325L060KM)</v>
          </cell>
          <cell r="B6830" t="str">
            <v>38061979(CHAIN250L025060,AN325L060KM,CFC325L060KM)</v>
          </cell>
          <cell r="C6830" t="str">
            <v>LAPP</v>
          </cell>
          <cell r="D6830" t="str">
            <v>Lapp-Non Moving Stocks</v>
          </cell>
        </row>
        <row r="6831">
          <cell r="A6831" t="str">
            <v>38061978 (CHAIN 250LI050075 BRACKET AN250L050KM1)</v>
          </cell>
          <cell r="B6831" t="str">
            <v>38061978(CHAIN 250LI050075 BRACKET AN250L050KM1)</v>
          </cell>
          <cell r="C6831" t="str">
            <v>LAPP</v>
          </cell>
          <cell r="D6831" t="str">
            <v>Lapp-Non Moving Stocks</v>
          </cell>
        </row>
        <row r="6832">
          <cell r="A6832" t="str">
            <v>CDC00634PEAV (Changeover Switch 63A With Enclsoure HPL)</v>
          </cell>
          <cell r="B6832" t="str">
            <v>CDC00634PEAV(Changeover Switch 63A With Enclsoure HPL)</v>
          </cell>
          <cell r="C6832" t="str">
            <v>LAPP</v>
          </cell>
          <cell r="D6832" t="str">
            <v>Lapp-Non Moving Stocks</v>
          </cell>
        </row>
        <row r="6833">
          <cell r="A6833" t="str">
            <v>Civil &amp; erection charges</v>
          </cell>
          <cell r="B6833" t="str">
            <v>Civil &amp; erection charges</v>
          </cell>
          <cell r="C6833" t="str">
            <v>LAPP</v>
          </cell>
          <cell r="D6833" t="str">
            <v>Lapp-Non Moving Stocks</v>
          </cell>
        </row>
        <row r="6834">
          <cell r="A6834" t="str">
            <v>61721390_x000D_
 (COPPER SCREEN BRAIDING CU 1020_x000D_
)</v>
          </cell>
          <cell r="B6834" t="str">
            <v>61721390_x000D_
(COPPER SCREEN BRAIDING CU 1020_x000D_
)</v>
          </cell>
          <cell r="C6834" t="str">
            <v>LAPP</v>
          </cell>
          <cell r="D6834" t="str">
            <v>Lapp-Non Moving Stocks</v>
          </cell>
        </row>
        <row r="6835">
          <cell r="A6835" t="str">
            <v>CABLE TIE (CPI 200 ES MARKER TIE)</v>
          </cell>
          <cell r="B6835" t="str">
            <v>CABLE TIE(CPI 200 ES MARKER TIE)</v>
          </cell>
          <cell r="C6835" t="str">
            <v>LAPP</v>
          </cell>
          <cell r="D6835" t="str">
            <v>Lapp-Non Moving Stocks</v>
          </cell>
        </row>
        <row r="6836">
          <cell r="A6836" t="str">
            <v>62200440 (C PROFILE RAIL 6M)</v>
          </cell>
          <cell r="B6836" t="str">
            <v>62200440(C PROFILE RAIL 6M)</v>
          </cell>
          <cell r="C6836" t="str">
            <v>LAPP</v>
          </cell>
          <cell r="D6836" t="str">
            <v>Lapp-Non Moving Stocks</v>
          </cell>
        </row>
        <row r="6837">
          <cell r="A6837" t="str">
            <v>117164 (CU/PVC INSU/SHT.HV INDL.1100V CABLE(MS) 2CX4)</v>
          </cell>
          <cell r="B6837" t="str">
            <v>117164(CU/PVC INSU/SHT.HV INDL.1100V CABLE(MS) 2CX4)</v>
          </cell>
          <cell r="C6837" t="str">
            <v>LAPP</v>
          </cell>
          <cell r="D6837" t="str">
            <v>Lapp-Non Moving Stocks</v>
          </cell>
        </row>
        <row r="6838">
          <cell r="A6838" t="str">
            <v>117176 (CU/PVC INSU/SHT.HV INDL.1100V CABLE(MS) 3CX1)</v>
          </cell>
          <cell r="B6838" t="str">
            <v>117176(CU/PVC INSU/SHT.HV INDL.1100V CABLE(MS) 3CX1)</v>
          </cell>
          <cell r="C6838" t="str">
            <v>LAPP</v>
          </cell>
          <cell r="D6838" t="str">
            <v>Lapp-Non Moving Stocks</v>
          </cell>
        </row>
        <row r="6839">
          <cell r="A6839" t="str">
            <v>117177 (CU/PVC INSU/SHT.HV INDL.1100V CABLE(MS) 3CX1.5)</v>
          </cell>
          <cell r="B6839" t="str">
            <v>117177(CU/PVC INSU/SHT.HV INDL.1100V CABLE(MS) 3CX1.5)</v>
          </cell>
          <cell r="C6839" t="str">
            <v>LAPP</v>
          </cell>
          <cell r="D6839" t="str">
            <v>Lapp-Non Moving Stocks</v>
          </cell>
        </row>
        <row r="6840">
          <cell r="A6840" t="str">
            <v>117197 (CU/PVC INSU/SHT.HV INDL.1100V CABLE(MS) 4CX1)</v>
          </cell>
          <cell r="B6840" t="str">
            <v>117197(CU/PVC INSU/SHT.HV INDL.1100V CABLE(MS) 4CX1)</v>
          </cell>
          <cell r="C6840" t="str">
            <v>LAPP</v>
          </cell>
          <cell r="D6840" t="str">
            <v>Lapp-Non Moving Stocks</v>
          </cell>
        </row>
        <row r="6841">
          <cell r="A6841" t="str">
            <v>117198 (CU/PVC INSU/SHT.HV INDL.1100V CABLE(MS) 4CX1.5)</v>
          </cell>
          <cell r="B6841" t="str">
            <v>117198(CU/PVC INSU/SHT.HV INDL.1100V CABLE(MS) 4CX1.5)</v>
          </cell>
          <cell r="C6841" t="str">
            <v>LAPP</v>
          </cell>
          <cell r="D6841" t="str">
            <v>Lapp-Non Moving Stocks</v>
          </cell>
        </row>
        <row r="6842">
          <cell r="A6842" t="str">
            <v>117200 (CU/PVC INSU/SHT.HV INDL.1100V CABLE(MS) 4CX4)</v>
          </cell>
          <cell r="B6842" t="str">
            <v>117200(CU/PVC INSU/SHT.HV INDL.1100V CABLE(MS) 4CX4)</v>
          </cell>
          <cell r="C6842" t="str">
            <v>LAPP</v>
          </cell>
          <cell r="D6842" t="str">
            <v>Lapp-Non Moving Stocks</v>
          </cell>
        </row>
        <row r="6843">
          <cell r="A6843" t="str">
            <v>21700653 (ED-IE-AXS-6A-B-20-FC)</v>
          </cell>
          <cell r="B6843" t="str">
            <v>21700653(ED-IE-AXS-6A-B-20-FC)</v>
          </cell>
          <cell r="C6843" t="str">
            <v>LAPP</v>
          </cell>
          <cell r="D6843" t="str">
            <v>Lapp-Non Moving Stocks</v>
          </cell>
        </row>
        <row r="6844">
          <cell r="A6844" t="str">
            <v>21700507 (ED-PB-35_x000D_
)</v>
          </cell>
          <cell r="B6844" t="str">
            <v>21700507(ED-PB-35_x000D_
)</v>
          </cell>
          <cell r="C6844" t="str">
            <v>LAPP</v>
          </cell>
          <cell r="D6844" t="str">
            <v>Lapp-Non Moving Stocks</v>
          </cell>
        </row>
        <row r="6845">
          <cell r="A6845" t="str">
            <v>21700506 (ED-PB-35-PG_x000D_
)</v>
          </cell>
          <cell r="B6845" t="str">
            <v>21700506(ED-PB-35-PG_x000D_
)</v>
          </cell>
          <cell r="C6845" t="str">
            <v>LAPP</v>
          </cell>
          <cell r="D6845" t="str">
            <v>Lapp-Non Moving Stocks</v>
          </cell>
        </row>
        <row r="6846">
          <cell r="A6846" t="str">
            <v>62200422 (END CLAMP FLAT CABLE)</v>
          </cell>
          <cell r="B6846" t="str">
            <v>62200422(END CLAMP FLAT CABLE)</v>
          </cell>
          <cell r="C6846" t="str">
            <v>LAPP</v>
          </cell>
          <cell r="D6846" t="str">
            <v>Lapp-Non Moving Stocks</v>
          </cell>
        </row>
        <row r="6847">
          <cell r="A6847" t="str">
            <v>62200425 (END STOP)</v>
          </cell>
          <cell r="B6847" t="str">
            <v>62200425(END STOP)</v>
          </cell>
          <cell r="C6847" t="str">
            <v>LAPP</v>
          </cell>
          <cell r="D6847" t="str">
            <v>Lapp-Non Moving Stocks</v>
          </cell>
        </row>
        <row r="6848">
          <cell r="A6848" t="str">
            <v>4571106 (ESUY 1X95 Copper-Earthing Cable_x000D_
)</v>
          </cell>
          <cell r="B6848" t="str">
            <v>4571106(ESUY 1X95 Copper-Earthing Cable_x000D_
)</v>
          </cell>
          <cell r="C6848" t="str">
            <v>LAPP</v>
          </cell>
          <cell r="D6848" t="str">
            <v>Lapp-Non Moving Stocks</v>
          </cell>
        </row>
        <row r="6849">
          <cell r="A6849" t="str">
            <v>ECRF-236L L (Exd AL (LM-6) Clean Room Light Fitting To SUIT Lumi)</v>
          </cell>
          <cell r="B6849" t="str">
            <v>ECRF-236L L(Exd AL(LM-6) Clean Room Light Fitting To SUIT Lumi)</v>
          </cell>
          <cell r="C6849" t="str">
            <v>LAPP</v>
          </cell>
          <cell r="D6849" t="str">
            <v>Lapp-Non Moving Stocks</v>
          </cell>
        </row>
        <row r="6850">
          <cell r="A6850" t="str">
            <v>4571126 (Flat Ground Strap/Press. 1X10/M6/200mm_x000D_
)</v>
          </cell>
          <cell r="B6850" t="str">
            <v>4571126(Flat Ground Strap/Press. 1X10/M6/200mm_x000D_
)</v>
          </cell>
          <cell r="C6850" t="str">
            <v>LAPP</v>
          </cell>
          <cell r="D6850" t="str">
            <v>Lapp-Non Moving Stocks</v>
          </cell>
        </row>
        <row r="6851">
          <cell r="A6851" t="str">
            <v>4571196 (Flat Ground Strap/Press. 1x6/M6/200mm)</v>
          </cell>
          <cell r="B6851" t="str">
            <v>4571196(Flat Ground Strap/Press. 1x6/M6/200mm)</v>
          </cell>
          <cell r="C6851" t="str">
            <v>LAPP</v>
          </cell>
          <cell r="D6851" t="str">
            <v>Lapp-Non Moving Stocks</v>
          </cell>
        </row>
        <row r="6852">
          <cell r="A6852" t="str">
            <v>Interest</v>
          </cell>
          <cell r="B6852" t="str">
            <v>Interest</v>
          </cell>
          <cell r="C6852" t="str">
            <v>LAPP</v>
          </cell>
          <cell r="D6852" t="str">
            <v>Lapp-Non Moving Stocks</v>
          </cell>
        </row>
        <row r="6853">
          <cell r="A6853" t="str">
            <v>0165007 (KEL Fe/CuNi JX 16X1,5 IEC_x000D_
)</v>
          </cell>
          <cell r="B6853" t="str">
            <v>0165007(KEL Fe/CuNi JX 16X1,5 IEC_x000D_
)</v>
          </cell>
          <cell r="C6853" t="str">
            <v>LAPP</v>
          </cell>
          <cell r="D6853" t="str">
            <v>Lapp-Non Moving Stocks</v>
          </cell>
        </row>
        <row r="6854">
          <cell r="A6854" t="str">
            <v>0152001 (KN1L NiCr/Ni KCA 2x1,5 DIN_x000D_
)</v>
          </cell>
          <cell r="B6854" t="str">
            <v>0152001(KN1L NiCr/Ni KCA 2x1,5 DIN_x000D_
)</v>
          </cell>
          <cell r="C6854" t="str">
            <v>LAPP</v>
          </cell>
          <cell r="D6854" t="str">
            <v>Lapp-Non Moving Stocks</v>
          </cell>
        </row>
        <row r="6855">
          <cell r="A6855" t="str">
            <v>0152006 (KN4L-S NiCr/Ni KCA 2x1,5 DIN oval_x000D_
)</v>
          </cell>
          <cell r="B6855" t="str">
            <v>0152006(KN4L-S NiCr/Ni KCA 2x1,5 DIN oval_x000D_
)</v>
          </cell>
          <cell r="C6855" t="str">
            <v>LAPP</v>
          </cell>
          <cell r="D6855" t="str">
            <v>Lapp-Non Moving Stocks</v>
          </cell>
        </row>
        <row r="6856">
          <cell r="A6856" t="str">
            <v>61850396 (LAPP Conduit LPCC 48-GY)</v>
          </cell>
          <cell r="B6856" t="str">
            <v>61850396(LAPP Conduit LPCC 48-GY)</v>
          </cell>
          <cell r="C6856" t="str">
            <v>LAPP</v>
          </cell>
          <cell r="D6856" t="str">
            <v>Lapp-Non Moving Stocks</v>
          </cell>
        </row>
        <row r="6857">
          <cell r="A6857" t="str">
            <v>382300822 (LAPP KABEL 1x2x1.5 1.1 kV ST SWA FRLS BU)</v>
          </cell>
          <cell r="B6857" t="str">
            <v>382300822(LAPP KABEL 1x2x1.5 1.1 kV ST SWA FRLS BU)</v>
          </cell>
          <cell r="C6857" t="str">
            <v>LAPP</v>
          </cell>
          <cell r="D6857" t="str">
            <v>Lapp-Non Moving Stocks</v>
          </cell>
        </row>
        <row r="6858">
          <cell r="A6858" t="str">
            <v>382300859 (Lapp Kabel 4G1 110 CH LSZH)</v>
          </cell>
          <cell r="B6858" t="str">
            <v>382300859(Lapp Kabel 4G1 110 CH LSZH)</v>
          </cell>
          <cell r="C6858" t="str">
            <v>LAPP</v>
          </cell>
          <cell r="D6858" t="str">
            <v>Lapp-Non Moving Stocks</v>
          </cell>
        </row>
        <row r="6859">
          <cell r="A6859" t="str">
            <v>36007064 (LAPP KABEL SPL 2X0.75 BL/BR 300/500V)</v>
          </cell>
          <cell r="B6859" t="str">
            <v>36007064(LAPP KABEL SPL 2X0.75 BL/BR 300/500V)</v>
          </cell>
          <cell r="C6859" t="str">
            <v>LAPP</v>
          </cell>
          <cell r="D6859" t="str">
            <v>Lapp-Non Moving Stocks</v>
          </cell>
        </row>
        <row r="6860">
          <cell r="A6860" t="str">
            <v>382305992 (LAPP KABEL® 10x1.5 REN2XOSHX 1 BK)</v>
          </cell>
          <cell r="B6860" t="str">
            <v>382305992(LAPP KABEL® 10x1.5 REN2XOSHX 1 BK)</v>
          </cell>
          <cell r="C6860" t="str">
            <v>LAPP</v>
          </cell>
          <cell r="D6860" t="str">
            <v>Lapp-Non Moving Stocks</v>
          </cell>
        </row>
        <row r="6861">
          <cell r="A6861" t="str">
            <v>382305993 (LAPP KABEL® 12x1.5 REN2XOSHX 1 BK)</v>
          </cell>
          <cell r="B6861" t="str">
            <v>382305993(LAPP KABEL® 12x1.5 REN2XOSHX 1 BK)</v>
          </cell>
          <cell r="C6861" t="str">
            <v>LAPP</v>
          </cell>
          <cell r="D6861" t="str">
            <v>Lapp-Non Moving Stocks</v>
          </cell>
        </row>
        <row r="6862">
          <cell r="A6862" t="str">
            <v>382306000 (LAPP KABEL® 12x2x1 REN2XISOSHX 1 BK)</v>
          </cell>
          <cell r="B6862" t="str">
            <v>382306000(LAPP KABEL® 12x2x1 REN2XISOSHX 1 BK)</v>
          </cell>
          <cell r="C6862" t="str">
            <v>LAPP</v>
          </cell>
          <cell r="D6862" t="str">
            <v>Lapp-Non Moving Stocks</v>
          </cell>
        </row>
        <row r="6863">
          <cell r="A6863" t="str">
            <v>382305994 (LAPP KABEL® 16x1.5 REN2XOSHX 1 BK)</v>
          </cell>
          <cell r="B6863" t="str">
            <v>382305994(LAPP KABEL® 16x1.5 REN2XOSHX 1 BK)</v>
          </cell>
          <cell r="C6863" t="str">
            <v>LAPP</v>
          </cell>
          <cell r="D6863" t="str">
            <v>Lapp-Non Moving Stocks</v>
          </cell>
        </row>
        <row r="6864">
          <cell r="A6864" t="str">
            <v>382306156 (LAPP KABEL® 1P0.5 RTEN2XOSYC2SWAYC2UVAR)</v>
          </cell>
          <cell r="B6864" t="str">
            <v>382306156(LAPP KABEL® 1P0.5 RTEN2XOSYC2SWAYC2UVAR)</v>
          </cell>
          <cell r="C6864" t="str">
            <v>LAPP</v>
          </cell>
          <cell r="D6864" t="str">
            <v>Lapp-Non Moving Stocks</v>
          </cell>
        </row>
        <row r="6865">
          <cell r="A6865" t="str">
            <v>382305686 (LAPP KABEL® 1X2X0.25 PE OS YSWAYC1 250GY)</v>
          </cell>
          <cell r="B6865" t="str">
            <v>382305686(LAPP KABEL® 1X2X0.25 PE OS YSWAYC1 250GY)</v>
          </cell>
          <cell r="C6865" t="str">
            <v>LAPP</v>
          </cell>
          <cell r="D6865" t="str">
            <v>Lapp-Non Moving Stocks</v>
          </cell>
        </row>
        <row r="6866">
          <cell r="A6866" t="str">
            <v>382305888 (LAPP KABEL® 1x2x1.5_x000D_
F2XOSY2SWAY203BU_x000D_
)</v>
          </cell>
          <cell r="B6866" t="str">
            <v>382305888(LAPP KABEL® 1x2x1.5_x000D_
F2XOSY2SWAY203BU_x000D_
)</v>
          </cell>
          <cell r="C6866" t="str">
            <v>LAPP</v>
          </cell>
          <cell r="D6866" t="str">
            <v>Lapp-Non Moving Stocks</v>
          </cell>
        </row>
        <row r="6867">
          <cell r="A6867" t="str">
            <v>382305647 (LAPP KABEL®1X2X1.5 F Y OS Y SWA Y 03 BU)</v>
          </cell>
          <cell r="B6867" t="str">
            <v>382305647(LAPP KABEL®1X2X1.5 F Y OS Y SWA Y 03 BU)</v>
          </cell>
          <cell r="C6867" t="str">
            <v>LAPP</v>
          </cell>
          <cell r="D6867" t="str">
            <v>Lapp-Non Moving Stocks</v>
          </cell>
        </row>
        <row r="6868">
          <cell r="A6868" t="str">
            <v>382304720 (LAPP KABEL® 1X2X1.5 RTENYOSY 03 BK_x000D_
)</v>
          </cell>
          <cell r="B6868" t="str">
            <v>382304720(LAPP KABEL® 1X2X1.5 RTENYOSY 03 BK_x000D_
)</v>
          </cell>
          <cell r="C6868" t="str">
            <v>LAPP</v>
          </cell>
          <cell r="D6868" t="str">
            <v>Lapp-Non Moving Stocks</v>
          </cell>
        </row>
        <row r="6869">
          <cell r="A6869" t="str">
            <v>382200410_x000D_
 (LAPP KABEL®1x2x16RT2XOSYC3ARM-CL A YC3OG_x000D_
)</v>
          </cell>
          <cell r="B6869" t="str">
            <v>382200410_x000D_
(LAPP KABEL®1x2x16RT2XOSYC3ARM-CL A YC3OG_x000D_
)</v>
          </cell>
          <cell r="C6869" t="str">
            <v>LAPP</v>
          </cell>
          <cell r="D6869" t="str">
            <v>Lapp-Non Moving Stocks</v>
          </cell>
        </row>
        <row r="6870">
          <cell r="A6870" t="str">
            <v>382305996 (LAPP KABEL® 1x2x1 REN2XOSHX 1 BK)</v>
          </cell>
          <cell r="B6870" t="str">
            <v>382305996(LAPP KABEL® 1x2x1 REN2XOSHX 1 BK)</v>
          </cell>
          <cell r="C6870" t="str">
            <v>LAPP</v>
          </cell>
          <cell r="D6870" t="str">
            <v>Lapp-Non Moving Stocks</v>
          </cell>
        </row>
        <row r="6871">
          <cell r="A6871" t="str">
            <v>382302953_x000D_
 (LAPP KABEL®1x3x1 REN2XOS YC2SWAYC2UVAR03_x000D_
)</v>
          </cell>
          <cell r="B6871" t="str">
            <v>382302953_x000D_
(LAPP KABEL®1x3x1 REN2XOS YC2SWAYC2UVAR03_x000D_
)</v>
          </cell>
          <cell r="C6871" t="str">
            <v>LAPP</v>
          </cell>
          <cell r="D6871" t="str">
            <v>Lapp-Non Moving Stocks</v>
          </cell>
        </row>
        <row r="6872">
          <cell r="A6872" t="str">
            <v>383301169H (LAPP KABEL® 1x400 R2XYC2 0.6/1KV BK)</v>
          </cell>
          <cell r="B6872" t="str">
            <v>383301169H(LAPP KABEL® 1x400 R2XYC2 0.6/1KV BK)</v>
          </cell>
          <cell r="C6872" t="str">
            <v>LAPP</v>
          </cell>
          <cell r="D6872" t="str">
            <v>Lapp-Non Moving Stocks</v>
          </cell>
        </row>
        <row r="6873">
          <cell r="A6873" t="str">
            <v>382305995 (LAPP KABEL® 27x1.5 REN2XOSHX 1 BK)</v>
          </cell>
          <cell r="B6873" t="str">
            <v>382305995(LAPP KABEL® 27x1.5 REN2XOSHX 1 BK)</v>
          </cell>
          <cell r="C6873" t="str">
            <v>LAPP</v>
          </cell>
          <cell r="D6873" t="str">
            <v>Lapp-Non Moving Stocks</v>
          </cell>
        </row>
        <row r="6874">
          <cell r="A6874" t="str">
            <v>382303401_x000D_
 (LAPP KABEL® 2x0.5 F RD BK Y OS Y 05 BK_x000D_
)</v>
          </cell>
          <cell r="B6874" t="str">
            <v>382303401_x000D_
(LAPP KABEL® 2x0.5 F RD BK Y OS Y 05 BK_x000D_
)</v>
          </cell>
          <cell r="C6874" t="str">
            <v>LAPP</v>
          </cell>
          <cell r="D6874" t="str">
            <v>Lapp-Non Moving Stocks</v>
          </cell>
        </row>
        <row r="6875">
          <cell r="A6875" t="str">
            <v>382305987 (LAPP KABEL® 2x1.5 REN2XOSHX 1 BK)</v>
          </cell>
          <cell r="B6875" t="str">
            <v>382305987(LAPP KABEL® 2x1.5 REN2XOSHX 1 BK)</v>
          </cell>
          <cell r="C6875" t="str">
            <v>LAPP</v>
          </cell>
          <cell r="D6875" t="str">
            <v>Lapp-Non Moving Stocks</v>
          </cell>
        </row>
        <row r="6876">
          <cell r="A6876" t="str">
            <v>382304900 (LAPP KABEL® 2 x 1 F Y BUBN Y 1 GY)</v>
          </cell>
          <cell r="B6876" t="str">
            <v>382304900(LAPP KABEL® 2 x 1 F Y BUBN Y 1 GY)</v>
          </cell>
          <cell r="C6876" t="str">
            <v>LAPP</v>
          </cell>
          <cell r="D6876" t="str">
            <v>Lapp-Non Moving Stocks</v>
          </cell>
        </row>
        <row r="6877">
          <cell r="A6877" t="str">
            <v>382306155 (LAPP KABEL® 2x1 RT2XOSYC2SWAYC2 05 BU)</v>
          </cell>
          <cell r="B6877" t="str">
            <v>382306155(LAPP KABEL® 2x1 RT2XOSYC2SWAYC2 05 BU)</v>
          </cell>
          <cell r="C6877" t="str">
            <v>LAPP</v>
          </cell>
          <cell r="D6877" t="str">
            <v>Lapp-Non Moving Stocks</v>
          </cell>
        </row>
        <row r="6878">
          <cell r="A6878" t="str">
            <v>382306005H (LAPP KABEL® 2x2.5 R2XY2YC2 0.6/1KV BK)</v>
          </cell>
          <cell r="B6878" t="str">
            <v>382306005H(LAPP KABEL® 2x2.5 R2XY2YC2 0.6/1KV BK)</v>
          </cell>
          <cell r="C6878" t="str">
            <v>LAPP</v>
          </cell>
          <cell r="D6878" t="str">
            <v>Lapp-Non Moving Stocks</v>
          </cell>
        </row>
        <row r="6879">
          <cell r="A6879" t="str">
            <v>382305957 (LAPP KABEL® 2x2x0.22 PE ISOS YCY 05 BK)</v>
          </cell>
          <cell r="B6879" t="str">
            <v>382305957(LAPP KABEL® 2x2x0.22 PE ISOS YCY 05 BK)</v>
          </cell>
          <cell r="C6879" t="str">
            <v>LAPP</v>
          </cell>
          <cell r="D6879" t="str">
            <v>Lapp-Non Moving Stocks</v>
          </cell>
        </row>
        <row r="6880">
          <cell r="A6880" t="str">
            <v>382305895 (LAPP KABEL® 2x2x1.5_x000D_
F2XISOSY2SWAY203BU_x000D_
)</v>
          </cell>
          <cell r="B6880" t="str">
            <v>382305895(LAPP KABEL® 2x2x1.5_x000D_
F2XISOSY2SWAY203BU_x000D_
)</v>
          </cell>
          <cell r="C6880" t="str">
            <v>LAPP</v>
          </cell>
          <cell r="D6880" t="str">
            <v>Lapp-Non Moving Stocks</v>
          </cell>
        </row>
        <row r="6881">
          <cell r="A6881" t="str">
            <v>382305648 (LAPP KABEL®2X2X1.5 FYISOSYSWAY 03 BU)</v>
          </cell>
          <cell r="B6881" t="str">
            <v>382305648(LAPP KABEL®2X2X1.5 FYISOSYSWAY 03 BU)</v>
          </cell>
          <cell r="C6881" t="str">
            <v>LAPP</v>
          </cell>
          <cell r="D6881" t="str">
            <v>Lapp-Non Moving Stocks</v>
          </cell>
        </row>
        <row r="6882">
          <cell r="A6882" t="str">
            <v>382305997 (LAPP KABEL® 2x2x1 REN2XISOSHX 1 BU)</v>
          </cell>
          <cell r="B6882" t="str">
            <v>382305997(LAPP KABEL® 2x2x1 REN2XISOSHX 1 BU)</v>
          </cell>
          <cell r="C6882" t="str">
            <v>LAPP</v>
          </cell>
          <cell r="D6882" t="str">
            <v>Lapp-Non Moving Stocks</v>
          </cell>
        </row>
        <row r="6883">
          <cell r="A6883" t="str">
            <v>383301244H (LAPP KABEL® 3.5G120 FYYSYY1 BK)</v>
          </cell>
          <cell r="B6883" t="str">
            <v>383301244H(LAPP KABEL® 3.5G120 FYYSYY1 BK)</v>
          </cell>
          <cell r="C6883" t="str">
            <v>LAPP</v>
          </cell>
          <cell r="D6883" t="str">
            <v>Lapp-Non Moving Stocks</v>
          </cell>
        </row>
        <row r="6884">
          <cell r="A6884" t="str">
            <v>382305849 (LAPP KABEL® 3G1.5 F Y  Y  1 GY)</v>
          </cell>
          <cell r="B6884" t="str">
            <v>382305849(LAPP KABEL® 3G1.5 F Y Y 1 GY)</v>
          </cell>
          <cell r="C6884" t="str">
            <v>LAPP</v>
          </cell>
          <cell r="D6884" t="str">
            <v>Lapp-Non Moving Stocks</v>
          </cell>
        </row>
        <row r="6885">
          <cell r="A6885" t="str">
            <v>382305309 (LAPPKABEL® 3G1.5 R IYYSWAYC1UVAR 1 BK)</v>
          </cell>
          <cell r="B6885" t="str">
            <v>382305309(LAPPKABEL® 3G1.5 R IYYSWAYC1UVAR 1 BK)</v>
          </cell>
          <cell r="C6885" t="str">
            <v>LAPP</v>
          </cell>
          <cell r="D6885" t="str">
            <v>Lapp-Non Moving Stocks</v>
          </cell>
        </row>
        <row r="6886">
          <cell r="A6886" t="str">
            <v>382304901 (LAPP KABEL® 3 G 1 F Y BUBNY/G Y 1 GY)</v>
          </cell>
          <cell r="B6886" t="str">
            <v>382304901(LAPP KABEL® 3 G 1 F Y BUBNY/G Y 1 GY)</v>
          </cell>
          <cell r="C6886" t="str">
            <v>LAPP</v>
          </cell>
          <cell r="D6886" t="str">
            <v>Lapp-Non Moving Stocks</v>
          </cell>
        </row>
        <row r="6887">
          <cell r="A6887" t="str">
            <v>382305684 (LAPP KABEL ® 3G1 SWA Y  1 GY)</v>
          </cell>
          <cell r="B6887" t="str">
            <v>382305684(LAPP KABEL ® 3G1 SWA Y 1 GY)</v>
          </cell>
          <cell r="C6887" t="str">
            <v>LAPP</v>
          </cell>
          <cell r="D6887" t="str">
            <v>Lapp-Non Moving Stocks</v>
          </cell>
        </row>
        <row r="6888">
          <cell r="A6888" t="str">
            <v>382304902 (LAPP KABEL® 3 G 2.5 F Y BUBNY/G Y 1 GY)</v>
          </cell>
          <cell r="B6888" t="str">
            <v>382304902(LAPP KABEL® 3 G 2.5 F Y BUBNY/G Y 1 GY)</v>
          </cell>
          <cell r="C6888" t="str">
            <v>LAPP</v>
          </cell>
          <cell r="D6888" t="str">
            <v>Lapp-Non Moving Stocks</v>
          </cell>
        </row>
        <row r="6889">
          <cell r="A6889" t="str">
            <v>382305649 (LAPP KABEL®3G2.5 FYYSWAY  600/1000 BK)</v>
          </cell>
          <cell r="B6889" t="str">
            <v>382305649(LAPP KABEL®3G2.5 FYYSWAY 600/1000 BK)</v>
          </cell>
          <cell r="C6889" t="str">
            <v>LAPP</v>
          </cell>
          <cell r="D6889" t="str">
            <v>Lapp-Non Moving Stocks</v>
          </cell>
        </row>
        <row r="6890">
          <cell r="A6890" t="str">
            <v>382306004H (LAPP KABEL® 3G2.5 R2XY2YC2 0.6/1KV BK)</v>
          </cell>
          <cell r="B6890" t="str">
            <v>382306004H(LAPP KABEL® 3G2.5 R2XY2YC2 0.6/1KV BK)</v>
          </cell>
          <cell r="C6890" t="str">
            <v>LAPP</v>
          </cell>
          <cell r="D6890" t="str">
            <v>Lapp-Non Moving Stocks</v>
          </cell>
        </row>
        <row r="6891">
          <cell r="A6891" t="str">
            <v>382305310 (LAPPKABEL® 3G2.5 RIYYSWAYC1UVAR 1BK)</v>
          </cell>
          <cell r="B6891" t="str">
            <v>382305310(LAPPKABEL® 3G2.5 RIYYSWAYC1UVAR 1BK)</v>
          </cell>
          <cell r="C6891" t="str">
            <v>LAPP</v>
          </cell>
          <cell r="D6891" t="str">
            <v>Lapp-Non Moving Stocks</v>
          </cell>
        </row>
        <row r="6892">
          <cell r="A6892" t="str">
            <v>382305953 (LAPP KABEL® 3x10 F2XY2SWAY2 1.1KV BK)</v>
          </cell>
          <cell r="B6892" t="str">
            <v>382305953(LAPP KABEL® 3x10 F2XY2SWAY2 1.1KV BK)</v>
          </cell>
          <cell r="C6892" t="str">
            <v>LAPP</v>
          </cell>
          <cell r="D6892" t="str">
            <v>Lapp-Non Moving Stocks</v>
          </cell>
        </row>
        <row r="6893">
          <cell r="A6893" t="str">
            <v>383301167H (LAPP KABEL® 3x150 R2XY2YC2  0.6/1KV BK)</v>
          </cell>
          <cell r="B6893" t="str">
            <v>383301167H(LAPP KABEL® 3x150 R2XY2YC2 0.6/1KV BK)</v>
          </cell>
          <cell r="C6893" t="str">
            <v>LAPP</v>
          </cell>
          <cell r="D6893" t="str">
            <v>Lapp-Non Moving Stocks</v>
          </cell>
        </row>
        <row r="6894">
          <cell r="A6894" t="str">
            <v>382305988 (LAPP KABEL® 3x1.5 REN2XOSHX 1 BK)</v>
          </cell>
          <cell r="B6894" t="str">
            <v>382305988(LAPP KABEL® 3x1.5 REN2XOSHX 1 BK)</v>
          </cell>
          <cell r="C6894" t="str">
            <v>LAPP</v>
          </cell>
          <cell r="D6894" t="str">
            <v>Lapp-Non Moving Stocks</v>
          </cell>
        </row>
        <row r="6895">
          <cell r="A6895" t="str">
            <v>382305954 (LAPP KABEL® 3x16 F2XY2SSAY2 1.1KV BK)</v>
          </cell>
          <cell r="B6895" t="str">
            <v>382305954(LAPP KABEL® 3x16 F2XY2SSAY2 1.1KV BK)</v>
          </cell>
          <cell r="C6895" t="str">
            <v>LAPP</v>
          </cell>
          <cell r="D6895" t="str">
            <v>Lapp-Non Moving Stocks</v>
          </cell>
        </row>
        <row r="6896">
          <cell r="A6896" t="str">
            <v>382305955 (LAPP KABEL® 3x25 F2XY2SSAY2 1.1KV BK)</v>
          </cell>
          <cell r="B6896" t="str">
            <v>382305955(LAPP KABEL® 3x25 F2XY2SSAY2 1.1KV BK)</v>
          </cell>
          <cell r="C6896" t="str">
            <v>LAPP</v>
          </cell>
          <cell r="D6896" t="str">
            <v>Lapp-Non Moving Stocks</v>
          </cell>
        </row>
        <row r="6897">
          <cell r="A6897" t="str">
            <v>382305950 (LAPP KABEL® 3x2.5 F2XY2SWAY2 1.1KV BK)</v>
          </cell>
          <cell r="B6897" t="str">
            <v>382305950(LAPP KABEL® 3x2.5 F2XY2SWAY2 1.1KV BK)</v>
          </cell>
          <cell r="C6897" t="str">
            <v>LAPP</v>
          </cell>
          <cell r="D6897" t="str">
            <v>Lapp-Non Moving Stocks</v>
          </cell>
        </row>
        <row r="6898">
          <cell r="A6898" t="str">
            <v>382306049 (LAPP KABEL® 3x2.5 RIYYSWAY1BK)</v>
          </cell>
          <cell r="B6898" t="str">
            <v>382306049(LAPP KABEL® 3x2.5 RIYYSWAY1BK)</v>
          </cell>
          <cell r="C6898" t="str">
            <v>LAPP</v>
          </cell>
          <cell r="D6898" t="str">
            <v>Lapp-Non Moving Stocks</v>
          </cell>
        </row>
        <row r="6899">
          <cell r="A6899" t="str">
            <v>382306660 (LAPP KABEL® 3X2X0.25 2XISOSY2 05 BK)</v>
          </cell>
          <cell r="B6899" t="str">
            <v>382306660(LAPP KABEL® 3X2X0.25 2XISOSY2 05 BK)</v>
          </cell>
          <cell r="C6899" t="str">
            <v>LAPP</v>
          </cell>
          <cell r="D6899" t="str">
            <v>Lapp-Non Moving Stocks</v>
          </cell>
        </row>
        <row r="6900">
          <cell r="A6900" t="str">
            <v>382305956 (LAPP KABEL® 3x35 F2XY2SSAY2 1.1KV BK)</v>
          </cell>
          <cell r="B6900" t="str">
            <v>382305956(LAPP KABEL® 3x35 F2XY2SSAY2 1.1KV BK)</v>
          </cell>
          <cell r="C6900" t="str">
            <v>LAPP</v>
          </cell>
          <cell r="D6900" t="str">
            <v>Lapp-Non Moving Stocks</v>
          </cell>
        </row>
        <row r="6901">
          <cell r="A6901" t="str">
            <v>382306009H (LAPP KABEL® 3x35 R2XY2YC2 0.6/1KV BK)</v>
          </cell>
          <cell r="B6901" t="str">
            <v>382306009H(LAPP KABEL® 3x35 R2XY2YC2 0.6/1KV BK)</v>
          </cell>
          <cell r="C6901" t="str">
            <v>LAPP</v>
          </cell>
          <cell r="D6901" t="str">
            <v>Lapp-Non Moving Stocks</v>
          </cell>
        </row>
        <row r="6902">
          <cell r="A6902" t="str">
            <v>382305951 (LAPP KABEL® 3x4 F2XY2SWAY2 1.1KV BK)</v>
          </cell>
          <cell r="B6902" t="str">
            <v>382305951(LAPP KABEL® 3x4 F2XY2SWAY2 1.1KV BK)</v>
          </cell>
          <cell r="C6902" t="str">
            <v>LAPP</v>
          </cell>
          <cell r="D6902" t="str">
            <v>Lapp-Non Moving Stocks</v>
          </cell>
        </row>
        <row r="6903">
          <cell r="A6903" t="str">
            <v>382305952 (LAPP KABEL® 3x6 F2XY2SWAY2 1.1KV BK)</v>
          </cell>
          <cell r="B6903" t="str">
            <v>382305952(LAPP KABEL® 3x6 F2XY2SWAY2 1.1KV BK)</v>
          </cell>
          <cell r="C6903" t="str">
            <v>LAPP</v>
          </cell>
          <cell r="D6903" t="str">
            <v>Lapp-Non Moving Stocks</v>
          </cell>
        </row>
        <row r="6904">
          <cell r="A6904" t="str">
            <v>383301168H (LAPP KABEL® 3x70 R2XY2YC2 0.6/1KV BK)</v>
          </cell>
          <cell r="B6904" t="str">
            <v>383301168H(LAPP KABEL® 3x70 R2XY2YC2 0.6/1KV BK)</v>
          </cell>
          <cell r="C6904" t="str">
            <v>LAPP</v>
          </cell>
          <cell r="D6904" t="str">
            <v>Lapp-Non Moving Stocks</v>
          </cell>
        </row>
        <row r="6905">
          <cell r="A6905" t="str">
            <v>382304904 (LAPP KABEL® 4 G 10 F Y BNBKGYY/G Y 1 GY)</v>
          </cell>
          <cell r="B6905" t="str">
            <v>382304904(LAPP KABEL® 4 G 10 F Y BNBKGYY/G Y 1 GY)</v>
          </cell>
          <cell r="C6905" t="str">
            <v>LAPP</v>
          </cell>
          <cell r="D6905" t="str">
            <v>Lapp-Non Moving Stocks</v>
          </cell>
        </row>
        <row r="6906">
          <cell r="A6906" t="str">
            <v>382304903 (LAPP KABEL® 4 G 1.5 F Y BNBKGYY/G Y 1 GY)</v>
          </cell>
          <cell r="B6906" t="str">
            <v>382304903(LAPP KABEL® 4 G 1.5 F Y BNBKGYY/G Y 1 GY)</v>
          </cell>
          <cell r="C6906" t="str">
            <v>LAPP</v>
          </cell>
          <cell r="D6906" t="str">
            <v>Lapp-Non Moving Stocks</v>
          </cell>
        </row>
        <row r="6907">
          <cell r="A6907" t="str">
            <v>382304905 (LAPP KABEL® 4 G 16 F Y BNBKGYY/G Y 1 GY)</v>
          </cell>
          <cell r="B6907" t="str">
            <v>382304905(LAPP KABEL® 4 G 16 F Y BNBKGYY/G Y 1 GY)</v>
          </cell>
          <cell r="C6907" t="str">
            <v>LAPP</v>
          </cell>
          <cell r="D6907" t="str">
            <v>Lapp-Non Moving Stocks</v>
          </cell>
        </row>
        <row r="6908">
          <cell r="A6908" t="str">
            <v>382306006H (LAPP KABEL® 4G16 R2XY2YC2 0.6/1KV BK)</v>
          </cell>
          <cell r="B6908" t="str">
            <v>382306006H(LAPP KABEL® 4G16 R2XY2YC2 0.6/1KV BK)</v>
          </cell>
          <cell r="C6908" t="str">
            <v>LAPP</v>
          </cell>
          <cell r="D6908" t="str">
            <v>Lapp-Non Moving Stocks</v>
          </cell>
        </row>
        <row r="6909">
          <cell r="A6909" t="str">
            <v>382304906 (LAPP KABEL® 4 G 1 F Y BNBKGYY/G Y 1 GY)</v>
          </cell>
          <cell r="B6909" t="str">
            <v>382304906(LAPP KABEL® 4 G 1 F Y BNBKGYY/G Y 1 GY)</v>
          </cell>
          <cell r="C6909" t="str">
            <v>LAPP</v>
          </cell>
          <cell r="D6909" t="str">
            <v>Lapp-Non Moving Stocks</v>
          </cell>
        </row>
        <row r="6910">
          <cell r="A6910" t="str">
            <v>382304907 (LAPP KABEL® 4 G 2.5 F Y BNBKGYY/G Y 1 GY)</v>
          </cell>
          <cell r="B6910" t="str">
            <v>382304907(LAPP KABEL® 4 G 2.5 F Y BNBKGYY/G Y 1 GY)</v>
          </cell>
          <cell r="C6910" t="str">
            <v>LAPP</v>
          </cell>
          <cell r="D6910" t="str">
            <v>Lapp-Non Moving Stocks</v>
          </cell>
        </row>
        <row r="6911">
          <cell r="A6911" t="str">
            <v>382304908 (LAPP KABEL® 4 G 25 F Y    BNBKGYY/G Y 1 GYY)</v>
          </cell>
          <cell r="B6911" t="str">
            <v>382304908(LAPP KABEL® 4 G 25 F Y    BNBKGYY/G Y 1 GYY)</v>
          </cell>
          <cell r="C6911" t="str">
            <v>LAPP</v>
          </cell>
          <cell r="D6911" t="str">
            <v>Lapp-Non Moving Stocks</v>
          </cell>
        </row>
        <row r="6912">
          <cell r="A6912" t="str">
            <v>382306007H (LAPP KABEL® 4G2.5 R2XY2YC2 0.6/1KV BK)</v>
          </cell>
          <cell r="B6912" t="str">
            <v>382306007H(LAPP KABEL® 4G2.5 R2XY2YC2 0.6/1KV BK)</v>
          </cell>
          <cell r="C6912" t="str">
            <v>LAPP</v>
          </cell>
          <cell r="D6912" t="str">
            <v>Lapp-Non Moving Stocks</v>
          </cell>
        </row>
        <row r="6913">
          <cell r="A6913" t="str">
            <v>382304910 (LAPP KABEL® 4 G 4 F Y BNBKGYY/G 1 GY)</v>
          </cell>
          <cell r="B6913" t="str">
            <v>382304910(LAPP KABEL® 4 G 4 F Y BNBKGYY/G 1 GY)</v>
          </cell>
          <cell r="C6913" t="str">
            <v>LAPP</v>
          </cell>
          <cell r="D6913" t="str">
            <v>Lapp-Non Moving Stocks</v>
          </cell>
        </row>
        <row r="6914">
          <cell r="A6914" t="str">
            <v>382304909 (LAPP KABEL® 4 G 6 F Y BNBKGYY/G Y 1 GY)</v>
          </cell>
          <cell r="B6914" t="str">
            <v>382304909(LAPP KABEL® 4 G 6 F Y BNBKGYY/G Y 1 GY)</v>
          </cell>
          <cell r="C6914" t="str">
            <v>LAPP</v>
          </cell>
          <cell r="D6914" t="str">
            <v>Lapp-Non Moving Stocks</v>
          </cell>
        </row>
        <row r="6915">
          <cell r="A6915" t="str">
            <v>382306010H (LAPP KABEL® 4G6 R2XY2YC2 0.6/1KV BK)</v>
          </cell>
          <cell r="B6915" t="str">
            <v>382306010H(LAPP KABEL® 4G6 R2XY2YC2 0.6/1KV BK)</v>
          </cell>
          <cell r="C6915" t="str">
            <v>LAPP</v>
          </cell>
          <cell r="D6915" t="str">
            <v>Lapp-Non Moving Stocks</v>
          </cell>
        </row>
        <row r="6916">
          <cell r="A6916" t="str">
            <v>382305476 (LAPP KABEL® 4x10 R2XHXSWAHXUVAR0.6/1KVBK)</v>
          </cell>
          <cell r="B6916" t="str">
            <v>382305476(LAPP KABEL® 4x10 R2XHXSWAHXUVAR0.6/1KVBK)</v>
          </cell>
          <cell r="C6916" t="str">
            <v>LAPP</v>
          </cell>
          <cell r="D6916" t="str">
            <v>Lapp-Non Moving Stocks</v>
          </cell>
        </row>
        <row r="6917">
          <cell r="A6917" t="str">
            <v>382305989 (LAPP KABEL® 4x1.5 REN2XOSHX 1 BK)</v>
          </cell>
          <cell r="B6917" t="str">
            <v>382305989(LAPP KABEL® 4x1.5 REN2XOSHX 1 BK)</v>
          </cell>
          <cell r="C6917" t="str">
            <v>LAPP</v>
          </cell>
          <cell r="D6917" t="str">
            <v>Lapp-Non Moving Stocks</v>
          </cell>
        </row>
        <row r="6918">
          <cell r="A6918" t="str">
            <v>382306008H (LAPP KABEL® 4x25 R2XY2YC2 0.6/1KV BK)</v>
          </cell>
          <cell r="B6918" t="str">
            <v>382306008H(LAPP KABEL® 4x25 R2XY2YC2 0.6/1KV BK)</v>
          </cell>
          <cell r="C6918" t="str">
            <v>LAPP</v>
          </cell>
          <cell r="D6918" t="str">
            <v>Lapp-Non Moving Stocks</v>
          </cell>
        </row>
        <row r="6919">
          <cell r="A6919" t="str">
            <v>382305998 (LAPP KABEL® 4x2x1 REN2XISOSHX 1 BK)</v>
          </cell>
          <cell r="B6919" t="str">
            <v>382305998(LAPP KABEL® 4x2x1 REN2XISOSHX 1 BK)</v>
          </cell>
          <cell r="C6919" t="str">
            <v>LAPP</v>
          </cell>
          <cell r="D6919" t="str">
            <v>Lapp-Non Moving Stocks</v>
          </cell>
        </row>
        <row r="6920">
          <cell r="A6920" t="str">
            <v>382305990 (LAPP KABEL® 5x1.5 REN2XOSHX 1 BK)</v>
          </cell>
          <cell r="B6920" t="str">
            <v>382305990(LAPP KABEL® 5x1.5 REN2XOSHX 1 BK)</v>
          </cell>
          <cell r="C6920" t="str">
            <v>LAPP</v>
          </cell>
          <cell r="D6920" t="str">
            <v>Lapp-Non Moving Stocks</v>
          </cell>
        </row>
        <row r="6921">
          <cell r="A6921" t="str">
            <v>382306001 (LAPP KABEL® 5x3x1 REN2XISOSHX 1 BK)</v>
          </cell>
          <cell r="B6921" t="str">
            <v>382306001(LAPP KABEL® 5x3x1 REN2XISOSHX 1 BK)</v>
          </cell>
          <cell r="C6921" t="str">
            <v>LAPP</v>
          </cell>
          <cell r="D6921" t="str">
            <v>Lapp-Non Moving Stocks</v>
          </cell>
        </row>
        <row r="6922">
          <cell r="A6922" t="str">
            <v>382305650 (LAPP KABEL®6G2.5 FYYSWAY 600/1000 BK)</v>
          </cell>
          <cell r="B6922" t="str">
            <v>382305650(LAPP KABEL®6G2.5 FYYSWAY 600/1000 BK)</v>
          </cell>
          <cell r="C6922" t="str">
            <v>LAPP</v>
          </cell>
          <cell r="D6922" t="str">
            <v>Lapp-Non Moving Stocks</v>
          </cell>
        </row>
        <row r="6923">
          <cell r="A6923" t="str">
            <v>382305991 (LAPP KABEL® 8x1.5 REN2XOSHX 1 BK)</v>
          </cell>
          <cell r="B6923" t="str">
            <v>382305991(LAPP KABEL® 8x1.5 REN2XOSHX 1 BK)</v>
          </cell>
          <cell r="C6923" t="str">
            <v>LAPP</v>
          </cell>
          <cell r="D6923" t="str">
            <v>Lapp-Non Moving Stocks</v>
          </cell>
        </row>
        <row r="6924">
          <cell r="A6924" t="str">
            <v>382305999 (LAPP KABEL® 8x2x1 REN2XISOSHX 1 BK)</v>
          </cell>
          <cell r="B6924" t="str">
            <v>382305999(LAPP KABEL® 8x2x1 REN2XISOSHX 1 BK)</v>
          </cell>
          <cell r="C6924" t="str">
            <v>LAPP</v>
          </cell>
          <cell r="D6924" t="str">
            <v>Lapp-Non Moving Stocks</v>
          </cell>
        </row>
        <row r="6925">
          <cell r="A6925" t="str">
            <v>382302815_x000D_
 (LAPP KABEL® HFFR 90deg C 1x2.5 BK_x000D_
)</v>
          </cell>
          <cell r="B6925" t="str">
            <v>382302815_x000D_
(LAPP KABEL® HFFR 90deg C 1x2.5 BK_x000D_
)</v>
          </cell>
          <cell r="C6925" t="str">
            <v>LAPP</v>
          </cell>
          <cell r="D6925" t="str">
            <v>Lapp-Non Moving Stocks</v>
          </cell>
        </row>
        <row r="6926">
          <cell r="A6926" t="str">
            <v>10383500 (MCB 10 CG FEMALE MODULE_x000D_
)</v>
          </cell>
          <cell r="B6926" t="str">
            <v>10383500(MCB 10 CG FEMALE MODULE_x000D_
)</v>
          </cell>
          <cell r="C6926" t="str">
            <v>LAPP</v>
          </cell>
          <cell r="D6926" t="str">
            <v>Lapp-Non Moving Stocks</v>
          </cell>
        </row>
        <row r="6927">
          <cell r="A6927" t="str">
            <v>10383400 (MCS 10 CG MALE MODULE_x000D_
)</v>
          </cell>
          <cell r="B6927" t="str">
            <v>10383400(MCS 10 CG MALE MODULE_x000D_
)</v>
          </cell>
          <cell r="C6927" t="str">
            <v>LAPP</v>
          </cell>
          <cell r="D6927" t="str">
            <v>Lapp-Non Moving Stocks</v>
          </cell>
        </row>
        <row r="6928">
          <cell r="A6928" t="str">
            <v>10382400 (MCS 10 CM MALE MODULE)</v>
          </cell>
          <cell r="B6928" t="str">
            <v>10382400(MCS 10 CM MALE MODULE)</v>
          </cell>
          <cell r="C6928" t="str">
            <v>LAPP</v>
          </cell>
          <cell r="D6928" t="str">
            <v>Lapp-Non Moving Stocks</v>
          </cell>
        </row>
        <row r="6929">
          <cell r="A6929" t="str">
            <v>61813736 (Multicrimp PEW 8.84_x000D_
)</v>
          </cell>
          <cell r="B6929" t="str">
            <v>61813736(Multicrimp PEW 8.84_x000D_
)</v>
          </cell>
          <cell r="C6929" t="str">
            <v>LAPP</v>
          </cell>
          <cell r="D6929" t="str">
            <v>Lapp-Non Moving Stocks</v>
          </cell>
        </row>
        <row r="6930">
          <cell r="A6930" t="str">
            <v>61813735 (Multicrimp PEW 8.84(Blocked)_x000D_
)</v>
          </cell>
          <cell r="B6930" t="str">
            <v>61813735(Multicrimp PEW 8.84(Blocked)_x000D_
)</v>
          </cell>
          <cell r="C6930" t="str">
            <v>LAPP</v>
          </cell>
          <cell r="D6930" t="str">
            <v>Lapp-Non Moving Stocks</v>
          </cell>
        </row>
        <row r="6931">
          <cell r="A6931" t="str">
            <v>10034900 (NMC, H-B 10 SGR-LB 16ZW BOX MOUNT BASE)</v>
          </cell>
          <cell r="B6931" t="str">
            <v>10034900(NMC, H-B 10 SGR-LB 16ZW BOX MOUNT BASE)</v>
          </cell>
          <cell r="C6931" t="str">
            <v>LAPP</v>
          </cell>
          <cell r="D6931" t="str">
            <v>Lapp-Non Moving Stocks</v>
          </cell>
        </row>
        <row r="6932">
          <cell r="A6932" t="str">
            <v>53016050_x000D_
 (NPT 3/4 _x000D_
)</v>
          </cell>
          <cell r="B6932" t="str">
            <v>53016050_x000D_
(NPT 3/4 _x000D_
)</v>
          </cell>
          <cell r="C6932" t="str">
            <v>LAPP</v>
          </cell>
          <cell r="D6932" t="str">
            <v>Lapp-Non Moving Stocks</v>
          </cell>
        </row>
        <row r="6933">
          <cell r="A6933" t="str">
            <v>1600304 (NSGAFÖU 1,8/3kV 1X10_x000D_
)</v>
          </cell>
          <cell r="B6933" t="str">
            <v>1600304(NSGAFÖU 1,8/3kV 1X10_x000D_
)</v>
          </cell>
          <cell r="C6933" t="str">
            <v>LAPP</v>
          </cell>
          <cell r="D6933" t="str">
            <v>Lapp-Non Moving Stocks</v>
          </cell>
        </row>
        <row r="6934">
          <cell r="A6934" t="str">
            <v>1600300 (NSGAFÖU 1,8/3kV 1X1,5_x000D_
)</v>
          </cell>
          <cell r="B6934" t="str">
            <v>1600300(NSGAFÖU 1,8/3kV 1X1,5_x000D_
)</v>
          </cell>
          <cell r="C6934" t="str">
            <v>LAPP</v>
          </cell>
          <cell r="D6934" t="str">
            <v>Lapp-Non Moving Stocks</v>
          </cell>
        </row>
        <row r="6935">
          <cell r="A6935" t="str">
            <v>1600305 (NSGAFÖU 1,8/3kV 1X16_x000D_
)</v>
          </cell>
          <cell r="B6935" t="str">
            <v>1600305(NSGAFÖU 1,8/3kV 1X16_x000D_
)</v>
          </cell>
          <cell r="C6935" t="str">
            <v>LAPP</v>
          </cell>
          <cell r="D6935" t="str">
            <v>Lapp-Non Moving Stocks</v>
          </cell>
        </row>
        <row r="6936">
          <cell r="A6936" t="str">
            <v>1600306 (NSGAFÖU 1,8/3kV 1X25 Sqmm)</v>
          </cell>
          <cell r="B6936" t="str">
            <v>1600306(NSGAFÖU 1,8/3kV 1X25 Sqmm)</v>
          </cell>
          <cell r="C6936" t="str">
            <v>LAPP</v>
          </cell>
          <cell r="D6936" t="str">
            <v>Lapp-Non Moving Stocks</v>
          </cell>
        </row>
        <row r="6937">
          <cell r="A6937" t="str">
            <v>1600307 (NSGAFÖU 1,8/3kV 1X35_x000D_
)</v>
          </cell>
          <cell r="B6937" t="str">
            <v>1600307(NSGAFÖU 1,8/3kV 1X35_x000D_
)</v>
          </cell>
          <cell r="C6937" t="str">
            <v>LAPP</v>
          </cell>
          <cell r="D6937" t="str">
            <v>Lapp-Non Moving Stocks</v>
          </cell>
        </row>
        <row r="6938">
          <cell r="A6938" t="str">
            <v>1600308 (NSGAFÖU 1,8/3kV 1X50_x000D_
)</v>
          </cell>
          <cell r="B6938" t="str">
            <v>1600308(NSGAFÖU 1,8/3kV 1X50_x000D_
)</v>
          </cell>
          <cell r="C6938" t="str">
            <v>LAPP</v>
          </cell>
          <cell r="D6938" t="str">
            <v>Lapp-Non Moving Stocks</v>
          </cell>
        </row>
        <row r="6939">
          <cell r="A6939" t="str">
            <v>1600303 (NSGAFÖU 1,8/3kV 1X6_x000D_
)</v>
          </cell>
          <cell r="B6939" t="str">
            <v>1600303(NSGAFÖU 1,8/3kV 1X6_x000D_
)</v>
          </cell>
          <cell r="C6939" t="str">
            <v>LAPP</v>
          </cell>
          <cell r="D6939" t="str">
            <v>Lapp-Non Moving Stocks</v>
          </cell>
        </row>
        <row r="6940">
          <cell r="A6940" t="str">
            <v>1600310 (NSGAFÖU 1,8/3kV 1X95_x000D_
)</v>
          </cell>
          <cell r="B6940" t="str">
            <v>1600310(NSGAFÖU 1,8/3kV 1X95_x000D_
)</v>
          </cell>
          <cell r="C6940" t="str">
            <v>LAPP</v>
          </cell>
          <cell r="D6940" t="str">
            <v>Lapp-Non Moving Stocks</v>
          </cell>
        </row>
        <row r="6941">
          <cell r="A6941" t="str">
            <v>16005303 (NSSHÖU-J 4G25 NCC_x000D_
)</v>
          </cell>
          <cell r="B6941" t="str">
            <v>16005303(NSSHÖU-J 4G25 NCC_x000D_
)</v>
          </cell>
          <cell r="C6941" t="str">
            <v>LAPP</v>
          </cell>
          <cell r="D6941" t="str">
            <v>Lapp-Non Moving Stocks</v>
          </cell>
        </row>
        <row r="6942">
          <cell r="A6942" t="str">
            <v>61600130 (NYLON COIL NW10)</v>
          </cell>
          <cell r="B6942" t="str">
            <v>61600130(NYLON COIL NW10)</v>
          </cell>
          <cell r="C6942" t="str">
            <v>LAPP</v>
          </cell>
          <cell r="D6942" t="str">
            <v>Lapp-Non Moving Stocks</v>
          </cell>
        </row>
        <row r="6943">
          <cell r="A6943" t="str">
            <v>61600100 (NYLON COIL NW5_x000D_
)</v>
          </cell>
          <cell r="B6943" t="str">
            <v>61600100(NYLON COIL NW5_x000D_
)</v>
          </cell>
          <cell r="C6943" t="str">
            <v>LAPP</v>
          </cell>
          <cell r="D6943" t="str">
            <v>Lapp-Non Moving Stocks</v>
          </cell>
        </row>
        <row r="6944">
          <cell r="A6944" t="str">
            <v>Visiting Cards (Order for printing Visiting Cards)</v>
          </cell>
          <cell r="B6944" t="e">
            <v>#N/A</v>
          </cell>
          <cell r="C6944" t="str">
            <v>LAPP</v>
          </cell>
          <cell r="D6944" t="str">
            <v>Lapp-Non Moving Stocks</v>
          </cell>
        </row>
        <row r="6945">
          <cell r="A6945" t="str">
            <v>PANEL BOARD  WITH ACCESSORIES(TIMMER, CONTACT, MCB, TAGAL SWITCH, FUSE, RYB CONNECTOR WITH WIRING)</v>
          </cell>
          <cell r="B6945" t="e">
            <v>#N/A</v>
          </cell>
          <cell r="C6945" t="str">
            <v>LAPP</v>
          </cell>
          <cell r="D6945" t="str">
            <v>Lapp-Non Moving Stocks</v>
          </cell>
        </row>
        <row r="6946">
          <cell r="A6946" t="str">
            <v>ACSBA008 (RECESSMOUNT PIR SENSOR)</v>
          </cell>
          <cell r="B6946" t="str">
            <v>ACSBA008(RECESSMOUNT PIR SENSOR)</v>
          </cell>
          <cell r="C6946" t="str">
            <v>LAPP</v>
          </cell>
          <cell r="D6946" t="str">
            <v>Lapp-Non Moving Stocks</v>
          </cell>
        </row>
        <row r="6947">
          <cell r="A6947" t="str">
            <v>N7820-IN39954 (REPAIR Unscheduled Repair IN)</v>
          </cell>
          <cell r="B6947" t="e">
            <v>#N/A</v>
          </cell>
          <cell r="C6947" t="str">
            <v>LAPP</v>
          </cell>
          <cell r="D6947" t="str">
            <v>Lapp-Non Moving Stocks</v>
          </cell>
        </row>
        <row r="6948">
          <cell r="A6948" t="str">
            <v>LS1229a (SPIKE LED 5W BLK/B WHITE+DRIVER)</v>
          </cell>
          <cell r="B6948" t="e">
            <v>#N/A</v>
          </cell>
          <cell r="C6948" t="str">
            <v>LAPP</v>
          </cell>
          <cell r="D6948" t="str">
            <v>Lapp-Non Moving Stocks</v>
          </cell>
        </row>
        <row r="6949">
          <cell r="A6949" t="str">
            <v>73220234 (SPIREX DATA 12x0,14/500)</v>
          </cell>
          <cell r="B6949" t="str">
            <v>73220234(SPIREX DATA 12x0,14/500)</v>
          </cell>
          <cell r="C6949" t="str">
            <v>LAPP</v>
          </cell>
          <cell r="D6949" t="str">
            <v>Lapp-Non Moving Stocks</v>
          </cell>
        </row>
        <row r="6950">
          <cell r="A6950" t="str">
            <v>10503100 (STA 20 F S  MALE INSERT)</v>
          </cell>
          <cell r="B6950" t="str">
            <v>10503100(STA 20 F S MALE INSERT)</v>
          </cell>
          <cell r="C6950" t="str">
            <v>LAPP</v>
          </cell>
          <cell r="D6950" t="str">
            <v>Lapp-Non Moving Stocks</v>
          </cell>
        </row>
        <row r="6951">
          <cell r="A6951" t="str">
            <v>10501100 (STA 20 S S FEMALE INSERT)</v>
          </cell>
          <cell r="B6951" t="str">
            <v>10501100(STA 20 S S FEMALE INSERT)</v>
          </cell>
          <cell r="C6951" t="str">
            <v>LAPP</v>
          </cell>
          <cell r="D6951" t="str">
            <v>Lapp-Non Moving Stocks</v>
          </cell>
        </row>
        <row r="6952">
          <cell r="A6952" t="str">
            <v>62200427 (SUPPORT BRACKET WITH FLEXIBLE MOUNTING)</v>
          </cell>
          <cell r="B6952" t="str">
            <v>62200427(SUPPORT BRACKET WITH FLEXIBLE MOUNTING)</v>
          </cell>
          <cell r="C6952" t="str">
            <v>LAPP</v>
          </cell>
          <cell r="D6952" t="str">
            <v>Lapp-Non Moving Stocks</v>
          </cell>
        </row>
        <row r="6953">
          <cell r="A6953" t="str">
            <v>UG CABLE 16/4 AND WIRING CABLE 2.5SQMM X3CORE</v>
          </cell>
          <cell r="B6953" t="e">
            <v>#N/A</v>
          </cell>
          <cell r="C6953" t="str">
            <v>LAPP</v>
          </cell>
          <cell r="D6953" t="str">
            <v>Lapp-Non Moving Stocks</v>
          </cell>
        </row>
        <row r="6954">
          <cell r="A6954" t="str">
            <v>0083001 (ÖLFLON FEP 1X0,75 BK_x000D_
)</v>
          </cell>
          <cell r="B6954" t="str">
            <v>0083001(ÖLFLON FEP 1X0,75 BK_x000D_
)</v>
          </cell>
          <cell r="C6954" t="str">
            <v>LAPP</v>
          </cell>
          <cell r="D6954" t="str">
            <v>Lapp-Non Moving Stocks</v>
          </cell>
        </row>
        <row r="6955">
          <cell r="A6955" t="str">
            <v>00912123 (ÖLFLON FEP 4G0,5 NCC_x000D_
)</v>
          </cell>
          <cell r="B6955" t="str">
            <v>00912123(ÖLFLON FEP 4G0,5 NCC_x000D_
)</v>
          </cell>
          <cell r="C6955" t="str">
            <v>LAPP</v>
          </cell>
          <cell r="D6955" t="str">
            <v>Lapp-Non Moving Stocks</v>
          </cell>
        </row>
        <row r="6956">
          <cell r="A6956" t="str">
            <v>382000950GYH (Olflex Power LV 4x120RI 2XYC2YC2 1GY)</v>
          </cell>
          <cell r="B6956" t="str">
            <v>382000950GYH(Olflex Power LV 4x120RI 2XYC2YC2 1GY)</v>
          </cell>
          <cell r="C6956" t="str">
            <v>LAPP</v>
          </cell>
          <cell r="D6956" t="str">
            <v>Lapp-Non Moving Stocks</v>
          </cell>
        </row>
        <row r="6957">
          <cell r="A6957" t="str">
            <v>382001519 (ÖLFLEX POWER 3x1.5 RI 2X Y2 SWA Y2 1 BK)</v>
          </cell>
          <cell r="B6957" t="str">
            <v>382001519(ÖLFLEX POWER 3x1.5 RI 2X Y2 SWA Y2 1 BK)</v>
          </cell>
          <cell r="C6957" t="str">
            <v>LAPP</v>
          </cell>
          <cell r="D6957" t="str">
            <v>Lapp-Non Moving Stocks</v>
          </cell>
        </row>
        <row r="6958">
          <cell r="A6958" t="str">
            <v>382001679H (ÖLFLEX POWER LV 3x70 RI 2X Y2 SSAY2 1 BK)</v>
          </cell>
          <cell r="B6958" t="str">
            <v>382001679H(ÖLFLEX POWER LV 3x70 RI 2X Y2 SSAY2 1 BK)</v>
          </cell>
          <cell r="C6958" t="str">
            <v>LAPP</v>
          </cell>
          <cell r="D6958" t="str">
            <v>Lapp-Non Moving Stocks</v>
          </cell>
        </row>
        <row r="6959">
          <cell r="A6959" t="str">
            <v>8201000125 (ÖLFLEX® POWER AL 3.5x70 A2XYSSAY2 1 BK)</v>
          </cell>
          <cell r="B6959" t="str">
            <v>8201000125(ÖLFLEX® POWER AL 3.5x70 A2XYSSAY2 1 BK)</v>
          </cell>
          <cell r="C6959" t="str">
            <v>LAPP</v>
          </cell>
          <cell r="D6959" t="str">
            <v>Lapp-Non Moving Stocks</v>
          </cell>
        </row>
        <row r="6960">
          <cell r="A6960" t="str">
            <v>8201000143 (ÖLFLEX® POWER AL 4x150 A2XYSSAY2 1 BK)</v>
          </cell>
          <cell r="B6960" t="str">
            <v>8201000143(ÖLFLEX® POWER AL 4x150 A2XYSSAY2 1 BK)</v>
          </cell>
          <cell r="C6960" t="str">
            <v>LAPP</v>
          </cell>
          <cell r="D6960" t="str">
            <v>Lapp-Non Moving Stocks</v>
          </cell>
        </row>
        <row r="6961">
          <cell r="A6961" t="str">
            <v>8201000146 (ÖLFLEX® POWER AL 4x300 A2XYSSAY2 1 BK)</v>
          </cell>
          <cell r="B6961" t="str">
            <v>8201000146(ÖLFLEX® POWER AL 4x300 A2XYSSAY2 1 BK)</v>
          </cell>
          <cell r="C6961" t="str">
            <v>LAPP</v>
          </cell>
          <cell r="D6961" t="str">
            <v>Lapp-Non Moving Stocks</v>
          </cell>
        </row>
        <row r="6962">
          <cell r="A6962" t="str">
            <v>8201000138 (ÖLFLEX® POWER AL 4x35 A2XYSSAY2 1 BK)</v>
          </cell>
          <cell r="B6962" t="str">
            <v>8201000138(ÖLFLEX® POWER AL 4x35 A2XYSSAY2 1 BK)</v>
          </cell>
          <cell r="C6962" t="str">
            <v>LAPP</v>
          </cell>
          <cell r="D6962" t="str">
            <v>Lapp-Non Moving Stocks</v>
          </cell>
        </row>
        <row r="6963">
          <cell r="A6963" t="str">
            <v>8201000139 (ÖLFLEX® POWER AL 4x50 A2XYSSAY2 1 BK)</v>
          </cell>
          <cell r="B6963" t="str">
            <v>8201000139(ÖLFLEX® POWER AL 4x50 A2XYSSAY2 1 BK)</v>
          </cell>
          <cell r="C6963" t="str">
            <v>LAPP</v>
          </cell>
          <cell r="D6963" t="str">
            <v>Lapp-Non Moving Stocks</v>
          </cell>
        </row>
        <row r="6964">
          <cell r="A6964" t="str">
            <v>382001526 (ÖLFLEX® POWER LV 10X1.5 RI2XY2SWAY21BK)</v>
          </cell>
          <cell r="B6964" t="str">
            <v>382001526(ÖLFLEX® POWER LV 10X1.5 RI2XY2SWAY21BK)</v>
          </cell>
          <cell r="C6964" t="str">
            <v>LAPP</v>
          </cell>
          <cell r="D6964" t="str">
            <v>Lapp-Non Moving Stocks</v>
          </cell>
        </row>
        <row r="6965">
          <cell r="A6965" t="str">
            <v>382305763 (ÖLFLEX® POWER LV 12x1.5 RI2XY2SSAY21BK)</v>
          </cell>
          <cell r="B6965" t="str">
            <v>382305763(ÖLFLEX® POWER LV 12x1.5 RI2XY2SSAY21BK)</v>
          </cell>
          <cell r="C6965" t="str">
            <v>LAPP</v>
          </cell>
          <cell r="D6965" t="str">
            <v>Lapp-Non Moving Stocks</v>
          </cell>
        </row>
        <row r="6966">
          <cell r="A6966" t="str">
            <v>382006998 (ÖLFLEX® POWER LV 12x1.5 RIY3Y2SSAYC21BK)</v>
          </cell>
          <cell r="B6966" t="str">
            <v>382006998(ÖLFLEX® POWER LV 12x1.5 RIY3Y2SSAYC21BK)</v>
          </cell>
          <cell r="C6966" t="str">
            <v>LAPP</v>
          </cell>
          <cell r="D6966" t="str">
            <v>Lapp-Non Moving Stocks</v>
          </cell>
        </row>
        <row r="6967">
          <cell r="A6967" t="str">
            <v>382004342 (ÖLFLEX® POWER LV 12x2.5 RIYYSSAY1BK)</v>
          </cell>
          <cell r="B6967" t="str">
            <v>382004342(ÖLFLEX® POWER LV 12x2.5 RIYYSSAY1BK)</v>
          </cell>
          <cell r="C6967" t="str">
            <v>LAPP</v>
          </cell>
          <cell r="D6967" t="str">
            <v>Lapp-Non Moving Stocks</v>
          </cell>
        </row>
        <row r="6968">
          <cell r="A6968" t="str">
            <v>382001532 (ÖLFLEX® POWER LV 16X1.5 F2XY2SSAY21BK)</v>
          </cell>
          <cell r="B6968" t="str">
            <v>382001532(ÖLFLEX® POWER LV 16X1.5 F2XY2SSAY21BK)</v>
          </cell>
          <cell r="C6968" t="str">
            <v>LAPP</v>
          </cell>
          <cell r="D6968" t="str">
            <v>Lapp-Non Moving Stocks</v>
          </cell>
        </row>
        <row r="6969">
          <cell r="A6969" t="str">
            <v>382305764 (ÖLFLEX® POWER LV 16x1.5 RI2XY2SSAY21BK)</v>
          </cell>
          <cell r="B6969" t="str">
            <v>382305764(ÖLFLEX® POWER LV 16x1.5 RI2XY2SSAY21BK)</v>
          </cell>
          <cell r="C6969" t="str">
            <v>LAPP</v>
          </cell>
          <cell r="D6969" t="str">
            <v>Lapp-Non Moving Stocks</v>
          </cell>
        </row>
        <row r="6970">
          <cell r="A6970" t="str">
            <v>382001535 (ÖLFLEX® POWER LV 19x1.5 RI2XY2SSAY21BK)</v>
          </cell>
          <cell r="B6970" t="str">
            <v>382001535(ÖLFLEX® POWER LV 19x1.5 RI2XY2SSAY21BK)</v>
          </cell>
          <cell r="C6970" t="str">
            <v>LAPP</v>
          </cell>
          <cell r="D6970" t="str">
            <v>Lapp-Non Moving Stocks</v>
          </cell>
        </row>
        <row r="6971">
          <cell r="A6971" t="str">
            <v>382001923 (ÖLFLEX® POWER LV 19x1.5 RI2XY2SSAYC21BK)</v>
          </cell>
          <cell r="B6971" t="str">
            <v>382001923(ÖLFLEX® POWER LV 19x1.5 RI2XY2SSAYC21BK)</v>
          </cell>
          <cell r="C6971" t="str">
            <v>LAPP</v>
          </cell>
          <cell r="D6971" t="str">
            <v>Lapp-Non Moving Stocks</v>
          </cell>
        </row>
        <row r="6972">
          <cell r="A6972" t="str">
            <v>382305765 (ÖLFLEX® POWER LV 24x1.5 RI2XY2SSAY21BK)</v>
          </cell>
          <cell r="B6972" t="str">
            <v>382305765(ÖLFLEX® POWER LV 24x1.5 RI2XY2SSAY21BK)</v>
          </cell>
          <cell r="C6972" t="str">
            <v>LAPP</v>
          </cell>
          <cell r="D6972" t="str">
            <v>Lapp-Non Moving Stocks</v>
          </cell>
        </row>
        <row r="6973">
          <cell r="A6973" t="str">
            <v>382001928 (ÖLFLEX® POWER LV 24x1.5 RI2XY2SSAYC21BK)</v>
          </cell>
          <cell r="B6973" t="str">
            <v>382001928(ÖLFLEX® POWER LV 24x1.5 RI2XY2SSAYC21BK)</v>
          </cell>
          <cell r="C6973" t="str">
            <v>LAPP</v>
          </cell>
          <cell r="D6973" t="str">
            <v>Lapp-Non Moving Stocks</v>
          </cell>
        </row>
        <row r="6974">
          <cell r="A6974" t="str">
            <v>382001518 (ÖLFLEX® POWER LV 2x1.5 RI2XY2SWAY21BK_x000D_
)</v>
          </cell>
          <cell r="B6974" t="str">
            <v>382001518(ÖLFLEX® POWER LV 2x1.5 RI2XY2SWAY21BK_x000D_
)</v>
          </cell>
          <cell r="C6974" t="str">
            <v>LAPP</v>
          </cell>
          <cell r="D6974" t="str">
            <v>Lapp-Non Moving Stocks</v>
          </cell>
        </row>
        <row r="6975">
          <cell r="A6975" t="str">
            <v>382001578 (ÖLFLEX® POWER LV 2x2.5 RI2XY2SWAY21BK)</v>
          </cell>
          <cell r="B6975" t="str">
            <v>382001578(ÖLFLEX® POWER LV 2x2.5 RI2XY2SWAY21BK)</v>
          </cell>
          <cell r="C6975" t="str">
            <v>LAPP</v>
          </cell>
          <cell r="D6975" t="str">
            <v>Lapp-Non Moving Stocks</v>
          </cell>
        </row>
        <row r="6976">
          <cell r="A6976" t="str">
            <v>382001966 (ÖLFLEX® POWER LV 2x2.5RI2XY2SWAYC21BK)</v>
          </cell>
          <cell r="B6976" t="str">
            <v>382001966(ÖLFLEX® POWER LV 2x2.5RI2XY2SWAYC21BK)</v>
          </cell>
          <cell r="C6976" t="str">
            <v>LAPP</v>
          </cell>
          <cell r="D6976" t="str">
            <v>Lapp-Non Moving Stocks</v>
          </cell>
        </row>
        <row r="6977">
          <cell r="A6977" t="str">
            <v>382001657 (ÖLFLEX® POWER LV 2X4 RI2XY2SWAY21BK)</v>
          </cell>
          <cell r="B6977" t="str">
            <v>382001657(ÖLFLEX® POWER LV 2X4 RI2XY2SWAY21BK)</v>
          </cell>
          <cell r="C6977" t="str">
            <v>LAPP</v>
          </cell>
          <cell r="D6977" t="str">
            <v>Lapp-Non Moving Stocks</v>
          </cell>
        </row>
        <row r="6978">
          <cell r="A6978" t="str">
            <v>382001592 (ÖLFLEX® POWER LV 2X FR SSA 16x2.5)</v>
          </cell>
          <cell r="B6978" t="str">
            <v>382001592(ÖLFLEX® POWER LV 2X FR SSA 16x2.5)</v>
          </cell>
          <cell r="C6978" t="str">
            <v>LAPP</v>
          </cell>
          <cell r="D6978" t="str">
            <v>Lapp-Non Moving Stocks</v>
          </cell>
        </row>
        <row r="6979">
          <cell r="A6979" t="str">
            <v>382001600 (ÖLFLEX® POWER LV 2X FR SSA 24x2.5)</v>
          </cell>
          <cell r="B6979" t="str">
            <v>382001600(ÖLFLEX® POWER LV 2X FR SSA 24x2.5)</v>
          </cell>
          <cell r="C6979" t="str">
            <v>LAPP</v>
          </cell>
          <cell r="D6979" t="str">
            <v>Lapp-Non Moving Stocks</v>
          </cell>
        </row>
        <row r="6980">
          <cell r="A6980" t="str">
            <v>382001687 (ÖLFLEX® POWER LV 2X FR SSA 3.5x25)</v>
          </cell>
          <cell r="B6980" t="str">
            <v>382001687(ÖLFLEX® POWER LV 2X FR SSA 3.5x25)</v>
          </cell>
          <cell r="C6980" t="str">
            <v>LAPP</v>
          </cell>
          <cell r="D6980" t="str">
            <v>Lapp-Non Moving Stocks</v>
          </cell>
        </row>
        <row r="6981">
          <cell r="A6981" t="str">
            <v>382001675 (ÖLFLEX® POWER LV 2X FR SSA 3x16)</v>
          </cell>
          <cell r="B6981" t="str">
            <v>382001675(ÖLFLEX® POWER LV 2X FR SSA 3x16)</v>
          </cell>
          <cell r="C6981" t="str">
            <v>LAPP</v>
          </cell>
          <cell r="D6981" t="str">
            <v>Lapp-Non Moving Stocks</v>
          </cell>
        </row>
        <row r="6982">
          <cell r="A6982" t="str">
            <v>382001676 (ÖLFLEX® POWER LV 2X FR SSA 3x25)</v>
          </cell>
          <cell r="B6982" t="str">
            <v>382001676(ÖLFLEX® POWER LV 2X FR SSA 3x25)</v>
          </cell>
          <cell r="C6982" t="str">
            <v>LAPP</v>
          </cell>
          <cell r="D6982" t="str">
            <v>Lapp-Non Moving Stocks</v>
          </cell>
        </row>
        <row r="6983">
          <cell r="A6983" t="str">
            <v>382001677 (ÖLFLEX® POWER LV 2X FR SSA 3x35)</v>
          </cell>
          <cell r="B6983" t="str">
            <v>382001677(ÖLFLEX® POWER LV 2X FR SSA 3x35)</v>
          </cell>
          <cell r="C6983" t="str">
            <v>LAPP</v>
          </cell>
          <cell r="D6983" t="str">
            <v>Lapp-Non Moving Stocks</v>
          </cell>
        </row>
        <row r="6984">
          <cell r="A6984" t="str">
            <v>382001679 (ÖLFLEX® POWER LV 2X FR SSA 3x70)</v>
          </cell>
          <cell r="B6984" t="str">
            <v>382001679(ÖLFLEX® POWER LV 2X FR SSA 3x70)</v>
          </cell>
          <cell r="C6984" t="str">
            <v>LAPP</v>
          </cell>
          <cell r="D6984" t="str">
            <v>Lapp-Non Moving Stocks</v>
          </cell>
        </row>
        <row r="6985">
          <cell r="A6985" t="str">
            <v>382001674 (ÖLFLEX® POWER LV 2X FR SWA 3x10)</v>
          </cell>
          <cell r="B6985" t="str">
            <v>382001674(ÖLFLEX® POWER LV 2X FR SWA 3x10)</v>
          </cell>
          <cell r="C6985" t="str">
            <v>LAPP</v>
          </cell>
          <cell r="D6985" t="str">
            <v>Lapp-Non Moving Stocks</v>
          </cell>
        </row>
        <row r="6986">
          <cell r="A6986" t="str">
            <v>382001579 (ÖLFLEX® POWER LV 2X FR SWA 3x2.5)</v>
          </cell>
          <cell r="B6986" t="str">
            <v>382001579(ÖLFLEX® POWER LV 2X FR SWA 3x2.5)</v>
          </cell>
          <cell r="C6986" t="str">
            <v>LAPP</v>
          </cell>
          <cell r="D6986" t="str">
            <v>Lapp-Non Moving Stocks</v>
          </cell>
        </row>
        <row r="6987">
          <cell r="A6987" t="str">
            <v>382001672 (ÖLFLEX® POWER LV 2X FR SWA 3x4)</v>
          </cell>
          <cell r="B6987" t="str">
            <v>382001672(ÖLFLEX® POWER LV 2X FR SWA 3x4)</v>
          </cell>
          <cell r="C6987" t="str">
            <v>LAPP</v>
          </cell>
          <cell r="D6987" t="str">
            <v>Lapp-Non Moving Stocks</v>
          </cell>
        </row>
        <row r="6988">
          <cell r="A6988" t="str">
            <v>382001673 (ÖLFLEX® POWER LV 2X FR SWA 3x6)</v>
          </cell>
          <cell r="B6988" t="str">
            <v>382001673(ÖLFLEX® POWER LV 2X FR SWA 3x6)</v>
          </cell>
          <cell r="C6988" t="str">
            <v>LAPP</v>
          </cell>
          <cell r="D6988" t="str">
            <v>Lapp-Non Moving Stocks</v>
          </cell>
        </row>
        <row r="6989">
          <cell r="A6989" t="str">
            <v>382001583 (ÖLFLEX® POWER LV 2X FR SWA 7x2.5)</v>
          </cell>
          <cell r="B6989" t="str">
            <v>382001583(ÖLFLEX® POWER LV 2X FR SWA 7x2.5)</v>
          </cell>
          <cell r="C6989" t="str">
            <v>LAPP</v>
          </cell>
          <cell r="D6989" t="str">
            <v>Lapp-Non Moving Stocks</v>
          </cell>
        </row>
        <row r="6990">
          <cell r="A6990" t="str">
            <v>382001934 (ÖLFLEX® POWER LV 30x1.5RI2XY2FYC21BK)</v>
          </cell>
          <cell r="B6990" t="str">
            <v>382001934(ÖLFLEX® POWER LV 30x1.5RI2XY2FYC21BK)</v>
          </cell>
          <cell r="C6990" t="str">
            <v>LAPP</v>
          </cell>
          <cell r="D6990" t="str">
            <v>Lapp-Non Moving Stocks</v>
          </cell>
        </row>
        <row r="6991">
          <cell r="A6991" t="str">
            <v>382001687H (ÖLFLEX® POWER LV 3.5x25 RI2XY2SSAY21BK)</v>
          </cell>
          <cell r="B6991" t="str">
            <v>382001687H(ÖLFLEX® POWER LV 3.5x25 RI2XY2SSAY21BK)</v>
          </cell>
          <cell r="C6991" t="str">
            <v>LAPP</v>
          </cell>
          <cell r="D6991" t="str">
            <v>Lapp-Non Moving Stocks</v>
          </cell>
        </row>
        <row r="6992">
          <cell r="A6992" t="str">
            <v>382305766 (ÖLFLEX® POWER LV 36x1.5 RI2XY2SSAY21BK)</v>
          </cell>
          <cell r="B6992" t="str">
            <v>382305766(ÖLFLEX® POWER LV 36x1.5 RI2XY2SSAY21BK)</v>
          </cell>
          <cell r="C6992" t="str">
            <v>LAPP</v>
          </cell>
          <cell r="D6992" t="str">
            <v>Lapp-Non Moving Stocks</v>
          </cell>
        </row>
        <row r="6993">
          <cell r="A6993" t="str">
            <v>382002431 (ÖLFLEX® POWER LV 3x10 RI2XYC2SWAYC21BK)</v>
          </cell>
          <cell r="B6993" t="str">
            <v>382002431(ÖLFLEX® POWER LV 3x10 RI2XYC2SWAYC21BK)</v>
          </cell>
          <cell r="C6993" t="str">
            <v>LAPP</v>
          </cell>
          <cell r="D6993" t="str">
            <v>Lapp-Non Moving Stocks</v>
          </cell>
        </row>
        <row r="6994">
          <cell r="A6994" t="str">
            <v>382305760 (ÖLFLEX® POWER LV 3x1.5 RI2XY2SWAY21BK)</v>
          </cell>
          <cell r="B6994" t="str">
            <v>382305760(ÖLFLEX® POWER LV 3x1.5 RI2XY2SWAY21BK)</v>
          </cell>
          <cell r="C6994" t="str">
            <v>LAPP</v>
          </cell>
          <cell r="D6994" t="str">
            <v>Lapp-Non Moving Stocks</v>
          </cell>
        </row>
        <row r="6995">
          <cell r="A6995" t="str">
            <v>382001907 (ÖLFLEX® POWER LV 3x1.5 RI2XY2SWAYC2 1 BK)</v>
          </cell>
          <cell r="B6995" t="str">
            <v>382001907(ÖLFLEX® POWER LV 3x1.5 RI2XY2SWAYC2 1 BK)</v>
          </cell>
          <cell r="C6995" t="str">
            <v>LAPP</v>
          </cell>
          <cell r="D6995" t="str">
            <v>Lapp-Non Moving Stocks</v>
          </cell>
        </row>
        <row r="6996">
          <cell r="A6996" t="str">
            <v>382002295 (ÖLFLEX® POWER LV 3x1.5 RI2XYC2SWAYC21BK)</v>
          </cell>
          <cell r="B6996" t="str">
            <v>382002295(ÖLFLEX® POWER LV 3x1.5 RI2XYC2SWAYC21BK)</v>
          </cell>
          <cell r="C6996" t="str">
            <v>LAPP</v>
          </cell>
          <cell r="D6996" t="str">
            <v>Lapp-Non Moving Stocks</v>
          </cell>
        </row>
        <row r="6997">
          <cell r="A6997" t="str">
            <v>382004429 (ÖLFLEX® POWER LV 3x16 RIYYSSAY1BK)</v>
          </cell>
          <cell r="B6997" t="str">
            <v>382004429(ÖLFLEX® POWER LV 3x16 RIYYSSAY1BK)</v>
          </cell>
          <cell r="C6997" t="str">
            <v>LAPP</v>
          </cell>
          <cell r="D6997" t="str">
            <v>Lapp-Non Moving Stocks</v>
          </cell>
        </row>
        <row r="6998">
          <cell r="A6998" t="str">
            <v>382001967 (ÖLFLEX® POWER LV 3x2.5RI2XY2SWAYC21BK)</v>
          </cell>
          <cell r="B6998" t="str">
            <v>382001967(ÖLFLEX® POWER LV 3x2.5RI2XY2SWAYC21BK)</v>
          </cell>
          <cell r="C6998" t="str">
            <v>LAPP</v>
          </cell>
          <cell r="D6998" t="str">
            <v>Lapp-Non Moving Stocks</v>
          </cell>
        </row>
        <row r="6999">
          <cell r="A6999" t="str">
            <v>382002355 (ÖLFLEX® POWER LV 3x2.5 RI2XYC2SWAYC21BK)</v>
          </cell>
          <cell r="B6999" t="str">
            <v>382002355(ÖLFLEX® POWER LV 3x2.5 RI2XYC2SWAYC21BK)</v>
          </cell>
          <cell r="C6999" t="str">
            <v>LAPP</v>
          </cell>
          <cell r="D6999" t="str">
            <v>Lapp-Non Moving Stocks</v>
          </cell>
        </row>
        <row r="7000">
          <cell r="A7000" t="str">
            <v>382002429 (ÖLFLEX® POWER LV 3x4 RI2XYC2SWAYC21BK)</v>
          </cell>
          <cell r="B7000" t="str">
            <v>382002429(ÖLFLEX® POWER LV 3x4 RI2XYC2SWAYC21BK)</v>
          </cell>
          <cell r="C7000" t="str">
            <v>LAPP</v>
          </cell>
          <cell r="D7000" t="str">
            <v>Lapp-Non Moving Stocks</v>
          </cell>
        </row>
        <row r="7001">
          <cell r="A7001" t="str">
            <v>382004426 (ÖLFLEX® POWER LV 3x4 RIYYSWAY1BK)</v>
          </cell>
          <cell r="B7001" t="str">
            <v>382004426(ÖLFLEX® POWER LV 3x4 RIYYSWAY1BK)</v>
          </cell>
          <cell r="C7001" t="str">
            <v>LAPP</v>
          </cell>
          <cell r="D7001" t="str">
            <v>Lapp-Non Moving Stocks</v>
          </cell>
        </row>
        <row r="7002">
          <cell r="A7002" t="str">
            <v>382004427 (ÖLFLEX® POWER LV 3x6 RIYYSWAY1BK)</v>
          </cell>
          <cell r="B7002" t="str">
            <v>382004427(ÖLFLEX® POWER LV 3x6 RIYYSWAY1BK)</v>
          </cell>
          <cell r="C7002" t="str">
            <v>LAPP</v>
          </cell>
          <cell r="D7002" t="str">
            <v>Lapp-Non Moving Stocks</v>
          </cell>
        </row>
        <row r="7003">
          <cell r="A7003" t="str">
            <v>382001700 (ÖLFLEX® POWER LV 4x10 RI2XY2SSAY21BK)</v>
          </cell>
          <cell r="B7003" t="str">
            <v>382001700(ÖLFLEX® POWER LV 4x10 RI2XY2SSAY21BK)</v>
          </cell>
          <cell r="C7003" t="str">
            <v>LAPP</v>
          </cell>
          <cell r="D7003" t="str">
            <v>Lapp-Non Moving Stocks</v>
          </cell>
        </row>
        <row r="7004">
          <cell r="A7004" t="str">
            <v>382004454 (ÖLFLEX® POWER LV 4x10 RIYYSSAY1BK)</v>
          </cell>
          <cell r="B7004" t="str">
            <v>382004454(ÖLFLEX® POWER LV 4x10 RIYYSSAY1BK)</v>
          </cell>
          <cell r="C7004" t="str">
            <v>LAPP</v>
          </cell>
          <cell r="D7004" t="str">
            <v>Lapp-Non Moving Stocks</v>
          </cell>
        </row>
        <row r="7005">
          <cell r="A7005" t="str">
            <v>382001520 (ÖLFLEX® POWER LV 4x1.5 RI2XY2SWAY21BK)</v>
          </cell>
          <cell r="B7005" t="str">
            <v>382001520(ÖLFLEX® POWER LV 4x1.5 RI2XY2SWAY21BK)</v>
          </cell>
          <cell r="C7005" t="str">
            <v>LAPP</v>
          </cell>
          <cell r="D7005" t="str">
            <v>Lapp-Non Moving Stocks</v>
          </cell>
        </row>
        <row r="7006">
          <cell r="A7006" t="str">
            <v>382002458 (ÖLFLEX® POWER LV 4x16 RI2XYC2SSAYC21BK)</v>
          </cell>
          <cell r="B7006" t="str">
            <v>382002458(ÖLFLEX® POWER LV 4x16 RI2XYC2SSAYC21BK)</v>
          </cell>
          <cell r="C7006" t="str">
            <v>LAPP</v>
          </cell>
          <cell r="D7006" t="str">
            <v>Lapp-Non Moving Stocks</v>
          </cell>
        </row>
        <row r="7007">
          <cell r="A7007" t="str">
            <v>382004455 (ÖLFLEX® POWER LV 4x16 RIYYSSAY1BK)</v>
          </cell>
          <cell r="B7007" t="str">
            <v>382004455(ÖLFLEX® POWER LV 4x16 RIYYSSAY1BK)</v>
          </cell>
          <cell r="C7007" t="str">
            <v>LAPP</v>
          </cell>
          <cell r="D7007" t="str">
            <v>Lapp-Non Moving Stocks</v>
          </cell>
        </row>
        <row r="7008">
          <cell r="A7008" t="str">
            <v>382004334 (ÖLFLEX® POWER LV 4x2.5 RIYYSWAY1BK)</v>
          </cell>
          <cell r="B7008" t="str">
            <v>382004334(ÖLFLEX® POWER LV 4x2.5 RIYYSWAY1BK)</v>
          </cell>
          <cell r="C7008" t="str">
            <v>LAPP</v>
          </cell>
          <cell r="D7008" t="str">
            <v>Lapp-Non Moving Stocks</v>
          </cell>
        </row>
        <row r="7009">
          <cell r="A7009" t="str">
            <v>382001698 (ÖLFLEX® POWER LV 4x4 RI2XY2SWAY21BK)</v>
          </cell>
          <cell r="B7009" t="str">
            <v>382001698(ÖLFLEX® POWER LV 4x4 RI2XY2SWAY21BK)</v>
          </cell>
          <cell r="C7009" t="str">
            <v>LAPP</v>
          </cell>
          <cell r="D7009" t="str">
            <v>Lapp-Non Moving Stocks</v>
          </cell>
        </row>
        <row r="7010">
          <cell r="A7010" t="str">
            <v>382002086 (ÖLFLEX® POWER LV 4x4RI2XY2SWAYC21BK)</v>
          </cell>
          <cell r="B7010" t="str">
            <v>382002086(ÖLFLEX® POWER LV 4x4RI2XY2SWAYC21BK)</v>
          </cell>
          <cell r="C7010" t="str">
            <v>LAPP</v>
          </cell>
          <cell r="D7010" t="str">
            <v>Lapp-Non Moving Stocks</v>
          </cell>
        </row>
        <row r="7011">
          <cell r="A7011" t="str">
            <v>382002455 (ÖLFLEX® POWER LV 4x4 RI2XYC2SWAYC21BK)</v>
          </cell>
          <cell r="B7011" t="str">
            <v>382002455(ÖLFLEX® POWER LV 4x4 RI2XYC2SWAYC21BK)</v>
          </cell>
          <cell r="C7011" t="str">
            <v>LAPP</v>
          </cell>
          <cell r="D7011" t="str">
            <v>Lapp-Non Moving Stocks</v>
          </cell>
        </row>
        <row r="7012">
          <cell r="A7012" t="str">
            <v>382004452 (ÖLFLEX® POWER LV 4x4 RIYYSWAY1BK)</v>
          </cell>
          <cell r="B7012" t="str">
            <v>382004452(ÖLFLEX® POWER LV 4x4 RIYYSWAY1BK)</v>
          </cell>
          <cell r="C7012" t="str">
            <v>LAPP</v>
          </cell>
          <cell r="D7012" t="str">
            <v>Lapp-Non Moving Stocks</v>
          </cell>
        </row>
        <row r="7013">
          <cell r="A7013" t="str">
            <v>382305761 (ÖLFLEX® POWER LV 5x1.5 RI2XY2SWAY21BK)</v>
          </cell>
          <cell r="B7013" t="str">
            <v>382305761(ÖLFLEX® POWER LV 5x1.5 RI2XY2SWAY21BK)</v>
          </cell>
          <cell r="C7013" t="str">
            <v>LAPP</v>
          </cell>
          <cell r="D7013" t="str">
            <v>Lapp-Non Moving Stocks</v>
          </cell>
        </row>
        <row r="7014">
          <cell r="A7014" t="str">
            <v>382004857 (ÖLFLEX® POWER LV 5x1.5RIYYSWAYC1UVAR 1BK)</v>
          </cell>
          <cell r="B7014" t="str">
            <v>382004857(ÖLFLEX® POWER LV 5x1.5RIYYSWAYC1UVAR 1BK)</v>
          </cell>
          <cell r="C7014" t="str">
            <v>LAPP</v>
          </cell>
          <cell r="D7014" t="str">
            <v>Lapp-Non Moving Stocks</v>
          </cell>
        </row>
        <row r="7015">
          <cell r="A7015" t="str">
            <v>382002298 (ÖLFLEX® POWER LV 6x1.5 RI2XYC2SWAYC21BK)</v>
          </cell>
          <cell r="B7015" t="str">
            <v>382002298(ÖLFLEX® POWER LV 6x1.5 RI2XYC2SWAYC21BK)</v>
          </cell>
          <cell r="C7015" t="str">
            <v>LAPP</v>
          </cell>
          <cell r="D7015" t="str">
            <v>Lapp-Non Moving Stocks</v>
          </cell>
        </row>
        <row r="7016">
          <cell r="A7016" t="str">
            <v>382001523 (ÖLFLEX® POWER LV 7x1.5 RI2XY2SWAY21BK)</v>
          </cell>
          <cell r="B7016" t="str">
            <v>382001523(ÖLFLEX® POWER LV 7x1.5 RI2XY2SWAY21BK)</v>
          </cell>
          <cell r="C7016" t="str">
            <v>LAPP</v>
          </cell>
          <cell r="D7016" t="str">
            <v>Lapp-Non Moving Stocks</v>
          </cell>
        </row>
        <row r="7017">
          <cell r="A7017" t="str">
            <v>382001911 (ÖLFLEX® POWER LV 7x1.5 RI2XY2SWAYC21BK)</v>
          </cell>
          <cell r="B7017" t="str">
            <v>382001911(ÖLFLEX® POWER LV 7x1.5 RI2XY2SWAYC21BK)</v>
          </cell>
          <cell r="C7017" t="str">
            <v>LAPP</v>
          </cell>
          <cell r="D7017" t="str">
            <v>Lapp-Non Moving Stocks</v>
          </cell>
        </row>
        <row r="7018">
          <cell r="A7018" t="str">
            <v>382004337 (ÖLFLEX® POWER LV 7x2.5 RIYYSWAY1BK)</v>
          </cell>
          <cell r="B7018" t="str">
            <v>382004337(ÖLFLEX® POWER LV 7x2.5 RIYYSWAY1BK)</v>
          </cell>
          <cell r="C7018" t="str">
            <v>LAPP</v>
          </cell>
          <cell r="D7018" t="str">
            <v>Lapp-Non Moving Stocks</v>
          </cell>
        </row>
        <row r="7019">
          <cell r="A7019" t="str">
            <v>382305762 (ÖLFLEX® POWER LV 8x1.5 RI2XY2SWAY21BK)</v>
          </cell>
          <cell r="B7019" t="str">
            <v>382305762(ÖLFLEX® POWER LV 8x1.5 RI2XY2SWAY21BK)</v>
          </cell>
          <cell r="C7019" t="str">
            <v>LAPP</v>
          </cell>
          <cell r="D7019" t="str">
            <v>Lapp-Non Moving Stocks</v>
          </cell>
        </row>
        <row r="7020">
          <cell r="A7020" t="str">
            <v>382007437 (ÖLFLEX® POWER LV HR FRLS SWA 3x2.5)</v>
          </cell>
          <cell r="B7020" t="str">
            <v>382007437(ÖLFLEX® POWER LV HR FRLS SWA 3x2.5)</v>
          </cell>
          <cell r="C7020" t="str">
            <v>LAPP</v>
          </cell>
          <cell r="D7020" t="str">
            <v>Lapp-Non Moving Stocks</v>
          </cell>
        </row>
        <row r="7021">
          <cell r="A7021" t="str">
            <v>61600070 (PLASTIC COIL KW12 NR_x000D_
)</v>
          </cell>
          <cell r="B7021" t="str">
            <v>61600070(PLASTIC COIL KW12 NR_x000D_
)</v>
          </cell>
          <cell r="C7021" t="str">
            <v>LAPP</v>
          </cell>
          <cell r="D7021" t="str">
            <v>Lapp-Non Moving Stocks</v>
          </cell>
        </row>
        <row r="7022">
          <cell r="A7022" t="str">
            <v>61600040 (PLASTIC COIL KW6 NR_x000D_
)</v>
          </cell>
          <cell r="B7022" t="str">
            <v>61600040(PLASTIC COIL KW6 NR_x000D_
)</v>
          </cell>
          <cell r="C7022" t="str">
            <v>LAPP</v>
          </cell>
          <cell r="D7022" t="str">
            <v>Lapp-Non Moving Stocks</v>
          </cell>
        </row>
        <row r="7023">
          <cell r="A7023" t="str">
            <v>4180601 (UL-CSA-HAR Style 1007+1569 18AWG BK_x000D_
)</v>
          </cell>
          <cell r="B7023" t="str">
            <v>4180601(UL-CSA-HAR Style 1007+1569 18AWG BK_x000D_
)</v>
          </cell>
          <cell r="C7023" t="str">
            <v>LAPP</v>
          </cell>
          <cell r="D7023" t="str">
            <v>Lapp-Non Moving Stocks</v>
          </cell>
        </row>
        <row r="7024">
          <cell r="A7024" t="str">
            <v>4180603 (UL-CSA-HAR Style 1007+1569 18AWG BN_x000D_
)</v>
          </cell>
          <cell r="B7024" t="str">
            <v>4180603(UL-CSA-HAR Style 1007+1569 18AWG BN_x000D_
)</v>
          </cell>
          <cell r="C7024" t="str">
            <v>LAPP</v>
          </cell>
          <cell r="D7024" t="str">
            <v>Lapp-Non Moving Stocks</v>
          </cell>
        </row>
        <row r="7025">
          <cell r="A7025" t="str">
            <v>4180602 (UL-CSA-HAR Style 1007+1569 18AWG BU_x000D_
)</v>
          </cell>
          <cell r="B7025" t="str">
            <v>4180602(UL-CSA-HAR Style 1007+1569 18AWG BU_x000D_
)</v>
          </cell>
          <cell r="C7025" t="str">
            <v>LAPP</v>
          </cell>
          <cell r="D7025" t="str">
            <v>Lapp-Non Moving Stocks</v>
          </cell>
        </row>
        <row r="7026">
          <cell r="A7026" t="str">
            <v>4180611 (UL-CSA-(HAR) Style 1007+1569 18AWG GN_x000D_
)</v>
          </cell>
          <cell r="B7026" t="str">
            <v>4180611(UL-CSA-(HAR) Style 1007+1569 18AWG GN_x000D_
)</v>
          </cell>
          <cell r="C7026" t="str">
            <v>LAPP</v>
          </cell>
          <cell r="D7026" t="str">
            <v>Lapp-Non Moving Stocks</v>
          </cell>
        </row>
        <row r="7027">
          <cell r="A7027" t="str">
            <v>4180600 (UL-CSA-HAR Style 1007+1569 18AWG GNYE_x000D_
)</v>
          </cell>
          <cell r="B7027" t="str">
            <v>4180600(UL-CSA-HAR Style 1007+1569 18AWG GNYE )</v>
          </cell>
          <cell r="C7027" t="str">
            <v>LAPP</v>
          </cell>
          <cell r="D7027" t="str">
            <v>Lapp-Non Moving Stocks</v>
          </cell>
        </row>
        <row r="7028">
          <cell r="A7028" t="str">
            <v>4180604 (UL-CSA-HAR Style 1007+1569 18AWG RD_x000D_
)</v>
          </cell>
          <cell r="B7028" t="str">
            <v>4180604(UL-CSA-HAR Style 1007+1569 18AWG RD )</v>
          </cell>
          <cell r="C7028" t="str">
            <v>LAPP</v>
          </cell>
          <cell r="D7028" t="str">
            <v>Lapp-Non Moving Stocks</v>
          </cell>
        </row>
        <row r="7029">
          <cell r="A7029" t="str">
            <v>4180401 (UL-CSA-HAR Style 1007+1569 22AWG BK_x000D_
)</v>
          </cell>
          <cell r="B7029" t="str">
            <v>4180401(UL-CSA-HAR Style 1007+1569 22AWG BK_x000D_
)</v>
          </cell>
          <cell r="C7029" t="str">
            <v>LAPP</v>
          </cell>
          <cell r="D7029" t="str">
            <v>Lapp-Non Moving Stocks</v>
          </cell>
        </row>
        <row r="7030">
          <cell r="A7030" t="str">
            <v>4180402 (UL-CSA-HAR STYLE 1007+1569 22AWG BU)</v>
          </cell>
          <cell r="B7030" t="str">
            <v>4180402(UL-CSA-HAR STYLE 1007+1569 22AWG BU)</v>
          </cell>
          <cell r="C7030" t="str">
            <v>LAPP</v>
          </cell>
          <cell r="D7030" t="str">
            <v>Lapp-Non Moving Stocks</v>
          </cell>
        </row>
        <row r="7031">
          <cell r="A7031" t="str">
            <v>4180404 (UL-CSA-HAR Style 1007+1569 22AWG RD_x000D_
)</v>
          </cell>
          <cell r="B7031" t="str">
            <v>4180404(UL-CSA-HAR Style 1007+1569 22AWG RD_x000D_
)</v>
          </cell>
          <cell r="C7031" t="str">
            <v>LAPP</v>
          </cell>
          <cell r="D7031" t="str">
            <v>Lapp-Non Moving Stocks</v>
          </cell>
        </row>
        <row r="7032">
          <cell r="A7032" t="str">
            <v>4180405 (UL-CSA-HAR Style 1007+1569 22AWG WH_x000D_
)</v>
          </cell>
          <cell r="B7032" t="str">
            <v>4180405(UL-CSA-HAR Style 1007+1569 22AWG WH_x000D_
)</v>
          </cell>
          <cell r="C7032" t="str">
            <v>LAPP</v>
          </cell>
          <cell r="D7032" t="str">
            <v>Lapp-Non Moving Stocks</v>
          </cell>
        </row>
        <row r="7033">
          <cell r="A7033" t="str">
            <v>4161401_x000D_
 (UL(MTW)-CSA-(HAR) Style 1015 000AWG BK_x000D_
)</v>
          </cell>
          <cell r="B7033" t="str">
            <v>4161401_x000D_
(UL(MTW)-CSA-(HAR) Style 1015 000AWG BK_x000D_
)</v>
          </cell>
          <cell r="C7033" t="str">
            <v>LAPP</v>
          </cell>
          <cell r="D7033" t="str">
            <v>Lapp-Non Moving Stocks</v>
          </cell>
        </row>
        <row r="7034">
          <cell r="A7034" t="str">
            <v>4161301 (UL(MTW)-CSA-(HAR) Style 1015 00AWG BK_x000D_
)</v>
          </cell>
          <cell r="B7034" t="str">
            <v>4161301(UL(MTW)-CSA-(HAR) Style 1015 00AWG BK_x000D_
)</v>
          </cell>
          <cell r="C7034" t="str">
            <v>LAPP</v>
          </cell>
          <cell r="D7034" t="str">
            <v>Lapp-Non Moving Stocks</v>
          </cell>
        </row>
        <row r="7035">
          <cell r="A7035" t="str">
            <v>4160702_x000D_
 (UL(MTW)-CSA-HAR Style 1015 10AWG BU_x000D_
)</v>
          </cell>
          <cell r="B7035" t="str">
            <v>4160702_x000D_
(UL(MTW)-CSA-HAR Style 1015 10AWG BU_x000D_
)</v>
          </cell>
          <cell r="C7035" t="str">
            <v>LAPP</v>
          </cell>
          <cell r="D7035" t="str">
            <v>Lapp-Non Moving Stocks</v>
          </cell>
        </row>
        <row r="7036">
          <cell r="A7036" t="str">
            <v>4160711 (UL(MTW)-CSA-HAR Style 1015 10AWG GN_x000D_
)</v>
          </cell>
          <cell r="B7036" t="str">
            <v>4160711(UL(MTW)-CSA-HAR Style 1015 10AWG GN_x000D_
)</v>
          </cell>
          <cell r="C7036" t="str">
            <v>LAPP</v>
          </cell>
          <cell r="D7036" t="str">
            <v>Lapp-Non Moving Stocks</v>
          </cell>
        </row>
        <row r="7037">
          <cell r="A7037" t="str">
            <v>4160706 (UL(MTW)-CSA-HAR Style 1015 10AWG GY_x000D_
)</v>
          </cell>
          <cell r="B7037" t="str">
            <v>4160706(UL(MTW)-CSA-HAR Style 1015 10AWG GY_x000D_
)</v>
          </cell>
          <cell r="C7037" t="str">
            <v>LAPP</v>
          </cell>
          <cell r="D7037" t="str">
            <v>Lapp-Non Moving Stocks</v>
          </cell>
        </row>
        <row r="7038">
          <cell r="A7038" t="str">
            <v>4160611 (UL(MTW)-CSA-HAR Style 1015 12AWG GN_x000D_
)</v>
          </cell>
          <cell r="B7038" t="str">
            <v>4160611(UL(MTW)-CSA-HAR Style 1015 12AWG GN_x000D_
)</v>
          </cell>
          <cell r="C7038" t="str">
            <v>LAPP</v>
          </cell>
          <cell r="D7038" t="str">
            <v>Lapp-Non Moving Stocks</v>
          </cell>
        </row>
        <row r="7039">
          <cell r="A7039" t="str">
            <v>4160606 (UL(MTW)-CSA-HAR Style 1015 12AWG GY_x000D_
)</v>
          </cell>
          <cell r="B7039" t="str">
            <v>4160606(UL(MTW)-CSA-HAR Style 1015 12AWG GY_x000D_
)</v>
          </cell>
          <cell r="C7039" t="str">
            <v>LAPP</v>
          </cell>
          <cell r="D7039" t="str">
            <v>Lapp-Non Moving Stocks</v>
          </cell>
        </row>
        <row r="7040">
          <cell r="A7040" t="str">
            <v>4160605 (UL(MTW)-CSA-HAR Style 1015 12AWG WH_x000D_
)</v>
          </cell>
          <cell r="B7040" t="str">
            <v>4160605(UL(MTW)-CSA-HAR Style 1015 12AWG WH_x000D_
)</v>
          </cell>
          <cell r="C7040" t="str">
            <v>LAPP</v>
          </cell>
          <cell r="D7040" t="str">
            <v>Lapp-Non Moving Stocks</v>
          </cell>
        </row>
        <row r="7041">
          <cell r="A7041" t="str">
            <v>4160644 (UL(MTW)-CSA-(HAR) Style 1015 12AWG WHBU_x000D_
)</v>
          </cell>
          <cell r="B7041" t="str">
            <v>4160644(UL(MTW)-CSA-(HAR) Style 1015 12AWG WHBU_x000D_
)</v>
          </cell>
          <cell r="C7041" t="str">
            <v>LAPP</v>
          </cell>
          <cell r="D7041" t="str">
            <v>Lapp-Non Moving Stocks</v>
          </cell>
        </row>
        <row r="7042">
          <cell r="A7042" t="str">
            <v>4160502_x000D_
 (UL(MTW)-CSA-HAR Style 1015 14AWG BU_x000D_
)</v>
          </cell>
          <cell r="B7042" t="str">
            <v>4160502_x000D_
(UL(MTW)-CSA-HAR Style 1015 14AWG BU_x000D_
)</v>
          </cell>
          <cell r="C7042" t="str">
            <v>LAPP</v>
          </cell>
          <cell r="D7042" t="str">
            <v>Lapp-Non Moving Stocks</v>
          </cell>
        </row>
        <row r="7043">
          <cell r="A7043" t="str">
            <v>4160511 (UL(MTW)-CSA-HAR Style 1015 14AWG GN_x000D_
)</v>
          </cell>
          <cell r="B7043" t="str">
            <v>4160511(UL(MTW)-CSA-HAR Style 1015 14AWG GN_x000D_
)</v>
          </cell>
          <cell r="C7043" t="str">
            <v>LAPP</v>
          </cell>
          <cell r="D7043" t="str">
            <v>Lapp-Non Moving Stocks</v>
          </cell>
        </row>
        <row r="7044">
          <cell r="A7044" t="str">
            <v>4160506_x000D_
 (UL(MTW)-CSA-HAR Style 1015 14AWG GY_x000D_
)</v>
          </cell>
          <cell r="B7044" t="str">
            <v>4160506_x000D_
(UL(MTW)-CSA-HAR Style 1015 14AWG GY_x000D_
)</v>
          </cell>
          <cell r="C7044" t="str">
            <v>LAPP</v>
          </cell>
          <cell r="D7044" t="str">
            <v>Lapp-Non Moving Stocks</v>
          </cell>
        </row>
        <row r="7045">
          <cell r="A7045" t="str">
            <v>4160505 (UL(MTW)-CSA-HAR Style 1015 14AWG WH_x000D_
)</v>
          </cell>
          <cell r="B7045" t="str">
            <v>4160505(UL(MTW)-CSA-HAR Style 1015 14AWG WH_x000D_
)</v>
          </cell>
          <cell r="C7045" t="str">
            <v>LAPP</v>
          </cell>
          <cell r="D7045" t="str">
            <v>Lapp-Non Moving Stocks</v>
          </cell>
        </row>
        <row r="7046">
          <cell r="A7046" t="str">
            <v>4160544 (UL(MTW)-CSA-HAR Style 1015 14AWG WHBU_x000D_
)</v>
          </cell>
          <cell r="B7046" t="str">
            <v>4160544(UL(MTW)-CSA-HAR Style 1015 14AWG WHBU_x000D_
)</v>
          </cell>
          <cell r="C7046" t="str">
            <v>LAPP</v>
          </cell>
          <cell r="D7046" t="str">
            <v>Lapp-Non Moving Stocks</v>
          </cell>
        </row>
        <row r="7047">
          <cell r="A7047" t="str">
            <v>4160401 (UL(MTW)-CSA-(HAR)STYLE 1015 16AWG BK)</v>
          </cell>
          <cell r="B7047" t="str">
            <v>4160401(UL(MTW)-CSA-(HAR)STYLE 1015 16AWG BK)</v>
          </cell>
          <cell r="C7047" t="str">
            <v>LAPP</v>
          </cell>
          <cell r="D7047" t="str">
            <v>Lapp-Non Moving Stocks</v>
          </cell>
        </row>
        <row r="7048">
          <cell r="A7048" t="str">
            <v>4160403 (UL(MTW) -Csa-Har Style 1015 16 Awg Bn)</v>
          </cell>
          <cell r="B7048" t="str">
            <v>4160403(UL(MTW) -Csa-Har Style 1015 16 Awg Bn)</v>
          </cell>
          <cell r="C7048" t="str">
            <v>LAPP</v>
          </cell>
          <cell r="D7048" t="str">
            <v>Lapp-Non Moving Stocks</v>
          </cell>
        </row>
        <row r="7049">
          <cell r="A7049" t="str">
            <v>4160402 (UL(MTW)-CSA-HAR Style 1015 16AWG BU)</v>
          </cell>
          <cell r="B7049" t="str">
            <v>4160402(UL(MTW)-CSA-HAR Style 1015 16AWG BU)</v>
          </cell>
          <cell r="C7049" t="str">
            <v>LAPP</v>
          </cell>
          <cell r="D7049" t="str">
            <v>Lapp-Non Moving Stocks</v>
          </cell>
        </row>
        <row r="7050">
          <cell r="A7050" t="str">
            <v>4160411 (UL(MTW)-CSA-HAR Style 1015 16AWG GN_x000D_
)</v>
          </cell>
          <cell r="B7050" t="str">
            <v>4160411(UL(MTW)-CSA-HAR Style 1015 16AWG GN_x000D_
)</v>
          </cell>
          <cell r="C7050" t="str">
            <v>LAPP</v>
          </cell>
          <cell r="D7050" t="str">
            <v>Lapp-Non Moving Stocks</v>
          </cell>
        </row>
        <row r="7051">
          <cell r="A7051" t="str">
            <v>4160406 (UL(MTW)-CSA-HAR Style 1015 16AWG GY_x000D_
)</v>
          </cell>
          <cell r="B7051" t="str">
            <v>4160406(UL(MTW)-CSA-HAR Style 1015 16AWG GY_x000D_
)</v>
          </cell>
          <cell r="C7051" t="str">
            <v>LAPP</v>
          </cell>
          <cell r="D7051" t="str">
            <v>Lapp-Non Moving Stocks</v>
          </cell>
        </row>
        <row r="7052">
          <cell r="A7052" t="str">
            <v>4160409 (UL(MTW)-CSA-HAR Style 1015 16AWG OG_x000D_
)</v>
          </cell>
          <cell r="B7052" t="str">
            <v>4160409(UL(MTW)-CSA-HAR Style 1015 16AWG OG_x000D_
)</v>
          </cell>
          <cell r="C7052" t="str">
            <v>LAPP</v>
          </cell>
          <cell r="D7052" t="str">
            <v>Lapp-Non Moving Stocks</v>
          </cell>
        </row>
        <row r="7053">
          <cell r="A7053" t="str">
            <v>4160404 (UL(MTW)-CSA-HAR STYLE 1015 16AWG RD)</v>
          </cell>
          <cell r="B7053" t="str">
            <v>4160404(UL(MTW)-CSA-HAR STYLE 1015 16AWG RD)</v>
          </cell>
          <cell r="C7053" t="str">
            <v>LAPP</v>
          </cell>
          <cell r="D7053" t="str">
            <v>Lapp-Non Moving Stocks</v>
          </cell>
        </row>
        <row r="7054">
          <cell r="A7054" t="str">
            <v>4160405 (UL(MTW)-CSA-HAR Style 1015 16AWG WH_x000D_
)</v>
          </cell>
          <cell r="B7054" t="str">
            <v>4160405(UL(MTW)-CSA-HAR Style 1015 16AWG WH_x000D_
)</v>
          </cell>
          <cell r="C7054" t="str">
            <v>LAPP</v>
          </cell>
          <cell r="D7054" t="str">
            <v>Lapp-Non Moving Stocks</v>
          </cell>
        </row>
        <row r="7055">
          <cell r="A7055" t="str">
            <v>4160444 (UL(MTW)-CSA-HAR Style 1015 16AWG WHBU_x000D_
)</v>
          </cell>
          <cell r="B7055" t="str">
            <v>4160444(UL(MTW)-CSA-HAR Style 1015 16AWG WHBU_x000D_
)</v>
          </cell>
          <cell r="C7055" t="str">
            <v>LAPP</v>
          </cell>
          <cell r="D7055" t="str">
            <v>Lapp-Non Moving Stocks</v>
          </cell>
        </row>
        <row r="7056">
          <cell r="A7056" t="str">
            <v>4160410 (UL(MTW)-CSA-(HAR) Style 1015 16AWG YE_x000D_
)</v>
          </cell>
          <cell r="B7056" t="str">
            <v>4160410(UL(MTW)-CSA-(HAR) Style 1015 16AWG YE_x000D_
)</v>
          </cell>
          <cell r="C7056" t="str">
            <v>LAPP</v>
          </cell>
          <cell r="D7056" t="str">
            <v>Lapp-Non Moving Stocks</v>
          </cell>
        </row>
        <row r="7057">
          <cell r="A7057" t="str">
            <v>4160303 (UL(MTW)-CSA-HAR Style 1015 18AWG BN_x000D_
)</v>
          </cell>
          <cell r="B7057" t="str">
            <v>4160303(UL(MTW)-CSA-HAR Style 1015 18AWG BN_x000D_
)</v>
          </cell>
          <cell r="C7057" t="str">
            <v>LAPP</v>
          </cell>
          <cell r="D7057" t="str">
            <v>Lapp-Non Moving Stocks</v>
          </cell>
        </row>
        <row r="7058">
          <cell r="A7058" t="str">
            <v>4160302 (UL(MTW)-CSA-(HAR) Style 1015 18AWG BU_x000D_
)</v>
          </cell>
          <cell r="B7058" t="str">
            <v>4160302(UL(MTW)-CSA-(HAR) Style 1015 18AWG BU_x000D_
)</v>
          </cell>
          <cell r="C7058" t="str">
            <v>LAPP</v>
          </cell>
          <cell r="D7058" t="str">
            <v>Lapp-Non Moving Stocks</v>
          </cell>
        </row>
        <row r="7059">
          <cell r="A7059" t="str">
            <v>4160326 (UL(MTW)-CSA-HAR Style 1015 18AWG BUWH_x000D_
)</v>
          </cell>
          <cell r="B7059" t="str">
            <v>4160326(UL(MTW)-CSA-HAR Style 1015 18AWG BUWH_x000D_
)</v>
          </cell>
          <cell r="C7059" t="str">
            <v>LAPP</v>
          </cell>
          <cell r="D7059" t="str">
            <v>Lapp-Non Moving Stocks</v>
          </cell>
        </row>
        <row r="7060">
          <cell r="A7060" t="str">
            <v>4160314 (UL(MTW)-CSA-HAR Style 1015 18AWG DBU)</v>
          </cell>
          <cell r="B7060" t="str">
            <v>4160314(UL(MTW)-CSA-HAR Style 1015 18AWG DBU)</v>
          </cell>
          <cell r="C7060" t="str">
            <v>LAPP</v>
          </cell>
          <cell r="D7060" t="str">
            <v>Lapp-Non Moving Stocks</v>
          </cell>
        </row>
        <row r="7061">
          <cell r="A7061" t="str">
            <v>4160314K (UL(MTW)-CSA-HAR Style 1015 18AWG DBU_x000D_
)</v>
          </cell>
          <cell r="B7061" t="str">
            <v>4160314K(UL(MTW)-CSA-HAR Style 1015 18AWG DBU_x000D_
)</v>
          </cell>
          <cell r="C7061" t="str">
            <v>LAPP</v>
          </cell>
          <cell r="D7061" t="str">
            <v>Lapp-Non Moving Stocks</v>
          </cell>
        </row>
        <row r="7062">
          <cell r="A7062" t="str">
            <v>4160311 (UL(MTW)-CSA-HAR Style 1015 18AWG GN_x000D_
)</v>
          </cell>
          <cell r="B7062" t="str">
            <v>4160311(UL(MTW)-CSA-HAR Style 1015 18AWG GN_x000D_
)</v>
          </cell>
          <cell r="C7062" t="str">
            <v>LAPP</v>
          </cell>
          <cell r="D7062" t="str">
            <v>Lapp-Non Moving Stocks</v>
          </cell>
        </row>
        <row r="7063">
          <cell r="A7063" t="str">
            <v>4160300_x000D_
 (UL(MTW)-CSA-HAR Style 1015 18AWG GNYE_x000D_
)</v>
          </cell>
          <cell r="B7063" t="str">
            <v>4160300_x000D_
(UL(MTW)-CSA-HAR Style 1015 18AWG GNYE_x000D_
)</v>
          </cell>
          <cell r="C7063" t="str">
            <v>LAPP</v>
          </cell>
          <cell r="D7063" t="str">
            <v>Lapp-Non Moving Stocks</v>
          </cell>
        </row>
        <row r="7064">
          <cell r="A7064" t="str">
            <v>4160306_x000D_
 (UL(MTW)-CSA-HAR Style 1015 18AWG GY_x000D_
)</v>
          </cell>
          <cell r="B7064" t="str">
            <v>4160306_x000D_
(UL(MTW)-CSA-HAR Style 1015 18AWG GY_x000D_
)</v>
          </cell>
          <cell r="C7064" t="str">
            <v>LAPP</v>
          </cell>
          <cell r="D7064" t="str">
            <v>Lapp-Non Moving Stocks</v>
          </cell>
        </row>
        <row r="7065">
          <cell r="A7065" t="str">
            <v>4160309 (UL(MTW)-CSA-HAR Style 1015 18AWG OG_x000D_
)</v>
          </cell>
          <cell r="B7065" t="str">
            <v>4160309(UL(MTW)-CSA-HAR Style 1015 18AWG OG_x000D_
)</v>
          </cell>
          <cell r="C7065" t="str">
            <v>LAPP</v>
          </cell>
          <cell r="D7065" t="str">
            <v>Lapp-Non Moving Stocks</v>
          </cell>
        </row>
        <row r="7066">
          <cell r="A7066" t="str">
            <v>4160307_x000D_
 (UL(MTW)-CSA-HAR Style 1015 18AWG VT_x000D_
)</v>
          </cell>
          <cell r="B7066" t="str">
            <v>4160307_x000D_
(UL(MTW)-CSA-HAR Style 1015 18AWG VT_x000D_
)</v>
          </cell>
          <cell r="C7066" t="str">
            <v>LAPP</v>
          </cell>
          <cell r="D7066" t="str">
            <v>Lapp-Non Moving Stocks</v>
          </cell>
        </row>
        <row r="7067">
          <cell r="A7067" t="str">
            <v>4160344_x000D_
 (UL(MTW)-CSA-(HAR) Style 1015 18AWG WHBU_x000D_
)</v>
          </cell>
          <cell r="B7067" t="str">
            <v>4160344_x000D_
(UL(MTW)-CSA-(HAR) Style 1015 18AWG WHBU_x000D_
)</v>
          </cell>
          <cell r="C7067" t="str">
            <v>LAPP</v>
          </cell>
          <cell r="D7067" t="str">
            <v>Lapp-Non Moving Stocks</v>
          </cell>
        </row>
        <row r="7068">
          <cell r="A7068" t="str">
            <v>4161201_x000D_
 (UL(MTW)-CSA-HAR Style 1015 1AWG BK_x000D_
)</v>
          </cell>
          <cell r="B7068" t="str">
            <v>4161201_x000D_
(UL(MTW)-CSA-HAR Style 1015 1AWG BK_x000D_
)</v>
          </cell>
          <cell r="C7068" t="str">
            <v>LAPP</v>
          </cell>
          <cell r="D7068" t="str">
            <v>Lapp-Non Moving Stocks</v>
          </cell>
        </row>
        <row r="7069">
          <cell r="A7069" t="str">
            <v>4161211 (UL(MTW)-CSA-HAR Style 1015 1AWG GN_x000D_
)</v>
          </cell>
          <cell r="B7069" t="str">
            <v>4161211(UL(MTW)-CSA-HAR Style 1015 1AWG GN_x000D_
)</v>
          </cell>
          <cell r="C7069" t="str">
            <v>LAPP</v>
          </cell>
          <cell r="D7069" t="str">
            <v>Lapp-Non Moving Stocks</v>
          </cell>
        </row>
        <row r="7070">
          <cell r="A7070" t="str">
            <v>4160203 (UL(MTW)-CSA-HAR Style 1015 20AWG BN_x000D_
)</v>
          </cell>
          <cell r="B7070" t="str">
            <v>4160203(UL(MTW)-CSA-HAR Style 1015 20AWG BN_x000D_
)</v>
          </cell>
          <cell r="C7070" t="str">
            <v>LAPP</v>
          </cell>
          <cell r="D7070" t="str">
            <v>Lapp-Non Moving Stocks</v>
          </cell>
        </row>
        <row r="7071">
          <cell r="A7071" t="str">
            <v>4160202 (UL(MTW)-CSA-HAR Style 1015 20AWG BU_x000D_
)</v>
          </cell>
          <cell r="B7071" t="str">
            <v>4160202(UL(MTW)-CSA-HAR Style 1015 20AWG BU_x000D_
)</v>
          </cell>
          <cell r="C7071" t="str">
            <v>LAPP</v>
          </cell>
          <cell r="D7071" t="str">
            <v>Lapp-Non Moving Stocks</v>
          </cell>
        </row>
        <row r="7072">
          <cell r="A7072" t="str">
            <v>4160211 (UL(MTW)-CSA-HAR Style 1015 20AWG GN_x000D_
)</v>
          </cell>
          <cell r="B7072" t="str">
            <v>4160211(UL(MTW)-CSA-HAR Style 1015 20AWG GN_x000D_
)</v>
          </cell>
          <cell r="C7072" t="str">
            <v>LAPP</v>
          </cell>
          <cell r="D7072" t="str">
            <v>Lapp-Non Moving Stocks</v>
          </cell>
        </row>
        <row r="7073">
          <cell r="A7073" t="str">
            <v>4160206 (UL(MTW)-CSA-HAR Style 1015 20AWG GY_x000D_
)</v>
          </cell>
          <cell r="B7073" t="str">
            <v>4160206(UL(MTW)-CSA-HAR Style 1015 20AWG GY_x000D_
)</v>
          </cell>
          <cell r="C7073" t="str">
            <v>LAPP</v>
          </cell>
          <cell r="D7073" t="str">
            <v>Lapp-Non Moving Stocks</v>
          </cell>
        </row>
        <row r="7074">
          <cell r="A7074" t="str">
            <v>4160209 (UL(MTW)-CSA-HAR Style 1015 20AWG OG_x000D_
)</v>
          </cell>
          <cell r="B7074" t="str">
            <v>4160209(UL(MTW)-CSA-HAR Style 1015 20AWG OG_x000D_
)</v>
          </cell>
          <cell r="C7074" t="str">
            <v>LAPP</v>
          </cell>
          <cell r="D7074" t="str">
            <v>Lapp-Non Moving Stocks</v>
          </cell>
        </row>
        <row r="7075">
          <cell r="A7075" t="str">
            <v>4160204 (UL(MTW)-CSA-HAR Style 1015 20AWG RD_x000D_
)</v>
          </cell>
          <cell r="B7075" t="str">
            <v>4160204(UL(MTW)-CSA-HAR Style 1015 20AWG RD_x000D_
)</v>
          </cell>
          <cell r="C7075" t="str">
            <v>LAPP</v>
          </cell>
          <cell r="D7075" t="str">
            <v>Lapp-Non Moving Stocks</v>
          </cell>
        </row>
        <row r="7076">
          <cell r="A7076" t="str">
            <v>4160205 (UL(MTW)-CSA-HAR Style 1015 20AWG WH_x000D_
)</v>
          </cell>
          <cell r="B7076" t="str">
            <v>4160205(UL(MTW)-CSA-HAR Style 1015 20AWG WH_x000D_
)</v>
          </cell>
          <cell r="C7076" t="str">
            <v>LAPP</v>
          </cell>
          <cell r="D7076" t="str">
            <v>Lapp-Non Moving Stocks</v>
          </cell>
        </row>
        <row r="7077">
          <cell r="A7077" t="str">
            <v>4160244 (UL(MTW)-CSA-HAR Style 1015 20AWG WHBU_x000D_
)</v>
          </cell>
          <cell r="B7077" t="str">
            <v>4160244(UL(MTW)-CSA-HAR Style 1015 20AWG WHBU_x000D_
)</v>
          </cell>
          <cell r="C7077" t="str">
            <v>LAPP</v>
          </cell>
          <cell r="D7077" t="str">
            <v>Lapp-Non Moving Stocks</v>
          </cell>
        </row>
        <row r="7078">
          <cell r="A7078" t="str">
            <v>4160103 (UL(MTW)-CSA-HAR Style 1015 22AWG BN_x000D_
)</v>
          </cell>
          <cell r="B7078" t="str">
            <v>4160103(UL(MTW)-CSA-HAR Style 1015 22AWG BN_x000D_
)</v>
          </cell>
          <cell r="C7078" t="str">
            <v>LAPP</v>
          </cell>
          <cell r="D7078" t="str">
            <v>Lapp-Non Moving Stocks</v>
          </cell>
        </row>
        <row r="7079">
          <cell r="A7079" t="str">
            <v>4160114 (UL(MTW)-CSA-HAR Style 1015 22AWG DBU_x000D_
)</v>
          </cell>
          <cell r="B7079" t="str">
            <v>4160114(UL(MTW)-CSA-HAR Style 1015 22AWG DBU_x000D_
)</v>
          </cell>
          <cell r="C7079" t="str">
            <v>LAPP</v>
          </cell>
          <cell r="D7079" t="str">
            <v>Lapp-Non Moving Stocks</v>
          </cell>
        </row>
        <row r="7080">
          <cell r="A7080" t="str">
            <v>4160106 (UL(MTW)-CSA-HAR Style 1015 22AWG GY_x000D_
)</v>
          </cell>
          <cell r="B7080" t="str">
            <v>4160106(UL(MTW)-CSA-HAR Style 1015 22AWG GY_x000D_
)</v>
          </cell>
          <cell r="C7080" t="str">
            <v>LAPP</v>
          </cell>
          <cell r="D7080" t="str">
            <v>Lapp-Non Moving Stocks</v>
          </cell>
        </row>
        <row r="7081">
          <cell r="A7081" t="str">
            <v>4160144_x000D_
 (UL(MTW)-CSA-HAR Style 1015 22AWG WHBU_x000D_
)</v>
          </cell>
          <cell r="B7081" t="str">
            <v>4160144_x000D_
(UL(MTW)-CSA-HAR Style 1015 22AWG WHBU_x000D_
)</v>
          </cell>
          <cell r="C7081" t="str">
            <v>LAPP</v>
          </cell>
          <cell r="D7081" t="str">
            <v>Lapp-Non Moving Stocks</v>
          </cell>
        </row>
        <row r="7082">
          <cell r="A7082" t="str">
            <v>4161101_x000D_
 (UL(MTW)-CSA-HAR Style 1015 2AWG BK_x000D_
)</v>
          </cell>
          <cell r="B7082" t="str">
            <v>4161101_x000D_
(UL(MTW)-CSA-HAR Style 1015 2AWG BK_x000D_
)</v>
          </cell>
          <cell r="C7082" t="str">
            <v>LAPP</v>
          </cell>
          <cell r="D7082" t="str">
            <v>Lapp-Non Moving Stocks</v>
          </cell>
        </row>
        <row r="7083">
          <cell r="A7083" t="str">
            <v>4161001 (UL(MTW)-CSA-HAR Style 1015 4AWG BK_x000D_
)</v>
          </cell>
          <cell r="B7083" t="str">
            <v>4161001(UL(MTW)-CSA-HAR Style 1015 4AWG BK_x000D_
)</v>
          </cell>
          <cell r="C7083" t="str">
            <v>LAPP</v>
          </cell>
          <cell r="D7083" t="str">
            <v>Lapp-Non Moving Stocks</v>
          </cell>
        </row>
        <row r="7084">
          <cell r="A7084" t="str">
            <v>4161002_x000D_
 (UL(MTW)-CSA-HAR Style 1015 4AWG BU_x000D_
)</v>
          </cell>
          <cell r="B7084" t="str">
            <v>4161002_x000D_
(UL(MTW)-CSA-HAR Style 1015 4AWG BU_x000D_
)</v>
          </cell>
          <cell r="C7084" t="str">
            <v>LAPP</v>
          </cell>
          <cell r="D7084" t="str">
            <v>Lapp-Non Moving Stocks</v>
          </cell>
        </row>
        <row r="7085">
          <cell r="A7085" t="str">
            <v>4160901_x000D_
 (UL(MTW)-CSA-(HAR) Style 1015 6AWG BK_x000D_
)</v>
          </cell>
          <cell r="B7085" t="str">
            <v>4160901_x000D_
(UL(MTW)-CSA-(HAR) Style 1015 6AWG BK_x000D_
)</v>
          </cell>
          <cell r="C7085" t="str">
            <v>LAPP</v>
          </cell>
          <cell r="D7085" t="str">
            <v>Lapp-Non Moving Stocks</v>
          </cell>
        </row>
        <row r="7086">
          <cell r="A7086" t="str">
            <v>4160903 (UL(MTW)-CSA-HAR Style 1015 6AWG BN_x000D_
)</v>
          </cell>
          <cell r="B7086" t="str">
            <v>4160903(UL(MTW)-CSA-HAR Style 1015 6AWG BN_x000D_
)</v>
          </cell>
          <cell r="C7086" t="str">
            <v>LAPP</v>
          </cell>
          <cell r="D7086" t="str">
            <v>Lapp-Non Moving Stocks</v>
          </cell>
        </row>
        <row r="7087">
          <cell r="A7087" t="str">
            <v>4160902 (UL(MTW)-CSA-HAR Style 1015 6AWG BU_x000D_
)</v>
          </cell>
          <cell r="B7087" t="str">
            <v>4160902(UL(MTW)-CSA-HAR Style 1015 6AWG BU_x000D_
)</v>
          </cell>
          <cell r="C7087" t="str">
            <v>LAPP</v>
          </cell>
          <cell r="D7087" t="str">
            <v>Lapp-Non Moving Stocks</v>
          </cell>
        </row>
        <row r="7088">
          <cell r="A7088" t="str">
            <v>4160914 (UL(MTW)-CSA-HAR Style 1015 6AWG DBU_x000D_
)</v>
          </cell>
          <cell r="B7088" t="str">
            <v>4160914(UL(MTW)-CSA-HAR Style 1015 6AWG DBU_x000D_
)</v>
          </cell>
          <cell r="C7088" t="str">
            <v>LAPP</v>
          </cell>
          <cell r="D7088" t="str">
            <v>Lapp-Non Moving Stocks</v>
          </cell>
        </row>
        <row r="7089">
          <cell r="A7089" t="str">
            <v>4160906 (UL(MTW)-CSA-HAR Style 1015 6AWG GY_x000D_
)</v>
          </cell>
          <cell r="B7089" t="str">
            <v>4160906(UL(MTW)-CSA-HAR Style 1015 6AWG GY_x000D_
)</v>
          </cell>
          <cell r="C7089" t="str">
            <v>LAPP</v>
          </cell>
          <cell r="D7089" t="str">
            <v>Lapp-Non Moving Stocks</v>
          </cell>
        </row>
        <row r="7090">
          <cell r="A7090" t="str">
            <v>4160909 (UL(MTW)-CSA-HAR Style 1015 6AWG OG_x000D_
)</v>
          </cell>
          <cell r="B7090" t="str">
            <v>4160909(UL(MTW)-CSA-HAR Style 1015 6AWG OG_x000D_
)</v>
          </cell>
          <cell r="C7090" t="str">
            <v>LAPP</v>
          </cell>
          <cell r="D7090" t="str">
            <v>Lapp-Non Moving Stocks</v>
          </cell>
        </row>
        <row r="7091">
          <cell r="A7091" t="str">
            <v>4160904_x000D_
 (UL(MTW)-CSA-HAR Style 1015 6AWG RD_x000D_
)</v>
          </cell>
          <cell r="B7091" t="str">
            <v>4160904_x000D_
(UL(MTW)-CSA-HAR Style 1015 6AWG RD_x000D_
)</v>
          </cell>
          <cell r="C7091" t="str">
            <v>LAPP</v>
          </cell>
          <cell r="D7091" t="str">
            <v>Lapp-Non Moving Stocks</v>
          </cell>
        </row>
        <row r="7092">
          <cell r="A7092" t="str">
            <v>4160801 (UL(MTW)-CSA-HAR Style 1015 8AWG BK_x000D_
)</v>
          </cell>
          <cell r="B7092" t="str">
            <v>4160801(UL(MTW)-CSA-HAR Style 1015 8AWG BK_x000D_
)</v>
          </cell>
          <cell r="C7092" t="str">
            <v>LAPP</v>
          </cell>
          <cell r="D7092" t="str">
            <v>Lapp-Non Moving Stocks</v>
          </cell>
        </row>
        <row r="7093">
          <cell r="A7093" t="str">
            <v>4160802_x000D_
 (UL(MTW)-CSA-HAR Style 1015 8AWG BU_x000D_
)</v>
          </cell>
          <cell r="B7093" t="str">
            <v>4160802_x000D_
(UL(MTW)-CSA-HAR Style 1015 8AWG BU_x000D_
)</v>
          </cell>
          <cell r="C7093" t="str">
            <v>LAPP</v>
          </cell>
          <cell r="D7093" t="str">
            <v>Lapp-Non Moving Stocks</v>
          </cell>
        </row>
        <row r="7094">
          <cell r="A7094" t="str">
            <v>4160826 (UL(MTW)-CSA-HAR Style 1015 8AWG BUWH_x000D_
)</v>
          </cell>
          <cell r="B7094" t="str">
            <v>4160826(UL(MTW)-CSA-HAR Style 1015 8AWG BUWH_x000D_
)</v>
          </cell>
          <cell r="C7094" t="str">
            <v>LAPP</v>
          </cell>
          <cell r="D7094" t="str">
            <v>Lapp-Non Moving Stocks</v>
          </cell>
        </row>
        <row r="7095">
          <cell r="A7095" t="str">
            <v>4160806 (UL(MTW)-CSA-HAR Style 1015 8AWG GY_x000D_
)</v>
          </cell>
          <cell r="B7095" t="str">
            <v>4160806(UL(MTW)-CSA-HAR Style 1015 8AWG GY_x000D_
)</v>
          </cell>
          <cell r="C7095" t="str">
            <v>LAPP</v>
          </cell>
          <cell r="D7095" t="str">
            <v>Lapp-Non Moving Stocks</v>
          </cell>
        </row>
        <row r="7096">
          <cell r="A7096" t="str">
            <v>4150701 (UL(MTW)-CSA-(HAR) Style 10269 10AWG BK_x000D_
)</v>
          </cell>
          <cell r="B7096" t="str">
            <v>4150701(UL(MTW)-CSA-(HAR) Style 10269 10AWG BK_x000D_
)</v>
          </cell>
          <cell r="C7096" t="str">
            <v>LAPP</v>
          </cell>
          <cell r="D7096" t="str">
            <v>Lapp-Non Moving Stocks</v>
          </cell>
        </row>
        <row r="7097">
          <cell r="A7097" t="str">
            <v>4150700 (UL(MTW)-CSA-HAR Style 10269 10AWG GNYE_x000D_
)</v>
          </cell>
          <cell r="B7097" t="str">
            <v>4150700(UL(MTW)-CSA-HAR Style 10269 10AWG GNYE_x000D_
)</v>
          </cell>
          <cell r="C7097" t="str">
            <v>LAPP</v>
          </cell>
          <cell r="D7097" t="str">
            <v>Lapp-Non Moving Stocks</v>
          </cell>
        </row>
        <row r="7098">
          <cell r="A7098" t="str">
            <v>4150704 (UL(MTW)-CSA-(HAR) Style 10269 10AWG RD_x000D_
)</v>
          </cell>
          <cell r="B7098" t="str">
            <v>4150704(UL(MTW)-CSA-(HAR) Style 10269 10AWG RD_x000D_
)</v>
          </cell>
          <cell r="C7098" t="str">
            <v>LAPP</v>
          </cell>
          <cell r="D7098" t="str">
            <v>Lapp-Non Moving Stocks</v>
          </cell>
        </row>
        <row r="7099">
          <cell r="A7099" t="str">
            <v>4150600 (UL(MTW)-CSA-HAR Style 10269 12AWG GNYE_x000D_
)</v>
          </cell>
          <cell r="B7099" t="str">
            <v>4150600(UL(MTW)-CSA-HAR Style 10269 12AWG GNYE_x000D_
)</v>
          </cell>
          <cell r="C7099" t="str">
            <v>LAPP</v>
          </cell>
          <cell r="D7099" t="str">
            <v>Lapp-Non Moving Stocks</v>
          </cell>
        </row>
        <row r="7100">
          <cell r="A7100" t="str">
            <v>4150501 (UL(MTW)-CSA-HAR Style 10269 14AWG BK_x000D_
)</v>
          </cell>
          <cell r="B7100" t="str">
            <v>4150501(UL(MTW)-CSA-HAR Style 10269 14AWG BK_x000D_
)</v>
          </cell>
          <cell r="C7100" t="str">
            <v>LAPP</v>
          </cell>
          <cell r="D7100" t="str">
            <v>Lapp-Non Moving Stocks</v>
          </cell>
        </row>
        <row r="7101">
          <cell r="A7101" t="str">
            <v>4150503 (UL(MTW)-CSA-HAR Style 10269 14AWG BN_x000D_
)</v>
          </cell>
          <cell r="B7101" t="str">
            <v>4150503(UL(MTW)-CSA-HAR Style 10269 14AWG BN_x000D_
)</v>
          </cell>
          <cell r="C7101" t="str">
            <v>LAPP</v>
          </cell>
          <cell r="D7101" t="str">
            <v>Lapp-Non Moving Stocks</v>
          </cell>
        </row>
        <row r="7102">
          <cell r="A7102" t="str">
            <v>4150500 (UL(MTW)-CSA-HAR Style 10269 14AWG GNYE_x000D_
)</v>
          </cell>
          <cell r="B7102" t="str">
            <v>4150500(UL(MTW)-CSA-HAR Style 10269 14AWG GNYE_x000D_
)</v>
          </cell>
          <cell r="C7102" t="str">
            <v>LAPP</v>
          </cell>
          <cell r="D7102" t="str">
            <v>Lapp-Non Moving Stocks</v>
          </cell>
        </row>
        <row r="7103">
          <cell r="A7103" t="str">
            <v>4150506 (UL(MTW)-CSA-HAR Style 10269 14AWG GY_x000D_
)</v>
          </cell>
          <cell r="B7103" t="str">
            <v>4150506(UL(MTW)-CSA-HAR Style 10269 14AWG GY_x000D_
)</v>
          </cell>
          <cell r="C7103" t="str">
            <v>LAPP</v>
          </cell>
          <cell r="D7103" t="str">
            <v>Lapp-Non Moving Stocks</v>
          </cell>
        </row>
        <row r="7104">
          <cell r="A7104" t="str">
            <v>4150401 (UL(MTW)-CSA-(HAR) Style 10269 16AWG BK_x000D_
)</v>
          </cell>
          <cell r="B7104" t="str">
            <v>4150401(UL(MTW)-CSA-(HAR) Style 10269 16AWG BK_x000D_
)</v>
          </cell>
          <cell r="C7104" t="str">
            <v>LAPP</v>
          </cell>
          <cell r="D7104" t="str">
            <v>Lapp-Non Moving Stocks</v>
          </cell>
        </row>
        <row r="7105">
          <cell r="A7105" t="str">
            <v>4150403 (UL(MTW)-CSA-HAR Style 10269 16AWG BN_x000D_
)</v>
          </cell>
          <cell r="B7105" t="str">
            <v>4150403(UL(MTW)-CSA-HAR Style 10269 16AWG BN_x000D_
)</v>
          </cell>
          <cell r="C7105" t="str">
            <v>LAPP</v>
          </cell>
          <cell r="D7105" t="str">
            <v>Lapp-Non Moving Stocks</v>
          </cell>
        </row>
        <row r="7106">
          <cell r="A7106" t="str">
            <v>4150402 (UL(MTW)-CSA-HAR Style 10269 16AWG BU_x000D_
)</v>
          </cell>
          <cell r="B7106" t="str">
            <v>4150402(UL(MTW)-CSA-HAR Style 10269 16AWG BU_x000D_
)</v>
          </cell>
          <cell r="C7106" t="str">
            <v>LAPP</v>
          </cell>
          <cell r="D7106" t="str">
            <v>Lapp-Non Moving Stocks</v>
          </cell>
        </row>
        <row r="7107">
          <cell r="A7107" t="str">
            <v>4150406 (UL(MTW)-CSA-HAR Style 10269 16AWG GY_x000D_
)</v>
          </cell>
          <cell r="B7107" t="str">
            <v>4150406(UL(MTW)-CSA-HAR Style 10269 16AWG GY_x000D_
)</v>
          </cell>
          <cell r="C7107" t="str">
            <v>LAPP</v>
          </cell>
          <cell r="D7107" t="str">
            <v>Lapp-Non Moving Stocks</v>
          </cell>
        </row>
        <row r="7108">
          <cell r="A7108" t="str">
            <v>4150409 (UL(MTW)-CSA-HAR Style 10269 16AWG OG_x000D_
)</v>
          </cell>
          <cell r="B7108" t="str">
            <v>4150409(UL(MTW)-CSA-HAR Style 10269 16AWG OG_x000D_
)</v>
          </cell>
          <cell r="C7108" t="str">
            <v>LAPP</v>
          </cell>
          <cell r="D7108" t="str">
            <v>Lapp-Non Moving Stocks</v>
          </cell>
        </row>
        <row r="7109">
          <cell r="A7109" t="str">
            <v>4151201 (UL(MTW)-CSA-HAR Style 10269 1AWG BK)</v>
          </cell>
          <cell r="B7109" t="str">
            <v>4151201(UL(MTW)-CSA-HAR Style 10269 1AWG BK)</v>
          </cell>
          <cell r="C7109" t="str">
            <v>LAPP</v>
          </cell>
          <cell r="D7109" t="str">
            <v>Lapp-Non Moving Stocks</v>
          </cell>
        </row>
        <row r="7110">
          <cell r="A7110" t="str">
            <v>4150502 (UL(MTW)-CSA-HAR Style 10269 BU 14AWG_x000D_
)</v>
          </cell>
          <cell r="B7110" t="str">
            <v>4150502(UL(MTW)-CSA-HAR Style 10269 BU 14AWG_x000D_
)</v>
          </cell>
          <cell r="C7110" t="str">
            <v>LAPP</v>
          </cell>
          <cell r="D7110" t="str">
            <v>Lapp-Non Moving Stocks</v>
          </cell>
        </row>
        <row r="7111">
          <cell r="A7111" t="str">
            <v>2170241_x000D_
 ("UNITRONIC BUS EIB-H 2x2x0,8"_x000D_
)</v>
          </cell>
          <cell r="B7111" t="str">
            <v>2170241_x000D_
("UNITRONIC BUS EIB-H 2x2x0,8"_x000D_
)</v>
          </cell>
          <cell r="C7111" t="str">
            <v>LAPP</v>
          </cell>
          <cell r="D7111" t="str">
            <v>Lapp-Non Moving Stocks</v>
          </cell>
        </row>
        <row r="7112">
          <cell r="A7112" t="str">
            <v>2170228 (UNITRONIC BUS ASI (G) 2X1,5 YE_x000D_
)</v>
          </cell>
          <cell r="B7112" t="str">
            <v>2170228(UNITRONIC BUS ASI(G) 2X1,5 YE_x000D_
)</v>
          </cell>
          <cell r="C7112" t="str">
            <v>LAPP</v>
          </cell>
          <cell r="D7112" t="str">
            <v>Lapp-Non Moving Stocks</v>
          </cell>
        </row>
        <row r="7113">
          <cell r="A7113" t="str">
            <v>2170260 (UNITRONIC BUS CAN UL/CSA 1x2x0,22_x000D_
)</v>
          </cell>
          <cell r="B7113" t="str">
            <v>2170260(UNITRONIC BUS CAN UL/CSA 1x2x0,22_x000D_
)</v>
          </cell>
          <cell r="C7113" t="str">
            <v>LAPP</v>
          </cell>
          <cell r="D7113" t="str">
            <v>Lapp-Non Moving Stocks</v>
          </cell>
        </row>
        <row r="7114">
          <cell r="A7114" t="str">
            <v>2170269 (UNITRONIC BUS CAN UL/CSA 1x2x0,75_x000D_
)</v>
          </cell>
          <cell r="B7114" t="str">
            <v>2170269(UNITRONIC BUS CAN UL/CSA 1x2x0,75_x000D_
)</v>
          </cell>
          <cell r="C7114" t="str">
            <v>LAPP</v>
          </cell>
          <cell r="D7114" t="str">
            <v>Lapp-Non Moving Stocks</v>
          </cell>
        </row>
        <row r="7115">
          <cell r="A7115" t="str">
            <v>2170261 (UNITRONIC BUS CAN UL/CSA 2x2x0,22_x000D_
)</v>
          </cell>
          <cell r="B7115" t="str">
            <v>2170261(UNITRONIC BUS CAN UL/CSA 2x2x0,22_x000D_
)</v>
          </cell>
          <cell r="C7115" t="str">
            <v>LAPP</v>
          </cell>
          <cell r="D7115" t="str">
            <v>Lapp-Non Moving Stocks</v>
          </cell>
        </row>
        <row r="7116">
          <cell r="A7116" t="str">
            <v>2170264 (UNITRONIC BUS CAN UL/CSA 2x2x0,34_x000D_
)</v>
          </cell>
          <cell r="B7116" t="str">
            <v>2170264(UNITRONIC BUS CAN UL/CSA 2x2x0,34_x000D_
)</v>
          </cell>
          <cell r="C7116" t="str">
            <v>LAPP</v>
          </cell>
          <cell r="D7116" t="str">
            <v>Lapp-Non Moving Stocks</v>
          </cell>
        </row>
        <row r="7117">
          <cell r="A7117" t="str">
            <v>2170267 (UNITRONIC BUS CAN UL/CSA 2x2x0,5_x000D_
)</v>
          </cell>
          <cell r="B7117" t="str">
            <v>2170267(UNITRONIC BUS CAN UL/CSA 2x2x0,5_x000D_
)</v>
          </cell>
          <cell r="C7117" t="str">
            <v>LAPP</v>
          </cell>
          <cell r="D7117" t="str">
            <v>Lapp-Non Moving Stocks</v>
          </cell>
        </row>
        <row r="7118">
          <cell r="A7118" t="str">
            <v>2170270 (UNITRONIC BUS CAN UL/CSA 2x2x0,75_x000D_
)</v>
          </cell>
          <cell r="B7118" t="str">
            <v>2170270(UNITRONIC BUS CAN UL/CSA 2x2x0,75_x000D_
)</v>
          </cell>
          <cell r="C7118" t="str">
            <v>LAPP</v>
          </cell>
          <cell r="D7118" t="str">
            <v>Lapp-Non Moving Stocks</v>
          </cell>
        </row>
        <row r="7119">
          <cell r="A7119" t="str">
            <v>2170370 (UNITRONIC BUS CC FD P FRNC 3x1xAWG20)</v>
          </cell>
          <cell r="B7119" t="str">
            <v>2170370(UNITRONIC BUS CC FD P FRNC 3x1xAWG20)</v>
          </cell>
          <cell r="C7119" t="str">
            <v>LAPP</v>
          </cell>
          <cell r="D7119" t="str">
            <v>Lapp-Non Moving Stocks</v>
          </cell>
        </row>
        <row r="7120">
          <cell r="A7120" t="str">
            <v>2170360 (UNITRONIC BUS CCL 3x1x20AWG_x000D_
)</v>
          </cell>
          <cell r="B7120" t="str">
            <v>2170360(UNITRONIC BUS CCL 3x1x20AWG )</v>
          </cell>
          <cell r="C7120" t="str">
            <v>LAPP</v>
          </cell>
          <cell r="D7120" t="str">
            <v>Lapp-Non Moving Stocks</v>
          </cell>
        </row>
        <row r="7121">
          <cell r="A7121" t="str">
            <v>2170240 (UNITRONIC BUS EIB 2x2x0.8)</v>
          </cell>
          <cell r="B7121" t="str">
            <v>2170240(UNITRONIC BUS EIB 2x2x0.8)</v>
          </cell>
          <cell r="C7121" t="str">
            <v>LAPP</v>
          </cell>
          <cell r="D7121" t="str">
            <v>Lapp-Non Moving Stocks</v>
          </cell>
        </row>
        <row r="7122">
          <cell r="A7122" t="str">
            <v>2170272 (UNITRONIC BUS FD P CAN UL/CSA 1x2x0,25_x000D_
)</v>
          </cell>
          <cell r="B7122" t="str">
            <v>2170272(UNITRONIC BUS FD P CAN UL/CSA 1x2x0,25_x000D_
)</v>
          </cell>
          <cell r="C7122" t="str">
            <v>LAPP</v>
          </cell>
          <cell r="D7122" t="str">
            <v>Lapp-Non Moving Stocks</v>
          </cell>
        </row>
        <row r="7123">
          <cell r="A7123" t="str">
            <v>2170273 (UNITRONIC BUS FD P CAN UL/CSA 2x2x0,25_x000D_
)</v>
          </cell>
          <cell r="B7123" t="str">
            <v>2170273(UNITRONIC BUS FD P CAN UL/CSA 2x2x0,25_x000D_
)</v>
          </cell>
          <cell r="C7123" t="str">
            <v>LAPP</v>
          </cell>
          <cell r="D7123" t="str">
            <v>Lapp-Non Moving Stocks</v>
          </cell>
        </row>
        <row r="7124">
          <cell r="A7124" t="str">
            <v>2170222 (UNITRONIC BUS FD P I2/FIP 1X2X0.64)</v>
          </cell>
          <cell r="B7124" t="str">
            <v>2170222(UNITRONIC BUS FD P I2/FIP 1X2X0.64)</v>
          </cell>
          <cell r="C7124" t="str">
            <v>LAPP</v>
          </cell>
          <cell r="D7124" t="str">
            <v>Lapp-Non Moving Stocks</v>
          </cell>
        </row>
        <row r="7125">
          <cell r="A7125" t="str">
            <v>2170322 (UNITRONIC BUS FD P L2/FIP FC UL 1X2X0,6)</v>
          </cell>
          <cell r="B7125" t="str">
            <v>2170322(UNITRONIC BUS FD P L2/FIP FC UL 1X2X0,6)</v>
          </cell>
          <cell r="C7125" t="str">
            <v>LAPP</v>
          </cell>
          <cell r="D7125" t="str">
            <v>Lapp-Non Moving Stocks</v>
          </cell>
        </row>
        <row r="7126">
          <cell r="A7126" t="str">
            <v>382200002 (UNITRONIC BUS FF 1P 18AWG CYC3SWAYC3OR)</v>
          </cell>
          <cell r="B7126" t="str">
            <v>382200002(UNITRONIC BUS FF 1P 18AWG CYC3SWAYC3OR)</v>
          </cell>
          <cell r="C7126" t="str">
            <v>LAPP</v>
          </cell>
          <cell r="D7126" t="str">
            <v>Lapp-Non Moving Stocks</v>
          </cell>
        </row>
        <row r="7127">
          <cell r="A7127" t="str">
            <v>382200005 (UNITRONIC BUS FF 1P 18AWG YC3OR/)</v>
          </cell>
          <cell r="B7127" t="str">
            <v>382200005(UNITRONIC BUS FF 1P 18AWG YC3OR/)</v>
          </cell>
          <cell r="C7127" t="str">
            <v>LAPP</v>
          </cell>
          <cell r="D7127" t="str">
            <v>Lapp-Non Moving Stocks</v>
          </cell>
        </row>
        <row r="7128">
          <cell r="A7128" t="str">
            <v>2170220 (UNITRONIC BUS L2/FIP 1x2x0,64)</v>
          </cell>
          <cell r="B7128" t="str">
            <v>2170220(UNITRONIC BUS L2/FIP 1x2x0,64)</v>
          </cell>
          <cell r="C7128" t="str">
            <v>LAPP</v>
          </cell>
          <cell r="D7128" t="str">
            <v>Lapp-Non Moving Stocks</v>
          </cell>
        </row>
        <row r="7129">
          <cell r="A7129" t="str">
            <v>2170820 (UNITRONIC BUS L2/FIP FC UL/CSA 1x2x0,64_x000D_
)</v>
          </cell>
          <cell r="B7129" t="str">
            <v>2170820(UNITRONIC BUS L2/FIP FC UL/CSA 1x2x0,64_x000D_
)</v>
          </cell>
          <cell r="C7129" t="str">
            <v>LAPP</v>
          </cell>
          <cell r="D7129" t="str">
            <v>Lapp-Non Moving Stocks</v>
          </cell>
        </row>
        <row r="7130">
          <cell r="A7130" t="str">
            <v>2170203 (UNITRONIC BUS LD 1x2x0,22_x000D_
)</v>
          </cell>
          <cell r="B7130" t="str">
            <v>2170203(UNITRONIC BUS LD 1x2x0,22_x000D_
)</v>
          </cell>
          <cell r="C7130" t="str">
            <v>LAPP</v>
          </cell>
          <cell r="D7130" t="str">
            <v>Lapp-Non Moving Stocks</v>
          </cell>
        </row>
        <row r="7131">
          <cell r="A7131" t="str">
            <v>2170204_x000D_
 (UNITRONIC BUS LD 2x2x0,22_x000D_
)</v>
          </cell>
          <cell r="B7131" t="str">
            <v>2170204_x000D_
(UNITRONIC BUS LD 2x2x0,22_x000D_
)</v>
          </cell>
          <cell r="C7131" t="str">
            <v>LAPP</v>
          </cell>
          <cell r="D7131" t="str">
            <v>Lapp-Non Moving Stocks</v>
          </cell>
        </row>
        <row r="7132">
          <cell r="A7132" t="str">
            <v>2170219 (UNITRONIC BUS PB A 1X2X0,64_x000D_
)</v>
          </cell>
          <cell r="B7132" t="str">
            <v>2170219(UNITRONIC BUS PB A 1X2X0,64_x000D_
)</v>
          </cell>
          <cell r="C7132" t="str">
            <v>LAPP</v>
          </cell>
          <cell r="D7132" t="str">
            <v>Lapp-Non Moving Stocks</v>
          </cell>
        </row>
        <row r="7133">
          <cell r="A7133" t="str">
            <v>2170340 (UNITRONIC DeviceNet THICK FRNC UL (CMG)_x000D_
)</v>
          </cell>
          <cell r="B7133" t="str">
            <v>2170340(UNITRONIC DeviceNet THICK FRNC UL(CMG)_x000D_
)</v>
          </cell>
          <cell r="C7133" t="str">
            <v>LAPP</v>
          </cell>
          <cell r="D7133" t="str">
            <v>Lapp-Non Moving Stocks</v>
          </cell>
        </row>
        <row r="7134">
          <cell r="A7134" t="str">
            <v>2170342 (UNITRONIC DeviceNet THICK PVC UL (CMG)_x000D_
)</v>
          </cell>
          <cell r="B7134" t="str">
            <v>2170342(UNITRONIC DeviceNet THICK PVC UL (CMG)_x000D_
)</v>
          </cell>
          <cell r="C7134" t="str">
            <v>LAPP</v>
          </cell>
          <cell r="D7134" t="str">
            <v>Lapp-Non Moving Stocks</v>
          </cell>
        </row>
        <row r="7135">
          <cell r="A7135" t="str">
            <v>2170343 (UNITRONIC DeviceNet THIN PVC UL (CMG)_x000D_
)</v>
          </cell>
          <cell r="B7135" t="str">
            <v>2170343(UNITRONIC DeviceNet THIN PVC UL(CMG)_x000D_
)</v>
          </cell>
          <cell r="C7135" t="str">
            <v>LAPP</v>
          </cell>
          <cell r="D7135" t="str">
            <v>Lapp-Non Moving Stocks</v>
          </cell>
        </row>
        <row r="7136">
          <cell r="A7136" t="str">
            <v>2170344 (UNITRONIC FDP DeviceNet THICK PUR UL CMX_x000D_
)</v>
          </cell>
          <cell r="B7136" t="str">
            <v>2170344(UNITRONIC FDP DeviceNet THICK PUR UL CMX_x000D_
)</v>
          </cell>
          <cell r="C7136" t="str">
            <v>LAPP</v>
          </cell>
          <cell r="D7136" t="str">
            <v>Lapp-Non Moving Stocks</v>
          </cell>
        </row>
        <row r="7137">
          <cell r="A7137" t="str">
            <v>0027860 (UNITRONIC FD 10x0,25_x000D_
)</v>
          </cell>
          <cell r="B7137" t="str">
            <v>0027860(UNITRONIC FD 10x0,25_x000D_
)</v>
          </cell>
          <cell r="C7137" t="str">
            <v>LAPP</v>
          </cell>
          <cell r="D7137" t="str">
            <v>Lapp-Non Moving Stocks</v>
          </cell>
        </row>
        <row r="7138">
          <cell r="A7138" t="str">
            <v>0027846 (UNITRONIC FD 14x0,14_x000D_
)</v>
          </cell>
          <cell r="B7138" t="str">
            <v>0027846(UNITRONIC FD 14x0,14_x000D_
)</v>
          </cell>
          <cell r="C7138" t="str">
            <v>LAPP</v>
          </cell>
          <cell r="D7138" t="str">
            <v>Lapp-Non Moving Stocks</v>
          </cell>
        </row>
        <row r="7139">
          <cell r="A7139" t="str">
            <v>0027861 (UNITRONIC FD 14x0,25_x000D_
)</v>
          </cell>
          <cell r="B7139" t="str">
            <v>0027861(UNITRONIC FD 14x0,25_x000D_
)</v>
          </cell>
          <cell r="C7139" t="str">
            <v>LAPP</v>
          </cell>
          <cell r="D7139" t="str">
            <v>Lapp-Non Moving Stocks</v>
          </cell>
        </row>
        <row r="7140">
          <cell r="A7140" t="str">
            <v>0027865 (UNITRONIC FD 25x0,25_x000D_
)</v>
          </cell>
          <cell r="B7140" t="str">
            <v>0027865(UNITRONIC FD 25x0,25_x000D_
)</v>
          </cell>
          <cell r="C7140" t="str">
            <v>LAPP</v>
          </cell>
          <cell r="D7140" t="str">
            <v>Lapp-Non Moving Stocks</v>
          </cell>
        </row>
        <row r="7141">
          <cell r="A7141" t="str">
            <v>0027871 (UNITRONIC FD 3x0,34_x000D_
)</v>
          </cell>
          <cell r="B7141" t="str">
            <v>0027871(UNITRONIC FD 3x0,34_x000D_
)</v>
          </cell>
          <cell r="C7141" t="str">
            <v>LAPP</v>
          </cell>
          <cell r="D7141" t="str">
            <v>Lapp-Non Moving Stocks</v>
          </cell>
        </row>
        <row r="7142">
          <cell r="A7142" t="str">
            <v>0027872 (UNITRONIC FD 4x0,34_x000D_
)</v>
          </cell>
          <cell r="B7142" t="str">
            <v>0027872(UNITRONIC FD 4x0,34_x000D_
)</v>
          </cell>
          <cell r="C7142" t="str">
            <v>LAPP</v>
          </cell>
          <cell r="D7142" t="str">
            <v>Lapp-Non Moving Stocks</v>
          </cell>
        </row>
        <row r="7143">
          <cell r="A7143" t="str">
            <v>0027859 (UNITRONIC FD 7x0,25_x000D_
)</v>
          </cell>
          <cell r="B7143" t="str">
            <v>0027859(UNITRONIC FD 7x0,25_x000D_
)</v>
          </cell>
          <cell r="C7143" t="str">
            <v>LAPP</v>
          </cell>
          <cell r="D7143" t="str">
            <v>Lapp-Non Moving Stocks</v>
          </cell>
        </row>
        <row r="7144">
          <cell r="A7144" t="str">
            <v>1026303 (ÖLFLEX FD 891 3G1,5/16AWG_x000D_
)</v>
          </cell>
          <cell r="B7144" t="str">
            <v>1026303(ÖLFLEX FD 891 3G1,5/16AWG_x000D_
)</v>
          </cell>
          <cell r="C7144" t="str">
            <v>LAPP</v>
          </cell>
          <cell r="D7144" t="str">
            <v>Lapp-Non Moving Stocks</v>
          </cell>
        </row>
        <row r="7145">
          <cell r="A7145" t="str">
            <v>0023336_x000D_
 (ÖLFLEX PETRO FD 865 CP 5G1,5_x000D_
)</v>
          </cell>
          <cell r="B7145" t="str">
            <v>0023336_x000D_
(ÖLFLEX PETRO FD 865 CP 5G1,5_x000D_
)</v>
          </cell>
          <cell r="C7145" t="str">
            <v>LAPP</v>
          </cell>
          <cell r="D7145" t="str">
            <v>Lapp-Non Moving Stocks</v>
          </cell>
        </row>
        <row r="7146">
          <cell r="A7146" t="str">
            <v>0026102 (ÖLFLEX® CLASSIC FD 810 4G0,5)</v>
          </cell>
          <cell r="B7146" t="str">
            <v>0026102(ÖLFLEX® CLASSIC FD 810 4G0,5)</v>
          </cell>
          <cell r="C7146" t="str">
            <v>LAPP</v>
          </cell>
          <cell r="D7146" t="str">
            <v>Lapp-Non Moving Stocks</v>
          </cell>
        </row>
        <row r="7147">
          <cell r="A7147" t="str">
            <v>0028894 (UNITRONIC FD CP plus UL 10x0,25_x000D_
)</v>
          </cell>
          <cell r="B7147" t="str">
            <v>0028894(UNITRONIC FD CP plus UL 10x0,25_x000D_
)</v>
          </cell>
          <cell r="C7147" t="str">
            <v>LAPP</v>
          </cell>
          <cell r="D7147" t="str">
            <v>Lapp-Non Moving Stocks</v>
          </cell>
        </row>
        <row r="7148">
          <cell r="A7148" t="str">
            <v>0028904 (UNITRONIC FD CP plus UL 14x0,34_x000D_
)</v>
          </cell>
          <cell r="B7148" t="str">
            <v>0028904(UNITRONIC FD CP plus UL 14x0,34_x000D_
)</v>
          </cell>
          <cell r="C7148" t="str">
            <v>LAPP</v>
          </cell>
          <cell r="D7148" t="str">
            <v>Lapp-Non Moving Stocks</v>
          </cell>
        </row>
        <row r="7149">
          <cell r="A7149" t="str">
            <v>0028896 (UNITRONIC FD CP plus UL 18x0,25_x000D_
)</v>
          </cell>
          <cell r="B7149" t="str">
            <v>0028896(UNITRONIC FD CP plus UL 18x0,25_x000D_
)</v>
          </cell>
          <cell r="C7149" t="str">
            <v>LAPP</v>
          </cell>
          <cell r="D7149" t="str">
            <v>Lapp-Non Moving Stocks</v>
          </cell>
        </row>
        <row r="7150">
          <cell r="A7150" t="str">
            <v>0028889 (UNITRONIC FD CP plus UL 2x0,25_x000D_
)</v>
          </cell>
          <cell r="B7150" t="str">
            <v>0028889(UNITRONIC FD CP plus UL 2x0,25_x000D_
)</v>
          </cell>
          <cell r="C7150" t="str">
            <v>LAPP</v>
          </cell>
          <cell r="D7150" t="str">
            <v>Lapp-Non Moving Stocks</v>
          </cell>
        </row>
        <row r="7151">
          <cell r="A7151" t="str">
            <v>0028890 (UNITRONIC FD CP plus UL 3x0,25_x000D_
)</v>
          </cell>
          <cell r="B7151" t="str">
            <v>0028890(UNITRONIC FD CP plus UL 3x0,25_x000D_
)</v>
          </cell>
          <cell r="C7151" t="str">
            <v>LAPP</v>
          </cell>
          <cell r="D7151" t="str">
            <v>Lapp-Non Moving Stocks</v>
          </cell>
        </row>
        <row r="7152">
          <cell r="A7152" t="str">
            <v>0028891 (UNITRONIC FD CP plus UL 4x0,25_x000D_
)</v>
          </cell>
          <cell r="B7152" t="str">
            <v>0028891(UNITRONIC FD CP plus UL 4x0,25_x000D_
)</v>
          </cell>
          <cell r="C7152" t="str">
            <v>LAPP</v>
          </cell>
          <cell r="D7152" t="str">
            <v>Lapp-Non Moving Stocks</v>
          </cell>
        </row>
        <row r="7153">
          <cell r="A7153" t="str">
            <v>0028892 (UNITRONIC FD CP plus UL 5x0,25_x000D_
)</v>
          </cell>
          <cell r="B7153" t="str">
            <v>0028892(UNITRONIC FD CP plus UL 5x0,25_x000D_
)</v>
          </cell>
          <cell r="C7153" t="str">
            <v>LAPP</v>
          </cell>
          <cell r="D7153" t="str">
            <v>Lapp-Non Moving Stocks</v>
          </cell>
        </row>
        <row r="7154">
          <cell r="A7154" t="str">
            <v>0028893 (UNITRONIC FD CP plus UL 7x0,25_x000D_
)</v>
          </cell>
          <cell r="B7154" t="str">
            <v>0028893(UNITRONIC FD CP plus UL 7x0,25_x000D_
)</v>
          </cell>
          <cell r="C7154" t="str">
            <v>LAPP</v>
          </cell>
          <cell r="D7154" t="str">
            <v>Lapp-Non Moving Stocks</v>
          </cell>
        </row>
        <row r="7155">
          <cell r="A7155" t="str">
            <v>0030910_x000D_
 ("UNITRONIC FD CP (TP) plus UL 2x2x0,14"_x000D_
)</v>
          </cell>
          <cell r="B7155" t="str">
            <v>0030910
("UNITRONIC FD CP (TP) plus UL 2x2x0,14"
)</v>
          </cell>
          <cell r="C7155" t="str">
            <v>LAPP</v>
          </cell>
          <cell r="D7155" t="str">
            <v>Lapp-Non Moving Stocks</v>
          </cell>
        </row>
        <row r="7156">
          <cell r="A7156" t="str">
            <v>0030962 (UNITRONIC FD CP (TP) plus UL 1x2x0,25)</v>
          </cell>
          <cell r="B7156" t="str">
            <v>0030962(UNITRONIC FD CP(TP) plus UL 1x2x0,25)</v>
          </cell>
          <cell r="C7156" t="str">
            <v>LAPP</v>
          </cell>
          <cell r="D7156" t="str">
            <v>Lapp-Non Moving Stocks</v>
          </cell>
        </row>
        <row r="7157">
          <cell r="A7157" t="str">
            <v>0030920 (UNITRONIC FD CP (TP) plus UL 3x2x0,25_x000D_
)</v>
          </cell>
          <cell r="B7157" t="str">
            <v>0030920(UNITRONIC FD CP(TP) plus UL 3x2x0,25_x000D_
)</v>
          </cell>
          <cell r="C7157" t="str">
            <v>LAPP</v>
          </cell>
          <cell r="D7157" t="str">
            <v>Lapp-Non Moving Stocks</v>
          </cell>
        </row>
        <row r="7158">
          <cell r="A7158" t="str">
            <v>0030921 (UNITRONIC FD CP (TP) plus UL 4x2x0,25_x000D_
)</v>
          </cell>
          <cell r="B7158" t="str">
            <v>0030921(UNITRONIC FD CP(TP) plus UL 4x2x0,25_x000D_
)</v>
          </cell>
          <cell r="C7158" t="str">
            <v>LAPP</v>
          </cell>
          <cell r="D7158" t="str">
            <v>Lapp-Non Moving Stocks</v>
          </cell>
        </row>
        <row r="7159">
          <cell r="A7159" t="str">
            <v>0030913_x000D_
 (UNITRONIC FD CP (TP) Plus UL 5x2x0,14)</v>
          </cell>
          <cell r="B7159" t="str">
            <v>0030913_x000D_
(UNITRONIC FD CP(TP) Plus UL 5x2x0,14)</v>
          </cell>
          <cell r="C7159" t="str">
            <v>LAPP</v>
          </cell>
          <cell r="D7159" t="str">
            <v>Lapp-Non Moving Stocks</v>
          </cell>
        </row>
        <row r="7160">
          <cell r="A7160" t="str">
            <v>0030914 (UNITRONIC FD CP (TP) plus UL 6x2x0,14_x000D_
)</v>
          </cell>
          <cell r="B7160" t="str">
            <v>0030914(UNITRONIC FD CP(TP) plus UL 6x2x0,14_x000D_
)</v>
          </cell>
          <cell r="C7160" t="str">
            <v>LAPP</v>
          </cell>
          <cell r="D7160" t="str">
            <v>Lapp-Non Moving Stocks</v>
          </cell>
        </row>
        <row r="7161">
          <cell r="A7161" t="str">
            <v>0030941 (UNITRONIC FD CP (TP) plus UL 6x2x0,5_x000D_
)</v>
          </cell>
          <cell r="B7161" t="str">
            <v>0030941(UNITRONIC FD CP(TP) plus UL 6x2x0,5_x000D_
)</v>
          </cell>
          <cell r="C7161" t="str">
            <v>LAPP</v>
          </cell>
          <cell r="D7161" t="str">
            <v>Lapp-Non Moving Stocks</v>
          </cell>
        </row>
        <row r="7162">
          <cell r="A7162" t="str">
            <v>0030951 (UNITRONIC FD CP (TP) plus UL 8x2x0,75_x000D_
)</v>
          </cell>
          <cell r="B7162" t="str">
            <v>0030951(UNITRONIC FD CP(TP) plus UL 8x2x0,75_x000D_
)</v>
          </cell>
          <cell r="C7162" t="str">
            <v>LAPP</v>
          </cell>
          <cell r="D7162" t="str">
            <v>Lapp-Non Moving Stocks</v>
          </cell>
        </row>
        <row r="7163">
          <cell r="A7163" t="str">
            <v>0027426_x000D_
 ("UNITRONIC FD CY 3x0,25"_x000D_
)</v>
          </cell>
          <cell r="B7163" t="str">
            <v>0027426_x000D_
("UNITRONIC FD CY 3x0,25"_x000D_
)</v>
          </cell>
          <cell r="C7163" t="str">
            <v>LAPP</v>
          </cell>
          <cell r="D7163" t="str">
            <v>Lapp-Non Moving Stocks</v>
          </cell>
        </row>
        <row r="7164">
          <cell r="A7164" t="str">
            <v>0027448 (UNITRONIC FD CY 14x0,34_x000D_
)</v>
          </cell>
          <cell r="B7164" t="str">
            <v>0027448(UNITRONIC FD CY 14x0,34_x000D_
)</v>
          </cell>
          <cell r="C7164" t="str">
            <v>LAPP</v>
          </cell>
          <cell r="D7164" t="str">
            <v>Lapp-Non Moving Stocks</v>
          </cell>
        </row>
        <row r="7165">
          <cell r="A7165" t="str">
            <v>0027440_x000D_
 (UNITRONIC FD CY 2x0,34_x000D_
)</v>
          </cell>
          <cell r="B7165" t="str">
            <v>0027440_x000D_
(UNITRONIC FD CY 2x0,34_x000D_
)</v>
          </cell>
          <cell r="C7165" t="str">
            <v>LAPP</v>
          </cell>
          <cell r="D7165" t="str">
            <v>Lapp-Non Moving Stocks</v>
          </cell>
        </row>
        <row r="7166">
          <cell r="A7166" t="str">
            <v>0027411_x000D_
 (UNITRONIC FD CY 3x0,14_x000D_
)</v>
          </cell>
          <cell r="B7166" t="str">
            <v>0027411_x000D_
(UNITRONIC FD CY 3x0,14_x000D_
)</v>
          </cell>
          <cell r="C7166" t="str">
            <v>LAPP</v>
          </cell>
          <cell r="D7166" t="str">
            <v>Lapp-Non Moving Stocks</v>
          </cell>
        </row>
        <row r="7167">
          <cell r="A7167" t="str">
            <v>0027427 (UNITRONIC FD CY 4x0,25_x000D_
)</v>
          </cell>
          <cell r="B7167" t="str">
            <v>0027427(UNITRONIC FD CY 4x0,25_x000D_
)</v>
          </cell>
          <cell r="C7167" t="str">
            <v>LAPP</v>
          </cell>
          <cell r="D7167" t="str">
            <v>Lapp-Non Moving Stocks</v>
          </cell>
        </row>
        <row r="7168">
          <cell r="A7168" t="str">
            <v>0027442_x000D_
 (UNITRONIC FD CY 4x0,34_x000D_
)</v>
          </cell>
          <cell r="B7168" t="str">
            <v>0027442_x000D_
(UNITRONIC FD CY 4x0,34_x000D_
)</v>
          </cell>
          <cell r="C7168" t="str">
            <v>LAPP</v>
          </cell>
          <cell r="D7168" t="str">
            <v>Lapp-Non Moving Stocks</v>
          </cell>
        </row>
        <row r="7169">
          <cell r="A7169" t="str">
            <v>0027413_x000D_
 (UNITRONIC FD CY 5x0,14_x000D_
)</v>
          </cell>
          <cell r="B7169" t="str">
            <v>0027413_x000D_
(UNITRONIC FD CY 5x0,14_x000D_
)</v>
          </cell>
          <cell r="C7169" t="str">
            <v>LAPP</v>
          </cell>
          <cell r="D7169" t="str">
            <v>Lapp-Non Moving Stocks</v>
          </cell>
        </row>
        <row r="7170">
          <cell r="A7170" t="str">
            <v>0027414 (UNITRONIC FD CY 7x0,14_x000D_
)</v>
          </cell>
          <cell r="B7170" t="str">
            <v>0027414(UNITRONIC FD CY 7x0,14_x000D_
)</v>
          </cell>
          <cell r="C7170" t="str">
            <v>LAPP</v>
          </cell>
          <cell r="D7170" t="str">
            <v>Lapp-Non Moving Stocks</v>
          </cell>
        </row>
        <row r="7171">
          <cell r="A7171" t="str">
            <v>0028664 (UNITRONIC FD P plus 14X0,25_x000D_
)</v>
          </cell>
          <cell r="B7171" t="str">
            <v>0028664(UNITRONIC FD P plus 14X0,25_x000D_
)</v>
          </cell>
          <cell r="C7171" t="str">
            <v>LAPP</v>
          </cell>
          <cell r="D7171" t="str">
            <v>Lapp-Non Moving Stocks</v>
          </cell>
        </row>
        <row r="7172">
          <cell r="A7172" t="str">
            <v>0028666 (UNITRONIC FD P plus 25X0,25_x000D_
)</v>
          </cell>
          <cell r="B7172" t="str">
            <v>0028666(UNITRONIC FD P plus 25X0,25_x000D_
)</v>
          </cell>
          <cell r="C7172" t="str">
            <v>LAPP</v>
          </cell>
          <cell r="D7172" t="str">
            <v>Lapp-Non Moving Stocks</v>
          </cell>
        </row>
        <row r="7173">
          <cell r="A7173" t="str">
            <v>0028668 (UNITRONIC FD P plus 3X0,34_x000D_
)</v>
          </cell>
          <cell r="B7173" t="str">
            <v>0028668(UNITRONIC FD P plus 3X0,34_x000D_
)</v>
          </cell>
          <cell r="C7173" t="str">
            <v>LAPP</v>
          </cell>
          <cell r="D7173" t="str">
            <v>Lapp-Non Moving Stocks</v>
          </cell>
        </row>
        <row r="7174">
          <cell r="A7174" t="str">
            <v>0034042_x000D_
 ("UNITRONIC Li2YCY PiMF 4x2x0,22"_x000D_
)</v>
          </cell>
          <cell r="B7174" t="str">
            <v>0034042_x000D_
("UNITRONIC Li2YCY PiMF 4x2x0,22"_x000D_
)</v>
          </cell>
          <cell r="C7174" t="str">
            <v>LAPP</v>
          </cell>
          <cell r="D7174" t="str">
            <v>Lapp-Non Moving Stocks</v>
          </cell>
        </row>
        <row r="7175">
          <cell r="A7175" t="str">
            <v>0034062_x000D_
 (UNITRONIC Li2YCY PiMF 4x2x0,5_x000D_
)</v>
          </cell>
          <cell r="B7175" t="str">
            <v>0034062_x000D_
(UNITRONIC Li2YCY PiMF 4x2x0,5_x000D_
)</v>
          </cell>
          <cell r="C7175" t="str">
            <v>LAPP</v>
          </cell>
          <cell r="D7175" t="str">
            <v>Lapp-Non Moving Stocks</v>
          </cell>
        </row>
        <row r="7176">
          <cell r="A7176" t="str">
            <v>0034043 (UNITRONIC Li2YCY PiMF 8x2x0,22_x000D_
)</v>
          </cell>
          <cell r="B7176" t="str">
            <v>0034043(UNITRONIC Li2YCY PiMF 8x2x0,22_x000D_
)</v>
          </cell>
          <cell r="C7176" t="str">
            <v>LAPP</v>
          </cell>
          <cell r="D7176" t="str">
            <v>Lapp-Non Moving Stocks</v>
          </cell>
        </row>
        <row r="7177">
          <cell r="A7177" t="str">
            <v>0031320_x000D_
 ("UNITRONIC Li2YCY (TP) 2x2x0,22"_x000D_
)</v>
          </cell>
          <cell r="B7177" t="str">
            <v>0031320_x000D_
("UNITRONIC Li2YCY (TP) 2x2x0,22"_x000D_
)</v>
          </cell>
          <cell r="C7177" t="str">
            <v>LAPP</v>
          </cell>
          <cell r="D7177" t="str">
            <v>Lapp-Non Moving Stocks</v>
          </cell>
        </row>
        <row r="7178">
          <cell r="A7178" t="str">
            <v>382300181 (LI2YCY TP 1X2X0.5 SWA 250V)</v>
          </cell>
          <cell r="B7178" t="str">
            <v>382300181(LI2YCY TP 1X2X0.5 SWA 250V)</v>
          </cell>
          <cell r="C7178" t="str">
            <v>LAPP</v>
          </cell>
          <cell r="D7178" t="str">
            <v>Lapp-Non Moving Stocks</v>
          </cell>
        </row>
        <row r="7179">
          <cell r="A7179" t="str">
            <v>0031404 (UNITRONIC FD Li2YCY (TP) A BE 1X2X0,5)</v>
          </cell>
          <cell r="B7179" t="str">
            <v>0031404(UNITRONIC FD Li2YCY(TP) A BE 1X2X0,5)</v>
          </cell>
          <cell r="C7179" t="str">
            <v>LAPP</v>
          </cell>
          <cell r="D7179" t="str">
            <v>Lapp-Non Moving Stocks</v>
          </cell>
        </row>
        <row r="7180">
          <cell r="A7180" t="str">
            <v>0031370 (UNITRONIC Li2YCY (TP) 1x2x0,25 FINE)</v>
          </cell>
          <cell r="B7180" t="str">
            <v>0031370(UNITRONIC Li2YCY (TP) 1x2x0,25 FINE)</v>
          </cell>
          <cell r="C7180" t="str">
            <v>LAPP</v>
          </cell>
          <cell r="D7180" t="str">
            <v>Lapp-Non Moving Stocks</v>
          </cell>
        </row>
        <row r="7181">
          <cell r="A7181" t="str">
            <v>0031336 (UNITRONIC Li2YCY (TP) 1x2x0,5)</v>
          </cell>
          <cell r="B7181" t="str">
            <v>0031336(UNITRONIC Li2YCY (TP) 1x2x0,5)</v>
          </cell>
          <cell r="C7181" t="str">
            <v>LAPP</v>
          </cell>
          <cell r="D7181" t="str">
            <v>Lapp-Non Moving Stocks</v>
          </cell>
        </row>
        <row r="7182">
          <cell r="A7182" t="str">
            <v>0031371 (UNITRONIC Li2YCY (TP) 2x2x0,25 FINE_x000D_
)</v>
          </cell>
          <cell r="B7182" t="str">
            <v>0031371(UNITRONIC Li2YCY(TP) 2x2x0,25 FINE_x000D_
)</v>
          </cell>
          <cell r="C7182" t="str">
            <v>LAPP</v>
          </cell>
          <cell r="D7182" t="str">
            <v>Lapp-Non Moving Stocks</v>
          </cell>
        </row>
        <row r="7183">
          <cell r="A7183" t="str">
            <v>0031330 (UNITRONIC Li2YCY (TP) 2x2x0,5)</v>
          </cell>
          <cell r="B7183" t="str">
            <v>0031330(UNITRONIC Li2YCY (TP) 2x2x0,5)</v>
          </cell>
          <cell r="C7183" t="str">
            <v>LAPP</v>
          </cell>
          <cell r="D7183" t="str">
            <v>Lapp-Non Moving Stocks</v>
          </cell>
        </row>
        <row r="7184">
          <cell r="A7184" t="str">
            <v>0031328 (UNITRONIC® Li2YCY (TP) 8x2x0,34)</v>
          </cell>
          <cell r="B7184" t="str">
            <v>0031328(UNITRONIC® Li2YCY (TP) 8x2x0,34)</v>
          </cell>
          <cell r="C7184" t="str">
            <v>LAPP</v>
          </cell>
          <cell r="D7184" t="str">
            <v>Lapp-Non Moving Stocks</v>
          </cell>
        </row>
        <row r="7185">
          <cell r="A7185" t="str">
            <v>0031366_x000D_
 (UNITRONIC Li2YCYv (TP) 1x2x0,5_x000D_
)</v>
          </cell>
          <cell r="B7185" t="str">
            <v>0031366_x000D_
(UNITRONIC Li2YCYv(TP) 1x2x0,5_x000D_
)</v>
          </cell>
          <cell r="C7185" t="str">
            <v>LAPP</v>
          </cell>
          <cell r="D7185" t="str">
            <v>Lapp-Non Moving Stocks</v>
          </cell>
        </row>
        <row r="7186">
          <cell r="A7186" t="str">
            <v>0031351 (UNITRONIC Li2YCYv (TP) 3x2x0,22)</v>
          </cell>
          <cell r="B7186" t="str">
            <v>0031351(UNITRONIC Li2YCYv(TP) 3x2x0,22)</v>
          </cell>
          <cell r="C7186" t="str">
            <v>LAPP</v>
          </cell>
          <cell r="D7186" t="str">
            <v>Lapp-Non Moving Stocks</v>
          </cell>
        </row>
        <row r="7187">
          <cell r="A7187" t="str">
            <v>0031361_x000D_
 (UNITRONIC Li2YCYv (TP) 3x2x0,5_x000D_
)</v>
          </cell>
          <cell r="B7187" t="str">
            <v>0031361_x000D_
(UNITRONIC Li2YCYv(TP) 3x2x0,5_x000D_
)</v>
          </cell>
          <cell r="C7187" t="str">
            <v>LAPP</v>
          </cell>
          <cell r="D7187" t="str">
            <v>Lapp-Non Moving Stocks</v>
          </cell>
        </row>
        <row r="7188">
          <cell r="A7188" t="str">
            <v>4560017S (LiFY 1X0,75 GNYE)</v>
          </cell>
          <cell r="B7188" t="str">
            <v>4560017S(LiFY 1X0,75 GNYE)</v>
          </cell>
          <cell r="C7188" t="str">
            <v>LAPP</v>
          </cell>
          <cell r="D7188" t="str">
            <v>Lapp-Non Moving Stocks</v>
          </cell>
        </row>
        <row r="7189">
          <cell r="A7189" t="str">
            <v>4560083 (LIFY 1X10 BK HIGHLY FLEXIBLE)</v>
          </cell>
          <cell r="B7189" t="str">
            <v>4560083(LIFY 1X10 BK HIGHLY FLEXIBLE)</v>
          </cell>
          <cell r="C7189" t="str">
            <v>LAPP</v>
          </cell>
          <cell r="D7189" t="str">
            <v>Lapp-Non Moving Stocks</v>
          </cell>
        </row>
        <row r="7190">
          <cell r="A7190" t="str">
            <v>4560087 (LIFY 1X10 GNYE HIGHLY FLEXIBLE)</v>
          </cell>
          <cell r="B7190" t="str">
            <v>4560087(LIFY 1X10 GNYE HIGHLY FLEXIBLE)</v>
          </cell>
          <cell r="C7190" t="str">
            <v>LAPP</v>
          </cell>
          <cell r="D7190" t="str">
            <v>Lapp-Non Moving Stocks</v>
          </cell>
        </row>
        <row r="7191">
          <cell r="A7191" t="str">
            <v>7038905 (UNITRONIC SENSOR LifYY A 3x0,34)</v>
          </cell>
          <cell r="B7191" t="str">
            <v>7038905(UNITRONIC SENSOR LifYY A 3x0,34)</v>
          </cell>
          <cell r="C7191" t="str">
            <v>LAPP</v>
          </cell>
          <cell r="D7191" t="str">
            <v>Lapp-Non Moving Stocks</v>
          </cell>
        </row>
        <row r="7192">
          <cell r="A7192" t="str">
            <v>0037612 (UNITRONIC LiHCH 12x0,5_x000D_
)</v>
          </cell>
          <cell r="B7192" t="str">
            <v>0037612(UNITRONIC LiHCH 12x0,5_x000D_
)</v>
          </cell>
          <cell r="C7192" t="str">
            <v>LAPP</v>
          </cell>
          <cell r="D7192" t="str">
            <v>Lapp-Non Moving Stocks</v>
          </cell>
        </row>
        <row r="7193">
          <cell r="A7193" t="str">
            <v>0037502 (UNITRONIC LiHCH 2x0,34_x000D_
)</v>
          </cell>
          <cell r="B7193" t="str">
            <v>0037502(UNITRONIC LiHCH 2x0,34_x000D_
)</v>
          </cell>
          <cell r="C7193" t="str">
            <v>LAPP</v>
          </cell>
          <cell r="D7193" t="str">
            <v>Lapp-Non Moving Stocks</v>
          </cell>
        </row>
        <row r="7194">
          <cell r="A7194" t="str">
            <v>0037503 (UNITRONIC LiHCH 3X0,34)</v>
          </cell>
          <cell r="B7194" t="str">
            <v>0037503(UNITRONIC LiHCH 3X0,34)</v>
          </cell>
          <cell r="C7194" t="str">
            <v>LAPP</v>
          </cell>
          <cell r="D7194" t="str">
            <v>Lapp-Non Moving Stocks</v>
          </cell>
        </row>
        <row r="7195">
          <cell r="A7195" t="str">
            <v>0037604 (UNITRONIC LiHCH 4x0,5_x000D_
)</v>
          </cell>
          <cell r="B7195" t="str">
            <v>0037604(UNITRONIC LiHCH 4x0,5_x000D_
)</v>
          </cell>
          <cell r="C7195" t="str">
            <v>LAPP</v>
          </cell>
          <cell r="D7195" t="str">
            <v>Lapp-Non Moving Stocks</v>
          </cell>
        </row>
        <row r="7196">
          <cell r="A7196" t="str">
            <v>0037308 (UNITRONIC LiHCH 8x0,14_x000D_
)</v>
          </cell>
          <cell r="B7196" t="str">
            <v>0037308(UNITRONIC LiHCH 8x0,14_x000D_
)</v>
          </cell>
          <cell r="C7196" t="str">
            <v>LAPP</v>
          </cell>
          <cell r="D7196" t="str">
            <v>Lapp-Non Moving Stocks</v>
          </cell>
        </row>
        <row r="7197">
          <cell r="A7197" t="str">
            <v>0037408 (UNITRONIC LiHCH 8x0,25_x000D_
)</v>
          </cell>
          <cell r="B7197" t="str">
            <v>0037408(UNITRONIC LiHCH 8x0,25_x000D_
)</v>
          </cell>
          <cell r="C7197" t="str">
            <v>LAPP</v>
          </cell>
          <cell r="D7197" t="str">
            <v>Lapp-Non Moving Stocks</v>
          </cell>
        </row>
        <row r="7198">
          <cell r="A7198" t="str">
            <v>0038303 (UNITRONIC LiHCH (TP) 3x2x0,14)</v>
          </cell>
          <cell r="B7198" t="str">
            <v>0038303(UNITRONIC LiHCH (TP) 3x2x0,14)</v>
          </cell>
          <cell r="C7198" t="str">
            <v>LAPP</v>
          </cell>
          <cell r="D7198" t="str">
            <v>Lapp-Non Moving Stocks</v>
          </cell>
        </row>
        <row r="7199">
          <cell r="A7199" t="str">
            <v>0037325 (UNITRONIC® LiHCH 25x0,14)</v>
          </cell>
          <cell r="B7199" t="str">
            <v>0037325(UNITRONIC® LiHCH 25x0,14)</v>
          </cell>
          <cell r="C7199" t="str">
            <v>LAPP</v>
          </cell>
          <cell r="D7199" t="str">
            <v>Lapp-Non Moving Stocks</v>
          </cell>
        </row>
        <row r="7200">
          <cell r="A7200" t="str">
            <v>0037304 (UNITRONIC® LiHCH 4x0,14)</v>
          </cell>
          <cell r="B7200" t="str">
            <v>0037304(UNITRONIC® LiHCH 4x0,14)</v>
          </cell>
          <cell r="C7200" t="str">
            <v>LAPP</v>
          </cell>
          <cell r="D7200" t="str">
            <v>Lapp-Non Moving Stocks</v>
          </cell>
        </row>
        <row r="7201">
          <cell r="A7201" t="str">
            <v>0037406 (UNITRONIC® LiHCH 6x0,25)</v>
          </cell>
          <cell r="B7201" t="str">
            <v>0037406(UNITRONIC® LiHCH 6x0,25)</v>
          </cell>
          <cell r="C7201" t="str">
            <v>LAPP</v>
          </cell>
          <cell r="D7201" t="str">
            <v>Lapp-Non Moving Stocks</v>
          </cell>
        </row>
        <row r="7202">
          <cell r="A7202" t="str">
            <v>0037150 (UNITRONIC LiHH 2x0,5_x000D_
)</v>
          </cell>
          <cell r="B7202" t="str">
            <v>0037150(UNITRONIC LiHH 2x0,5_x000D_
)</v>
          </cell>
          <cell r="C7202" t="str">
            <v>LAPP</v>
          </cell>
          <cell r="D7202" t="str">
            <v>Lapp-Non Moving Stocks</v>
          </cell>
        </row>
        <row r="7203">
          <cell r="A7203" t="str">
            <v>0037121 (UNITRONIC LiHH 3x0,25_x000D_
)</v>
          </cell>
          <cell r="B7203" t="str">
            <v>0037121(UNITRONIC LiHH 3x0,25_x000D_
)</v>
          </cell>
          <cell r="C7203" t="str">
            <v>LAPP</v>
          </cell>
          <cell r="D7203" t="str">
            <v>Lapp-Non Moving Stocks</v>
          </cell>
        </row>
        <row r="7204">
          <cell r="A7204" t="str">
            <v>0037151 (UNITRONIC LiHH 3x0,5_x000D_
)</v>
          </cell>
          <cell r="B7204" t="str">
            <v>0037151(UNITRONIC LiHH 3x0,5_x000D_
)</v>
          </cell>
          <cell r="C7204" t="str">
            <v>LAPP</v>
          </cell>
          <cell r="D7204" t="str">
            <v>Lapp-Non Moving Stocks</v>
          </cell>
        </row>
        <row r="7205">
          <cell r="A7205" t="str">
            <v>0037142 (UNITRONIC LiHH 4x0,34)</v>
          </cell>
          <cell r="B7205" t="str">
            <v>0037142(UNITRONIC LiHH 4x0,34)</v>
          </cell>
          <cell r="C7205" t="str">
            <v>LAPP</v>
          </cell>
          <cell r="D7205" t="str">
            <v>Lapp-Non Moving Stocks</v>
          </cell>
        </row>
        <row r="7206">
          <cell r="A7206" t="str">
            <v>4125001S (LiY 1x0,14 BK_x000D_
)</v>
          </cell>
          <cell r="B7206" t="str">
            <v>4125001S(LiY 1x0,14 BK_x000D_
)</v>
          </cell>
          <cell r="C7206" t="str">
            <v>LAPP</v>
          </cell>
          <cell r="D7206" t="str">
            <v>Lapp-Non Moving Stocks</v>
          </cell>
        </row>
        <row r="7207">
          <cell r="A7207" t="str">
            <v>4126004S_x000D_
 (LiY 1x0,25 BG_x000D_
)</v>
          </cell>
          <cell r="B7207" t="str">
            <v>4126004S_x000D_
(LiY 1x0,25 BG_x000D_
)</v>
          </cell>
          <cell r="C7207" t="str">
            <v>LAPP</v>
          </cell>
          <cell r="D7207" t="str">
            <v>Lapp-Non Moving Stocks</v>
          </cell>
        </row>
        <row r="7208">
          <cell r="A7208" t="str">
            <v>4126014S (LiY 1x0,25 DBU_x000D_
)</v>
          </cell>
          <cell r="B7208" t="str">
            <v>4126014S(LiY 1x0,25 DBU_x000D_
)</v>
          </cell>
          <cell r="C7208" t="str">
            <v>LAPP</v>
          </cell>
          <cell r="D7208" t="str">
            <v>Lapp-Non Moving Stocks</v>
          </cell>
        </row>
        <row r="7209">
          <cell r="A7209" t="str">
            <v>0034312 ("UNITRONIC LiYCY 12x0,14"_x000D_
)</v>
          </cell>
          <cell r="B7209" t="str">
            <v>0034312("UNITRONIC LiYCY 12x0,14"_x000D_
)</v>
          </cell>
          <cell r="C7209" t="str">
            <v>LAPP</v>
          </cell>
          <cell r="D7209" t="str">
            <v>Lapp-Non Moving Stocks</v>
          </cell>
        </row>
        <row r="7210">
          <cell r="A7210" t="str">
            <v>0034712_x000D_
 ("UNITRONIC LIYCY    12X0,75"_x000D_
)</v>
          </cell>
          <cell r="B7210" t="str">
            <v>0034712_x000D_
("UNITRONIC LIYCY 12X0,75"_x000D_
)</v>
          </cell>
          <cell r="C7210" t="str">
            <v>LAPP</v>
          </cell>
          <cell r="D7210" t="str">
            <v>Lapp-Non Moving Stocks</v>
          </cell>
        </row>
        <row r="7211">
          <cell r="A7211" t="str">
            <v>0034414_x000D_
 ("UNITRONIC LiYCY 14x0,25"_x000D_
)</v>
          </cell>
          <cell r="B7211" t="str">
            <v>0034414_x000D_
("UNITRONIC LiYCY 14x0,25"_x000D_
)</v>
          </cell>
          <cell r="C7211" t="str">
            <v>LAPP</v>
          </cell>
          <cell r="D7211" t="str">
            <v>Lapp-Non Moving Stocks</v>
          </cell>
        </row>
        <row r="7212">
          <cell r="A7212" t="str">
            <v>0034516_x000D_
 ("UNITRONIC LiYCY 16x0,34"_x000D_
)</v>
          </cell>
          <cell r="B7212" t="str">
            <v>0034516_x000D_
("UNITRONIC LiYCY 16x0,34"_x000D_
)</v>
          </cell>
          <cell r="C7212" t="str">
            <v>LAPP</v>
          </cell>
          <cell r="D7212" t="str">
            <v>Lapp-Non Moving Stocks</v>
          </cell>
        </row>
        <row r="7213">
          <cell r="A7213" t="str">
            <v>0034605_x000D_
 ("UNITRONIC LiYCY 5x0,5"_x000D_
)</v>
          </cell>
          <cell r="B7213" t="str">
            <v>0034605 ("UNITRONIC LiYCY 5x0,5" )</v>
          </cell>
          <cell r="C7213" t="str">
            <v>LAPP</v>
          </cell>
          <cell r="D7213" t="str">
            <v>Lapp-Non Moving Stocks</v>
          </cell>
        </row>
        <row r="7214">
          <cell r="A7214" t="str">
            <v>0034308_x000D_
 ("UNITRONIC LiYCY 8x0,14"_x000D_
)</v>
          </cell>
          <cell r="B7214" t="str">
            <v>0034308_x000D_
("UNITRONIC LiYCY 8x0,14"_x000D_
)</v>
          </cell>
          <cell r="C7214" t="str">
            <v>LAPP</v>
          </cell>
          <cell r="D7214" t="str">
            <v>Lapp-Non Moving Stocks</v>
          </cell>
        </row>
        <row r="7215">
          <cell r="A7215" t="str">
            <v>4530103 (LiYCY 1x0,5_x000D_
)</v>
          </cell>
          <cell r="B7215" t="str">
            <v>4530103(LiYCY 1x0,5_x000D_
)</v>
          </cell>
          <cell r="C7215" t="str">
            <v>LAPP</v>
          </cell>
          <cell r="D7215" t="str">
            <v>Lapp-Non Moving Stocks</v>
          </cell>
        </row>
        <row r="7216">
          <cell r="A7216" t="str">
            <v>4530104_x000D_
 (LiYCY 1x0,75)</v>
          </cell>
          <cell r="B7216" t="str">
            <v>4530104_x000D_
(LiYCY 1x0,75)</v>
          </cell>
          <cell r="C7216" t="str">
            <v>LAPP</v>
          </cell>
          <cell r="D7216" t="str">
            <v>Lapp-Non Moving Stocks</v>
          </cell>
        </row>
        <row r="7217">
          <cell r="A7217" t="str">
            <v xml:space="preserve">SPL Liycy 4x0.34_x000D_
</v>
          </cell>
          <cell r="B7217" t="e">
            <v>#N/A</v>
          </cell>
          <cell r="C7217" t="str">
            <v>LAPP</v>
          </cell>
          <cell r="D7217" t="str">
            <v>Lapp-Non Moving Stocks</v>
          </cell>
        </row>
        <row r="7218">
          <cell r="A7218" t="str">
            <v>0031360_x000D_
 (UNITRONIC Li2YCYv (TP) 2x2x0,5_x000D_
)</v>
          </cell>
          <cell r="B7218" t="str">
            <v>0031360 (UNITRONIC Li2YCYv (TP) 2x2x0,5 )</v>
          </cell>
          <cell r="C7218" t="str">
            <v>LAPP</v>
          </cell>
          <cell r="D7218" t="str">
            <v>Lapp-Non Moving Stocks</v>
          </cell>
        </row>
        <row r="7219">
          <cell r="A7219" t="str">
            <v>0034510 (UNITRONIC LiYCY 10x0,34_x000D_
)</v>
          </cell>
          <cell r="B7219" t="str">
            <v>0034510(UNITRONIC LiYCY 10x0,34_x000D_
)</v>
          </cell>
          <cell r="C7219" t="str">
            <v>LAPP</v>
          </cell>
          <cell r="D7219" t="str">
            <v>Lapp-Non Moving Stocks</v>
          </cell>
        </row>
        <row r="7220">
          <cell r="A7220" t="str">
            <v>0034610_x000D_
 (UNITRONIC LiYCY 10x0,5_x000D_
)</v>
          </cell>
          <cell r="B7220" t="str">
            <v>0034610_x000D_
(UNITRONIC LiYCY 10x0,5_x000D_
)</v>
          </cell>
          <cell r="C7220" t="str">
            <v>LAPP</v>
          </cell>
          <cell r="D7220" t="str">
            <v>Lapp-Non Moving Stocks</v>
          </cell>
        </row>
        <row r="7221">
          <cell r="A7221" t="str">
            <v>0034710 (UNITRONIC LIYCY 10X0,75_x000D_
)</v>
          </cell>
          <cell r="B7221" t="str">
            <v>0034710(UNITRONIC LIYCY 10X0,75_x000D_
)</v>
          </cell>
          <cell r="C7221" t="str">
            <v>LAPP</v>
          </cell>
          <cell r="D7221" t="str">
            <v>Lapp-Non Moving Stocks</v>
          </cell>
        </row>
        <row r="7222">
          <cell r="A7222" t="str">
            <v>0034810 (UNITRONIC LIYCY 10X1)</v>
          </cell>
          <cell r="B7222" t="str">
            <v>0034810(UNITRONIC LIYCY 10X1)</v>
          </cell>
          <cell r="C7222" t="str">
            <v>LAPP</v>
          </cell>
          <cell r="D7222" t="str">
            <v>Lapp-Non Moving Stocks</v>
          </cell>
        </row>
        <row r="7223">
          <cell r="A7223" t="str">
            <v>0034512_x000D_
 (UNITRONIC LiYCY 12x0,34_x000D_
)</v>
          </cell>
          <cell r="B7223" t="str">
            <v>0034512_x000D_
(UNITRONIC LiYCY 12x0,34_x000D_
)</v>
          </cell>
          <cell r="C7223" t="str">
            <v>LAPP</v>
          </cell>
          <cell r="D7223" t="str">
            <v>Lapp-Non Moving Stocks</v>
          </cell>
        </row>
        <row r="7224">
          <cell r="A7224" t="str">
            <v>0034612 (UNITRONIC LiYCY 12x0,5)</v>
          </cell>
          <cell r="B7224" t="str">
            <v>0034612(UNITRONIC LiYCY 12x0,5)</v>
          </cell>
          <cell r="C7224" t="str">
            <v>LAPP</v>
          </cell>
          <cell r="D7224" t="str">
            <v>Lapp-Non Moving Stocks</v>
          </cell>
        </row>
        <row r="7225">
          <cell r="A7225" t="str">
            <v>0034812 (UNITRONIC LIYCY    12X1_x000D_
)</v>
          </cell>
          <cell r="B7225" t="str">
            <v>0034812(UNITRONIC LIYCY    12X1_x000D_
)</v>
          </cell>
          <cell r="C7225" t="str">
            <v>LAPP</v>
          </cell>
          <cell r="D7225" t="str">
            <v>Lapp-Non Moving Stocks</v>
          </cell>
        </row>
        <row r="7226">
          <cell r="A7226" t="str">
            <v>0034912 (UNITRONIC LIYCY 12X1,5)</v>
          </cell>
          <cell r="B7226" t="str">
            <v>0034912(UNITRONIC LIYCY 12X1,5)</v>
          </cell>
          <cell r="C7226" t="str">
            <v>LAPP</v>
          </cell>
          <cell r="D7226" t="str">
            <v>Lapp-Non Moving Stocks</v>
          </cell>
        </row>
        <row r="7227">
          <cell r="A7227" t="str">
            <v>0034314 (UNITRONIC LiYCY 14x0,14)</v>
          </cell>
          <cell r="B7227" t="str">
            <v>0034314(UNITRONIC LiYCY 14x0,14)</v>
          </cell>
          <cell r="C7227" t="str">
            <v>LAPP</v>
          </cell>
          <cell r="D7227" t="str">
            <v>Lapp-Non Moving Stocks</v>
          </cell>
        </row>
        <row r="7228">
          <cell r="A7228" t="str">
            <v>0034415 (Unitronic LIYCY 15x0.25)</v>
          </cell>
          <cell r="B7228" t="str">
            <v>0034415(Unitronic LIYCY 15x0.25)</v>
          </cell>
          <cell r="C7228" t="str">
            <v>LAPP</v>
          </cell>
          <cell r="D7228" t="str">
            <v>Lapp-Non Moving Stocks</v>
          </cell>
        </row>
        <row r="7229">
          <cell r="A7229" t="str">
            <v>0034515 (UNITRONIC LiYCY 15x0,34_x000D_
)</v>
          </cell>
          <cell r="B7229" t="str">
            <v>0034515(UNITRONIC LiYCY 15x0,34_x000D_
)</v>
          </cell>
          <cell r="C7229" t="str">
            <v>LAPP</v>
          </cell>
          <cell r="D7229" t="str">
            <v>Lapp-Non Moving Stocks</v>
          </cell>
        </row>
        <row r="7230">
          <cell r="A7230" t="str">
            <v>0034316 (UNITRONIC LiYCY 16x0,14_x000D_
)</v>
          </cell>
          <cell r="B7230" t="str">
            <v>0034316(UNITRONIC LiYCY 16x0,14_x000D_
)</v>
          </cell>
          <cell r="C7230" t="str">
            <v>LAPP</v>
          </cell>
          <cell r="D7230" t="str">
            <v>Lapp-Non Moving Stocks</v>
          </cell>
        </row>
        <row r="7231">
          <cell r="A7231" t="str">
            <v>0034518_x000D_
 (UNITRONIC LiYCY 18x0,34_x000D_
)</v>
          </cell>
          <cell r="B7231" t="str">
            <v>0034518_x000D_
(UNITRONIC LiYCY 18x0,34_x000D_
)</v>
          </cell>
          <cell r="C7231" t="str">
            <v>LAPP</v>
          </cell>
          <cell r="D7231" t="str">
            <v>Lapp-Non Moving Stocks</v>
          </cell>
        </row>
        <row r="7232">
          <cell r="A7232" t="str">
            <v>0034618 (UNITRONIC LiYCY 18x0,5)</v>
          </cell>
          <cell r="B7232" t="str">
            <v>0034618(UNITRONIC LiYCY 18x0,5)</v>
          </cell>
          <cell r="C7232" t="str">
            <v>LAPP</v>
          </cell>
          <cell r="D7232" t="str">
            <v>Lapp-Non Moving Stocks</v>
          </cell>
        </row>
        <row r="7233">
          <cell r="A7233" t="str">
            <v>0034718 (UNITRONIC LIYCY 18X0,75)</v>
          </cell>
          <cell r="B7233" t="str">
            <v>0034718(UNITRONIC LIYCY 18X0,75)</v>
          </cell>
          <cell r="C7233" t="str">
            <v>LAPP</v>
          </cell>
          <cell r="D7233" t="str">
            <v>Lapp-Non Moving Stocks</v>
          </cell>
        </row>
        <row r="7234">
          <cell r="A7234" t="str">
            <v>0034818 (UNITRONIC LIYCY    18X1_x000D_
)</v>
          </cell>
          <cell r="B7234" t="str">
            <v>0034818(UNITRONIC LIYCY 18X1_x000D_
)</v>
          </cell>
          <cell r="C7234" t="str">
            <v>LAPP</v>
          </cell>
          <cell r="D7234" t="str">
            <v>Lapp-Non Moving Stocks</v>
          </cell>
        </row>
        <row r="7235">
          <cell r="A7235" t="str">
            <v>0034320 (UNITRONIC LiYCY 20x0,14)</v>
          </cell>
          <cell r="B7235" t="str">
            <v>0034320(UNITRONIC LiYCY 20x0,14)</v>
          </cell>
          <cell r="C7235" t="str">
            <v>LAPP</v>
          </cell>
          <cell r="D7235" t="str">
            <v>Lapp-Non Moving Stocks</v>
          </cell>
        </row>
        <row r="7236">
          <cell r="A7236" t="str">
            <v>0034420 (UNITRONIC LiYCY 20x0,25)</v>
          </cell>
          <cell r="B7236" t="str">
            <v>0034420(UNITRONIC LiYCY 20x0,25)</v>
          </cell>
          <cell r="C7236" t="str">
            <v>LAPP</v>
          </cell>
          <cell r="D7236" t="str">
            <v>Lapp-Non Moving Stocks</v>
          </cell>
        </row>
        <row r="7237">
          <cell r="A7237" t="str">
            <v>0034520 (UNITRONIC LiYCY 20x0,34)</v>
          </cell>
          <cell r="B7237" t="str">
            <v>0034520(UNITRONIC LiYCY 20x0,34)</v>
          </cell>
          <cell r="C7237" t="str">
            <v>LAPP</v>
          </cell>
          <cell r="D7237" t="str">
            <v>Lapp-Non Moving Stocks</v>
          </cell>
        </row>
        <row r="7238">
          <cell r="A7238" t="str">
            <v>0034620_x000D_
 (UNITRONIC LiYCY 20x0,5)</v>
          </cell>
          <cell r="B7238" t="str">
            <v>0034620_x000D_
(UNITRONIC LiYCY 20x0,5)</v>
          </cell>
          <cell r="C7238" t="str">
            <v>LAPP</v>
          </cell>
          <cell r="D7238" t="str">
            <v>Lapp-Non Moving Stocks</v>
          </cell>
        </row>
        <row r="7239">
          <cell r="A7239" t="str">
            <v>0034325 (UNITRONIC LiYCY 25x0,14_x000D_
)</v>
          </cell>
          <cell r="B7239" t="str">
            <v>0034325(UNITRONIC LiYCY 25x0,14_x000D_
)</v>
          </cell>
          <cell r="C7239" t="str">
            <v>LAPP</v>
          </cell>
          <cell r="D7239" t="str">
            <v>Lapp-Non Moving Stocks</v>
          </cell>
        </row>
        <row r="7240">
          <cell r="A7240" t="str">
            <v>0034425 (UNITRONIC LiYCY 25x0,25)</v>
          </cell>
          <cell r="B7240" t="str">
            <v>0034425(UNITRONIC LiYCY 25x0,25)</v>
          </cell>
          <cell r="C7240" t="str">
            <v>LAPP</v>
          </cell>
          <cell r="D7240" t="str">
            <v>Lapp-Non Moving Stocks</v>
          </cell>
        </row>
        <row r="7241">
          <cell r="A7241" t="str">
            <v>0034525_x000D_
 (UNITRONIC LiYCY 25x0,34_x000D_
)</v>
          </cell>
          <cell r="B7241" t="str">
            <v>0034525_x000D_
(UNITRONIC LiYCY 25x0,34_x000D_
)</v>
          </cell>
          <cell r="C7241" t="str">
            <v>LAPP</v>
          </cell>
          <cell r="D7241" t="str">
            <v>Lapp-Non Moving Stocks</v>
          </cell>
        </row>
        <row r="7242">
          <cell r="A7242" t="str">
            <v>0034625_x000D_
 (UNITRONIC LiYCY 25x0,5_x000D_
)</v>
          </cell>
          <cell r="B7242" t="str">
            <v>0034625_x000D_
(UNITRONIC LiYCY 25x0,5_x000D_
)</v>
          </cell>
          <cell r="C7242" t="str">
            <v>LAPP</v>
          </cell>
          <cell r="D7242" t="str">
            <v>Lapp-Non Moving Stocks</v>
          </cell>
        </row>
        <row r="7243">
          <cell r="A7243" t="str">
            <v>0034825 (UNITRONIC LIYCY 25X1_x000D_
)</v>
          </cell>
          <cell r="B7243" t="str">
            <v>0034825(UNITRONIC LIYCY 25X1_x000D_
)</v>
          </cell>
          <cell r="C7243" t="str">
            <v>LAPP</v>
          </cell>
          <cell r="D7243" t="str">
            <v>Lapp-Non Moving Stocks</v>
          </cell>
        </row>
        <row r="7244">
          <cell r="A7244" t="str">
            <v>0034302 (UNITRONIC LiYCY 2x0,14)</v>
          </cell>
          <cell r="B7244" t="str">
            <v>0034302(UNITRONIC LiYCY 2x0,14)</v>
          </cell>
          <cell r="C7244" t="str">
            <v>LAPP</v>
          </cell>
          <cell r="D7244" t="str">
            <v>Lapp-Non Moving Stocks</v>
          </cell>
        </row>
        <row r="7245">
          <cell r="A7245" t="str">
            <v>0034502 (UNITRONIC LiYCY 2x0,34)</v>
          </cell>
          <cell r="B7245" t="str">
            <v>0034502(UNITRONIC LiYCY 2x0,34)</v>
          </cell>
          <cell r="C7245" t="str">
            <v>LAPP</v>
          </cell>
          <cell r="D7245" t="str">
            <v>Lapp-Non Moving Stocks</v>
          </cell>
        </row>
        <row r="7246">
          <cell r="A7246" t="str">
            <v>0034802 (UNITRONIC LIYCY 2X1)</v>
          </cell>
          <cell r="B7246" t="str">
            <v>0034802(UNITRONIC LIYCY 2X1)</v>
          </cell>
          <cell r="C7246" t="str">
            <v>LAPP</v>
          </cell>
          <cell r="D7246" t="str">
            <v>Lapp-Non Moving Stocks</v>
          </cell>
        </row>
        <row r="7247">
          <cell r="A7247" t="str">
            <v>0034902 (UNITRONIC LIYCY 2X1,5)</v>
          </cell>
          <cell r="B7247" t="str">
            <v>0034902(UNITRONIC LIYCY 2X1,5)</v>
          </cell>
          <cell r="C7247" t="str">
            <v>LAPP</v>
          </cell>
          <cell r="D7247" t="str">
            <v>Lapp-Non Moving Stocks</v>
          </cell>
        </row>
        <row r="7248">
          <cell r="A7248" t="str">
            <v>0034530 (UNITRONIC LiYCY 30x0,34_x000D_
)</v>
          </cell>
          <cell r="B7248" t="str">
            <v>0034530(UNITRONIC LiYCY 30x0,34_x000D_
)</v>
          </cell>
          <cell r="C7248" t="str">
            <v>LAPP</v>
          </cell>
          <cell r="D7248" t="str">
            <v>Lapp-Non Moving Stocks</v>
          </cell>
        </row>
        <row r="7249">
          <cell r="A7249" t="str">
            <v>0034630 (UNITRONIC LiYCY 30x0,5_x000D_
)</v>
          </cell>
          <cell r="B7249" t="str">
            <v>0034630(UNITRONIC LiYCY 30x0,5_x000D_
)</v>
          </cell>
          <cell r="C7249" t="str">
            <v>LAPP</v>
          </cell>
          <cell r="D7249" t="str">
            <v>Lapp-Non Moving Stocks</v>
          </cell>
        </row>
        <row r="7250">
          <cell r="A7250" t="str">
            <v>0034730 (UNITRONIC LIYCY    30X0,75)</v>
          </cell>
          <cell r="B7250" t="str">
            <v>0034730(UNITRONIC LIYCY    30X0,75)</v>
          </cell>
          <cell r="C7250" t="str">
            <v>LAPP</v>
          </cell>
          <cell r="D7250" t="str">
            <v>Lapp-Non Moving Stocks</v>
          </cell>
        </row>
        <row r="7251">
          <cell r="A7251" t="str">
            <v>0034432 (UNITRONIC LiYCY 32x0,25_x000D_
)</v>
          </cell>
          <cell r="B7251" t="str">
            <v>0034432(UNITRONIC LiYCY 32x0,25_x000D_
)</v>
          </cell>
          <cell r="C7251" t="str">
            <v>LAPP</v>
          </cell>
          <cell r="D7251" t="str">
            <v>Lapp-Non Moving Stocks</v>
          </cell>
        </row>
        <row r="7252">
          <cell r="A7252" t="str">
            <v>0034532 (UNITRONIC LiYCY 32x0,34_x000D_
)</v>
          </cell>
          <cell r="B7252" t="str">
            <v>0034532(UNITRONIC LiYCY 32x0,34_x000D_
)</v>
          </cell>
          <cell r="C7252" t="str">
            <v>LAPP</v>
          </cell>
          <cell r="D7252" t="str">
            <v>Lapp-Non Moving Stocks</v>
          </cell>
        </row>
        <row r="7253">
          <cell r="A7253" t="str">
            <v>0034336 (UNITRONIC LiYCY 36x0,14_x000D_
)</v>
          </cell>
          <cell r="B7253" t="str">
            <v>0034336(UNITRONIC LiYCY 36x0,14_x000D_
)</v>
          </cell>
          <cell r="C7253" t="str">
            <v>LAPP</v>
          </cell>
          <cell r="D7253" t="str">
            <v>Lapp-Non Moving Stocks</v>
          </cell>
        </row>
        <row r="7254">
          <cell r="A7254" t="str">
            <v>0034303 (UNITRONIC LiYCY 3x0,14_x000D_
)</v>
          </cell>
          <cell r="B7254" t="str">
            <v>0034303(UNITRONIC LiYCY 3x0,14_x000D_
)</v>
          </cell>
          <cell r="C7254" t="str">
            <v>LAPP</v>
          </cell>
          <cell r="D7254" t="str">
            <v>Lapp-Non Moving Stocks</v>
          </cell>
        </row>
        <row r="7255">
          <cell r="A7255" t="str">
            <v>0034903_x000D_
 (UNITRONIC LIYCY 3X1,5_x000D_
)</v>
          </cell>
          <cell r="B7255" t="str">
            <v>0034903_x000D_
(UNITRONIC LIYCY 3X1,5_x000D_
)</v>
          </cell>
          <cell r="C7255" t="str">
            <v>LAPP</v>
          </cell>
          <cell r="D7255" t="str">
            <v>Lapp-Non Moving Stocks</v>
          </cell>
        </row>
        <row r="7256">
          <cell r="A7256" t="str">
            <v>0034340_x000D_
 (UNITRONIC LiYCY 40x0,14_x000D_
)</v>
          </cell>
          <cell r="B7256" t="str">
            <v>0034340_x000D_
(UNITRONIC LiYCY 40x0,14_x000D_
)</v>
          </cell>
          <cell r="C7256" t="str">
            <v>LAPP</v>
          </cell>
          <cell r="D7256" t="str">
            <v>Lapp-Non Moving Stocks</v>
          </cell>
        </row>
        <row r="7257">
          <cell r="A7257" t="str">
            <v>0034440 (UNITRONIC LiYCY 40x0,25)</v>
          </cell>
          <cell r="B7257" t="str">
            <v>0034440(UNITRONIC LiYCY 40x0,25)</v>
          </cell>
          <cell r="C7257" t="str">
            <v>LAPP</v>
          </cell>
          <cell r="D7257" t="str">
            <v>Lapp-Non Moving Stocks</v>
          </cell>
        </row>
        <row r="7258">
          <cell r="A7258" t="str">
            <v>0034540 (UNITRONIC LiYCY 40x0,34)</v>
          </cell>
          <cell r="B7258" t="str">
            <v>0034540(UNITRONIC LiYCY 40x0,34)</v>
          </cell>
          <cell r="C7258" t="str">
            <v>LAPP</v>
          </cell>
          <cell r="D7258" t="str">
            <v>Lapp-Non Moving Stocks</v>
          </cell>
        </row>
        <row r="7259">
          <cell r="A7259" t="str">
            <v>0034304_x000D_
 (UNITRONIC LiYCY 4x0,14_x000D_
)</v>
          </cell>
          <cell r="B7259" t="str">
            <v>0034304_x000D_
(UNITRONIC LiYCY 4x0,14_x000D_
)</v>
          </cell>
          <cell r="C7259" t="str">
            <v>LAPP</v>
          </cell>
          <cell r="D7259" t="str">
            <v>Lapp-Non Moving Stocks</v>
          </cell>
        </row>
        <row r="7260">
          <cell r="A7260" t="str">
            <v>0034504 (UNITRONIC LiYCY 4x0,34)</v>
          </cell>
          <cell r="B7260" t="str">
            <v>0034504(UNITRONIC LiYCY 4x0,34)</v>
          </cell>
          <cell r="C7260" t="str">
            <v>LAPP</v>
          </cell>
          <cell r="D7260" t="str">
            <v>Lapp-Non Moving Stocks</v>
          </cell>
        </row>
        <row r="7261">
          <cell r="A7261" t="str">
            <v>0034804 (UNITRONIC LIYCY 4X1)</v>
          </cell>
          <cell r="B7261" t="str">
            <v>0034804(UNITRONIC LIYCY 4X1)</v>
          </cell>
          <cell r="C7261" t="str">
            <v>LAPP</v>
          </cell>
          <cell r="D7261" t="str">
            <v>Lapp-Non Moving Stocks</v>
          </cell>
        </row>
        <row r="7262">
          <cell r="A7262" t="str">
            <v>0034350_x000D_
 (UNITRONIC LiYCY 50x0,14_x000D_
)</v>
          </cell>
          <cell r="B7262" t="str">
            <v>0034350_x000D_
(UNITRONIC LiYCY 50x0,14_x000D_
)</v>
          </cell>
          <cell r="C7262" t="str">
            <v>LAPP</v>
          </cell>
          <cell r="D7262" t="str">
            <v>Lapp-Non Moving Stocks</v>
          </cell>
        </row>
        <row r="7263">
          <cell r="A7263" t="str">
            <v>0034450 (UNITRONIC LiYCY 50x0,25)</v>
          </cell>
          <cell r="B7263" t="str">
            <v>0034450(UNITRONIC LiYCY 50x0,25)</v>
          </cell>
          <cell r="C7263" t="str">
            <v>LAPP</v>
          </cell>
          <cell r="D7263" t="str">
            <v>Lapp-Non Moving Stocks</v>
          </cell>
        </row>
        <row r="7264">
          <cell r="A7264" t="str">
            <v>0034305 (UNITRONIC LiYCY 5x0,14_x000D_
)</v>
          </cell>
          <cell r="B7264" t="str">
            <v>0034305(UNITRONIC LiYCY 5x0,14_x000D_
)</v>
          </cell>
          <cell r="C7264" t="str">
            <v>LAPP</v>
          </cell>
          <cell r="D7264" t="str">
            <v>Lapp-Non Moving Stocks</v>
          </cell>
        </row>
        <row r="7265">
          <cell r="A7265" t="str">
            <v>0034505 (UNITRONIC LiYCY 5x0,34)</v>
          </cell>
          <cell r="B7265" t="str">
            <v>0034505(UNITRONIC LiYCY 5x0,34)</v>
          </cell>
          <cell r="C7265" t="str">
            <v>LAPP</v>
          </cell>
          <cell r="D7265" t="str">
            <v>Lapp-Non Moving Stocks</v>
          </cell>
        </row>
        <row r="7266">
          <cell r="A7266" t="str">
            <v>0034705 (UNITRONIC LIYCY 5X0,75)</v>
          </cell>
          <cell r="B7266" t="str">
            <v>0034705(UNITRONIC LIYCY 5X0,75)</v>
          </cell>
          <cell r="C7266" t="str">
            <v>LAPP</v>
          </cell>
          <cell r="D7266" t="str">
            <v>Lapp-Non Moving Stocks</v>
          </cell>
        </row>
        <row r="7267">
          <cell r="A7267" t="str">
            <v>0034805 (UNITRONIC LIYCY 5X1)</v>
          </cell>
          <cell r="B7267" t="str">
            <v>0034805(UNITRONIC LIYCY 5X1)</v>
          </cell>
          <cell r="C7267" t="str">
            <v>LAPP</v>
          </cell>
          <cell r="D7267" t="str">
            <v>Lapp-Non Moving Stocks</v>
          </cell>
        </row>
        <row r="7268">
          <cell r="A7268" t="str">
            <v>0034905 (UNITRONIC LIYCY 5X1,5_x000D_
)</v>
          </cell>
          <cell r="B7268" t="str">
            <v>0034905(UNITRONIC LIYCY 5X1,5_x000D_
)</v>
          </cell>
          <cell r="C7268" t="str">
            <v>LAPP</v>
          </cell>
          <cell r="D7268" t="str">
            <v>Lapp-Non Moving Stocks</v>
          </cell>
        </row>
        <row r="7269">
          <cell r="A7269" t="str">
            <v>0034461 (UNITRONIC LiYCY 61x0,25_x000D_
)</v>
          </cell>
          <cell r="B7269" t="str">
            <v>0034461(UNITRONIC LiYCY 61x0,25_x000D_
)</v>
          </cell>
          <cell r="C7269" t="str">
            <v>LAPP</v>
          </cell>
          <cell r="D7269" t="str">
            <v>Lapp-Non Moving Stocks</v>
          </cell>
        </row>
        <row r="7270">
          <cell r="A7270" t="str">
            <v>0034306 (UNITRONIC LiYCY 6x0,14)</v>
          </cell>
          <cell r="B7270" t="str">
            <v>0034306(UNITRONIC LiYCY 6x0,14)</v>
          </cell>
          <cell r="C7270" t="str">
            <v>LAPP</v>
          </cell>
          <cell r="D7270" t="str">
            <v>Lapp-Non Moving Stocks</v>
          </cell>
        </row>
        <row r="7271">
          <cell r="A7271" t="str">
            <v>0034506 (UNITRONIC LiYCY 6x0,34)</v>
          </cell>
          <cell r="B7271" t="str">
            <v>0034506(UNITRONIC LiYCY 6x0,34)</v>
          </cell>
          <cell r="C7271" t="str">
            <v>LAPP</v>
          </cell>
          <cell r="D7271" t="str">
            <v>Lapp-Non Moving Stocks</v>
          </cell>
        </row>
        <row r="7272">
          <cell r="A7272" t="str">
            <v>0034606 (UNITRONIC LiYCY 6x0,5)</v>
          </cell>
          <cell r="B7272" t="str">
            <v>0034606(UNITRONIC LiYCY 6x0,5)</v>
          </cell>
          <cell r="C7272" t="str">
            <v>LAPP</v>
          </cell>
          <cell r="D7272" t="str">
            <v>Lapp-Non Moving Stocks</v>
          </cell>
        </row>
        <row r="7273">
          <cell r="A7273" t="str">
            <v>0034307 (UNITRONIC LiYCY 7x0,14_x000D_
)</v>
          </cell>
          <cell r="B7273" t="str">
            <v>0034307(UNITRONIC LiYCY 7x0,14_x000D_
)</v>
          </cell>
          <cell r="C7273" t="str">
            <v>LAPP</v>
          </cell>
          <cell r="D7273" t="str">
            <v>Lapp-Non Moving Stocks</v>
          </cell>
        </row>
        <row r="7274">
          <cell r="A7274" t="str">
            <v>0034507 (UNITRONIC LIYCY 7X0,34)</v>
          </cell>
          <cell r="B7274" t="str">
            <v>0034507(UNITRONIC LIYCY 7X0,34)</v>
          </cell>
          <cell r="C7274" t="str">
            <v>LAPP</v>
          </cell>
          <cell r="D7274" t="str">
            <v>Lapp-Non Moving Stocks</v>
          </cell>
        </row>
        <row r="7275">
          <cell r="A7275" t="str">
            <v>0034607 (UNITRONIC LiYCY 7x0,5)</v>
          </cell>
          <cell r="B7275" t="str">
            <v>0034607(UNITRONIC LiYCY 7x0,5)</v>
          </cell>
          <cell r="C7275" t="str">
            <v>LAPP</v>
          </cell>
          <cell r="D7275" t="str">
            <v>Lapp-Non Moving Stocks</v>
          </cell>
        </row>
        <row r="7276">
          <cell r="A7276" t="str">
            <v>0034807 (UNITRONIC LIYCY 7X1)</v>
          </cell>
          <cell r="B7276" t="str">
            <v>0034807(UNITRONIC LIYCY 7X1)</v>
          </cell>
          <cell r="C7276" t="str">
            <v>LAPP</v>
          </cell>
          <cell r="D7276" t="str">
            <v>Lapp-Non Moving Stocks</v>
          </cell>
        </row>
        <row r="7277">
          <cell r="A7277" t="str">
            <v>0034907 (UNITRONIC LIYCY 7X1,5)</v>
          </cell>
          <cell r="B7277" t="str">
            <v>0034907(UNITRONIC LIYCY 7X1,5)</v>
          </cell>
          <cell r="C7277" t="str">
            <v>LAPP</v>
          </cell>
          <cell r="D7277" t="str">
            <v>Lapp-Non Moving Stocks</v>
          </cell>
        </row>
        <row r="7278">
          <cell r="A7278" t="str">
            <v>0034508 (UNITRONIC LiYCY 8x0,34)</v>
          </cell>
          <cell r="B7278" t="str">
            <v>0034508(UNITRONIC LiYCY 8x0,34)</v>
          </cell>
          <cell r="C7278" t="str">
            <v>LAPP</v>
          </cell>
          <cell r="D7278" t="str">
            <v>Lapp-Non Moving Stocks</v>
          </cell>
        </row>
        <row r="7279">
          <cell r="A7279" t="str">
            <v>0035810 (UNITRONIC LiYCY (TP) 2x2x0,5)</v>
          </cell>
          <cell r="B7279" t="str">
            <v>0035810(UNITRONIC LiYCY (TP) 2x2x0,5)</v>
          </cell>
          <cell r="C7279" t="str">
            <v>LAPP</v>
          </cell>
          <cell r="D7279" t="str">
            <v>Lapp-Non Moving Stocks</v>
          </cell>
        </row>
        <row r="7280">
          <cell r="A7280" t="str">
            <v>0035811 (UNITRONIC LiYCY (TP) 3x2x0,5)</v>
          </cell>
          <cell r="B7280" t="str">
            <v>0035811(UNITRONIC LiYCY (TP) 3x2x0,5)</v>
          </cell>
          <cell r="C7280" t="str">
            <v>LAPP</v>
          </cell>
          <cell r="D7280" t="str">
            <v>Lapp-Non Moving Stocks</v>
          </cell>
        </row>
        <row r="7281">
          <cell r="A7281" t="str">
            <v>0035821 (UNITRONIC LiYCY (TP) 3x2x0,75)</v>
          </cell>
          <cell r="B7281" t="str">
            <v>0035821(UNITRONIC LiYCY (TP) 3x2x0,75)</v>
          </cell>
          <cell r="C7281" t="str">
            <v>LAPP</v>
          </cell>
          <cell r="D7281" t="str">
            <v>Lapp-Non Moving Stocks</v>
          </cell>
        </row>
        <row r="7282">
          <cell r="A7282" t="str">
            <v>0066244 (UNITRONIC LiYCY(TP) UL/CSA 4x2x20/7AWG_x000D_
)</v>
          </cell>
          <cell r="B7282" t="str">
            <v>0066244(UNITRONIC LiYCY(TP) UL/CSA 4x2x20/7AWG_x000D_
)</v>
          </cell>
          <cell r="C7282" t="str">
            <v>LAPP</v>
          </cell>
          <cell r="D7282" t="str">
            <v>Lapp-Non Moving Stocks</v>
          </cell>
        </row>
        <row r="7283">
          <cell r="A7283" t="str">
            <v>0034918 (UNITRONIC® LIYCY 18X1,5)</v>
          </cell>
          <cell r="B7283" t="str">
            <v>0034918(UNITRONIC® LIYCY 18X1,5)</v>
          </cell>
          <cell r="C7283" t="str">
            <v>LAPP</v>
          </cell>
          <cell r="D7283" t="str">
            <v>Lapp-Non Moving Stocks</v>
          </cell>
        </row>
        <row r="7284">
          <cell r="A7284" t="str">
            <v>0034328 (UNITRONIC® LiYCY 28x0,14)</v>
          </cell>
          <cell r="B7284" t="str">
            <v>0034328(UNITRONIC® LiYCY 28x0,14)</v>
          </cell>
          <cell r="C7284" t="str">
            <v>LAPP</v>
          </cell>
          <cell r="D7284" t="str">
            <v>Lapp-Non Moving Stocks</v>
          </cell>
        </row>
        <row r="7285">
          <cell r="A7285" t="str">
            <v>0044703 (UNITRONIC LiYCY A 3XAWG22/7)</v>
          </cell>
          <cell r="B7285" t="str">
            <v>0044703(UNITRONIC LiYCY A 3XAWG22/7)</v>
          </cell>
          <cell r="C7285" t="str">
            <v>LAPP</v>
          </cell>
          <cell r="D7285" t="str">
            <v>Lapp-Non Moving Stocks</v>
          </cell>
        </row>
        <row r="7286">
          <cell r="A7286" t="str">
            <v>0044721 (UNITRONIC® LiYCY A 21XAWG22/7)</v>
          </cell>
          <cell r="B7286" t="str">
            <v>0044721(UNITRONIC® LiYCY A 21XAWG22/7)</v>
          </cell>
          <cell r="C7286" t="str">
            <v>LAPP</v>
          </cell>
          <cell r="D7286" t="str">
            <v>Lapp-Non Moving Stocks</v>
          </cell>
        </row>
        <row r="7287">
          <cell r="A7287" t="str">
            <v>0032304_x000D_
 ("UNITRONIC LiYCY CY 4x0,25"_x000D_
)</v>
          </cell>
          <cell r="B7287" t="str">
            <v>0032304_x000D_
("UNITRONIC LiYCY CY 4x0,25"_x000D_
)</v>
          </cell>
          <cell r="C7287" t="str">
            <v>LAPP</v>
          </cell>
          <cell r="D7287" t="str">
            <v>Lapp-Non Moving Stocks</v>
          </cell>
        </row>
        <row r="7288">
          <cell r="A7288" t="str">
            <v>0035812_x000D_
 (UNITRONIC LiYCY (TP) 4x2x0,5_x000D_
)</v>
          </cell>
          <cell r="B7288" t="str">
            <v>0035812_x000D_
(UNITRONIC LiYCY (TP) 4x2x0,5_x000D_
)</v>
          </cell>
          <cell r="C7288" t="str">
            <v>LAPP</v>
          </cell>
          <cell r="D7288" t="str">
            <v>Lapp-Non Moving Stocks</v>
          </cell>
        </row>
        <row r="7289">
          <cell r="A7289" t="str">
            <v>0035805 ("UNITRONIC LIYCY (TP) 10X2X0,25)</v>
          </cell>
          <cell r="B7289" t="str">
            <v>0035805("UNITRONIC LIYCY (TP) 10X2X0,25)</v>
          </cell>
          <cell r="C7289" t="str">
            <v>LAPP</v>
          </cell>
          <cell r="D7289" t="str">
            <v>Lapp-Non Moving Stocks</v>
          </cell>
        </row>
        <row r="7290">
          <cell r="A7290" t="str">
            <v>0035134 (UNITRONIC LiYCY (TP) 10x2x0,14_x000D_
)</v>
          </cell>
          <cell r="B7290" t="str">
            <v>0035134(UNITRONIC LiYCY(TP) 10x2x0,14_x000D_
)</v>
          </cell>
          <cell r="C7290" t="str">
            <v>LAPP</v>
          </cell>
          <cell r="D7290" t="str">
            <v>Lapp-Non Moving Stocks</v>
          </cell>
        </row>
        <row r="7291">
          <cell r="A7291" t="str">
            <v>0035807_x000D_
 (UNITRONIC LiYCY (TP) 16x2x0,25_x000D_
)</v>
          </cell>
          <cell r="B7291" t="str">
            <v>0035807_x000D__x000D_
(UNITRONIC LiYCY (TP) 16x2x0,25_x000D__x000D_
)</v>
          </cell>
          <cell r="C7291" t="str">
            <v>LAPP</v>
          </cell>
          <cell r="D7291" t="str">
            <v>Lapp-Non Moving Stocks</v>
          </cell>
        </row>
        <row r="7292">
          <cell r="A7292" t="str">
            <v>0035817_x000D_
 (UNITRONIC LiYCY (TP) 16x2x0,5_x000D_
)</v>
          </cell>
          <cell r="B7292" t="str">
            <v>0035817_x000D_
(UNITRONIC LiYCY(TP) 16x2x0,5_x000D_
)</v>
          </cell>
          <cell r="C7292" t="str">
            <v>LAPP</v>
          </cell>
          <cell r="D7292" t="str">
            <v>Lapp-Non Moving Stocks</v>
          </cell>
        </row>
        <row r="7293">
          <cell r="A7293" t="str">
            <v>0035137 (UNITRONIC LiYCY (TP) 25x2x0,14_x000D_
)</v>
          </cell>
          <cell r="B7293" t="str">
            <v>0035137(UNITRONIC LiYCY(TP) 25x2x0,14_x000D_
)</v>
          </cell>
          <cell r="C7293" t="str">
            <v>LAPP</v>
          </cell>
          <cell r="D7293" t="str">
            <v>Lapp-Non Moving Stocks</v>
          </cell>
        </row>
        <row r="7294">
          <cell r="A7294" t="str">
            <v>0035820_x000D_
 (UNITRONIC LiYCY (TP) 2x2x0,75_x000D_
)</v>
          </cell>
          <cell r="B7294" t="str">
            <v>0035820_x000D_
(UNITRONIC LiYCY (TP) 2x2x0,75_x000D_
)</v>
          </cell>
          <cell r="C7294" t="str">
            <v>LAPP</v>
          </cell>
          <cell r="D7294" t="str">
            <v>Lapp-Non Moving Stocks</v>
          </cell>
        </row>
        <row r="7295">
          <cell r="A7295" t="str">
            <v>0035830 (UNITRONIC LiYCY (TP) 2x2x1)</v>
          </cell>
          <cell r="B7295" t="str">
            <v>0035830(UNITRONIC LiYCY (TP) 2x2x1)</v>
          </cell>
          <cell r="C7295" t="str">
            <v>LAPP</v>
          </cell>
          <cell r="D7295" t="str">
            <v>Lapp-Non Moving Stocks</v>
          </cell>
        </row>
        <row r="7296">
          <cell r="A7296" t="str">
            <v>0035831 (UNITRONIC LiYCY (TP) 3x2x1_x000D_
)</v>
          </cell>
          <cell r="B7296" t="str">
            <v>0035831(UNITRONIC LiYCY(TP) 3x2x1_x000D_
)</v>
          </cell>
          <cell r="C7296" t="str">
            <v>LAPP</v>
          </cell>
          <cell r="D7296" t="str">
            <v>Lapp-Non Moving Stocks</v>
          </cell>
        </row>
        <row r="7297">
          <cell r="A7297" t="str">
            <v>0035132 (UNITRONIC LiYCY (TP) 4x2x0,14_x000D_
)</v>
          </cell>
          <cell r="B7297" t="str">
            <v>0035132(UNITRONIC LiYCY (TP) 4x2x0,14_x000D_
)</v>
          </cell>
          <cell r="C7297" t="str">
            <v>LAPP</v>
          </cell>
          <cell r="D7297" t="str">
            <v>Lapp-Non Moving Stocks</v>
          </cell>
        </row>
        <row r="7298">
          <cell r="A7298" t="str">
            <v>0035822_x000D_
 (UNITRONIC LiYCY (TP) 4x2x0,75_x000D_
)</v>
          </cell>
          <cell r="B7298" t="str">
            <v>0035822_x000D_
(UNITRONIC LiYCY(TP) 4x2x0,75_x000D_
)</v>
          </cell>
          <cell r="C7298" t="str">
            <v>LAPP</v>
          </cell>
          <cell r="D7298" t="str">
            <v>Lapp-Non Moving Stocks</v>
          </cell>
        </row>
        <row r="7299">
          <cell r="A7299" t="str">
            <v>0035832_x000D_
 (UNITRONIC LiYCY (TP) 4x2x1_x000D_
)</v>
          </cell>
          <cell r="B7299" t="str">
            <v>0035832_x000D_
(UNITRONIC LiYCY (TP) 4x2x1_x000D_
)</v>
          </cell>
          <cell r="C7299" t="str">
            <v>LAPP</v>
          </cell>
          <cell r="D7299" t="str">
            <v>Lapp-Non Moving Stocks</v>
          </cell>
        </row>
        <row r="7300">
          <cell r="A7300" t="str">
            <v>0035133 (UNITRONIC Liycy (TP) 6x2x0,14)</v>
          </cell>
          <cell r="B7300" t="str">
            <v>0035133(UNITRONIC Liycy (TP) 6x2x0,14)</v>
          </cell>
          <cell r="C7300" t="str">
            <v>LAPP</v>
          </cell>
          <cell r="D7300" t="str">
            <v>Lapp-Non Moving Stocks</v>
          </cell>
        </row>
        <row r="7301">
          <cell r="A7301" t="str">
            <v>0035813 (UNITRONIC LiYCY (TP) 6x2x0,5_x000D_
)</v>
          </cell>
          <cell r="B7301" t="str">
            <v>0035813(UNITRONIC LiYCY (TP) 6x2x0,5_x000D_
)</v>
          </cell>
          <cell r="C7301" t="str">
            <v>LAPP</v>
          </cell>
          <cell r="D7301" t="str">
            <v>Lapp-Non Moving Stocks</v>
          </cell>
        </row>
        <row r="7302">
          <cell r="A7302" t="str">
            <v>0035823 (UNITRONIC LiYCY (TP) 6x2x0,75)</v>
          </cell>
          <cell r="B7302" t="str">
            <v>0035823(UNITRONIC LiYCY(TP) 6x2x0,75)</v>
          </cell>
          <cell r="C7302" t="str">
            <v>LAPP</v>
          </cell>
          <cell r="D7302" t="str">
            <v>Lapp-Non Moving Stocks</v>
          </cell>
        </row>
        <row r="7303">
          <cell r="A7303" t="str">
            <v>0035150_x000D_
 (UNITRONIC LiYCY (TP) 8x2x0,14_x000D_
)</v>
          </cell>
          <cell r="B7303" t="str">
            <v>0035150_x000D_
(UNITRONIC LiYCY (TP) 8x2x0,14_x000D_
)</v>
          </cell>
          <cell r="C7303" t="str">
            <v>LAPP</v>
          </cell>
          <cell r="D7303" t="str">
            <v>Lapp-Non Moving Stocks</v>
          </cell>
        </row>
        <row r="7304">
          <cell r="A7304" t="str">
            <v>0035814 (UNITRONIC LiYCY (TP) 8x2x0,5_x000D_
)</v>
          </cell>
          <cell r="B7304" t="str">
            <v>0035814(UNITRONIC LiYCY (TP) 8x2x0,5_x000D_
)</v>
          </cell>
          <cell r="C7304" t="str">
            <v>LAPP</v>
          </cell>
          <cell r="D7304" t="str">
            <v>Lapp-Non Moving Stocks</v>
          </cell>
        </row>
        <row r="7305">
          <cell r="A7305" t="str">
            <v>0066233 (UNITRONIC LiYCY(TP) UL/CSA 3x2x24/7AWG_x000D_
)</v>
          </cell>
          <cell r="B7305" t="str">
            <v>0066233(UNITRONIC LiYCY(TP) UL/CSA 3x2x24/7AWG_x000D_
)</v>
          </cell>
          <cell r="C7305" t="str">
            <v>LAPP</v>
          </cell>
          <cell r="D7305" t="str">
            <v>Lapp-Non Moving Stocks</v>
          </cell>
        </row>
        <row r="7306">
          <cell r="A7306" t="str">
            <v>0028510_x000D_
 ("UNITRONIC LiYY 10x0,5"_x000D_
)</v>
          </cell>
          <cell r="B7306" t="str">
            <v>0028510_x000D_
("UNITRONIC LiYY 10x0,5"_x000D_
)</v>
          </cell>
          <cell r="C7306" t="str">
            <v>LAPP</v>
          </cell>
          <cell r="D7306" t="str">
            <v>Lapp-Non Moving Stocks</v>
          </cell>
        </row>
        <row r="7307">
          <cell r="A7307" t="str">
            <v>0028220 ("UNITRONIC LiYY 20x0,14"_x000D_
)</v>
          </cell>
          <cell r="B7307" t="str">
            <v>0028220("UNITRONIC LiYY 20x0,14"_x000D_
)</v>
          </cell>
          <cell r="C7307" t="str">
            <v>LAPP</v>
          </cell>
          <cell r="D7307" t="str">
            <v>Lapp-Non Moving Stocks</v>
          </cell>
        </row>
        <row r="7308">
          <cell r="A7308" t="str">
            <v>0028205_x000D_
 ("UNITRONIC LiYY 5x0,14"_x000D_
)</v>
          </cell>
          <cell r="B7308" t="str">
            <v>0028205_x000D_
("UNITRONIC LiYY 5x0,14"_x000D_
)</v>
          </cell>
          <cell r="C7308" t="str">
            <v>LAPP</v>
          </cell>
          <cell r="D7308" t="str">
            <v>Lapp-Non Moving Stocks</v>
          </cell>
        </row>
        <row r="7309">
          <cell r="A7309" t="str">
            <v>0028405_x000D_
 ("UNITRONIC LiYY 5x0,34"_x000D_
)</v>
          </cell>
          <cell r="B7309" t="str">
            <v>0028405_x000D_
("UNITRONIC LiYY 5x0,34"_x000D_
)</v>
          </cell>
          <cell r="C7309" t="str">
            <v>LAPP</v>
          </cell>
          <cell r="D7309" t="str">
            <v>Lapp-Non Moving Stocks</v>
          </cell>
        </row>
        <row r="7310">
          <cell r="A7310" t="str">
            <v>0028210_x000D_
 (UNITRONIC LiYY 10x0,14_x000D_
)</v>
          </cell>
          <cell r="B7310" t="str">
            <v>0028210_x000D_
(UNITRONIC LiYY 10x0,14_x000D_
)</v>
          </cell>
          <cell r="C7310" t="str">
            <v>LAPP</v>
          </cell>
          <cell r="D7310" t="str">
            <v>Lapp-Non Moving Stocks</v>
          </cell>
        </row>
        <row r="7311">
          <cell r="A7311" t="str">
            <v>0028410 (UNITRONIC LiYY 10x0,34)</v>
          </cell>
          <cell r="B7311" t="str">
            <v>0028410(UNITRONIC LiYY 10x0,34)</v>
          </cell>
          <cell r="C7311" t="str">
            <v>LAPP</v>
          </cell>
          <cell r="D7311" t="str">
            <v>Lapp-Non Moving Stocks</v>
          </cell>
        </row>
        <row r="7312">
          <cell r="A7312" t="str">
            <v>0033212 (UNITRONIC LiYY 11Y 12x0,14_x000D_
)</v>
          </cell>
          <cell r="B7312" t="str">
            <v>0033212(UNITRONIC LiYY 11Y 12x0,14_x000D_
)</v>
          </cell>
          <cell r="C7312" t="str">
            <v>LAPP</v>
          </cell>
          <cell r="D7312" t="str">
            <v>Lapp-Non Moving Stocks</v>
          </cell>
        </row>
        <row r="7313">
          <cell r="A7313" t="str">
            <v>0028212_x000D_
 (UNITRONIC LiYY 12x0,14_x000D_
)</v>
          </cell>
          <cell r="B7313" t="str">
            <v>0028212_x000D_
(UNITRONIC LiYY 12x0,14_x000D_
)</v>
          </cell>
          <cell r="C7313" t="str">
            <v>LAPP</v>
          </cell>
          <cell r="D7313" t="str">
            <v>Lapp-Non Moving Stocks</v>
          </cell>
        </row>
        <row r="7314">
          <cell r="A7314" t="str">
            <v>0028412_x000D_
 (UNITRONIC LiYY 12x0,34_x000D_
)</v>
          </cell>
          <cell r="B7314" t="str">
            <v>0028412_x000D_
(UNITRONIC LiYY 12x0,34_x000D_
)</v>
          </cell>
          <cell r="C7314" t="str">
            <v>LAPP</v>
          </cell>
          <cell r="D7314" t="str">
            <v>Lapp-Non Moving Stocks</v>
          </cell>
        </row>
        <row r="7315">
          <cell r="A7315" t="str">
            <v>0028512 (UNITRONIC LiYY 12x0,5_x000D_
)</v>
          </cell>
          <cell r="B7315" t="str">
            <v>0028512(UNITRONIC LiYY 12x0,5_x000D_
)</v>
          </cell>
          <cell r="C7315" t="str">
            <v>LAPP</v>
          </cell>
          <cell r="D7315" t="str">
            <v>Lapp-Non Moving Stocks</v>
          </cell>
        </row>
        <row r="7316">
          <cell r="A7316" t="str">
            <v>0028612 (UNITRONIC LiYY 12x0,75)</v>
          </cell>
          <cell r="B7316" t="str">
            <v>0028612(UNITRONIC LiYY 12x0,75)</v>
          </cell>
          <cell r="C7316" t="str">
            <v>LAPP</v>
          </cell>
          <cell r="D7316" t="str">
            <v>Lapp-Non Moving Stocks</v>
          </cell>
        </row>
        <row r="7317">
          <cell r="A7317" t="str">
            <v>0028314 (UNITRONIC LiYY 14x0,25)</v>
          </cell>
          <cell r="B7317" t="str">
            <v>0028314(UNITRONIC LiYY 14x0,25)</v>
          </cell>
          <cell r="C7317" t="str">
            <v>LAPP</v>
          </cell>
          <cell r="D7317" t="str">
            <v>Lapp-Non Moving Stocks</v>
          </cell>
        </row>
        <row r="7318">
          <cell r="A7318" t="str">
            <v>0028216 (UNITRONIC LiYY 16x0,14_x000D_
)</v>
          </cell>
          <cell r="B7318" t="str">
            <v>0028216(UNITRONIC LiYY 16x0,14_x000D_
)</v>
          </cell>
          <cell r="C7318" t="str">
            <v>LAPP</v>
          </cell>
          <cell r="D7318" t="str">
            <v>Lapp-Non Moving Stocks</v>
          </cell>
        </row>
        <row r="7319">
          <cell r="A7319" t="str">
            <v>0028316 (UNITRONIC LiYY 16x0,25)</v>
          </cell>
          <cell r="B7319" t="str">
            <v>0028316(UNITRONIC LiYY 16x0,25)</v>
          </cell>
          <cell r="C7319" t="str">
            <v>LAPP</v>
          </cell>
          <cell r="D7319" t="str">
            <v>Lapp-Non Moving Stocks</v>
          </cell>
        </row>
        <row r="7320">
          <cell r="A7320" t="str">
            <v>0028416 (UNITRONIC LiYY 16x0,34)</v>
          </cell>
          <cell r="B7320" t="str">
            <v>0028416(UNITRONIC LiYY 16x0,34)</v>
          </cell>
          <cell r="C7320" t="str">
            <v>LAPP</v>
          </cell>
          <cell r="D7320" t="str">
            <v>Lapp-Non Moving Stocks</v>
          </cell>
        </row>
        <row r="7321">
          <cell r="A7321" t="str">
            <v>0028516_x000D_
 (UNITRONIC LiYY 16x0,5_x000D_
)</v>
          </cell>
          <cell r="B7321" t="str">
            <v>0028516_x000D_
(UNITRONIC LiYY 16x0,5_x000D_
)</v>
          </cell>
          <cell r="C7321" t="str">
            <v>LAPP</v>
          </cell>
          <cell r="D7321" t="str">
            <v>Lapp-Non Moving Stocks</v>
          </cell>
        </row>
        <row r="7322">
          <cell r="A7322" t="str">
            <v>0028318 (UNITRONIC LiYY 18x0,25)</v>
          </cell>
          <cell r="B7322" t="str">
            <v>0028318(UNITRONIC LiYY 18x0,25)</v>
          </cell>
          <cell r="C7322" t="str">
            <v>LAPP</v>
          </cell>
          <cell r="D7322" t="str">
            <v>Lapp-Non Moving Stocks</v>
          </cell>
        </row>
        <row r="7323">
          <cell r="A7323" t="str">
            <v>0028420 (UNITRONIC LiYY 20x0,34_x000D_
)</v>
          </cell>
          <cell r="B7323" t="str">
            <v>0028420(UNITRONIC LiYY 20x0,34_x000D_
)</v>
          </cell>
          <cell r="C7323" t="str">
            <v>LAPP</v>
          </cell>
          <cell r="D7323" t="str">
            <v>Lapp-Non Moving Stocks</v>
          </cell>
        </row>
        <row r="7324">
          <cell r="A7324" t="str">
            <v>0028520 (UNITRONIC LiYY 20x0,5_x000D_
)</v>
          </cell>
          <cell r="B7324" t="str">
            <v>0028520(UNITRONIC LiYY 20x0,5_x000D_
)</v>
          </cell>
          <cell r="C7324" t="str">
            <v>LAPP</v>
          </cell>
          <cell r="D7324" t="str">
            <v>Lapp-Non Moving Stocks</v>
          </cell>
        </row>
        <row r="7325">
          <cell r="A7325" t="str">
            <v>0028620_x000D_
 (UNITRONIC LiYY 20x0,75_x000D_
)</v>
          </cell>
          <cell r="B7325" t="str">
            <v>0028620_x000D_
(UNITRONIC LiYY 20x0,75_x000D_
)</v>
          </cell>
          <cell r="C7325" t="str">
            <v>LAPP</v>
          </cell>
          <cell r="D7325" t="str">
            <v>Lapp-Non Moving Stocks</v>
          </cell>
        </row>
        <row r="7326">
          <cell r="A7326" t="str">
            <v>0028425 (UNITRONIC LiYY 25x0,34_x000D_
)</v>
          </cell>
          <cell r="B7326" t="str">
            <v>0028425(UNITRONIC LiYY 25x0,34_x000D_
)</v>
          </cell>
          <cell r="C7326" t="str">
            <v>LAPP</v>
          </cell>
          <cell r="D7326" t="str">
            <v>Lapp-Non Moving Stocks</v>
          </cell>
        </row>
        <row r="7327">
          <cell r="A7327" t="str">
            <v>0028525 (UNITRONIC LiYY 25x0,5)</v>
          </cell>
          <cell r="B7327" t="str">
            <v>0028525(UNITRONIC LiYY 25x0,5)</v>
          </cell>
          <cell r="C7327" t="str">
            <v>LAPP</v>
          </cell>
          <cell r="D7327" t="str">
            <v>Lapp-Non Moving Stocks</v>
          </cell>
        </row>
        <row r="7328">
          <cell r="A7328" t="str">
            <v>0028202_x000D_
 (UNITRONIC LiYY 2x0,14_x000D_
)</v>
          </cell>
          <cell r="B7328" t="str">
            <v>0028202_x000D_
(UNITRONIC LiYY 2x0,14_x000D_
)</v>
          </cell>
          <cell r="C7328" t="str">
            <v>LAPP</v>
          </cell>
          <cell r="D7328" t="str">
            <v>Lapp-Non Moving Stocks</v>
          </cell>
        </row>
        <row r="7329">
          <cell r="A7329" t="str">
            <v>0028402 (UNITRONIC LiYY 2x0,34)</v>
          </cell>
          <cell r="B7329" t="str">
            <v>0028402(UNITRONIC LiYY 2x0,34)</v>
          </cell>
          <cell r="C7329" t="str">
            <v>LAPP</v>
          </cell>
          <cell r="D7329" t="str">
            <v>Lapp-Non Moving Stocks</v>
          </cell>
        </row>
        <row r="7330">
          <cell r="A7330" t="str">
            <v>0028602 (UNITRONIC LiYY 2x0,75)</v>
          </cell>
          <cell r="B7330" t="str">
            <v>0028602(UNITRONIC LiYY 2x0,75)</v>
          </cell>
          <cell r="C7330" t="str">
            <v>LAPP</v>
          </cell>
          <cell r="D7330" t="str">
            <v>Lapp-Non Moving Stocks</v>
          </cell>
        </row>
        <row r="7331">
          <cell r="A7331" t="str">
            <v>0028702 (UNITRONIC LiYY 2x1)</v>
          </cell>
          <cell r="B7331" t="str">
            <v>0028702(UNITRONIC LiYY 2x1)</v>
          </cell>
          <cell r="C7331" t="str">
            <v>LAPP</v>
          </cell>
          <cell r="D7331" t="str">
            <v>Lapp-Non Moving Stocks</v>
          </cell>
        </row>
        <row r="7332">
          <cell r="A7332" t="str">
            <v>0028802 (UNITRONIC LiYY 2x1,5_x000D_
)</v>
          </cell>
          <cell r="B7332" t="str">
            <v>0028802(UNITRONIC LiYY 2x1,5_x000D_
)</v>
          </cell>
          <cell r="C7332" t="str">
            <v>LAPP</v>
          </cell>
          <cell r="D7332" t="str">
            <v>Lapp-Non Moving Stocks</v>
          </cell>
        </row>
        <row r="7333">
          <cell r="A7333" t="str">
            <v>0028430 (UNITRONIC LiYY 30x0,34)</v>
          </cell>
          <cell r="B7333" t="str">
            <v>0028430(UNITRONIC LiYY 30x0,34)</v>
          </cell>
          <cell r="C7333" t="str">
            <v>LAPP</v>
          </cell>
          <cell r="D7333" t="str">
            <v>Lapp-Non Moving Stocks</v>
          </cell>
        </row>
        <row r="7334">
          <cell r="A7334" t="str">
            <v>0028530 (UNITRONIC LiYY 30x0,5_x000D_
)</v>
          </cell>
          <cell r="B7334" t="str">
            <v>0028530(UNITRONIC LiYY 30x0,5_x000D_
)</v>
          </cell>
          <cell r="C7334" t="str">
            <v>LAPP</v>
          </cell>
          <cell r="D7334" t="str">
            <v>Lapp-Non Moving Stocks</v>
          </cell>
        </row>
        <row r="7335">
          <cell r="A7335" t="str">
            <v>0028630 (UNITRONIC LIYY 30X0.75)</v>
          </cell>
          <cell r="B7335" t="str">
            <v>0028630(UNITRONIC LIYY 30X0.75)</v>
          </cell>
          <cell r="C7335" t="str">
            <v>LAPP</v>
          </cell>
          <cell r="D7335" t="str">
            <v>Lapp-Non Moving Stocks</v>
          </cell>
        </row>
        <row r="7336">
          <cell r="A7336" t="str">
            <v>0028332 (UNITRONIC LiYY 32x0,25_x000D_
)</v>
          </cell>
          <cell r="B7336" t="str">
            <v>0028332(UNITRONIC LiYY 32x0,25_x000D_
)</v>
          </cell>
          <cell r="C7336" t="str">
            <v>LAPP</v>
          </cell>
          <cell r="D7336" t="str">
            <v>Lapp-Non Moving Stocks</v>
          </cell>
        </row>
        <row r="7337">
          <cell r="A7337" t="str">
            <v>0028336 (UNITRONIC LiYY 36x0,25)</v>
          </cell>
          <cell r="B7337" t="str">
            <v>0028336(UNITRONIC LiYY 36x0,25)</v>
          </cell>
          <cell r="C7337" t="str">
            <v>LAPP</v>
          </cell>
          <cell r="D7337" t="str">
            <v>Lapp-Non Moving Stocks</v>
          </cell>
        </row>
        <row r="7338">
          <cell r="A7338" t="str">
            <v>0028436 (UNITRONIC LiYY 36x0,34)</v>
          </cell>
          <cell r="B7338" t="str">
            <v>0028436(UNITRONIC LiYY 36x0,34)</v>
          </cell>
          <cell r="C7338" t="str">
            <v>LAPP</v>
          </cell>
          <cell r="D7338" t="str">
            <v>Lapp-Non Moving Stocks</v>
          </cell>
        </row>
        <row r="7339">
          <cell r="A7339" t="str">
            <v>0028203_x000D_
 (UNITRONIC LiYY 3x0,14_x000D_
)</v>
          </cell>
          <cell r="B7339" t="str">
            <v>0028203_x000D_
(UNITRONIC LiYY 3x0,14_x000D_
)</v>
          </cell>
          <cell r="C7339" t="str">
            <v>LAPP</v>
          </cell>
          <cell r="D7339" t="str">
            <v>Lapp-Non Moving Stocks</v>
          </cell>
        </row>
        <row r="7340">
          <cell r="A7340" t="str">
            <v>0028403 (UNITRONIC LiYY 3x0,34_x000D_
)</v>
          </cell>
          <cell r="B7340" t="str">
            <v>0028403(UNITRONIC LiYY 3x0,34_x000D_
)</v>
          </cell>
          <cell r="C7340" t="str">
            <v>LAPP</v>
          </cell>
          <cell r="D7340" t="str">
            <v>Lapp-Non Moving Stocks</v>
          </cell>
        </row>
        <row r="7341">
          <cell r="A7341" t="str">
            <v>0028803 (UNITRONIC LiYY 3x1,5_x000D_
)</v>
          </cell>
          <cell r="B7341" t="str">
            <v>0028803(UNITRONIC LiYY 3x1,5_x000D_
)</v>
          </cell>
          <cell r="C7341" t="str">
            <v>LAPP</v>
          </cell>
          <cell r="D7341" t="str">
            <v>Lapp-Non Moving Stocks</v>
          </cell>
        </row>
        <row r="7342">
          <cell r="A7342" t="str">
            <v>0028240_x000D_
 (UNITRONIC LiYY 40x0,14_x000D_
)</v>
          </cell>
          <cell r="B7342" t="str">
            <v>0028240_x000D_
(UNITRONIC LiYY 40x0,14_x000D_
)</v>
          </cell>
          <cell r="C7342" t="str">
            <v>LAPP</v>
          </cell>
          <cell r="D7342" t="str">
            <v>Lapp-Non Moving Stocks</v>
          </cell>
        </row>
        <row r="7343">
          <cell r="A7343" t="str">
            <v>0028340 (UNITRONIC LiYY 40x0,25)</v>
          </cell>
          <cell r="B7343" t="str">
            <v>0028340(UNITRONIC LiYY 40x0,25)</v>
          </cell>
          <cell r="C7343" t="str">
            <v>LAPP</v>
          </cell>
          <cell r="D7343" t="str">
            <v>Lapp-Non Moving Stocks</v>
          </cell>
        </row>
        <row r="7344">
          <cell r="A7344" t="str">
            <v>0028204 (UNITRONIC LiYY 4x0,14)</v>
          </cell>
          <cell r="B7344" t="str">
            <v>0028204(UNITRONIC LiYY 4x0,14)</v>
          </cell>
          <cell r="C7344" t="str">
            <v>LAPP</v>
          </cell>
          <cell r="D7344" t="str">
            <v>Lapp-Non Moving Stocks</v>
          </cell>
        </row>
        <row r="7345">
          <cell r="A7345" t="str">
            <v>0028404 (UNITRONIC LiYY 4x0,34)</v>
          </cell>
          <cell r="B7345" t="str">
            <v>0028404(UNITRONIC LiYY 4x0,34)</v>
          </cell>
          <cell r="C7345" t="str">
            <v>LAPP</v>
          </cell>
          <cell r="D7345" t="str">
            <v>Lapp-Non Moving Stocks</v>
          </cell>
        </row>
        <row r="7346">
          <cell r="A7346" t="str">
            <v>0028604 (UNITRONIC LiYY 4x0,75_x000D_
)</v>
          </cell>
          <cell r="B7346" t="str">
            <v>0028604(UNITRONIC LiYY 4x0,75_x000D_
)</v>
          </cell>
          <cell r="C7346" t="str">
            <v>LAPP</v>
          </cell>
          <cell r="D7346" t="str">
            <v>Lapp-Non Moving Stocks</v>
          </cell>
        </row>
        <row r="7347">
          <cell r="A7347" t="str">
            <v>0028804 (UNITRONIC LiYY 4x1,5_x000D_
)</v>
          </cell>
          <cell r="B7347" t="str">
            <v>0028804(UNITRONIC LiYY 4x1,5_x000D_
)</v>
          </cell>
          <cell r="C7347" t="str">
            <v>LAPP</v>
          </cell>
          <cell r="D7347" t="str">
            <v>Lapp-Non Moving Stocks</v>
          </cell>
        </row>
        <row r="7348">
          <cell r="A7348" t="str">
            <v>0028250_x000D_
 (UNITRONIC LiYY 50x0,14_x000D_
)</v>
          </cell>
          <cell r="B7348" t="str">
            <v>0028250_x000D_
(UNITRONIC LiYY 50x0,14_x000D_
)</v>
          </cell>
          <cell r="C7348" t="str">
            <v>LAPP</v>
          </cell>
          <cell r="D7348" t="str">
            <v>Lapp-Non Moving Stocks</v>
          </cell>
        </row>
        <row r="7349">
          <cell r="A7349" t="str">
            <v>0028450 (UNITRONIC LIYY 50X0,34)</v>
          </cell>
          <cell r="B7349" t="str">
            <v>0028450(UNITRONIC LIYY 50X0,34)</v>
          </cell>
          <cell r="C7349" t="str">
            <v>LAPP</v>
          </cell>
          <cell r="D7349" t="str">
            <v>Lapp-Non Moving Stocks</v>
          </cell>
        </row>
        <row r="7350">
          <cell r="A7350" t="str">
            <v>0028305 (UNITRONIC LiYY 5x0,25)</v>
          </cell>
          <cell r="B7350" t="str">
            <v>0028305(UNITRONIC LiYY 5x0,25)</v>
          </cell>
          <cell r="C7350" t="str">
            <v>LAPP</v>
          </cell>
          <cell r="D7350" t="str">
            <v>Lapp-Non Moving Stocks</v>
          </cell>
        </row>
        <row r="7351">
          <cell r="A7351" t="str">
            <v>0028505 (UNITRONIC LiYY 5x0,5_x000D_
)</v>
          </cell>
          <cell r="B7351" t="str">
            <v>0028505(UNITRONIC LiYY 5x0,5_x000D_
)</v>
          </cell>
          <cell r="C7351" t="str">
            <v>LAPP</v>
          </cell>
          <cell r="D7351" t="str">
            <v>Lapp-Non Moving Stocks</v>
          </cell>
        </row>
        <row r="7352">
          <cell r="A7352" t="str">
            <v>0028605 (UNITRONIC LiYY 5x0,75_x000D_
)</v>
          </cell>
          <cell r="B7352" t="str">
            <v>0028605(UNITRONIC LiYY 5x0,75_x000D_
)</v>
          </cell>
          <cell r="C7352" t="str">
            <v>LAPP</v>
          </cell>
          <cell r="D7352" t="str">
            <v>Lapp-Non Moving Stocks</v>
          </cell>
        </row>
        <row r="7353">
          <cell r="A7353" t="str">
            <v>0028306_x000D_
 (UNITRONIC LIYY 6x0,25_x000D_
)</v>
          </cell>
          <cell r="B7353" t="str">
            <v>0028306_x000D_
(UNITRONIC LIYY 6x0,25_x000D_
)</v>
          </cell>
          <cell r="C7353" t="str">
            <v>LAPP</v>
          </cell>
          <cell r="D7353" t="str">
            <v>Lapp-Non Moving Stocks</v>
          </cell>
        </row>
        <row r="7354">
          <cell r="A7354" t="str">
            <v>0028406 (UNITRONIC LiYY 6x0,34_x000D_
)</v>
          </cell>
          <cell r="B7354" t="str">
            <v>0028406(UNITRONIC LiYY 6x0,34_x000D_
)</v>
          </cell>
          <cell r="C7354" t="str">
            <v>LAPP</v>
          </cell>
          <cell r="D7354" t="str">
            <v>Lapp-Non Moving Stocks</v>
          </cell>
        </row>
        <row r="7355">
          <cell r="A7355" t="str">
            <v>0028207_x000D_
 (UNITRONIC LiYY 7x0,14_x000D_
)</v>
          </cell>
          <cell r="B7355" t="str">
            <v>0028207_x000D_
(UNITRONIC LiYY 7x0,14_x000D_
)</v>
          </cell>
          <cell r="C7355" t="str">
            <v>LAPP</v>
          </cell>
          <cell r="D7355" t="str">
            <v>Lapp-Non Moving Stocks</v>
          </cell>
        </row>
        <row r="7356">
          <cell r="A7356" t="str">
            <v>0028407 (UNITRONIC LiYY 7x0,34)</v>
          </cell>
          <cell r="B7356" t="str">
            <v>0028407(UNITRONIC LiYY 7x0,34)</v>
          </cell>
          <cell r="C7356" t="str">
            <v>LAPP</v>
          </cell>
          <cell r="D7356" t="str">
            <v>Lapp-Non Moving Stocks</v>
          </cell>
        </row>
        <row r="7357">
          <cell r="A7357" t="str">
            <v>0028507 (UNITRONIC LiYY 7x0,5)</v>
          </cell>
          <cell r="B7357" t="str">
            <v>0028507(UNITRONIC LiYY 7x0,5)</v>
          </cell>
          <cell r="C7357" t="str">
            <v>LAPP</v>
          </cell>
          <cell r="D7357" t="str">
            <v>Lapp-Non Moving Stocks</v>
          </cell>
        </row>
        <row r="7358">
          <cell r="A7358" t="str">
            <v>0028607 (UNITRONIC LiYY 7x0,75)</v>
          </cell>
          <cell r="B7358" t="str">
            <v>0028607(UNITRONIC LiYY 7x0,75)</v>
          </cell>
          <cell r="C7358" t="str">
            <v>LAPP</v>
          </cell>
          <cell r="D7358" t="str">
            <v>Lapp-Non Moving Stocks</v>
          </cell>
        </row>
        <row r="7359">
          <cell r="A7359" t="str">
            <v>0028208 (UNITRONIC LiYY 8x0,14)</v>
          </cell>
          <cell r="B7359" t="str">
            <v>0028208(UNITRONIC LiYY 8x0,14)</v>
          </cell>
          <cell r="C7359" t="str">
            <v>LAPP</v>
          </cell>
          <cell r="D7359" t="str">
            <v>Lapp-Non Moving Stocks</v>
          </cell>
        </row>
        <row r="7360">
          <cell r="A7360" t="str">
            <v>0028308 (UNITRONIC LiYY  8x0,25)</v>
          </cell>
          <cell r="B7360" t="str">
            <v>0028308(UNITRONIC LiYY  8x0,25)</v>
          </cell>
          <cell r="C7360" t="str">
            <v>LAPP</v>
          </cell>
          <cell r="D7360" t="str">
            <v>Lapp-Non Moving Stocks</v>
          </cell>
        </row>
        <row r="7361">
          <cell r="A7361" t="str">
            <v>0028408 (UNITRONIC LiYY 8x0,34)</v>
          </cell>
          <cell r="B7361" t="str">
            <v>0028408(UNITRONIC LiYY 8x0,34)</v>
          </cell>
          <cell r="C7361" t="str">
            <v>LAPP</v>
          </cell>
          <cell r="D7361" t="str">
            <v>Lapp-Non Moving Stocks</v>
          </cell>
        </row>
        <row r="7362">
          <cell r="A7362" t="str">
            <v>0028608 (UNITRONIC LiYY 8x0,75)</v>
          </cell>
          <cell r="B7362" t="str">
            <v>0028608(UNITRONIC LiYY 8x0,75)</v>
          </cell>
          <cell r="C7362" t="str">
            <v>LAPP</v>
          </cell>
          <cell r="D7362" t="str">
            <v>Lapp-Non Moving Stocks</v>
          </cell>
        </row>
        <row r="7363">
          <cell r="A7363" t="str">
            <v>0022502_x000D_
 (UNITRONIC LiYY A 2XAWG24/7_x000D_
)</v>
          </cell>
          <cell r="B7363" t="str">
            <v>0022502_x000D_
(UNITRONIC LiYY A 2XAWG24/7_x000D_
)</v>
          </cell>
          <cell r="C7363" t="str">
            <v>LAPP</v>
          </cell>
          <cell r="D7363" t="str">
            <v>Lapp-Non Moving Stocks</v>
          </cell>
        </row>
        <row r="7364">
          <cell r="A7364" t="str">
            <v>0035160 (UNITRONIC LiYY (TP) 2x2x0,25_x000D_
)</v>
          </cell>
          <cell r="B7364" t="str">
            <v>0035160(UNITRONIC LiYY (TP) 2x2x0,25_x000D_
)</v>
          </cell>
          <cell r="C7364" t="str">
            <v>LAPP</v>
          </cell>
          <cell r="D7364" t="str">
            <v>Lapp-Non Moving Stocks</v>
          </cell>
        </row>
        <row r="7365">
          <cell r="A7365" t="str">
            <v>0035162 (UNITRONIC LiYY (TP) 4x2x0,25_x000D_
)</v>
          </cell>
          <cell r="B7365" t="str">
            <v>0035162(UNITRONIC LiYY (TP) 4x2x0,25_x000D_
)</v>
          </cell>
          <cell r="C7365" t="str">
            <v>LAPP</v>
          </cell>
          <cell r="D7365" t="str">
            <v>Lapp-Non Moving Stocks</v>
          </cell>
        </row>
        <row r="7366">
          <cell r="A7366" t="str">
            <v>0022616 (UNITRONIC LiYY UL/CSA 16x22/7AWG)</v>
          </cell>
          <cell r="B7366" t="str">
            <v>0022616(UNITRONIC LiYY UL/CSA 16x22/7AWG)</v>
          </cell>
          <cell r="C7366" t="str">
            <v>LAPP</v>
          </cell>
          <cell r="D7366" t="str">
            <v>Lapp-Non Moving Stocks</v>
          </cell>
        </row>
        <row r="7367">
          <cell r="A7367" t="str">
            <v>0022624 (UNITRONIC LiYY UL/CSA 24x22/7AWG_x000D_
)</v>
          </cell>
          <cell r="B7367" t="str">
            <v>0022624(UNITRONIC LiYY UL/CSA 24x22/7AWG_x000D_
)</v>
          </cell>
          <cell r="C7367" t="str">
            <v>LAPP</v>
          </cell>
          <cell r="D7367" t="str">
            <v>Lapp-Non Moving Stocks</v>
          </cell>
        </row>
        <row r="7368">
          <cell r="A7368" t="str">
            <v>0022602 (UNITRONIC LiYY UL/CSA 2x22/7AWG_x000D_
)</v>
          </cell>
          <cell r="B7368" t="str">
            <v>0022602(UNITRONIC LiYY UL/CSA 2x22/7AWG_x000D_
)</v>
          </cell>
          <cell r="C7368" t="str">
            <v>LAPP</v>
          </cell>
          <cell r="D7368" t="str">
            <v>Lapp-Non Moving Stocks</v>
          </cell>
        </row>
        <row r="7369">
          <cell r="A7369" t="str">
            <v>0022505 (UNITRONIC LiYY UL/CSA 5x24/7AWG_x000D_
)</v>
          </cell>
          <cell r="B7369" t="str">
            <v>0022505(UNITRONIC LiYY UL/CSA 5x24/7AWG_x000D_
)</v>
          </cell>
          <cell r="C7369" t="str">
            <v>LAPP</v>
          </cell>
          <cell r="D7369" t="str">
            <v>Lapp-Non Moving Stocks</v>
          </cell>
        </row>
        <row r="7370">
          <cell r="A7370" t="str">
            <v>0022508 (UNITRONIC LiYY UL/CSA 8x24/7AWG_x000D_
)</v>
          </cell>
          <cell r="B7370" t="str">
            <v>0022508(UNITRONIC LiYY UL/CSA 8x24/7AWG_x000D_
)</v>
          </cell>
          <cell r="C7370" t="str">
            <v>LAPP</v>
          </cell>
          <cell r="D7370" t="str">
            <v>Lapp-Non Moving Stocks</v>
          </cell>
        </row>
        <row r="7371">
          <cell r="A7371" t="str">
            <v>0028540 (UNITRONIC® LiYY 40x0,5)</v>
          </cell>
          <cell r="B7371" t="str">
            <v>0028540(UNITRONIC® LiYY 40x0,5)</v>
          </cell>
          <cell r="C7371" t="str">
            <v>LAPP</v>
          </cell>
          <cell r="D7371" t="str">
            <v>Lapp-Non Moving Stocks</v>
          </cell>
        </row>
        <row r="7372">
          <cell r="A7372" t="str">
            <v>0028705 (UNITRONIC® LiYY 5x1)</v>
          </cell>
          <cell r="B7372" t="str">
            <v>0028705(UNITRONIC® LiYY 5x1)</v>
          </cell>
          <cell r="C7372" t="str">
            <v>LAPP</v>
          </cell>
          <cell r="D7372" t="str">
            <v>Lapp-Non Moving Stocks</v>
          </cell>
        </row>
        <row r="7373">
          <cell r="A7373" t="str">
            <v>34007053 (UNITRONIC LIYY SPL 3X0.25)</v>
          </cell>
          <cell r="B7373" t="str">
            <v>34007053(UNITRONIC LIYY SPL 3X0.25)</v>
          </cell>
          <cell r="C7373" t="str">
            <v>LAPP</v>
          </cell>
          <cell r="D7373" t="str">
            <v>Lapp-Non Moving Stocks</v>
          </cell>
        </row>
        <row r="7374">
          <cell r="A7374" t="str">
            <v>0035101 (UNITRONIC LiYY (TP) 2x2x0,14)</v>
          </cell>
          <cell r="B7374" t="str">
            <v>0035101(UNITRONIC LiYY (TP) 2x2x0,14)</v>
          </cell>
          <cell r="C7374" t="str">
            <v>LAPP</v>
          </cell>
          <cell r="D7374" t="str">
            <v>Lapp-Non Moving Stocks</v>
          </cell>
        </row>
        <row r="7375">
          <cell r="A7375" t="str">
            <v>0035170 (UNITRONIC LiYY (TP) 2x2x0,5_x000D_
)</v>
          </cell>
          <cell r="B7375" t="str">
            <v>0035170(UNITRONIC LiYY (TP) 2x2x0,5_x000D__x000D_
)</v>
          </cell>
          <cell r="C7375" t="str">
            <v>LAPP</v>
          </cell>
          <cell r="D7375" t="str">
            <v>Lapp-Non Moving Stocks</v>
          </cell>
        </row>
        <row r="7376">
          <cell r="A7376" t="str">
            <v>0035171 (UNITRONIC LiYY (TP) 3x2x0,5)</v>
          </cell>
          <cell r="B7376" t="str">
            <v>0035171(UNITRONIC LiYY(TP) 3x2x0,5)</v>
          </cell>
          <cell r="C7376" t="str">
            <v>LAPP</v>
          </cell>
          <cell r="D7376" t="str">
            <v>Lapp-Non Moving Stocks</v>
          </cell>
        </row>
        <row r="7377">
          <cell r="A7377" t="str">
            <v>0035161 (UNITRONIC® LiYY (TP) 3x2x0,25)</v>
          </cell>
          <cell r="B7377" t="str">
            <v>0035161(UNITRONIC® LiYY (TP) 3x2x0,25)</v>
          </cell>
          <cell r="C7377" t="str">
            <v>LAPP</v>
          </cell>
          <cell r="D7377" t="str">
            <v>Lapp-Non Moving Stocks</v>
          </cell>
        </row>
        <row r="7378">
          <cell r="A7378" t="str">
            <v>0032851 (UNITRONIC PUR CP (TP) 3x2x0,25_x000D_
)</v>
          </cell>
          <cell r="B7378" t="str">
            <v>0032851(UNITRONIC PUR CP (TP) 3x2x0,25_x000D_
)</v>
          </cell>
          <cell r="C7378" t="str">
            <v>LAPP</v>
          </cell>
          <cell r="D7378" t="str">
            <v>Lapp-Non Moving Stocks</v>
          </cell>
        </row>
        <row r="7379">
          <cell r="A7379" t="str">
            <v>507672 (LEGRAND DBs ETPN 8W IP43)</v>
          </cell>
          <cell r="B7379" t="str">
            <v>507672(LEGRAND DBs ETPN 8W IP43)</v>
          </cell>
          <cell r="C7379" t="str">
            <v>LEGRAND</v>
          </cell>
          <cell r="D7379" t="str">
            <v>LEGRAND</v>
          </cell>
        </row>
        <row r="7380">
          <cell r="A7380" t="str">
            <v>507613 (LEGRAND DBs SPN 16W IP43)</v>
          </cell>
          <cell r="B7380" t="str">
            <v>507613(LEGRAND DBs SPN 16W IP43)</v>
          </cell>
          <cell r="C7380" t="str">
            <v>LEGRAND</v>
          </cell>
          <cell r="D7380" t="str">
            <v>LEGRAND</v>
          </cell>
        </row>
        <row r="7381">
          <cell r="A7381" t="str">
            <v>402580 (LEGRAND MCB RX3 FP C CURVE C40A)</v>
          </cell>
          <cell r="B7381" t="str">
            <v>402580(LEGRAND MCB RX3 FP C CURVE C40A)</v>
          </cell>
          <cell r="C7381" t="str">
            <v>LEGRAND</v>
          </cell>
          <cell r="D7381" t="str">
            <v>LEGRAND</v>
          </cell>
        </row>
        <row r="7382">
          <cell r="A7382" t="str">
            <v>402470 (LEGRAND MCB RX3 SP C CURVE C16A)</v>
          </cell>
          <cell r="B7382" t="str">
            <v>402470(LEGRAND MCB RX3 SP C CURVE C16A)</v>
          </cell>
          <cell r="C7382" t="str">
            <v>LEGRAND</v>
          </cell>
          <cell r="D7382" t="str">
            <v>LEGRAND</v>
          </cell>
        </row>
        <row r="7383">
          <cell r="A7383" t="str">
            <v>402471 (LEGRAND MCB RX3 SP C CURVE C20A)</v>
          </cell>
          <cell r="B7383" t="str">
            <v>402471(LEGRAND MCB RX3 SP C CURVE C20A)</v>
          </cell>
          <cell r="C7383" t="str">
            <v>LEGRAND</v>
          </cell>
          <cell r="D7383" t="str">
            <v>LEGRAND</v>
          </cell>
        </row>
        <row r="7384">
          <cell r="A7384" t="str">
            <v>402472 (LEGRAND MCB RX3 SP C CURVE C25A)</v>
          </cell>
          <cell r="B7384" t="str">
            <v>402472(LEGRAND MCB RX3 SP C CURVE C25A)</v>
          </cell>
          <cell r="C7384" t="str">
            <v>LEGRAND</v>
          </cell>
          <cell r="D7384" t="str">
            <v>LEGRAND</v>
          </cell>
        </row>
        <row r="7385">
          <cell r="A7385" t="str">
            <v>673010 (LEGRAND Myrius 16A SWITCH 1W1M IND WHITE NRI)</v>
          </cell>
          <cell r="B7385" t="str">
            <v>673010(LEGRAND Myrius 16A SWITCH 1W1M IND WHITE NRI)</v>
          </cell>
          <cell r="C7385" t="str">
            <v>LEGRAND</v>
          </cell>
          <cell r="D7385" t="str">
            <v>LEGRAND</v>
          </cell>
        </row>
        <row r="7386">
          <cell r="A7386" t="str">
            <v>673045 (LEGRAND Myrius 6/16A SOCKET WHITE NRI)</v>
          </cell>
          <cell r="B7386" t="str">
            <v>673045(LEGRAND Myrius 6/16A SOCKET WHITE NRI)</v>
          </cell>
          <cell r="C7386" t="str">
            <v>LEGRAND</v>
          </cell>
          <cell r="D7386" t="str">
            <v>LEGRAND</v>
          </cell>
        </row>
        <row r="7387">
          <cell r="A7387" t="str">
            <v>673044 (LEGRAND Myrius 6A 5PIN UNIVERSAL SOCKET NRI)</v>
          </cell>
          <cell r="B7387" t="str">
            <v>673044(LEGRAND Myrius 6A 5PIN UNIVERSAL SOCKET NRI)</v>
          </cell>
          <cell r="C7387" t="str">
            <v>LEGRAND</v>
          </cell>
          <cell r="D7387" t="str">
            <v>LEGRAND</v>
          </cell>
        </row>
        <row r="7388">
          <cell r="A7388" t="str">
            <v>673020 (LEGRAND Myrius 6A BELL PUSH 1W1M WHITE NRI)</v>
          </cell>
          <cell r="B7388" t="str">
            <v>673020(LEGRAND Myrius 6A BELL PUSH 1W1M WHITE NRI)</v>
          </cell>
          <cell r="C7388" t="str">
            <v>LEGRAND</v>
          </cell>
          <cell r="D7388" t="str">
            <v>LEGRAND</v>
          </cell>
        </row>
        <row r="7389">
          <cell r="A7389" t="str">
            <v>673000 (LEGRAND Myrius 6A SWITCH 1W1M WHITE NRI)</v>
          </cell>
          <cell r="B7389" t="str">
            <v>673000(LEGRAND Myrius 6A SWITCH 1W1M WHITE NRI)</v>
          </cell>
          <cell r="C7389" t="str">
            <v>LEGRAND</v>
          </cell>
          <cell r="D7389" t="str">
            <v>LEGRAND</v>
          </cell>
        </row>
        <row r="7390">
          <cell r="A7390" t="str">
            <v>673001 (LEGRAND Myrius 6A SWITCH 2W1M WHITE NRI)</v>
          </cell>
          <cell r="B7390" t="str">
            <v>673001(LEGRAND Myrius 6A SWITCH 2W1M WHITE NRI)</v>
          </cell>
          <cell r="C7390" t="str">
            <v>LEGRAND</v>
          </cell>
          <cell r="D7390" t="str">
            <v>LEGRAND</v>
          </cell>
        </row>
        <row r="7391">
          <cell r="A7391" t="str">
            <v>673061 (LEGRAND Myrius BLANKING PLATE 1W NRI)</v>
          </cell>
          <cell r="B7391" t="str">
            <v>673061(LEGRAND Myrius BLANKING PLATE 1W NRI)</v>
          </cell>
          <cell r="C7391" t="str">
            <v>LEGRAND</v>
          </cell>
          <cell r="D7391" t="str">
            <v>LEGRAND</v>
          </cell>
        </row>
        <row r="7392">
          <cell r="A7392" t="str">
            <v>673027 (LEGRAND Myrius FAN REGULATOR 100W1W WHITE NRI)</v>
          </cell>
          <cell r="B7392" t="str">
            <v>673027(LEGRAND Myrius FAN REGULATOR 100W1W WHITE NRI)</v>
          </cell>
          <cell r="C7392" t="str">
            <v>LEGRAND</v>
          </cell>
          <cell r="D7392" t="str">
            <v>LEGRAND</v>
          </cell>
        </row>
        <row r="7393">
          <cell r="A7393" t="str">
            <v>673029 (LEGRAND Myrius FAN REGULATOR 100W2M WHITE NRI)</v>
          </cell>
          <cell r="B7393" t="str">
            <v>673029(LEGRAND Myrius FAN REGULATOR 100W2M WHITE NRI)</v>
          </cell>
          <cell r="C7393" t="str">
            <v>LEGRAND</v>
          </cell>
          <cell r="D7393" t="str">
            <v>LEGRAND</v>
          </cell>
        </row>
        <row r="7394">
          <cell r="A7394" t="str">
            <v>673212 (LEGRAND MYRIUS PLATE + FRAME 12M WHITE NRI)</v>
          </cell>
          <cell r="B7394" t="str">
            <v>673212(LEGRAND MYRIUS PLATE + FRAME 12M WHITE NRI)</v>
          </cell>
          <cell r="C7394" t="str">
            <v>LEGRAND</v>
          </cell>
          <cell r="D7394" t="str">
            <v>LEGRAND</v>
          </cell>
        </row>
        <row r="7395">
          <cell r="A7395" t="str">
            <v>673202 (LEGRAND MYRIUS PLATE + FRAME 2M WHITE NRI)</v>
          </cell>
          <cell r="B7395" t="str">
            <v>673202(LEGRAND MYRIUS PLATE + FRAME 2M WHITE NRI)</v>
          </cell>
          <cell r="C7395" t="str">
            <v>LEGRAND</v>
          </cell>
          <cell r="D7395" t="str">
            <v>LEGRAND</v>
          </cell>
        </row>
        <row r="7396">
          <cell r="A7396" t="str">
            <v>673203 (LEGRAND MYRIUS PLATE + FRAME 3M WHITE NRI)</v>
          </cell>
          <cell r="B7396" t="str">
            <v>673203(LEGRAND MYRIUS PLATE + FRAME 3M WHITE NRI)</v>
          </cell>
          <cell r="C7396" t="str">
            <v>LEGRAND</v>
          </cell>
          <cell r="D7396" t="str">
            <v>LEGRAND</v>
          </cell>
        </row>
        <row r="7397">
          <cell r="A7397" t="str">
            <v>673204 (LEGRAND MYRIUS PLATE + FRAME 4M WHITE NRI)</v>
          </cell>
          <cell r="B7397" t="str">
            <v>673204(LEGRAND MYRIUS PLATE + FRAME 4M WHITE NRI)</v>
          </cell>
          <cell r="C7397" t="str">
            <v>LEGRAND</v>
          </cell>
          <cell r="D7397" t="str">
            <v>LEGRAND</v>
          </cell>
        </row>
        <row r="7398">
          <cell r="A7398" t="str">
            <v>673206 (LEGRAND MYRIUS PLATE + FRAME 6M WHITE NRI)</v>
          </cell>
          <cell r="B7398" t="str">
            <v>673206(LEGRAND MYRIUS PLATE + FRAME 6M WHITE NRI)</v>
          </cell>
          <cell r="C7398" t="str">
            <v>LEGRAND</v>
          </cell>
          <cell r="D7398" t="str">
            <v>LEGRAND</v>
          </cell>
        </row>
        <row r="7399">
          <cell r="A7399" t="str">
            <v>673208 (LEGRAND MYRIUS PLATE + FRAME 8M WHITE NRI)</v>
          </cell>
          <cell r="B7399" t="str">
            <v>673208(LEGRAND MYRIUS PLATE + FRAME 8M WHITE NRI)</v>
          </cell>
          <cell r="C7399" t="str">
            <v>LEGRAND</v>
          </cell>
          <cell r="D7399" t="str">
            <v>LEGRAND</v>
          </cell>
        </row>
        <row r="7400">
          <cell r="A7400" t="str">
            <v>1032065_x000D_
 (UNITRONIC® ROBUST C 5x0,25_x000D_
)</v>
          </cell>
          <cell r="B7400" t="str">
            <v>1032065_x000D_
(UNITRONIC® ROBUST C 5x0,25_x000D_
)</v>
          </cell>
          <cell r="C7400" t="str">
            <v>LEGRAND</v>
          </cell>
          <cell r="D7400" t="str">
            <v>LEGRAND</v>
          </cell>
        </row>
        <row r="7401">
          <cell r="A7401" t="str">
            <v>0026738 (ÖLFLEX® ROBUST FD C 4G0,5)</v>
          </cell>
          <cell r="B7401" t="str">
            <v>0026738(ÖLFLEX® ROBUST FD C 4G0,5)</v>
          </cell>
          <cell r="C7401" t="str">
            <v>LEGRAND</v>
          </cell>
          <cell r="D7401" t="str">
            <v>LEGRAND</v>
          </cell>
        </row>
        <row r="7402">
          <cell r="A7402" t="str">
            <v>0032472 (RD-Y(ST)Y 8x2x0,5 GY)</v>
          </cell>
          <cell r="B7402" t="str">
            <v>0032472(RD-Y(ST)Y 8x2x0,5 GY)</v>
          </cell>
          <cell r="C7402" t="str">
            <v>LAPP</v>
          </cell>
          <cell r="D7402" t="str">
            <v>Lapp-Non Moving Stocks</v>
          </cell>
        </row>
        <row r="7403">
          <cell r="A7403" t="str">
            <v>0028030 (UNITRONIC 100 3x0,25_x000D_
)</v>
          </cell>
          <cell r="B7403" t="str">
            <v>0028030(UNITRONIC 100 3x0,25_x000D_
)</v>
          </cell>
          <cell r="C7403" t="str">
            <v>LAPP</v>
          </cell>
          <cell r="D7403" t="str">
            <v>Lapp-Non Moving Stocks</v>
          </cell>
        </row>
        <row r="7404">
          <cell r="A7404" t="str">
            <v>2170266 (UNITRONIC BUS CAN UL/CSA 1x2x0,5_x000D_
)</v>
          </cell>
          <cell r="B7404" t="str">
            <v>2170266(UNITRONIC BUS CAN UL/CSA 1x2x0,5_x000D_
)</v>
          </cell>
          <cell r="C7404" t="str">
            <v>LAPP</v>
          </cell>
          <cell r="D7404" t="str">
            <v>Lapp-Non Moving Stocks</v>
          </cell>
        </row>
        <row r="7405">
          <cell r="A7405" t="str">
            <v>2170813_x000D_
 (UNITRONIC BUS LD FD P A 1X2X0,25_x000D_
)</v>
          </cell>
          <cell r="B7405" t="str">
            <v>2170813_x000D_
(UNITRONIC BUS LD FD P A 1X2X0,25_x000D_
)</v>
          </cell>
          <cell r="C7405" t="str">
            <v>LAPP</v>
          </cell>
          <cell r="D7405" t="str">
            <v>Lapp-Non Moving Stocks</v>
          </cell>
        </row>
        <row r="7406">
          <cell r="A7406" t="str">
            <v>0027877_x000D_
 (UNITRONIC FD 18x0,34_x000D_
)</v>
          </cell>
          <cell r="B7406" t="str">
            <v>0027877_x000D_
(UNITRONIC FD 18x0,34_x000D_
)</v>
          </cell>
          <cell r="C7406" t="str">
            <v>LAPP</v>
          </cell>
          <cell r="D7406" t="str">
            <v>Lapp-Non Moving Stocks</v>
          </cell>
        </row>
        <row r="7407">
          <cell r="A7407" t="str">
            <v>0027870 (UNITRONIC FD 2x0,34_x000D_
)</v>
          </cell>
          <cell r="B7407" t="str">
            <v>0027870(UNITRONIC FD 2x0,34_x000D_
)</v>
          </cell>
          <cell r="C7407" t="str">
            <v>LAPP</v>
          </cell>
          <cell r="D7407" t="str">
            <v>Lapp-Non Moving Stocks</v>
          </cell>
        </row>
        <row r="7408">
          <cell r="A7408" t="str">
            <v>0027856 (UNITRONIC FD 3x0,25_x000D_
)</v>
          </cell>
          <cell r="B7408" t="str">
            <v>0027856(UNITRONIC FD 3x0,25_x000D_
)</v>
          </cell>
          <cell r="C7408" t="str">
            <v>LAPP</v>
          </cell>
          <cell r="D7408" t="str">
            <v>Lapp-Non Moving Stocks</v>
          </cell>
        </row>
        <row r="7409">
          <cell r="A7409" t="str">
            <v>0027857_x000D_
 (UNITRONIC FD 4x0,25_x000D_
)</v>
          </cell>
          <cell r="B7409" t="str">
            <v>0027857_x000D_
(UNITRONIC FD 4x0,25_x000D_
)</v>
          </cell>
          <cell r="C7409" t="str">
            <v>LAPP</v>
          </cell>
          <cell r="D7409" t="str">
            <v>Lapp-Non Moving Stocks</v>
          </cell>
        </row>
        <row r="7410">
          <cell r="A7410" t="str">
            <v>2170346 (UNITRONIC FDY DeviceNet THICK PVC UL CMG_x000D_
)</v>
          </cell>
          <cell r="B7410" t="str">
            <v>2170346(UNITRONIC FDY DeviceNet THICK PVC UL CMG_x000D_
)</v>
          </cell>
          <cell r="C7410" t="str">
            <v>LAPP</v>
          </cell>
          <cell r="D7410" t="str">
            <v>Lapp-Non Moving Stocks</v>
          </cell>
        </row>
        <row r="7411">
          <cell r="A7411" t="str">
            <v>2170620 (UNITRONIC L2/FIP ROBUST 1x2x0,64)</v>
          </cell>
          <cell r="B7411" t="str">
            <v>2170620(UNITRONIC L2/FIP ROBUST 1x2x0,64)</v>
          </cell>
          <cell r="C7411" t="str">
            <v>LAPP</v>
          </cell>
          <cell r="D7411" t="str">
            <v>Lapp-Non Moving Stocks</v>
          </cell>
        </row>
        <row r="7412">
          <cell r="A7412" t="str">
            <v>0037425 (UNITRONIC LiHCH 25x0,25_x000D_
)</v>
          </cell>
          <cell r="B7412" t="str">
            <v>0037425(UNITRONIC LiHCH 25x0,25_x000D_
)</v>
          </cell>
          <cell r="C7412" t="str">
            <v>LAPP</v>
          </cell>
          <cell r="D7412" t="str">
            <v>Lapp-Non Moving Stocks</v>
          </cell>
        </row>
        <row r="7413">
          <cell r="A7413" t="str">
            <v>0034436 (UNITRONIC LiYCY 36x0,25_x000D_
)</v>
          </cell>
          <cell r="B7413" t="str">
            <v>0034436(UNITRONIC LiYCY 36x0,25_x000D_
)</v>
          </cell>
          <cell r="C7413" t="str">
            <v>LAPP</v>
          </cell>
          <cell r="D7413" t="str">
            <v>Lapp-Non Moving Stocks</v>
          </cell>
        </row>
        <row r="7414">
          <cell r="A7414" t="str">
            <v>0066202 (UNITRONIC LiYCY(TP) UL/CSA 2x2x26/7AWG_x000D_
)</v>
          </cell>
          <cell r="B7414" t="str">
            <v>0066202(UNITRONIC LiYCY(TP) UL/CSA 2x2x26/7AWG_x000D_
)</v>
          </cell>
          <cell r="C7414" t="str">
            <v>LAPP</v>
          </cell>
          <cell r="D7414" t="str">
            <v>Lapp-Non Moving Stocks</v>
          </cell>
        </row>
        <row r="7415">
          <cell r="A7415" t="str">
            <v>0044738 (UNITRONIC LiYCY UL/CSA 8x20/7AWG_x000D_
)</v>
          </cell>
          <cell r="B7415" t="str">
            <v>0044738(UNITRONIC LiYCY UL/CSA 8x20/7AWG_x000D_
)</v>
          </cell>
          <cell r="C7415" t="str">
            <v>LAPP</v>
          </cell>
          <cell r="D7415" t="str">
            <v>Lapp-Non Moving Stocks</v>
          </cell>
        </row>
        <row r="7416">
          <cell r="A7416" t="str">
            <v>0028603 (UNITRONIC LiYY 3x0,75_x000D_
)</v>
          </cell>
          <cell r="B7416" t="str">
            <v>0028603(UNITRONIC LiYY 3x0,75_x000D_
)</v>
          </cell>
          <cell r="C7416" t="str">
            <v>LAPP</v>
          </cell>
          <cell r="D7416" t="str">
            <v>Lapp-Non Moving Stocks</v>
          </cell>
        </row>
        <row r="7417">
          <cell r="A7417" t="str">
            <v>0032801 (UNITRONIC PUR CP 3x0,25_x000D_
)</v>
          </cell>
          <cell r="B7417" t="str">
            <v>0032801(UNITRONIC PUR CP 3x0,25_x000D_
)</v>
          </cell>
          <cell r="C7417" t="str">
            <v>LAPP</v>
          </cell>
          <cell r="D7417" t="str">
            <v>Lapp-Non Moving Stocks</v>
          </cell>
        </row>
        <row r="7418">
          <cell r="A7418" t="str">
            <v>0032812 (UNITRONIC PUR CP 4x0,34_x000D_
)</v>
          </cell>
          <cell r="B7418" t="str">
            <v>0032812(UNITRONIC PUR CP 4x0,34_x000D_
)</v>
          </cell>
          <cell r="C7418" t="str">
            <v>LAPP</v>
          </cell>
          <cell r="D7418" t="str">
            <v>Lapp-Non Moving Stocks</v>
          </cell>
        </row>
        <row r="7419">
          <cell r="A7419" t="str">
            <v>0032804 (UNITRONIC PUR CP 7x0,25_x000D_
)</v>
          </cell>
          <cell r="B7419" t="str">
            <v>0032804(UNITRONIC PUR CP 7x0,25_x000D_
)</v>
          </cell>
          <cell r="C7419" t="str">
            <v>LAPP</v>
          </cell>
          <cell r="D7419" t="str">
            <v>Lapp-Non Moving Stocks</v>
          </cell>
        </row>
        <row r="7420">
          <cell r="A7420" t="str">
            <v>3804950 (Unitronic ST 2092 2X20AWG GY)</v>
          </cell>
          <cell r="B7420" t="str">
            <v>3804950(Unitronic ST 2092 2X20AWG GY)</v>
          </cell>
          <cell r="C7420" t="str">
            <v>LAPP</v>
          </cell>
          <cell r="D7420" t="str">
            <v>Lapp-Non Moving Stocks</v>
          </cell>
        </row>
        <row r="7421">
          <cell r="A7421" t="str">
            <v>3800950_x000D_
 (UNITRONIC-ST 2x2x24AWG UL2919 GR_x000D_
)</v>
          </cell>
          <cell r="B7421" t="str">
            <v>3800950_x000D_
(UNITRONIC-ST 2x2x24AWG UL2919 GR_x000D_
)</v>
          </cell>
          <cell r="C7421" t="str">
            <v>LAPP</v>
          </cell>
          <cell r="D7421" t="str">
            <v>Lapp-Non Moving Stocks</v>
          </cell>
        </row>
        <row r="7422">
          <cell r="A7422" t="str">
            <v>0033001 (UNITRONIC ST 3x20/7AWG_x000D_
)</v>
          </cell>
          <cell r="B7422" t="str">
            <v>0033001(UNITRONIC ST 3x20/7AWG_x000D_
)</v>
          </cell>
          <cell r="C7422" t="str">
            <v>LAPP</v>
          </cell>
          <cell r="D7422" t="str">
            <v>Lapp-Non Moving Stocks</v>
          </cell>
        </row>
        <row r="7423">
          <cell r="A7423" t="str">
            <v>0028019 (UNITRONIC® 100 24x0,14)</v>
          </cell>
          <cell r="B7423" t="str">
            <v>0028019(UNITRONIC® 100 24x0,14)</v>
          </cell>
          <cell r="C7423" t="str">
            <v>LAPP</v>
          </cell>
          <cell r="D7423" t="str">
            <v>Lapp-Non Moving Stocks</v>
          </cell>
        </row>
        <row r="7424">
          <cell r="A7424" t="str">
            <v>0028025 (UNITRONIC® 100 52x0,14)</v>
          </cell>
          <cell r="B7424" t="str">
            <v>0028025(UNITRONIC® 100 52x0,14)</v>
          </cell>
          <cell r="C7424" t="str">
            <v>LAPP</v>
          </cell>
          <cell r="D7424" t="str">
            <v>Lapp-Non Moving Stocks</v>
          </cell>
        </row>
        <row r="7425">
          <cell r="A7425" t="str">
            <v>0034250 (UNITRONIC® CY PiDY (TP) 2x2x0,25)</v>
          </cell>
          <cell r="B7425" t="str">
            <v>0034250(UNITRONIC® CY PiDY(TP) 2x2x0,25)</v>
          </cell>
          <cell r="C7425" t="str">
            <v>LAPP</v>
          </cell>
          <cell r="D7425" t="str">
            <v>Lapp-Non Moving Stocks</v>
          </cell>
        </row>
        <row r="7426">
          <cell r="A7426" t="str">
            <v>0034251 (UNITRONIC® CY PiDY (TP) 3x2x0,25)</v>
          </cell>
          <cell r="B7426" t="str">
            <v>0034251(UNITRONIC® CY PiDY(TP) 3x2x0,25)</v>
          </cell>
          <cell r="C7426" t="str">
            <v>LAPP</v>
          </cell>
          <cell r="D7426" t="str">
            <v>Lapp-Non Moving Stocks</v>
          </cell>
        </row>
        <row r="7427">
          <cell r="A7427" t="str">
            <v>0034252 (UNITRONIC® CY PiDY (TP) 4x2x0,25)</v>
          </cell>
          <cell r="B7427" t="str">
            <v>0034252(UNITRONIC® CY PiDY(TP) 4x2x0,25)</v>
          </cell>
          <cell r="C7427" t="str">
            <v>LAPP</v>
          </cell>
          <cell r="D7427" t="str">
            <v>Lapp-Non Moving Stocks</v>
          </cell>
        </row>
        <row r="7428">
          <cell r="A7428" t="str">
            <v>0037312 (UNITRONIC® LiHCH 12x0,14)</v>
          </cell>
          <cell r="B7428" t="str">
            <v>0037312(UNITRONIC® LiHCH 12x0,14)</v>
          </cell>
          <cell r="C7428" t="str">
            <v>LAPP</v>
          </cell>
          <cell r="D7428" t="str">
            <v>Lapp-Non Moving Stocks</v>
          </cell>
        </row>
        <row r="7429">
          <cell r="A7429" t="str">
            <v>0037607 (UNITRONIC® LiHCH 7x0,5)</v>
          </cell>
          <cell r="B7429" t="str">
            <v>0037607(UNITRONIC® LiHCH 7x0,5)</v>
          </cell>
          <cell r="C7429" t="str">
            <v>LAPP</v>
          </cell>
          <cell r="D7429" t="str">
            <v>Lapp-Non Moving Stocks</v>
          </cell>
        </row>
        <row r="7430">
          <cell r="A7430" t="str">
            <v>0033205 (UNITRONIC® LiYD11Y 5x0,14_x000D_
)</v>
          </cell>
          <cell r="B7430" t="str">
            <v>0033205(UNITRONIC® LiYD11Y 5x0,14_x000D_
)</v>
          </cell>
          <cell r="C7430" t="str">
            <v>LAPP</v>
          </cell>
          <cell r="D7430" t="str">
            <v>Lapp-Non Moving Stocks</v>
          </cell>
        </row>
        <row r="7431">
          <cell r="A7431" t="str">
            <v>7038896 (UNITRONIC® ROBUST S/A FD 5x0,34)</v>
          </cell>
          <cell r="B7431" t="str">
            <v>7038896(UNITRONIC® ROBUST S/A FD 5x0,34)</v>
          </cell>
          <cell r="C7431" t="str">
            <v>LAPP</v>
          </cell>
          <cell r="D7431" t="str">
            <v>Lapp-Non Moving Stocks</v>
          </cell>
        </row>
        <row r="7432">
          <cell r="A7432" t="str">
            <v>73220339 (UNITRONIC® SPIRAL LiF2Y11Y 18x0,14/500)</v>
          </cell>
          <cell r="B7432" t="str">
            <v>73220339(UNITRONIC® SPIRAL LiF2Y11Y 18x0,14/500)</v>
          </cell>
          <cell r="C7432" t="str">
            <v>LAPP</v>
          </cell>
          <cell r="D7432" t="str">
            <v>Lapp-Non Moving Stocks</v>
          </cell>
        </row>
        <row r="7433">
          <cell r="A7433" t="str">
            <v>1135107_x000D_
 ("ÖLFLEX CLASSIC 110 CY 7G0,75"_x000D_
)</v>
          </cell>
          <cell r="B7433" t="str">
            <v>1135107_x000D_
("ÖLFLEX CLASSIC 110 CY 7G0,75"_x000D_
)</v>
          </cell>
          <cell r="C7433" t="str">
            <v>LAPP</v>
          </cell>
          <cell r="D7433" t="str">
            <v>Lapp-Non Moving Stocks</v>
          </cell>
        </row>
        <row r="7434">
          <cell r="A7434" t="str">
            <v>0031373_x000D_
 ('UNITRONIC LI2YCY (TP) 5X2X0,25)</v>
          </cell>
          <cell r="B7434" t="str">
            <v>0031373
('UNITRONIC LI2YCY (TP) 5X2X0,25)</v>
          </cell>
          <cell r="C7434" t="str">
            <v>LAPP</v>
          </cell>
          <cell r="D7434" t="str">
            <v>Lapp-Non Moving Stocks</v>
          </cell>
        </row>
        <row r="7435">
          <cell r="A7435" t="str">
            <v>451002122 (0.5 Blue)</v>
          </cell>
          <cell r="B7435" t="str">
            <v>451002122(0.5 Blue)</v>
          </cell>
          <cell r="C7435" t="str">
            <v>LAPP</v>
          </cell>
          <cell r="D7435" t="str">
            <v>Lapp-Non Moving Stocks</v>
          </cell>
        </row>
        <row r="7436">
          <cell r="A7436" t="str">
            <v>000000 (11111111111111111111111111111)</v>
          </cell>
          <cell r="B7436" t="str">
            <v>000000(11111111111111111111111111111)</v>
          </cell>
          <cell r="C7436" t="str">
            <v>LAPP</v>
          </cell>
          <cell r="D7436" t="str">
            <v>Lapp-Non Moving Stocks</v>
          </cell>
        </row>
        <row r="7437">
          <cell r="A7437" t="str">
            <v>61725960 (BASIC STRIP)</v>
          </cell>
          <cell r="B7437" t="str">
            <v>61725960(BASIC STRIP)</v>
          </cell>
          <cell r="C7437" t="str">
            <v>LAPP</v>
          </cell>
          <cell r="D7437" t="str">
            <v>Lapp-Non Moving Stocks</v>
          </cell>
        </row>
        <row r="7438">
          <cell r="A7438" t="str">
            <v>61850265 (Cable tie I - 150 x 3.6 NR_x000D_
)</v>
          </cell>
          <cell r="B7438" t="str">
            <v>61850265(Cable tie I - 150 x 3.6 NR_x000D_
)</v>
          </cell>
          <cell r="C7438" t="str">
            <v>LAPP</v>
          </cell>
          <cell r="D7438" t="str">
            <v>Lapp-Non Moving Stocks</v>
          </cell>
        </row>
        <row r="7439">
          <cell r="A7439" t="str">
            <v>61850270 (Cable Tie I - 250x4.8 NR/)</v>
          </cell>
          <cell r="B7439" t="str">
            <v>61850270(Cable Tie I - 250x4.8 NR/)</v>
          </cell>
          <cell r="C7439" t="str">
            <v>LAPP</v>
          </cell>
          <cell r="D7439" t="str">
            <v>Lapp-Non Moving Stocks</v>
          </cell>
        </row>
        <row r="7440">
          <cell r="A7440" t="str">
            <v>61850260 (CABLE TIE I - 80 X 2 NR)</v>
          </cell>
          <cell r="B7440" t="str">
            <v>61850260(CABLE TIE I - 80 X 2 NR)</v>
          </cell>
          <cell r="C7440" t="str">
            <v>LAPP</v>
          </cell>
          <cell r="D7440" t="str">
            <v>Lapp-Non Moving Stocks</v>
          </cell>
        </row>
        <row r="7441">
          <cell r="A7441" t="str">
            <v>61810350 (CABLE TIES TY 100-18)</v>
          </cell>
          <cell r="B7441" t="str">
            <v>61810350(CABLE TIES TY 100-18)</v>
          </cell>
          <cell r="C7441" t="str">
            <v>LAPP</v>
          </cell>
          <cell r="D7441" t="str">
            <v>Lapp-Non Moving Stocks</v>
          </cell>
        </row>
        <row r="7442">
          <cell r="A7442" t="str">
            <v>61810500 (CABLE TIES TY 200-40x)</v>
          </cell>
          <cell r="B7442" t="str">
            <v>61810500(CABLE TIES TY 200-40x)</v>
          </cell>
          <cell r="C7442" t="str">
            <v>LAPP</v>
          </cell>
          <cell r="D7442" t="str">
            <v>Lapp-Non Moving Stocks</v>
          </cell>
        </row>
        <row r="7443">
          <cell r="A7443" t="str">
            <v>61813737_x000D_
 (Crimping pliers end sleeves PEW 8.186_x000D_
)</v>
          </cell>
          <cell r="B7443" t="str">
            <v>61813737_x000D_
(Crimping pliers end sleeves PEW 8.186_x000D_
)</v>
          </cell>
          <cell r="C7443" t="str">
            <v>LAPP</v>
          </cell>
          <cell r="D7443" t="str">
            <v>Lapp-Non Moving Stocks</v>
          </cell>
        </row>
        <row r="7444">
          <cell r="A7444" t="str">
            <v>61802040 (DIN ASSORTMENT BOX I END SLEEVE_x000D_
)</v>
          </cell>
          <cell r="B7444" t="str">
            <v>61802040(DIN ASSORTMENT BOX I END SLEEVE_x000D_
)</v>
          </cell>
          <cell r="C7444" t="str">
            <v>LAPP</v>
          </cell>
          <cell r="D7444" t="str">
            <v>Lapp-Non Moving Stocks</v>
          </cell>
        </row>
        <row r="7445">
          <cell r="A7445" t="str">
            <v>2170488_x000D_
 (ETHERLINE FD P CAT.6 4X2XAWG26_x000D_
)</v>
          </cell>
          <cell r="B7445" t="str">
            <v>2170488_x000D_
(ETHERLINE FD P CAT.6 4X2XAWG26_x000D_
)</v>
          </cell>
          <cell r="C7445" t="str">
            <v>LAPP</v>
          </cell>
          <cell r="D7445" t="str">
            <v>Lapp-Non Moving Stocks</v>
          </cell>
        </row>
        <row r="7446">
          <cell r="A7446" t="str">
            <v>2170283 (ETHERLINE® H FLEX CAT. 5e 2x2x26/7AWG_x000D_
)</v>
          </cell>
          <cell r="B7446" t="str">
            <v>2170283(ETHERLINE® H FLEX CAT. 5e 2x2x26/7AWG_x000D_
)</v>
          </cell>
          <cell r="C7446" t="str">
            <v>LAPP</v>
          </cell>
          <cell r="D7446" t="str">
            <v>Lapp-Non Moving Stocks</v>
          </cell>
        </row>
        <row r="7447">
          <cell r="A7447" t="str">
            <v>24441369 (ETHERLINE® LAN Cat.6A 10,0 GY)</v>
          </cell>
          <cell r="B7447" t="str">
            <v>24441369(ETHERLINE® LAN Cat.6A 10,0 GY)</v>
          </cell>
          <cell r="C7447" t="str">
            <v>LAPP</v>
          </cell>
          <cell r="D7447" t="str">
            <v>Lapp-Non Moving Stocks</v>
          </cell>
        </row>
        <row r="7448">
          <cell r="A7448" t="str">
            <v>24441371 (ETHERLINE® LAN Cat.6A 20,0 GY)</v>
          </cell>
          <cell r="B7448" t="str">
            <v>24441371(ETHERLINE® LAN Cat.6A 20,0 GY)</v>
          </cell>
          <cell r="C7448" t="str">
            <v>LAPP</v>
          </cell>
          <cell r="D7448" t="str">
            <v>Lapp-Non Moving Stocks</v>
          </cell>
        </row>
        <row r="7449">
          <cell r="A7449" t="str">
            <v>24441365 (ETHERLINE® LAN Cat.6A 2,0 GY)</v>
          </cell>
          <cell r="B7449" t="str">
            <v>24441365(ETHERLINE® LAN Cat.6A 2,0 GY)</v>
          </cell>
          <cell r="C7449" t="str">
            <v>LAPP</v>
          </cell>
          <cell r="D7449" t="str">
            <v>Lapp-Non Moving Stocks</v>
          </cell>
        </row>
        <row r="7450">
          <cell r="A7450" t="str">
            <v>24441372 (ETHERLINE® LAN Cat.6A 25,0 GY)</v>
          </cell>
          <cell r="B7450" t="str">
            <v>24441372(ETHERLINE® LAN Cat.6A 25,0 GY)</v>
          </cell>
          <cell r="C7450" t="str">
            <v>LAPP</v>
          </cell>
          <cell r="D7450" t="str">
            <v>Lapp-Non Moving Stocks</v>
          </cell>
        </row>
        <row r="7451">
          <cell r="A7451" t="str">
            <v>24441366 (ETHERLINE® LAN Cat.6A 3,0 GY)</v>
          </cell>
          <cell r="B7451" t="str">
            <v>24441366(ETHERLINE® LAN Cat.6A 3,0 GY)</v>
          </cell>
          <cell r="C7451" t="str">
            <v>LAPP</v>
          </cell>
          <cell r="D7451" t="str">
            <v>Lapp-Non Moving Stocks</v>
          </cell>
        </row>
        <row r="7452">
          <cell r="A7452" t="str">
            <v>24441367 (ETHERLINE® LAN Cat.6A 5,0 GY)</v>
          </cell>
          <cell r="B7452" t="str">
            <v>24441367(ETHERLINE® LAN Cat.6A 5,0 GY)</v>
          </cell>
          <cell r="C7452" t="str">
            <v>LAPP</v>
          </cell>
          <cell r="D7452" t="str">
            <v>Lapp-Non Moving Stocks</v>
          </cell>
        </row>
        <row r="7453">
          <cell r="A7453" t="str">
            <v>24441368 (ETHERLINE® LAN Cat.6A 7,5 GY)</v>
          </cell>
          <cell r="B7453" t="str">
            <v>24441368(ETHERLINE® LAN Cat.6A 7,5 GY)</v>
          </cell>
          <cell r="C7453" t="str">
            <v>LAPP</v>
          </cell>
          <cell r="D7453" t="str">
            <v>Lapp-Non Moving Stocks</v>
          </cell>
        </row>
        <row r="7454">
          <cell r="A7454" t="str">
            <v>Flat Ground Strap/press 1x10/m6/200mm4571126</v>
          </cell>
          <cell r="B7454" t="str">
            <v>Flat Ground Strap/press 1x10/m6/200mm4571126</v>
          </cell>
          <cell r="C7454" t="str">
            <v>LAPP</v>
          </cell>
          <cell r="D7454" t="str">
            <v>Lapp-Non Moving Stocks</v>
          </cell>
        </row>
        <row r="7455">
          <cell r="A7455" t="str">
            <v>1600259 (H07RN-F 19G1,5_x000D_
)</v>
          </cell>
          <cell r="B7455" t="str">
            <v>1600259(H07RN-F 19G1,5_x000D_
)</v>
          </cell>
          <cell r="C7455" t="str">
            <v>LAPP</v>
          </cell>
          <cell r="D7455" t="str">
            <v>Lapp-Non Moving Stocks</v>
          </cell>
        </row>
        <row r="7456">
          <cell r="A7456" t="str">
            <v>4533005 (H07RN-F, ENHANCED VERSION 1X16)</v>
          </cell>
          <cell r="B7456" t="str">
            <v>4533005(H07RN-F, ENHANCED VERSION 1X16)</v>
          </cell>
          <cell r="C7456" t="str">
            <v>LAPP</v>
          </cell>
          <cell r="D7456" t="str">
            <v>Lapp-Non Moving Stocks</v>
          </cell>
        </row>
        <row r="7457">
          <cell r="A7457" t="str">
            <v>79094400 (H-B 16 TGH-RO M32 N.GEW.  HOOD_x000D_
)</v>
          </cell>
          <cell r="B7457" t="str">
            <v>79094400(H-B 16 TGH-RO M32 N.GEW. HOOD_x000D_
)</v>
          </cell>
          <cell r="C7457" t="str">
            <v>LAPP</v>
          </cell>
          <cell r="D7457" t="str">
            <v>Lapp-Non Moving Stocks</v>
          </cell>
        </row>
        <row r="7458">
          <cell r="A7458" t="str">
            <v>26300104 (HITRONIC HRM-FD1000 4G 62,5/125 OM1_x000D_
)</v>
          </cell>
          <cell r="B7458" t="str">
            <v>26300104(HITRONIC HRM-FD1000 4G 62,5/125 OM1_x000D_
)</v>
          </cell>
          <cell r="C7458" t="str">
            <v>LAPP</v>
          </cell>
          <cell r="D7458" t="str">
            <v>Lapp-Non Moving Stocks</v>
          </cell>
        </row>
        <row r="7459">
          <cell r="A7459" t="str">
            <v>61831006 (Kabelbinder Basic Tie 200x3,6 natur)</v>
          </cell>
          <cell r="B7459" t="str">
            <v>61831006(Kabelbinder Basic Tie 200x3,6 natur)</v>
          </cell>
          <cell r="C7459" t="str">
            <v>LAPP</v>
          </cell>
          <cell r="D7459" t="str">
            <v>Lapp-Non Moving Stocks</v>
          </cell>
        </row>
        <row r="7460">
          <cell r="A7460" t="str">
            <v>1161008 (K FEP-FEP NiCr/Ni 2x0,5 IEC oval)</v>
          </cell>
          <cell r="B7460" t="str">
            <v>1161008(K FEP-FEP NiCr/Ni 2x0,5 IEC oval)</v>
          </cell>
          <cell r="C7460" t="str">
            <v>LAPP</v>
          </cell>
          <cell r="D7460" t="str">
            <v>Lapp-Non Moving Stocks</v>
          </cell>
        </row>
        <row r="7461">
          <cell r="A7461" t="str">
            <v>0156002_x000D_
 (KNL NiCr/Ni KCA 6X1,5 DIN_x000D_
)</v>
          </cell>
          <cell r="B7461" t="str">
            <v>0156002_x000D_
(KNL NiCr/Ni KCA 6X1,5 DIN_x000D_
)</v>
          </cell>
          <cell r="C7461" t="str">
            <v>LAPP</v>
          </cell>
          <cell r="D7461" t="str">
            <v>Lapp-Non Moving Stocks</v>
          </cell>
        </row>
        <row r="7462">
          <cell r="A7462" t="str">
            <v>0158510_x000D_
 (KNL-ST NiCr/Ni KCA 12x2x1,5 DIN_x000D_
)</v>
          </cell>
          <cell r="B7462" t="str">
            <v>0158510_x000D_
(KNL-ST NiCr/Ni KCA 12x2x1,5 DIN_x000D_
)</v>
          </cell>
          <cell r="C7462" t="str">
            <v>LAPP</v>
          </cell>
          <cell r="D7462" t="str">
            <v>Lapp-Non Moving Stocks</v>
          </cell>
        </row>
        <row r="7463">
          <cell r="A7463" t="str">
            <v>382307635 (LAPP 2YSLCY-JB BK 4G1.5)</v>
          </cell>
          <cell r="B7463" t="str">
            <v>382307635(LAPP 2YSLCY-JB BK 4G1.5)</v>
          </cell>
          <cell r="C7463" t="str">
            <v>LAPP</v>
          </cell>
          <cell r="D7463" t="str">
            <v>Lapp-Non Moving Stocks</v>
          </cell>
        </row>
        <row r="7464">
          <cell r="A7464" t="str">
            <v>383301390H (LAPP KABEL® 18X1 F2XY2 1.1KV BK)</v>
          </cell>
          <cell r="B7464" t="str">
            <v>383301390H(LAPP KABEL® 18X1 F2XY2 1.1KV BK)</v>
          </cell>
          <cell r="C7464" t="str">
            <v>LAPP</v>
          </cell>
          <cell r="D7464" t="str">
            <v>Lapp-Non Moving Stocks</v>
          </cell>
        </row>
        <row r="7465">
          <cell r="A7465" t="str">
            <v>382309477 (LAPP®   4G1.5 FYYCY 05 OG 10)</v>
          </cell>
          <cell r="B7465" t="str">
            <v>382309477(LAPP®   4G1.5 FYYCY 05 OG 10)</v>
          </cell>
          <cell r="C7465" t="str">
            <v>LAPP</v>
          </cell>
          <cell r="D7465" t="str">
            <v>Lapp-Non Moving Stocks</v>
          </cell>
        </row>
        <row r="7466">
          <cell r="A7466" t="str">
            <v>GEO382300648 (LIYCY 4x0,34 SPL INNO)</v>
          </cell>
          <cell r="B7466" t="str">
            <v>GEO382300648(LIYCY 4x0,34 SPL INNO)</v>
          </cell>
          <cell r="C7466" t="str">
            <v>LAPP</v>
          </cell>
          <cell r="D7466" t="str">
            <v>Lapp-Non Moving Stocks</v>
          </cell>
        </row>
        <row r="7467">
          <cell r="A7467" t="str">
            <v>4160109_x000D_
 (Multi-Standard SC 2.1 1X0,5 OG_x000D_
)</v>
          </cell>
          <cell r="B7467" t="str">
            <v>4160109_x000D_
(Multi-Standard SC 2.1 1X0,5 OG_x000D_
)</v>
          </cell>
          <cell r="C7467" t="str">
            <v>LAPP</v>
          </cell>
          <cell r="D7467" t="str">
            <v>Lapp-Non Moving Stocks</v>
          </cell>
        </row>
        <row r="7468">
          <cell r="A7468" t="str">
            <v>4160805_x000D_
 (Multi-Standard SC 2.1 1X10 WH_x000D_
)</v>
          </cell>
          <cell r="B7468" t="str">
            <v>4160805_x000D_
(Multi-Standard SC 2.1 1X10 WH_x000D_
)</v>
          </cell>
          <cell r="C7468" t="str">
            <v>LAPP</v>
          </cell>
          <cell r="D7468" t="str">
            <v>Lapp-Non Moving Stocks</v>
          </cell>
        </row>
        <row r="7469">
          <cell r="A7469" t="str">
            <v>4160905 (Multi-Standard SC 2.1 1X16 WH)</v>
          </cell>
          <cell r="B7469" t="str">
            <v>4160905(Multi-Standard SC 2.1 1X16 WH)</v>
          </cell>
          <cell r="C7469" t="str">
            <v>LAPP</v>
          </cell>
          <cell r="D7469" t="str">
            <v>Lapp-Non Moving Stocks</v>
          </cell>
        </row>
        <row r="7470">
          <cell r="A7470" t="str">
            <v>4160910 (Multi-Standard SC 2.1 1X16 YE)</v>
          </cell>
          <cell r="B7470" t="str">
            <v>4160910(Multi-Standard SC 2.1 1X16 YE)</v>
          </cell>
          <cell r="C7470" t="str">
            <v>LAPP</v>
          </cell>
          <cell r="D7470" t="str">
            <v>Lapp-Non Moving Stocks</v>
          </cell>
        </row>
        <row r="7471">
          <cell r="A7471" t="str">
            <v>4160610 (Multi-Standard SC 2.1 1X4 YE)</v>
          </cell>
          <cell r="B7471" t="str">
            <v>4160610(Multi-Standard SC 2.1 1X4 YE)</v>
          </cell>
          <cell r="C7471" t="str">
            <v>LAPP</v>
          </cell>
          <cell r="D7471" t="str">
            <v>Lapp-Non Moving Stocks</v>
          </cell>
        </row>
        <row r="7472">
          <cell r="A7472" t="str">
            <v>4160705 (Multi-Standard SC 2.1 1X6 WH)</v>
          </cell>
          <cell r="B7472" t="str">
            <v>4160705(Multi-Standard SC 2.1 1X6 WH)</v>
          </cell>
          <cell r="C7472" t="str">
            <v>LAPP</v>
          </cell>
          <cell r="D7472" t="str">
            <v>Lapp-Non Moving Stocks</v>
          </cell>
        </row>
        <row r="7473">
          <cell r="A7473" t="str">
            <v>1600311 (NSGAFÖU 1,8/3kV 1X120)</v>
          </cell>
          <cell r="B7473" t="str">
            <v>1600311(NSGAFÖU 1,8/3kV 1X120)</v>
          </cell>
          <cell r="C7473" t="str">
            <v>LAPP</v>
          </cell>
          <cell r="D7473" t="str">
            <v>Lapp-Non Moving Stocks</v>
          </cell>
        </row>
        <row r="7474">
          <cell r="A7474" t="str">
            <v>3022674 (NSHXAFÖ 1,8/3kV 1X2,5 BK_x000D_
)</v>
          </cell>
          <cell r="B7474" t="str">
            <v>3022674(NSHXAFÖ 1,8/3kV 1X2,5 BK_x000D_
)</v>
          </cell>
          <cell r="C7474" t="str">
            <v>LAPP</v>
          </cell>
          <cell r="D7474" t="str">
            <v>Lapp-Non Moving Stocks</v>
          </cell>
        </row>
        <row r="7475">
          <cell r="A7475" t="str">
            <v>0045227 (Olflex CRANE PUR 5G4)</v>
          </cell>
          <cell r="B7475" t="str">
            <v>0045227(Olflex CRANE PUR 5G4)</v>
          </cell>
          <cell r="C7475" t="str">
            <v>LAPP</v>
          </cell>
          <cell r="D7475" t="str">
            <v>Lapp-Non Moving Stocks</v>
          </cell>
        </row>
        <row r="7476">
          <cell r="A7476" t="str">
            <v>3801522 (OLFLEX POWER TPR 90 SC 1x16 0.6/1kV Gn/Ye_x000D_
)</v>
          </cell>
          <cell r="B7476" t="str">
            <v>3801522(OLFLEX POWER TPR 90 SC 1x16 0.6/1kV Gn/Ye_x000D_
)</v>
          </cell>
          <cell r="C7476" t="str">
            <v>LAPP</v>
          </cell>
          <cell r="D7476" t="str">
            <v>Lapp-Non Moving Stocks</v>
          </cell>
        </row>
        <row r="7477">
          <cell r="A7477" t="str">
            <v>63300160 (PANEL CONNECTORS 408-6 F)</v>
          </cell>
          <cell r="B7477" t="str">
            <v>63300160(PANEL CONNECTORS 408-6 F)</v>
          </cell>
          <cell r="C7477" t="str">
            <v>LAPP</v>
          </cell>
          <cell r="D7477" t="str">
            <v>Lapp-Non Moving Stocks</v>
          </cell>
        </row>
        <row r="7478">
          <cell r="A7478" t="str">
            <v>63300130 (PANEL CONNECTORS 408-8 M)</v>
          </cell>
          <cell r="B7478" t="str">
            <v>63300130(PANEL CONNECTORS 408-8 M)</v>
          </cell>
          <cell r="C7478" t="str">
            <v>LAPP</v>
          </cell>
          <cell r="D7478" t="str">
            <v>Lapp-Non Moving Stocks</v>
          </cell>
        </row>
        <row r="7479">
          <cell r="A7479" t="str">
            <v xml:space="preserve">SKINDICHT KU PG 16/952025110_x000D_
</v>
          </cell>
          <cell r="B7479" t="e">
            <v>#N/A</v>
          </cell>
          <cell r="C7479" t="str">
            <v>LAPP</v>
          </cell>
          <cell r="D7479" t="str">
            <v>Lapp-Non Moving Stocks</v>
          </cell>
        </row>
        <row r="7480">
          <cell r="A7480" t="str">
            <v xml:space="preserve">SKINDICHT MR-M 6KT 25x1.5/20x1.5 + O ring52101968_x000D_
</v>
          </cell>
          <cell r="B7480" t="e">
            <v>#N/A</v>
          </cell>
          <cell r="C7480" t="str">
            <v>LAPP</v>
          </cell>
          <cell r="D7480" t="str">
            <v>Lapp-Non Moving Stocks</v>
          </cell>
        </row>
        <row r="7481">
          <cell r="A7481" t="str">
            <v>0027431 (UNITRONIC FD CY 10x0,25_x000D_
)</v>
          </cell>
          <cell r="B7481" t="str">
            <v>0027431(UNITRONIC FD CY 10x0,25_x000D_
)</v>
          </cell>
          <cell r="C7481" t="str">
            <v>LAPP</v>
          </cell>
          <cell r="D7481" t="str">
            <v>Lapp-Non Moving Stocks</v>
          </cell>
        </row>
        <row r="7482">
          <cell r="A7482" t="str">
            <v>0031335 (UNITRONIC Li2YCY (TP) 1x2x0,34_x000D_
)</v>
          </cell>
          <cell r="B7482" t="str">
            <v>0031335(UNITRONIC Li2YCY (TP) 1x2x0,34_x000D_
)</v>
          </cell>
          <cell r="C7482" t="str">
            <v>LAPP</v>
          </cell>
          <cell r="D7482" t="str">
            <v>Lapp-Non Moving Stocks</v>
          </cell>
        </row>
        <row r="7483">
          <cell r="A7483" t="str">
            <v>0028625 (UNITRONIC LiYY 25x0,75_x000D_
)</v>
          </cell>
          <cell r="B7483" t="str">
            <v>0028625(UNITRONIC LiYY 25x0,75_x000D_
)</v>
          </cell>
          <cell r="C7483" t="str">
            <v>LAPP</v>
          </cell>
          <cell r="D7483" t="str">
            <v>Lapp-Non Moving Stocks</v>
          </cell>
        </row>
        <row r="7484">
          <cell r="A7484" t="str">
            <v>0028330 (UNITRONIC LiYY 30x0,25)</v>
          </cell>
          <cell r="B7484" t="str">
            <v>0028330(UNITRONIC LiYY 30x0,25)</v>
          </cell>
          <cell r="C7484" t="str">
            <v>LAPP</v>
          </cell>
          <cell r="D7484" t="str">
            <v>Lapp-Non Moving Stocks</v>
          </cell>
        </row>
        <row r="7485">
          <cell r="A7485" t="str">
            <v>7038907 (UNITRONIC SENSOR Lifyy A 5x0,34)</v>
          </cell>
          <cell r="B7485" t="str">
            <v>7038907(UNITRONIC SENSOR Lifyy A 5x0,34)</v>
          </cell>
          <cell r="C7485" t="str">
            <v>LAPP</v>
          </cell>
          <cell r="D7485" t="str">
            <v>Lapp-Non Moving Stocks</v>
          </cell>
        </row>
        <row r="7486">
          <cell r="A7486" t="str">
            <v>0027436 (UNITRONIC® FD CY 18x0,25)</v>
          </cell>
          <cell r="B7486" t="str">
            <v>0027436(UNITRONIC® FD CY 18x0,25)</v>
          </cell>
          <cell r="C7486" t="str">
            <v>LAPP</v>
          </cell>
          <cell r="D7486" t="str">
            <v>Lapp-Non Moving Stocks</v>
          </cell>
        </row>
        <row r="7487">
          <cell r="A7487" t="str">
            <v>0031409 (UNITRONIC® FD Li2YCY (TP) A BE 6X2X0,5)</v>
          </cell>
          <cell r="B7487" t="str">
            <v>0031409(UNITRONIC® FD Li2YCY(TP) A BE 6X2X0,5)</v>
          </cell>
          <cell r="C7487" t="str">
            <v>LAPP</v>
          </cell>
          <cell r="D7487" t="str">
            <v>Lapp-Non Moving Stocks</v>
          </cell>
        </row>
        <row r="7488">
          <cell r="A7488" t="str">
            <v>0034315 00 (UNITRONIC® LiYCY 15x0,14 000)</v>
          </cell>
          <cell r="B7488" t="str">
            <v>0034315 00(UNITRONIC® LiYCY 15x0,14 000)</v>
          </cell>
          <cell r="C7488" t="str">
            <v>LAPP</v>
          </cell>
          <cell r="D7488" t="str">
            <v>Lapp-Non Moving Stocks</v>
          </cell>
        </row>
        <row r="7489">
          <cell r="A7489" t="str">
            <v>0012931_x000D_
 (ÖLFLEX 440 CP 12G1_x000D_
)</v>
          </cell>
          <cell r="B7489" t="str">
            <v>0012931_x000D_
(ÖLFLEX 440 CP 12G1_x000D_
)</v>
          </cell>
          <cell r="C7489" t="str">
            <v>LAPP</v>
          </cell>
          <cell r="D7489" t="str">
            <v>Lapp-Non Moving Stocks</v>
          </cell>
        </row>
        <row r="7490">
          <cell r="A7490" t="str">
            <v>1119080 (ÖLFLEX CLASSIC 110 80G0,5_x000D_
)</v>
          </cell>
          <cell r="B7490" t="str">
            <v>1119080(ÖLFLEX CLASSIC 110 80G0,5_x000D_
)</v>
          </cell>
          <cell r="C7490" t="str">
            <v>LAPP</v>
          </cell>
          <cell r="D7490" t="str">
            <v>Lapp-Non Moving Stocks</v>
          </cell>
        </row>
        <row r="7491">
          <cell r="A7491" t="str">
            <v>1125004 (ÖLFLEX CLASSIC 110 SY 4G0,5_x000D_
)</v>
          </cell>
          <cell r="B7491" t="str">
            <v>1125004(ÖLFLEX CLASSIC 110 SY 4G0,5_x000D_
)</v>
          </cell>
          <cell r="C7491" t="str">
            <v>LAPP</v>
          </cell>
          <cell r="D7491" t="str">
            <v>Lapp-Non Moving Stocks</v>
          </cell>
        </row>
        <row r="7492">
          <cell r="A7492" t="str">
            <v>1125404 (ÖLFLEX CLASSIC 110 SY 4G2,5)</v>
          </cell>
          <cell r="B7492" t="str">
            <v>1125404(ÖLFLEX CLASSIC 110 SY 4G2,5)</v>
          </cell>
          <cell r="C7492" t="str">
            <v>LAPP</v>
          </cell>
          <cell r="D7492" t="str">
            <v>Lapp-Non Moving Stocks</v>
          </cell>
        </row>
        <row r="7493">
          <cell r="A7493" t="str">
            <v>1136307 (ÖLFLEX CLASSIC 115 CY 7G1,5_x000D_
)</v>
          </cell>
          <cell r="B7493" t="str">
            <v>1136307(ÖLFLEX CLASSIC 115 CY 7G1,5_x000D_
)</v>
          </cell>
          <cell r="C7493" t="str">
            <v>LAPP</v>
          </cell>
          <cell r="D7493" t="str">
            <v>Lapp-Non Moving Stocks</v>
          </cell>
        </row>
        <row r="7494">
          <cell r="A7494" t="str">
            <v>1123441 (ÖLFLEX CLASSIC 130 H BK 0,6/1 kV 5G10_x000D_
)</v>
          </cell>
          <cell r="B7494" t="str">
            <v>1123441(ÖLFLEX CLASSIC 130 H BK 0,6/1 kV 5G10_x000D_
)</v>
          </cell>
          <cell r="C7494" t="str">
            <v>LAPP</v>
          </cell>
          <cell r="D7494" t="str">
            <v>Lapp-Non Moving Stocks</v>
          </cell>
        </row>
        <row r="7495">
          <cell r="A7495" t="str">
            <v>0026207 (ÖLFLEX FD CLASSIC 810 CY 25G0,5_x000D_
)</v>
          </cell>
          <cell r="B7495" t="str">
            <v>0026207(ÖLFLEX FD CLASSIC 810 CY 25G0,5_x000D_
)</v>
          </cell>
          <cell r="C7495" t="str">
            <v>LAPP</v>
          </cell>
          <cell r="D7495" t="str">
            <v>Lapp-Non Moving Stocks</v>
          </cell>
        </row>
        <row r="7496">
          <cell r="A7496" t="str">
            <v>0065105 (ÖLFLEX HEAT 180 SiF/GL 1X1,5)</v>
          </cell>
          <cell r="B7496" t="str">
            <v>0065105(ÖLFLEX HEAT 180 SiF/GL 1X1,5)</v>
          </cell>
          <cell r="C7496" t="str">
            <v>LAPP</v>
          </cell>
          <cell r="D7496" t="str">
            <v>Lapp-Non Moving Stocks</v>
          </cell>
        </row>
        <row r="7497">
          <cell r="A7497" t="str">
            <v>11353031 (Ölflex® 110 CY - 3 G 1.5 mm²)</v>
          </cell>
          <cell r="B7497" t="str">
            <v>11353031(Ölflex® 110 CY - 3 G 1.5 mm²)</v>
          </cell>
          <cell r="C7497" t="str">
            <v>LAPP</v>
          </cell>
          <cell r="D7497" t="str">
            <v>Lapp-Non Moving Stocks</v>
          </cell>
        </row>
        <row r="7498">
          <cell r="A7498" t="str">
            <v>1119061 (ÖLFLEX® CLASSIC 110 61G0,5)</v>
          </cell>
          <cell r="B7498" t="str">
            <v>1119061(ÖLFLEX® CLASSIC 110 61G0,5)</v>
          </cell>
          <cell r="C7498" t="str">
            <v>LAPP</v>
          </cell>
          <cell r="D7498" t="str">
            <v>Lapp-Non Moving Stocks</v>
          </cell>
        </row>
        <row r="7499">
          <cell r="A7499" t="str">
            <v>1136510 (ÖLFLEX® CLASSIC 115 CY 2X0,5 BK_x000D_
)</v>
          </cell>
          <cell r="B7499" t="str">
            <v>1136510(ÖLFLEX® CLASSIC 115 CY 2X0,5 BK_x000D_
)</v>
          </cell>
          <cell r="C7499" t="str">
            <v>LAPP</v>
          </cell>
          <cell r="D7499" t="str">
            <v>Lapp-Non Moving Stocks</v>
          </cell>
        </row>
        <row r="7500">
          <cell r="A7500" t="str">
            <v>383160315 (ÖLFLEX® CONTROL 110 CY 3 G 6 1100 V GY)</v>
          </cell>
          <cell r="B7500" t="str">
            <v>383160315(ÖLFLEX® CONTROL 110 CY 3 G 6 1100 V GY)</v>
          </cell>
          <cell r="C7500" t="str">
            <v>LAPP</v>
          </cell>
          <cell r="D7500" t="str">
            <v>Lapp-Non Moving Stocks</v>
          </cell>
        </row>
        <row r="7501">
          <cell r="A7501" t="str">
            <v>0094105 (ÖLFLEX® HEAT 260 SC 28/7 AWG WH)</v>
          </cell>
          <cell r="B7501" t="str">
            <v>0094105(ÖLFLEX® HEAT 260 SC 28/7 AWG WH)</v>
          </cell>
          <cell r="C7501" t="str">
            <v>LAPP</v>
          </cell>
          <cell r="D7501" t="str">
            <v>Lapp-Non Moving Stocks</v>
          </cell>
        </row>
        <row r="7502">
          <cell r="A7502" t="str">
            <v>48384032 (ÖLFLEX® INSTRUM IPIRTENYOSYSWAY05BU 20)</v>
          </cell>
          <cell r="B7502" t="str">
            <v>48384032(ÖLFLEX® INSTRUM IPIRTENYOSYSWAY05BU 20)</v>
          </cell>
          <cell r="C7502" t="str">
            <v>LAPP</v>
          </cell>
          <cell r="D7502" t="str">
            <v>Lapp-Non Moving Stocks</v>
          </cell>
        </row>
        <row r="7503">
          <cell r="A7503" t="str">
            <v>382002061_x000D_
 (ÖLFLEX® POWER LV 3x6 RI2XY2SWAYC21BK_x000D_
)</v>
          </cell>
          <cell r="B7503" t="str">
            <v>382002061_x000D_
(ÖLFLEX® POWER LV 3x6 RI2XY2SWAYC21BK_x000D_
)</v>
          </cell>
          <cell r="C7503" t="str">
            <v>LAPP</v>
          </cell>
          <cell r="D7503" t="str">
            <v>Lapp-Non Moving Stocks</v>
          </cell>
        </row>
        <row r="7504">
          <cell r="A7504" t="str">
            <v>4510032U (ÖLFLEX® UNIPLUS 1X0.75 BN)</v>
          </cell>
          <cell r="B7504" t="str">
            <v>4510032U(ÖLFLEX® UNIPLUS 1X0.75 BN)</v>
          </cell>
          <cell r="C7504" t="str">
            <v>LAPP</v>
          </cell>
          <cell r="D7504" t="str">
            <v>Lapp-Non Moving Stocks</v>
          </cell>
        </row>
        <row r="7505">
          <cell r="A7505" t="str">
            <v>4510093U (ÖLFLEX® UNIPLUS 1X1 OG)</v>
          </cell>
          <cell r="B7505" t="str">
            <v>4510093U(ÖLFLEX® UNIPLUS 1X1 OG)</v>
          </cell>
          <cell r="C7505" t="str">
            <v>LAPP</v>
          </cell>
          <cell r="D7505" t="str">
            <v>Lapp-Non Moving Stocks</v>
          </cell>
        </row>
        <row r="7506">
          <cell r="A7506" t="str">
            <v>4620026U (ÖLFLEX® UNIPLUS FRLS 1X16 BU)</v>
          </cell>
          <cell r="B7506" t="str">
            <v>4620026U(ÖLFLEX® UNIPLUS FRLS 1X16 BU)</v>
          </cell>
          <cell r="C7506" t="str">
            <v>LAPP</v>
          </cell>
          <cell r="D7506" t="str">
            <v>Lapp-Non Moving Stocks</v>
          </cell>
        </row>
        <row r="7507">
          <cell r="A7507" t="str">
            <v>4620116U (ÖLFLEX® UNIPLUS FRLS 1X16 YE)</v>
          </cell>
          <cell r="B7507" t="str">
            <v>4620116U(ÖLFLEX® UNIPLUS FRLS 1X16 YE)</v>
          </cell>
          <cell r="C7507" t="str">
            <v>LAPP</v>
          </cell>
          <cell r="D7507" t="str">
            <v>Lapp-Non Moving Stocks</v>
          </cell>
        </row>
        <row r="7508">
          <cell r="A7508" t="str">
            <v>4610033U (ÖLFLEX® UNIPLUS FRLS 1X1 BN)</v>
          </cell>
          <cell r="B7508" t="str">
            <v>4610033U(ÖLFLEX® UNIPLUS FRLS 1X1 BN)</v>
          </cell>
          <cell r="C7508" t="str">
            <v>LAPP</v>
          </cell>
          <cell r="D7508" t="str">
            <v>Lapp-Non Moving Stocks</v>
          </cell>
        </row>
        <row r="7509">
          <cell r="A7509" t="str">
            <v>4621022U (ÖLFLEX® UNIPLUS FRLS 1X35 BU)</v>
          </cell>
          <cell r="B7509" t="str">
            <v>4621022U(ÖLFLEX® UNIPLUS FRLS 1X35 BU)</v>
          </cell>
          <cell r="C7509" t="str">
            <v>LAPP</v>
          </cell>
          <cell r="D7509" t="str">
            <v>Lapp-Non Moving Stocks</v>
          </cell>
        </row>
        <row r="7510">
          <cell r="A7510" t="str">
            <v>4621042U (ÖLFLEX® UNIPLUS FRLS 1X35 RD)</v>
          </cell>
          <cell r="B7510" t="str">
            <v>4621042U(ÖLFLEX® UNIPLUS FRLS 1X35 RD)</v>
          </cell>
          <cell r="C7510" t="str">
            <v>LAPP</v>
          </cell>
          <cell r="D7510" t="str">
            <v>Lapp-Non Moving Stocks</v>
          </cell>
        </row>
        <row r="7511">
          <cell r="A7511" t="str">
            <v>4621112U (ÖLFLEX® UNIPLUS FRLS 1X35 YE)</v>
          </cell>
          <cell r="B7511" t="str">
            <v>4621112U(ÖLFLEX® UNIPLUS FRLS 1X35 YE)</v>
          </cell>
          <cell r="C7511" t="str">
            <v>LAPP</v>
          </cell>
          <cell r="D7511" t="str">
            <v>Lapp-Non Moving Stocks</v>
          </cell>
        </row>
        <row r="7512">
          <cell r="A7512" t="str">
            <v>4621025U (ÖLFLEX® UNIPLUS FRLS 1X95 BU)</v>
          </cell>
          <cell r="B7512" t="str">
            <v>4621025U(ÖLFLEX® UNIPLUS FRLS 1X95 BU)</v>
          </cell>
          <cell r="C7512" t="str">
            <v>LAPP</v>
          </cell>
          <cell r="D7512" t="str">
            <v>Lapp-Non Moving Stocks</v>
          </cell>
        </row>
        <row r="7513">
          <cell r="A7513" t="str">
            <v>4621045U (ÖLFLEX® UNIPLUS FRLS 1X95 RD)</v>
          </cell>
          <cell r="B7513" t="str">
            <v>4621045U(ÖLFLEX® UNIPLUS FRLS 1X95 RD)</v>
          </cell>
          <cell r="C7513" t="str">
            <v>LAPP</v>
          </cell>
          <cell r="D7513" t="str">
            <v>Lapp-Non Moving Stocks</v>
          </cell>
        </row>
        <row r="7514">
          <cell r="A7514" t="str">
            <v>4621115U (ÖLFLEX® UNIPLUS FRLS 1X95 YE)</v>
          </cell>
          <cell r="B7514" t="str">
            <v>4621115U(ÖLFLEX® UNIPLUS FRLS 1X95 YE)</v>
          </cell>
          <cell r="C7514" t="str">
            <v>LAPP</v>
          </cell>
          <cell r="D7514" t="str">
            <v>Lapp-Non Moving Stocks</v>
          </cell>
        </row>
        <row r="7515">
          <cell r="A7515" t="str">
            <v>61801590 (END SLEEVES AHI DIN N 0,5/8 WH)</v>
          </cell>
          <cell r="B7515" t="str">
            <v>61801590(END SLEEVES AHI DIN N 0,5/8 WH)</v>
          </cell>
          <cell r="C7515" t="str">
            <v>LAPP</v>
          </cell>
          <cell r="D7515" t="str">
            <v>Lapp-Planned Stock General</v>
          </cell>
        </row>
        <row r="7516">
          <cell r="A7516" t="str">
            <v>61801670 (END SLEEVES AHI DIN N 1/8 RD)</v>
          </cell>
          <cell r="B7516" t="str">
            <v>61801670(END SLEEVES AHI DIN N 1/8 RD)</v>
          </cell>
          <cell r="C7516" t="str">
            <v>LAPP</v>
          </cell>
          <cell r="D7516" t="str">
            <v>Lapp-Planned Stock General</v>
          </cell>
        </row>
        <row r="7517">
          <cell r="A7517" t="str">
            <v>61801750 (END SLEEVES AHI DIN N 2,5/8 BU)</v>
          </cell>
          <cell r="B7517" t="str">
            <v>61801750(END SLEEVES AHI DIN N 2,5/8 BU)</v>
          </cell>
          <cell r="C7517" t="str">
            <v>LAPP</v>
          </cell>
          <cell r="D7517" t="str">
            <v>Lapp-Planned Stock General</v>
          </cell>
        </row>
        <row r="7518">
          <cell r="A7518" t="str">
            <v>61801780 (END SLEEVES AHI DIN N 4/10 GY)</v>
          </cell>
          <cell r="B7518" t="str">
            <v>61801780(END SLEEVES AHI DIN N 4/10 GY)</v>
          </cell>
          <cell r="C7518" t="str">
            <v>LAPP</v>
          </cell>
          <cell r="D7518" t="str">
            <v>Lapp-Planned Stock General</v>
          </cell>
        </row>
        <row r="7519">
          <cell r="A7519" t="str">
            <v>61801810 (END SLEEVES AHI DIN N 6/12 YE)</v>
          </cell>
          <cell r="B7519" t="str">
            <v>61801810(END SLEEVES AHI DIN N 6/12 YE)</v>
          </cell>
          <cell r="C7519" t="str">
            <v>LAPP</v>
          </cell>
          <cell r="D7519" t="str">
            <v>Lapp-Planned Stock General</v>
          </cell>
        </row>
        <row r="7520">
          <cell r="A7520" t="str">
            <v>61721871 (END SLEEVES AHI N 0,5/ 8 OG)</v>
          </cell>
          <cell r="B7520" t="str">
            <v>61721871(END SLEEVES AHI N 0,5/ 8 OG)</v>
          </cell>
          <cell r="C7520" t="str">
            <v>LAPP</v>
          </cell>
          <cell r="D7520" t="str">
            <v>Lapp-Planned Stock General</v>
          </cell>
        </row>
        <row r="7521">
          <cell r="A7521" t="str">
            <v>61721880 (END SLEEVES AHI N 0,75/ 8 WH)</v>
          </cell>
          <cell r="B7521" t="str">
            <v>61721880(END SLEEVES AHI N 0,75/ 8 WH)</v>
          </cell>
          <cell r="C7521" t="str">
            <v>LAPP</v>
          </cell>
          <cell r="D7521" t="str">
            <v>Lapp-Planned Stock General</v>
          </cell>
        </row>
        <row r="7522">
          <cell r="A7522" t="str">
            <v>61721900 (END SLEEVES AHI N 1,5/8 RD)</v>
          </cell>
          <cell r="B7522" t="str">
            <v>61721900(END SLEEVES AHI N 1,5/8 RD)</v>
          </cell>
          <cell r="C7522" t="str">
            <v>LAPP</v>
          </cell>
          <cell r="D7522" t="str">
            <v>Lapp-Planned Stock General</v>
          </cell>
        </row>
        <row r="7523">
          <cell r="A7523" t="str">
            <v>61721890 (END SLEEVES AHI N 1 / 8 YE)</v>
          </cell>
          <cell r="B7523" t="str">
            <v>61721890(END SLEEVES AHI N 1 / 8 YE)</v>
          </cell>
          <cell r="C7523" t="str">
            <v>LAPP</v>
          </cell>
          <cell r="D7523" t="str">
            <v>Lapp-Planned Stock General</v>
          </cell>
        </row>
        <row r="7524">
          <cell r="A7524" t="str">
            <v>4520052U (LAPP KABEL UNIPLUS 1x2,5 WH)</v>
          </cell>
          <cell r="B7524" t="str">
            <v>4520052U(LAPP KABEL UNIPLUS 1x2,5 WH)</v>
          </cell>
          <cell r="C7524" t="str">
            <v>LAPP</v>
          </cell>
          <cell r="D7524" t="str">
            <v>Lapp-Planned Stock General</v>
          </cell>
        </row>
        <row r="7525">
          <cell r="A7525" t="str">
            <v>4521011U (OLFLEX UNIPLUS 1X25 BK)</v>
          </cell>
          <cell r="B7525" t="str">
            <v>4521011U(OLFLEX UNIPLUS 1X25 BK)</v>
          </cell>
          <cell r="C7525" t="str">
            <v>LAPP</v>
          </cell>
          <cell r="D7525" t="str">
            <v>Lapp-Planned Stock General</v>
          </cell>
        </row>
        <row r="7526">
          <cell r="A7526" t="str">
            <v>11193041 (Olflex® 110 4G1.5)</v>
          </cell>
          <cell r="B7526" t="str">
            <v>11193041(Olflex® 110 4G1.5)</v>
          </cell>
          <cell r="C7526" t="str">
            <v>LAPP</v>
          </cell>
          <cell r="D7526" t="str">
            <v>Lapp-Planned Stock General</v>
          </cell>
        </row>
        <row r="7527">
          <cell r="A7527" t="str">
            <v>53119010 (SKINTOP GMP-GL-M 16x1,5 RAL 7001 SGY)</v>
          </cell>
          <cell r="B7527" t="str">
            <v>53119010(SKINTOP GMP-GL-M 16x1,5 RAL 7001 SGY)</v>
          </cell>
          <cell r="C7527" t="str">
            <v>LAPP</v>
          </cell>
          <cell r="D7527" t="str">
            <v>Lapp-Planned Stock General</v>
          </cell>
        </row>
        <row r="7528">
          <cell r="A7528" t="str">
            <v>53119110_x000D_
 (SKINTOP GMP-GL-M 16x1,5 RAL 9005 BK_x000D_
)</v>
          </cell>
          <cell r="B7528" t="str">
            <v>53119110 (SKINTOP GMP-GL-M 16x1,5 RAL 9005 BK )</v>
          </cell>
          <cell r="C7528" t="str">
            <v>LAPP</v>
          </cell>
          <cell r="D7528" t="str">
            <v>Lapp-Planned Stock General</v>
          </cell>
        </row>
        <row r="7529">
          <cell r="A7529" t="str">
            <v>53119020 (SKINTOP GMP-GL-M 20x1,5 RAL 7001 SGY)</v>
          </cell>
          <cell r="B7529" t="str">
            <v>53119020(SKINTOP GMP-GL-M 20x1,5 RAL 7001 SGY)</v>
          </cell>
          <cell r="C7529" t="str">
            <v>LAPP</v>
          </cell>
          <cell r="D7529" t="str">
            <v>Lapp-Planned Stock General</v>
          </cell>
        </row>
        <row r="7530">
          <cell r="A7530" t="str">
            <v>53019020 (SKINTOP GMP-GL PG 11 RAL 7001 SGY)</v>
          </cell>
          <cell r="B7530" t="str">
            <v>53019020(SKINTOP GMP-GL PG 11 RAL 7001 SGY)</v>
          </cell>
          <cell r="C7530" t="str">
            <v>LAPP</v>
          </cell>
          <cell r="D7530" t="str">
            <v>Lapp-Planned Stock General</v>
          </cell>
        </row>
        <row r="7531">
          <cell r="A7531" t="str">
            <v>53019030 (SKINTOP GMP-GL PG 13,5 RAL 7001 SGY)</v>
          </cell>
          <cell r="B7531" t="str">
            <v>53019030(SKINTOP GMP-GL PG 13,5 RAL 7001 SGY)</v>
          </cell>
          <cell r="C7531" t="str">
            <v>LAPP</v>
          </cell>
          <cell r="D7531" t="str">
            <v>Lapp-Planned Stock General</v>
          </cell>
        </row>
        <row r="7532">
          <cell r="A7532" t="str">
            <v>53019040 (SKINTOP GMP-GL PG 16 RAL 7001 SGY)</v>
          </cell>
          <cell r="B7532" t="str">
            <v>53019040(SKINTOP GMP-GL PG 16 RAL 7001 SGY)</v>
          </cell>
          <cell r="C7532" t="str">
            <v>LAPP</v>
          </cell>
          <cell r="D7532" t="str">
            <v>Lapp-Planned Stock General</v>
          </cell>
        </row>
        <row r="7533">
          <cell r="A7533" t="str">
            <v>53019050 (SKINTOP GMP-GL PG 21 RAL 7001 SGY)</v>
          </cell>
          <cell r="B7533" t="str">
            <v>53019050(SKINTOP GMP-GL PG 21 RAL 7001 SGY)</v>
          </cell>
          <cell r="C7533" t="str">
            <v>LAPP</v>
          </cell>
          <cell r="D7533" t="str">
            <v>Lapp-Planned Stock General</v>
          </cell>
        </row>
        <row r="7534">
          <cell r="A7534" t="str">
            <v>53019010 (SKINTOP GMP-GL PG 9 RAL 7001 SGY)</v>
          </cell>
          <cell r="B7534" t="str">
            <v>53019010(SKINTOP GMP-GL PG 9 RAL 7001 SGY)</v>
          </cell>
          <cell r="C7534" t="str">
            <v>LAPP</v>
          </cell>
          <cell r="D7534" t="str">
            <v>Lapp-Planned Stock General</v>
          </cell>
        </row>
        <row r="7535">
          <cell r="A7535" t="str">
            <v>53111020 (SKINTOP ST-M 20x1,5 RAL 7001 SGY)</v>
          </cell>
          <cell r="B7535" t="str">
            <v>53111020(SKINTOP ST-M 20x1,5 RAL 7001 SGY)</v>
          </cell>
          <cell r="C7535" t="str">
            <v>LAPP</v>
          </cell>
          <cell r="D7535" t="str">
            <v>Lapp-Planned Stock General</v>
          </cell>
        </row>
        <row r="7536">
          <cell r="A7536" t="str">
            <v>53111030 (SKINTOP ST-M 25x1,5 RAL 7001 SGY)</v>
          </cell>
          <cell r="B7536" t="str">
            <v>53111030(SKINTOP ST-M 25x1,5 RAL 7001 SGY)</v>
          </cell>
          <cell r="C7536" t="str">
            <v>LAPP</v>
          </cell>
          <cell r="D7536" t="str">
            <v>Lapp-Planned Stock General</v>
          </cell>
        </row>
        <row r="7537">
          <cell r="A7537" t="str">
            <v>53015020 (SKINTOP ST PG 11 RAL 7001 SGY)</v>
          </cell>
          <cell r="B7537" t="str">
            <v>53015020(SKINTOP ST PG 11 RAL 7001 SGY)</v>
          </cell>
          <cell r="C7537" t="str">
            <v>LAPP</v>
          </cell>
          <cell r="D7537" t="str">
            <v>Lapp-Planned Stock General</v>
          </cell>
        </row>
        <row r="7538">
          <cell r="A7538" t="str">
            <v>53015030 (SKINTOP ST PG 13,5 RAL 7001 SGY)</v>
          </cell>
          <cell r="B7538" t="str">
            <v>53015030(SKINTOP ST PG 13,5 RAL 7001 SGY)</v>
          </cell>
          <cell r="C7538" t="str">
            <v>LAPP</v>
          </cell>
          <cell r="D7538" t="str">
            <v>Lapp-Planned Stock General</v>
          </cell>
        </row>
        <row r="7539">
          <cell r="A7539" t="str">
            <v>53015040 (SKINTOP ST PG 16 RAL 7001 SGY)</v>
          </cell>
          <cell r="B7539" t="str">
            <v>53015040(SKINTOP ST PG 16 RAL 7001 SGY)</v>
          </cell>
          <cell r="C7539" t="str">
            <v>LAPP</v>
          </cell>
          <cell r="D7539" t="str">
            <v>Lapp-Planned Stock General</v>
          </cell>
        </row>
        <row r="7540">
          <cell r="A7540" t="str">
            <v>53015050 (SKINTOP ST PG 21 RAL 7001 SGY)</v>
          </cell>
          <cell r="B7540" t="str">
            <v>53015050(SKINTOP ST PG 21 RAL 7001 SGY)</v>
          </cell>
          <cell r="C7540" t="str">
            <v>LAPP</v>
          </cell>
          <cell r="D7540" t="str">
            <v>Lapp-Planned Stock General</v>
          </cell>
        </row>
        <row r="7541">
          <cell r="A7541" t="str">
            <v>53015000 (SKINTOP ST PG 7 RAL 7001 SGY)</v>
          </cell>
          <cell r="B7541" t="str">
            <v>53015000(SKINTOP ST PG 7 RAL 7001 SGY)</v>
          </cell>
          <cell r="C7541" t="str">
            <v>LAPP</v>
          </cell>
          <cell r="D7541" t="str">
            <v>Lapp-Planned Stock General</v>
          </cell>
        </row>
        <row r="7542">
          <cell r="A7542" t="str">
            <v>53015010 (SKINTOP ST PG 9 RAL 7001 SGY)</v>
          </cell>
          <cell r="B7542" t="str">
            <v>53015010(SKINTOP ST PG 9 RAL 7001 SGY)</v>
          </cell>
          <cell r="C7542" t="str">
            <v>LAPP</v>
          </cell>
          <cell r="D7542" t="str">
            <v>Lapp-Planned Stock General</v>
          </cell>
        </row>
        <row r="7543">
          <cell r="A7543" t="str">
            <v>823900004011 (SKINTOP® LOCKNUT M 16X1.5 LGY)</v>
          </cell>
          <cell r="B7543" t="str">
            <v>823900004011(SKINTOP® LOCKNUT M 16X1.5 LGY)</v>
          </cell>
          <cell r="C7543" t="str">
            <v>LAPP</v>
          </cell>
          <cell r="D7543" t="str">
            <v>Lapp-Planned Stock General</v>
          </cell>
        </row>
        <row r="7544">
          <cell r="A7544" t="str">
            <v>823900004001 (SKINTOP® LOCKNUT M 16X1.5 SGY)</v>
          </cell>
          <cell r="B7544" t="str">
            <v>823900004001(SKINTOP® LOCKNUT M 16X1.5 SGY)</v>
          </cell>
          <cell r="C7544" t="str">
            <v>LAPP</v>
          </cell>
          <cell r="D7544" t="str">
            <v>Lapp-Planned Stock General</v>
          </cell>
        </row>
        <row r="7545">
          <cell r="A7545" t="str">
            <v>823900004012 (SKINTOP® LOCKNUT M 20X1.5 LGY)</v>
          </cell>
          <cell r="B7545" t="str">
            <v>823900004012(SKINTOP® LOCKNUT M 20X1.5 LGY)</v>
          </cell>
          <cell r="C7545" t="str">
            <v>LAPP</v>
          </cell>
          <cell r="D7545" t="str">
            <v>Lapp-Planned Stock General</v>
          </cell>
        </row>
        <row r="7546">
          <cell r="A7546" t="str">
            <v>823900004002 (SKINTOP® LOCKNUT M 20X1.5 SGY)</v>
          </cell>
          <cell r="B7546" t="str">
            <v>823900004002(SKINTOP® LOCKNUT M 20X1.5 SGY)</v>
          </cell>
          <cell r="C7546" t="str">
            <v>LAPP</v>
          </cell>
          <cell r="D7546" t="str">
            <v>Lapp-Planned Stock General</v>
          </cell>
        </row>
        <row r="7547">
          <cell r="A7547" t="str">
            <v>823900004013 (SKINTOP® LOCKNUT M 25X1.5 LGY)</v>
          </cell>
          <cell r="B7547" t="str">
            <v>823900004013(SKINTOP® LOCKNUT M 25X1.5 LGY)</v>
          </cell>
          <cell r="C7547" t="str">
            <v>LAPP</v>
          </cell>
          <cell r="D7547" t="str">
            <v>Lapp-Planned Stock General</v>
          </cell>
        </row>
        <row r="7548">
          <cell r="A7548" t="str">
            <v>823900004003 (SKINTOP® LOCKNUT M 25X1.5 SGY)</v>
          </cell>
          <cell r="B7548" t="str">
            <v>823900004003(SKINTOP® LOCKNUT M 25X1.5 SGY)</v>
          </cell>
          <cell r="C7548" t="str">
            <v>LAPP</v>
          </cell>
          <cell r="D7548" t="str">
            <v>Lapp-Planned Stock General</v>
          </cell>
        </row>
        <row r="7549">
          <cell r="A7549" t="str">
            <v>823900004014 (SKINTOP® LOCKNUT M 32X1.5 LGY)</v>
          </cell>
          <cell r="B7549" t="str">
            <v>823900004014(SKINTOP® LOCKNUT M 32X1.5 LGY)</v>
          </cell>
          <cell r="C7549" t="str">
            <v>LAPP</v>
          </cell>
          <cell r="D7549" t="str">
            <v>Lapp-Planned Stock General</v>
          </cell>
        </row>
        <row r="7550">
          <cell r="A7550" t="str">
            <v>823900004004 (SKINTOP® LOCKNUT M 32X1.5 SGY)</v>
          </cell>
          <cell r="B7550" t="str">
            <v>823900004004(SKINTOP® LOCKNUT M 32X1.5 SGY)</v>
          </cell>
          <cell r="C7550" t="str">
            <v>LAPP</v>
          </cell>
          <cell r="D7550" t="str">
            <v>Lapp-Planned Stock General</v>
          </cell>
        </row>
        <row r="7551">
          <cell r="A7551" t="str">
            <v>823900001011 (SKINTOP® SMART M 16X1.5 SGY)</v>
          </cell>
          <cell r="B7551" t="str">
            <v>823900001011(SKINTOP® SMART M 16X1.5 SGY)</v>
          </cell>
          <cell r="C7551" t="str">
            <v>LAPP</v>
          </cell>
          <cell r="D7551" t="str">
            <v>Lapp-Planned Stock General</v>
          </cell>
        </row>
        <row r="7552">
          <cell r="A7552" t="str">
            <v>823900002012 (SKINTOP® SMART M 20X1.5 LGY)</v>
          </cell>
          <cell r="B7552" t="str">
            <v>823900002012(SKINTOP® SMART M 20X1.5 LGY)</v>
          </cell>
          <cell r="C7552" t="str">
            <v>LAPP</v>
          </cell>
          <cell r="D7552" t="str">
            <v>Lapp-Planned Stock General</v>
          </cell>
        </row>
        <row r="7553">
          <cell r="A7553" t="str">
            <v>823900001012 (SKINTOP® SMART M 20X1.5 SGY)</v>
          </cell>
          <cell r="B7553" t="str">
            <v>823900001012(SKINTOP® SMART M 20X1.5 SGY)</v>
          </cell>
          <cell r="C7553" t="str">
            <v>LAPP</v>
          </cell>
          <cell r="D7553" t="str">
            <v>Lapp-Planned Stock General</v>
          </cell>
        </row>
        <row r="7554">
          <cell r="A7554" t="str">
            <v>823900002013 (SKINTOP® SMART M 25X1.5 LGY)</v>
          </cell>
          <cell r="B7554" t="str">
            <v>823900002013(SKINTOP® SMART M 25X1.5 LGY)</v>
          </cell>
          <cell r="C7554" t="str">
            <v>LAPP</v>
          </cell>
          <cell r="D7554" t="str">
            <v>Lapp-Planned Stock General</v>
          </cell>
        </row>
        <row r="7555">
          <cell r="A7555" t="str">
            <v>823900001013 (SKINTOP® SMART M 25X1.5 SGY)</v>
          </cell>
          <cell r="B7555" t="str">
            <v>823900001013(SKINTOP® SMART M 25X1.5 SGY)</v>
          </cell>
          <cell r="C7555" t="str">
            <v>LAPP</v>
          </cell>
          <cell r="D7555" t="str">
            <v>Lapp-Planned Stock General</v>
          </cell>
        </row>
        <row r="7556">
          <cell r="A7556" t="str">
            <v>823900002014 (SKINTOP® SMART M 32x1.5 LGY)</v>
          </cell>
          <cell r="B7556" t="str">
            <v>823900002014(SKINTOP® SMART M 32x1.5 LGY)</v>
          </cell>
          <cell r="C7556" t="str">
            <v>LAPP</v>
          </cell>
          <cell r="D7556" t="str">
            <v>Lapp-Planned Stock General</v>
          </cell>
        </row>
        <row r="7557">
          <cell r="A7557" t="str">
            <v>823900001014 (SKINTOP® SMART M 32X1.5 SGY)</v>
          </cell>
          <cell r="B7557" t="str">
            <v>823900001014(SKINTOP® SMART M 32X1.5 SGY)</v>
          </cell>
          <cell r="C7557" t="str">
            <v>LAPP</v>
          </cell>
          <cell r="D7557" t="str">
            <v>Lapp-Planned Stock General</v>
          </cell>
        </row>
        <row r="7558">
          <cell r="A7558" t="str">
            <v>0034412 (UNITRONIC LiYCY 12x0,25)</v>
          </cell>
          <cell r="B7558" t="str">
            <v>0034412(UNITRONIC LiYCY 12x0,25)</v>
          </cell>
          <cell r="C7558" t="str">
            <v>LAPP</v>
          </cell>
          <cell r="D7558" t="str">
            <v>Lapp-Planned Stock General</v>
          </cell>
        </row>
        <row r="7559">
          <cell r="A7559" t="str">
            <v>0034416 (UNITRONIC LiYCY 16x0,25)</v>
          </cell>
          <cell r="B7559" t="str">
            <v>0034416(UNITRONIC LiYCY 16x0,25)</v>
          </cell>
          <cell r="C7559" t="str">
            <v>LAPP</v>
          </cell>
          <cell r="D7559" t="str">
            <v>Lapp-Planned Stock General</v>
          </cell>
        </row>
        <row r="7560">
          <cell r="A7560" t="str">
            <v>0034402 (UNITRONIC LiYCY  2x0,25)</v>
          </cell>
          <cell r="B7560" t="str">
            <v>0034402(UNITRONIC LiYCY  2x0,25)</v>
          </cell>
          <cell r="C7560" t="str">
            <v>LAPP</v>
          </cell>
          <cell r="D7560" t="str">
            <v>Lapp-Planned Stock General</v>
          </cell>
        </row>
        <row r="7561">
          <cell r="A7561" t="str">
            <v>0034602 (UNITRONIC LiYCY 2x0,5)</v>
          </cell>
          <cell r="B7561" t="str">
            <v>0034602(UNITRONIC LiYCY 2x0,5)</v>
          </cell>
          <cell r="C7561" t="str">
            <v>LAPP</v>
          </cell>
          <cell r="D7561" t="str">
            <v>Lapp-Planned Stock General</v>
          </cell>
        </row>
        <row r="7562">
          <cell r="A7562" t="str">
            <v>0034403 (UNITRONIC LiYCY  3x0,25)</v>
          </cell>
          <cell r="B7562" t="str">
            <v>0034403(UNITRONIC LiYCY  3x0,25)</v>
          </cell>
          <cell r="C7562" t="str">
            <v>LAPP</v>
          </cell>
          <cell r="D7562" t="str">
            <v>Lapp-Planned Stock General</v>
          </cell>
        </row>
        <row r="7563">
          <cell r="A7563" t="str">
            <v>0034603 (UNITRONIC LiYCY 3x0,5)</v>
          </cell>
          <cell r="B7563" t="str">
            <v>0034603(UNITRONIC LiYCY 3x0,5)</v>
          </cell>
          <cell r="C7563" t="str">
            <v>LAPP</v>
          </cell>
          <cell r="D7563" t="str">
            <v>Lapp-Planned Stock General</v>
          </cell>
        </row>
        <row r="7564">
          <cell r="A7564" t="str">
            <v>0034604 (UNITRONIC LiYCY 4x0,5)</v>
          </cell>
          <cell r="B7564" t="str">
            <v>0034604(UNITRONIC LiYCY 4x0,5)</v>
          </cell>
          <cell r="C7564" t="str">
            <v>LAPP</v>
          </cell>
          <cell r="D7564" t="str">
            <v>Lapp-Planned Stock General</v>
          </cell>
        </row>
        <row r="7565">
          <cell r="A7565" t="str">
            <v>0034904_x000D_
 (UNITRONIC LIYCY 4X1,5_x000D_
)</v>
          </cell>
          <cell r="B7565" t="str">
            <v>0034904_x000D_
(UNITRONIC LIYCY 4X1,5_x000D_
)</v>
          </cell>
          <cell r="C7565" t="str">
            <v>LAPP</v>
          </cell>
          <cell r="D7565" t="str">
            <v>Lapp-Planned Stock General</v>
          </cell>
        </row>
        <row r="7566">
          <cell r="A7566" t="str">
            <v>0034405 (UNITRONIC LiYCY  5x0,25)</v>
          </cell>
          <cell r="B7566" t="str">
            <v>0034405(UNITRONIC LiYCY  5x0,25)</v>
          </cell>
          <cell r="C7566" t="str">
            <v>LAPP</v>
          </cell>
          <cell r="D7566" t="str">
            <v>Lapp-Planned Stock General</v>
          </cell>
        </row>
        <row r="7567">
          <cell r="A7567" t="str">
            <v>0034406 (UNITRONIC LiYCY  6x0,25)</v>
          </cell>
          <cell r="B7567" t="str">
            <v>0034406(UNITRONIC LiYCY  6x0,25)</v>
          </cell>
          <cell r="C7567" t="str">
            <v>LAPP</v>
          </cell>
          <cell r="D7567" t="str">
            <v>Lapp-Planned Stock General</v>
          </cell>
        </row>
        <row r="7568">
          <cell r="A7568" t="str">
            <v>0034407 (UNITRONIC LiYCY  7x0,25)</v>
          </cell>
          <cell r="B7568" t="str">
            <v>0034407(UNITRONIC LiYCY  7x0,25)</v>
          </cell>
          <cell r="C7568" t="str">
            <v>LAPP</v>
          </cell>
          <cell r="D7568" t="str">
            <v>Lapp-Planned Stock General</v>
          </cell>
        </row>
        <row r="7569">
          <cell r="A7569" t="str">
            <v>0034408 (UNITRONIC LiYCY  8x0,25)</v>
          </cell>
          <cell r="B7569" t="str">
            <v>0034408(UNITRONIC LiYCY  8x0,25)</v>
          </cell>
          <cell r="C7569" t="str">
            <v>LAPP</v>
          </cell>
          <cell r="D7569" t="str">
            <v>Lapp-Planned Stock General</v>
          </cell>
        </row>
        <row r="7570">
          <cell r="A7570" t="str">
            <v>0034608 (UNITRONIC LiYCY 8x0,5)</v>
          </cell>
          <cell r="B7570" t="str">
            <v>0034608(UNITRONIC LiYCY 8x0,5)</v>
          </cell>
          <cell r="C7570" t="str">
            <v>LAPP</v>
          </cell>
          <cell r="D7570" t="str">
            <v>Lapp-Planned Stock General</v>
          </cell>
        </row>
        <row r="7571">
          <cell r="A7571" t="str">
            <v>0035800 (UNITRONIC LiYCY (TP) 2x2x0,25_x000D_
)</v>
          </cell>
          <cell r="B7571" t="str">
            <v>0035800(UNITRONIC LiYCY (TP) 2x2x0,25_x000D_
)</v>
          </cell>
          <cell r="C7571" t="str">
            <v>LAPP</v>
          </cell>
          <cell r="D7571" t="str">
            <v>Lapp-Planned Stock General</v>
          </cell>
        </row>
        <row r="7572">
          <cell r="A7572" t="str">
            <v>0035802 (UNITRONIC LiYCY (TP)  4x2x0,25)</v>
          </cell>
          <cell r="B7572" t="str">
            <v>0035802(UNITRONIC LiYCY (TP)  4x2x0,25)</v>
          </cell>
          <cell r="C7572" t="str">
            <v>LAPP</v>
          </cell>
          <cell r="D7572" t="str">
            <v>Lapp-Planned Stock General</v>
          </cell>
        </row>
        <row r="7573">
          <cell r="A7573" t="str">
            <v>0028302 (UNITRONIC LiYY  2x0,25)</v>
          </cell>
          <cell r="B7573" t="str">
            <v>0028302(UNITRONIC LiYY  2x0,25)</v>
          </cell>
          <cell r="C7573" t="str">
            <v>LAPP</v>
          </cell>
          <cell r="D7573" t="str">
            <v>Lapp-Planned Stock General</v>
          </cell>
        </row>
        <row r="7574">
          <cell r="A7574" t="str">
            <v>0028303 (UNITRONIC LiYY  3x0,25)</v>
          </cell>
          <cell r="B7574" t="str">
            <v>0028303(UNITRONIC LiYY  3x0,25)</v>
          </cell>
          <cell r="C7574" t="str">
            <v>LAPP</v>
          </cell>
          <cell r="D7574" t="str">
            <v>Lapp-Planned Stock General</v>
          </cell>
        </row>
        <row r="7575">
          <cell r="A7575" t="str">
            <v>0028304 (UNITRONIC LiYY  4x0,25)</v>
          </cell>
          <cell r="B7575" t="str">
            <v>0028304(UNITRONIC LiYY  4x0,25)</v>
          </cell>
          <cell r="C7575" t="str">
            <v>LAPP</v>
          </cell>
          <cell r="D7575" t="str">
            <v>Lapp-Planned Stock General</v>
          </cell>
        </row>
        <row r="7576">
          <cell r="A7576" t="str">
            <v>0028307 (UNITRONIC LiYY 7x0,25)</v>
          </cell>
          <cell r="B7576" t="str">
            <v>0028307(UNITRONIC LiYY 7x0,25)</v>
          </cell>
          <cell r="C7576" t="str">
            <v>LAPP</v>
          </cell>
          <cell r="D7576" t="str">
            <v>Lapp-Planned Stock General</v>
          </cell>
        </row>
        <row r="7577">
          <cell r="A7577" t="str">
            <v>1119025 (ÖLFLEX CLASSIC 110 25G0,5)</v>
          </cell>
          <cell r="B7577" t="str">
            <v>1119025(ÖLFLEX CLASSIC 110 25G0,5)</v>
          </cell>
          <cell r="C7577" t="str">
            <v>LAPP</v>
          </cell>
          <cell r="D7577" t="str">
            <v>Lapp-Planned Stock General</v>
          </cell>
        </row>
        <row r="7578">
          <cell r="A7578" t="str">
            <v>1119125 (ÖLFLEX CLASSIC 110 25G0,75)</v>
          </cell>
          <cell r="B7578" t="str">
            <v>1119125(ÖLFLEX CLASSIC 110 25G0,75)</v>
          </cell>
          <cell r="C7578" t="str">
            <v>LAPP</v>
          </cell>
          <cell r="D7578" t="str">
            <v>Lapp-Planned Stock General</v>
          </cell>
        </row>
        <row r="7579">
          <cell r="A7579" t="str">
            <v>38007035 (ÖLFLEX® 100 I  3 G 0.50)</v>
          </cell>
          <cell r="B7579" t="str">
            <v>38007035(ÖLFLEX® 100 I  3 G 0.50)</v>
          </cell>
          <cell r="C7579" t="str">
            <v>LAPP</v>
          </cell>
          <cell r="D7579" t="str">
            <v>Lapp-Planned Stock General</v>
          </cell>
        </row>
        <row r="7580">
          <cell r="A7580" t="str">
            <v>38007054 (ÖLFLEX® 100 I  3 G 1.00)</v>
          </cell>
          <cell r="B7580" t="str">
            <v>38007054(ÖLFLEX® 100 I  3 G 1.00)</v>
          </cell>
          <cell r="C7580" t="str">
            <v>LAPP</v>
          </cell>
          <cell r="D7580" t="str">
            <v>Lapp-Planned Stock General</v>
          </cell>
        </row>
        <row r="7581">
          <cell r="A7581" t="str">
            <v>38007075 (ÖLFLEX® 100 I  3 G 2.50)</v>
          </cell>
          <cell r="B7581" t="str">
            <v>38007075(ÖLFLEX® 100 I  3 G 2.50)</v>
          </cell>
          <cell r="C7581" t="str">
            <v>LAPP</v>
          </cell>
          <cell r="D7581" t="str">
            <v>Lapp-Planned Stock General</v>
          </cell>
        </row>
        <row r="7582">
          <cell r="A7582" t="str">
            <v>38007055 (ÖLFLEX® 100 I  4 G 1.00)</v>
          </cell>
          <cell r="B7582" t="str">
            <v>38007055(ÖLFLEX® 100 I  4 G 1.00)</v>
          </cell>
          <cell r="C7582" t="str">
            <v>LAPP</v>
          </cell>
          <cell r="D7582" t="str">
            <v>Lapp-Planned Stock General</v>
          </cell>
        </row>
        <row r="7583">
          <cell r="A7583" t="str">
            <v>38007066 (ÖLFLEX® 100 I  4 G 1.50)</v>
          </cell>
          <cell r="B7583" t="str">
            <v>38007066(ÖLFLEX® 100 I  4 G 1.50)</v>
          </cell>
          <cell r="C7583" t="str">
            <v>LAPP</v>
          </cell>
          <cell r="D7583" t="str">
            <v>Lapp-Planned Stock General</v>
          </cell>
        </row>
        <row r="7584">
          <cell r="A7584" t="str">
            <v>38007076 (ÖLFLEX® 100 I  4 G 2.50)</v>
          </cell>
          <cell r="B7584" t="str">
            <v>38007076(ÖLFLEX® 100 I  4 G 2.50)</v>
          </cell>
          <cell r="C7584" t="str">
            <v>LAPP</v>
          </cell>
          <cell r="D7584" t="str">
            <v>Lapp-Planned Stock General</v>
          </cell>
        </row>
        <row r="7585">
          <cell r="A7585" t="str">
            <v>38007083 (ÖLFLEX® 100 I  4 G 4.00)</v>
          </cell>
          <cell r="B7585" t="str">
            <v>38007083(ÖLFLEX® 100 I  4 G 4.00)</v>
          </cell>
          <cell r="C7585" t="str">
            <v>LAPP</v>
          </cell>
          <cell r="D7585" t="str">
            <v>Lapp-Planned Stock General</v>
          </cell>
        </row>
        <row r="7586">
          <cell r="A7586" t="str">
            <v>11190101 (Ölflex® 110 10G0.5)</v>
          </cell>
          <cell r="B7586" t="str">
            <v>11190101(Ölflex® 110 10G0.5)</v>
          </cell>
          <cell r="C7586" t="str">
            <v>LAPP</v>
          </cell>
          <cell r="D7586" t="str">
            <v>Lapp-Planned Stock General</v>
          </cell>
        </row>
        <row r="7587">
          <cell r="A7587" t="str">
            <v>11191121 (Ölflex® 110  12 G 0.75 mm²)</v>
          </cell>
          <cell r="B7587" t="str">
            <v>11191121(Ölflex® 110  12 G 0.75 mm²)</v>
          </cell>
          <cell r="C7587" t="str">
            <v>LAPP</v>
          </cell>
          <cell r="D7587" t="str">
            <v>Lapp-Planned Stock General</v>
          </cell>
        </row>
        <row r="7588">
          <cell r="A7588" t="str">
            <v>11190181 (Ölflex® 110  18 G 0.5 mm²)</v>
          </cell>
          <cell r="B7588" t="str">
            <v>11190181(Ölflex® 110  18 G 0.5 mm²)</v>
          </cell>
          <cell r="C7588" t="str">
            <v>LAPP</v>
          </cell>
          <cell r="D7588" t="str">
            <v>Lapp-Planned Stock General</v>
          </cell>
        </row>
        <row r="7589">
          <cell r="A7589" t="str">
            <v>11198021 (Ölflex® 110  2 x 0.75 mm²)</v>
          </cell>
          <cell r="B7589" t="str">
            <v>11198021(Ölflex® 110  2 x 0.75 mm²)</v>
          </cell>
          <cell r="C7589" t="str">
            <v>LAPP</v>
          </cell>
          <cell r="D7589" t="str">
            <v>Lapp-Planned Stock General</v>
          </cell>
        </row>
        <row r="7590">
          <cell r="A7590" t="str">
            <v>11193031 (Ölflex® 110 3G1.5)</v>
          </cell>
          <cell r="B7590" t="str">
            <v>11193031(Ölflex® 110 3G1.5)</v>
          </cell>
          <cell r="C7590" t="str">
            <v>LAPP</v>
          </cell>
          <cell r="D7590" t="str">
            <v>Lapp-Planned Stock General</v>
          </cell>
        </row>
        <row r="7591">
          <cell r="A7591" t="str">
            <v>11194031 (Ölflex® 110  3 G 2.5 mm²)</v>
          </cell>
          <cell r="B7591" t="str">
            <v>11194031(Ölflex® 110  3 G 2.5 mm²)</v>
          </cell>
          <cell r="C7591" t="str">
            <v>LAPP</v>
          </cell>
          <cell r="D7591" t="str">
            <v>Lapp-Planned Stock General</v>
          </cell>
        </row>
        <row r="7592">
          <cell r="A7592" t="str">
            <v>11190041 (Ölflex® 110  4 G 0.5 mm²)</v>
          </cell>
          <cell r="B7592" t="str">
            <v>11190041(Ölflex® 110  4 G 0.5 mm²)</v>
          </cell>
          <cell r="C7592" t="str">
            <v>LAPP</v>
          </cell>
          <cell r="D7592" t="str">
            <v>Lapp-Planned Stock General</v>
          </cell>
        </row>
        <row r="7593">
          <cell r="A7593" t="str">
            <v>11194041 (Ölflex® 110  4 G 2.5 Mm²)</v>
          </cell>
          <cell r="B7593" t="str">
            <v>11194041(Ölflex® 110  4 G 2.5 Mm²)</v>
          </cell>
          <cell r="C7593" t="str">
            <v>LAPP</v>
          </cell>
          <cell r="D7593" t="str">
            <v>Lapp-Planned Stock General</v>
          </cell>
        </row>
        <row r="7594">
          <cell r="A7594" t="str">
            <v>11190051 (Ölflex® 110  5 G 0.5 mm²)</v>
          </cell>
          <cell r="B7594" t="str">
            <v>11190051(Ölflex® 110  5 G 0.5 mm²)</v>
          </cell>
          <cell r="C7594" t="str">
            <v>LAPP</v>
          </cell>
          <cell r="D7594" t="str">
            <v>Lapp-Planned Stock General</v>
          </cell>
        </row>
        <row r="7595">
          <cell r="A7595" t="str">
            <v>11192051 (Ölflex® 110  5 G 1.0 mm²)</v>
          </cell>
          <cell r="B7595" t="str">
            <v>11192051(Ölflex® 110  5 G 1.0 mm²)</v>
          </cell>
          <cell r="C7595" t="str">
            <v>LAPP</v>
          </cell>
          <cell r="D7595" t="str">
            <v>Lapp-Planned Stock General</v>
          </cell>
        </row>
        <row r="7596">
          <cell r="A7596" t="str">
            <v>11190071 (ÖLFLEX® 110 7G0.5)</v>
          </cell>
          <cell r="B7596" t="str">
            <v>11190071(ÖLFLEX® 110 7G0.5)</v>
          </cell>
          <cell r="C7596" t="str">
            <v>LAPP</v>
          </cell>
          <cell r="D7596" t="str">
            <v>Lapp-Planned Stock General</v>
          </cell>
        </row>
        <row r="7597">
          <cell r="A7597" t="str">
            <v>11191071 (Ölflex® 110  7 G 0.75 mm²)</v>
          </cell>
          <cell r="B7597" t="str">
            <v>11191071(Ölflex® 110  7 G 0.75 mm²)</v>
          </cell>
          <cell r="C7597" t="str">
            <v>LAPP</v>
          </cell>
          <cell r="D7597" t="str">
            <v>Lapp-Planned Stock General</v>
          </cell>
        </row>
        <row r="7598">
          <cell r="A7598" t="str">
            <v>11192071 (Ölflex® 110  7 G 1.0 mm²)</v>
          </cell>
          <cell r="B7598" t="str">
            <v>11192071(Ölflex® 110  7 G 1.0 mm²)</v>
          </cell>
          <cell r="C7598" t="str">
            <v>LAPP</v>
          </cell>
          <cell r="D7598" t="str">
            <v>Lapp-Planned Stock General</v>
          </cell>
        </row>
        <row r="7599">
          <cell r="A7599" t="str">
            <v>11193071 (Ölflex® 110 7G1.5)</v>
          </cell>
          <cell r="B7599" t="str">
            <v>11193071(Ölflex® 110 7G1.5)</v>
          </cell>
          <cell r="C7599" t="str">
            <v>LAPP</v>
          </cell>
          <cell r="D7599" t="str">
            <v>Lapp-Planned Stock General</v>
          </cell>
        </row>
        <row r="7600">
          <cell r="A7600" t="str">
            <v>11354041 (Ölflex® 110 CY  4 G 2.5 Mm²)</v>
          </cell>
          <cell r="B7600" t="str">
            <v>11354041(Ölflex® 110 CY  4 G 2.5 Mm²)</v>
          </cell>
          <cell r="C7600" t="str">
            <v>LAPP</v>
          </cell>
          <cell r="D7600" t="str">
            <v>Lapp-Planned Stock General</v>
          </cell>
        </row>
        <row r="7601">
          <cell r="A7601" t="str">
            <v>11197531 (Ölflex® 110-O  3 x 0.5 mm²)</v>
          </cell>
          <cell r="B7601" t="str">
            <v>11197531(Ölflex® 110-O  3 x 0.5 mm²)</v>
          </cell>
          <cell r="C7601" t="str">
            <v>LAPP</v>
          </cell>
          <cell r="D7601" t="str">
            <v>Lapp-Planned Stock General</v>
          </cell>
        </row>
        <row r="7602">
          <cell r="A7602" t="str">
            <v>11197541 (Ölflex® 110-O  4 x 0.5 mm²)</v>
          </cell>
          <cell r="B7602" t="str">
            <v>11197541(Ölflex® 110-O  4 x 0.5 mm²)</v>
          </cell>
          <cell r="C7602" t="str">
            <v>LAPP</v>
          </cell>
          <cell r="D7602" t="str">
            <v>Lapp-Planned Stock General</v>
          </cell>
        </row>
        <row r="7603">
          <cell r="A7603" t="str">
            <v>4510011U (ÖLFLEX® UNIPLUS 1X0.5 BK)</v>
          </cell>
          <cell r="B7603" t="str">
            <v>4510011U(ÖLFLEX® UNIPLUS 1X0.5 BK)</v>
          </cell>
          <cell r="C7603" t="str">
            <v>LAPP</v>
          </cell>
          <cell r="D7603" t="str">
            <v>Lapp-Planned Stock General</v>
          </cell>
        </row>
        <row r="7604">
          <cell r="A7604" t="str">
            <v>4510031U (ÖLFLEX® UNIPLUS 1X0.5 BN)</v>
          </cell>
          <cell r="B7604" t="str">
            <v>4510031U(ÖLFLEX® UNIPLUS 1X0.5 BN)</v>
          </cell>
          <cell r="C7604" t="str">
            <v>LAPP</v>
          </cell>
          <cell r="D7604" t="str">
            <v>Lapp-Planned Stock General</v>
          </cell>
        </row>
        <row r="7605">
          <cell r="A7605" t="str">
            <v>4510021U (ÖLFLEX® UNIPLUS 1X0.5 BU)</v>
          </cell>
          <cell r="B7605" t="str">
            <v>4510021U(ÖLFLEX® UNIPLUS 1X0.5 BU)</v>
          </cell>
          <cell r="C7605" t="str">
            <v>LAPP</v>
          </cell>
          <cell r="D7605" t="str">
            <v>Lapp-Planned Stock General</v>
          </cell>
        </row>
        <row r="7606">
          <cell r="A7606" t="str">
            <v>4510141U (ÖLFLEX® UNIPLUS 1X0.5 DBU)</v>
          </cell>
          <cell r="B7606" t="str">
            <v>4510141U(ÖLFLEX® UNIPLUS 1X0.5 DBU)</v>
          </cell>
          <cell r="C7606" t="str">
            <v>LAPP</v>
          </cell>
          <cell r="D7606" t="str">
            <v>Lapp-Planned Stock General</v>
          </cell>
        </row>
        <row r="7607">
          <cell r="A7607" t="str">
            <v>4510121U (ÖLFLEX® UNIPLUS 1X0.5 GN)</v>
          </cell>
          <cell r="B7607" t="str">
            <v>4510121U(ÖLFLEX® UNIPLUS 1X0.5 GN)</v>
          </cell>
          <cell r="C7607" t="str">
            <v>LAPP</v>
          </cell>
          <cell r="D7607" t="str">
            <v>Lapp-Planned Stock General</v>
          </cell>
        </row>
        <row r="7608">
          <cell r="A7608" t="str">
            <v>4510001U (ÖLFLEX® UNIPLUS 1X0.5 GNYE)</v>
          </cell>
          <cell r="B7608" t="str">
            <v>4510001U(ÖLFLEX® UNIPLUS 1X0.5 GNYE)</v>
          </cell>
          <cell r="C7608" t="str">
            <v>LAPP</v>
          </cell>
          <cell r="D7608" t="str">
            <v>Lapp-Planned Stock General</v>
          </cell>
        </row>
        <row r="7609">
          <cell r="A7609" t="str">
            <v>4510061U (ÖLFLEX® UNIPLUS 1X0.5 GY)</v>
          </cell>
          <cell r="B7609" t="str">
            <v>4510061U(ÖLFLEX® UNIPLUS 1X0.5 GY)</v>
          </cell>
          <cell r="C7609" t="str">
            <v>LAPP</v>
          </cell>
          <cell r="D7609" t="str">
            <v>Lapp-Planned Stock General</v>
          </cell>
        </row>
        <row r="7610">
          <cell r="A7610" t="str">
            <v>4510091U (ÖLFLEX® UNIPLUS 1X0.5 OG)</v>
          </cell>
          <cell r="B7610" t="str">
            <v>4510091U(ÖLFLEX® UNIPLUS 1X0.5 OG)</v>
          </cell>
          <cell r="C7610" t="str">
            <v>LAPP</v>
          </cell>
          <cell r="D7610" t="str">
            <v>Lapp-Planned Stock General</v>
          </cell>
        </row>
        <row r="7611">
          <cell r="A7611" t="str">
            <v>4510041U (ÖLFLEX® UNIPLUS 1X0.5 RD)</v>
          </cell>
          <cell r="B7611" t="str">
            <v>4510041U(ÖLFLEX® UNIPLUS 1X0.5 RD)</v>
          </cell>
          <cell r="C7611" t="str">
            <v>LAPP</v>
          </cell>
          <cell r="D7611" t="str">
            <v>Lapp-Planned Stock General</v>
          </cell>
        </row>
        <row r="7612">
          <cell r="A7612" t="str">
            <v>4510051U (ÖLFLEX® UNIPLUS 1X0.5 WH)</v>
          </cell>
          <cell r="B7612" t="str">
            <v>4510051U(ÖLFLEX® UNIPLUS 1X0.5 WH)</v>
          </cell>
          <cell r="C7612" t="str">
            <v>LAPP</v>
          </cell>
          <cell r="D7612" t="str">
            <v>Lapp-Planned Stock General</v>
          </cell>
        </row>
        <row r="7613">
          <cell r="A7613" t="str">
            <v>4510111U (ÖLFLEX® UNIPLUS 1X0.5 YE)</v>
          </cell>
          <cell r="B7613" t="str">
            <v>4510111U(ÖLFLEX® UNIPLUS 1X0.5 YE)</v>
          </cell>
          <cell r="C7613" t="str">
            <v>LAPP</v>
          </cell>
          <cell r="D7613" t="str">
            <v>Lapp-Planned Stock General</v>
          </cell>
        </row>
        <row r="7614">
          <cell r="A7614" t="str">
            <v>4510012U (ÖLFLEX® UNIPLUS 1X0.75 BK)</v>
          </cell>
          <cell r="B7614" t="str">
            <v>4510012U(ÖLFLEX® UNIPLUS 1X0.75 BK)</v>
          </cell>
          <cell r="C7614" t="str">
            <v>LAPP</v>
          </cell>
          <cell r="D7614" t="str">
            <v>Lapp-Planned Stock General</v>
          </cell>
        </row>
        <row r="7615">
          <cell r="A7615" t="str">
            <v>4510022U (ÖLFLEX® UNIPLUS 1X0.75 BU)</v>
          </cell>
          <cell r="B7615" t="str">
            <v>4510022U(ÖLFLEX® UNIPLUS 1X0.75 BU)</v>
          </cell>
          <cell r="C7615" t="str">
            <v>LAPP</v>
          </cell>
          <cell r="D7615" t="str">
            <v>Lapp-Planned Stock General</v>
          </cell>
        </row>
        <row r="7616">
          <cell r="A7616" t="str">
            <v>4510002U (ÖLFLEX® UNIPLUS 1X0.75 GNYE)</v>
          </cell>
          <cell r="B7616" t="str">
            <v>4510002U(ÖLFLEX® UNIPLUS 1X0.75 GNYE)</v>
          </cell>
          <cell r="C7616" t="str">
            <v>LAPP</v>
          </cell>
          <cell r="D7616" t="str">
            <v>Lapp-Planned Stock General</v>
          </cell>
        </row>
        <row r="7617">
          <cell r="A7617" t="str">
            <v>4510062U (ÖLFLEX® UNIPLUS 1X0.75 GY)</v>
          </cell>
          <cell r="B7617" t="str">
            <v>4510062U(ÖLFLEX® UNIPLUS 1X0.75 GY)</v>
          </cell>
          <cell r="C7617" t="str">
            <v>LAPP</v>
          </cell>
          <cell r="D7617" t="str">
            <v>Lapp-Planned Stock General</v>
          </cell>
        </row>
        <row r="7618">
          <cell r="A7618" t="str">
            <v>4510092U (ÖLFLEX® UNIPLUS 1X0.75 OG)</v>
          </cell>
          <cell r="B7618" t="str">
            <v>4510092U(ÖLFLEX® UNIPLUS 1X0.75 OG)</v>
          </cell>
          <cell r="C7618" t="str">
            <v>LAPP</v>
          </cell>
          <cell r="D7618" t="str">
            <v>Lapp-Planned Stock General</v>
          </cell>
        </row>
        <row r="7619">
          <cell r="A7619" t="str">
            <v>4510042U (ÖLFLEX® UNIPLUS 1X0.75 RD)</v>
          </cell>
          <cell r="B7619" t="str">
            <v>4510042U(ÖLFLEX® UNIPLUS 1X0.75 RD)</v>
          </cell>
          <cell r="C7619" t="str">
            <v>LAPP</v>
          </cell>
          <cell r="D7619" t="str">
            <v>Lapp-Planned Stock General</v>
          </cell>
        </row>
        <row r="7620">
          <cell r="A7620" t="str">
            <v>4510052U (ÖLFLEX® UNIPLUS 1X0.75 WH)</v>
          </cell>
          <cell r="B7620" t="str">
            <v>4510052U(ÖLFLEX® UNIPLUS 1X0.75 WH)</v>
          </cell>
          <cell r="C7620" t="str">
            <v>LAPP</v>
          </cell>
          <cell r="D7620" t="str">
            <v>Lapp-Planned Stock General</v>
          </cell>
        </row>
        <row r="7621">
          <cell r="A7621" t="str">
            <v>4520015U (ÖLFLEX® UNIPLUS 1X10 BK)</v>
          </cell>
          <cell r="B7621" t="str">
            <v>4520015U(ÖLFLEX® UNIPLUS 1X10 BK)</v>
          </cell>
          <cell r="C7621" t="str">
            <v>LAPP</v>
          </cell>
          <cell r="D7621" t="str">
            <v>Lapp-Planned Stock General</v>
          </cell>
        </row>
        <row r="7622">
          <cell r="A7622" t="str">
            <v>4520005U (ÖLFLEX® UNIPLUS 1X10 GNYE)</v>
          </cell>
          <cell r="B7622" t="str">
            <v>4520005U(ÖLFLEX® UNIPLUS 1X10 GNYE)</v>
          </cell>
          <cell r="C7622" t="str">
            <v>LAPP</v>
          </cell>
          <cell r="D7622" t="str">
            <v>Lapp-Planned Stock General</v>
          </cell>
        </row>
        <row r="7623">
          <cell r="A7623" t="str">
            <v>4520045U (ÖLFLEX® UNIPLUS 1X10 RD)</v>
          </cell>
          <cell r="B7623" t="str">
            <v>4520045U(ÖLFLEX® UNIPLUS 1X10 RD)</v>
          </cell>
          <cell r="C7623" t="str">
            <v>LAPP</v>
          </cell>
          <cell r="D7623" t="str">
            <v>Lapp-Planned Stock General</v>
          </cell>
        </row>
        <row r="7624">
          <cell r="A7624" t="str">
            <v>4520115U (ÖLFLEX® UNIPLUS 1X10 YE)</v>
          </cell>
          <cell r="B7624" t="str">
            <v>4520115U(ÖLFLEX® UNIPLUS 1X10 YE)</v>
          </cell>
          <cell r="C7624" t="str">
            <v>LAPP</v>
          </cell>
          <cell r="D7624" t="str">
            <v>Lapp-Planned Stock General</v>
          </cell>
        </row>
        <row r="7625">
          <cell r="A7625" t="str">
            <v>4520011U (ÖLFLEX® UNIPLUS 1X1.5 BK)</v>
          </cell>
          <cell r="B7625" t="str">
            <v>4520011U(ÖLFLEX® UNIPLUS 1X1.5 BK)</v>
          </cell>
          <cell r="C7625" t="str">
            <v>LAPP</v>
          </cell>
          <cell r="D7625" t="str">
            <v>Lapp-Planned Stock General</v>
          </cell>
        </row>
        <row r="7626">
          <cell r="A7626" t="str">
            <v>4520031U (ÖLFLEX® UNIPLUS 1X1.5 BN)</v>
          </cell>
          <cell r="B7626" t="str">
            <v>4520031U(ÖLFLEX® UNIPLUS 1X1.5 BN)</v>
          </cell>
          <cell r="C7626" t="str">
            <v>LAPP</v>
          </cell>
          <cell r="D7626" t="str">
            <v>Lapp-Planned Stock General</v>
          </cell>
        </row>
        <row r="7627">
          <cell r="A7627" t="str">
            <v>4520021U (ÖLFLEX® UNIPLUS 1X1.5 BU)</v>
          </cell>
          <cell r="B7627" t="str">
            <v>4520021U(ÖLFLEX® UNIPLUS 1X1.5 BU)</v>
          </cell>
          <cell r="C7627" t="str">
            <v>LAPP</v>
          </cell>
          <cell r="D7627" t="str">
            <v>Lapp-Planned Stock General</v>
          </cell>
        </row>
        <row r="7628">
          <cell r="A7628" t="str">
            <v>4520001U (ÖLFLEX® UNIPLUS 1X1.5 GNYE)</v>
          </cell>
          <cell r="B7628" t="str">
            <v>4520001U(ÖLFLEX® UNIPLUS 1X1.5 GNYE)</v>
          </cell>
          <cell r="C7628" t="str">
            <v>LAPP</v>
          </cell>
          <cell r="D7628" t="str">
            <v>Lapp-Planned Stock General</v>
          </cell>
        </row>
        <row r="7629">
          <cell r="A7629" t="str">
            <v>4520061U (ÖLFLEX® UNIPLUS 1X1.5 GY)</v>
          </cell>
          <cell r="B7629" t="str">
            <v>4520061U(ÖLFLEX® UNIPLUS 1X1.5 GY)</v>
          </cell>
          <cell r="C7629" t="str">
            <v>LAPP</v>
          </cell>
          <cell r="D7629" t="str">
            <v>Lapp-Planned Stock General</v>
          </cell>
        </row>
        <row r="7630">
          <cell r="A7630" t="str">
            <v>4520091U (ÖLFLEX® UNIPLUS 1X1.5 OG)</v>
          </cell>
          <cell r="B7630" t="str">
            <v>4520091U(ÖLFLEX® UNIPLUS 1X1.5 OG)</v>
          </cell>
          <cell r="C7630" t="str">
            <v>LAPP</v>
          </cell>
          <cell r="D7630" t="str">
            <v>Lapp-Planned Stock General</v>
          </cell>
        </row>
        <row r="7631">
          <cell r="A7631" t="str">
            <v>4520041U (ÖLFLEX® UNIPLUS 1X1.5 RD)</v>
          </cell>
          <cell r="B7631" t="str">
            <v>4520041U(ÖLFLEX® UNIPLUS 1X1.5 RD)</v>
          </cell>
          <cell r="C7631" t="str">
            <v>LAPP</v>
          </cell>
          <cell r="D7631" t="str">
            <v>Lapp-Planned Stock General</v>
          </cell>
        </row>
        <row r="7632">
          <cell r="A7632" t="str">
            <v>4520051U (ÖLFLEX® UNIPLUS 1X1.5 WH)</v>
          </cell>
          <cell r="B7632" t="str">
            <v>4520051U(ÖLFLEX® UNIPLUS 1X1.5 WH)</v>
          </cell>
          <cell r="C7632" t="str">
            <v>LAPP</v>
          </cell>
          <cell r="D7632" t="str">
            <v>Lapp-Planned Stock General</v>
          </cell>
        </row>
        <row r="7633">
          <cell r="A7633" t="str">
            <v>4520111U (ÖLFLEX® UNIPLUS 1X1.5 YE)</v>
          </cell>
          <cell r="B7633" t="str">
            <v>4520111U(ÖLFLEX® UNIPLUS 1X1.5 YE)</v>
          </cell>
          <cell r="C7633" t="str">
            <v>LAPP</v>
          </cell>
          <cell r="D7633" t="str">
            <v>Lapp-Planned Stock General</v>
          </cell>
        </row>
        <row r="7634">
          <cell r="A7634" t="str">
            <v>4520026U (ÖLFLEX® UNIPLUS 1X16 BU)</v>
          </cell>
          <cell r="B7634" t="str">
            <v>4520026U(ÖLFLEX® UNIPLUS 1X16 BU)</v>
          </cell>
          <cell r="C7634" t="str">
            <v>LAPP</v>
          </cell>
          <cell r="D7634" t="str">
            <v>Lapp-Planned Stock General</v>
          </cell>
        </row>
        <row r="7635">
          <cell r="A7635" t="str">
            <v>4510013U (ÖLFLEX® UNIPLUS 1X1 BK)</v>
          </cell>
          <cell r="B7635" t="str">
            <v>4510013U(ÖLFLEX® UNIPLUS 1X1 BK)</v>
          </cell>
          <cell r="C7635" t="str">
            <v>LAPP</v>
          </cell>
          <cell r="D7635" t="str">
            <v>Lapp-Planned Stock General</v>
          </cell>
        </row>
        <row r="7636">
          <cell r="A7636" t="str">
            <v>4510033U (ÖLFLEX® UNIPLUS 1X1 BN)</v>
          </cell>
          <cell r="B7636" t="str">
            <v>4510033U(ÖLFLEX® UNIPLUS 1X1 BN)</v>
          </cell>
          <cell r="C7636" t="str">
            <v>LAPP</v>
          </cell>
          <cell r="D7636" t="str">
            <v>Lapp-Planned Stock General</v>
          </cell>
        </row>
        <row r="7637">
          <cell r="A7637" t="str">
            <v>4510023U (ÖLFLEX® UNIPLUS 1X1 BU)</v>
          </cell>
          <cell r="B7637" t="str">
            <v>4510023U(ÖLFLEX® UNIPLUS 1X1 BU)</v>
          </cell>
          <cell r="C7637" t="str">
            <v>LAPP</v>
          </cell>
          <cell r="D7637" t="str">
            <v>Lapp-Planned Stock General</v>
          </cell>
        </row>
        <row r="7638">
          <cell r="A7638" t="str">
            <v>4510003U (ÖLFLEX® UNIPLUS 1X1 GNYE)</v>
          </cell>
          <cell r="B7638" t="str">
            <v>4510003U(ÖLFLEX® UNIPLUS 1X1 GNYE)</v>
          </cell>
          <cell r="C7638" t="str">
            <v>LAPP</v>
          </cell>
          <cell r="D7638" t="str">
            <v>Lapp-Planned Stock General</v>
          </cell>
        </row>
        <row r="7639">
          <cell r="A7639" t="str">
            <v>4510063U (ÖLFLEX® UNIPLUS 1X1 GY)</v>
          </cell>
          <cell r="B7639" t="str">
            <v>4510063U(ÖLFLEX® UNIPLUS 1X1 GY)</v>
          </cell>
          <cell r="C7639" t="str">
            <v>LAPP</v>
          </cell>
          <cell r="D7639" t="str">
            <v>Lapp-Planned Stock General</v>
          </cell>
        </row>
        <row r="7640">
          <cell r="A7640" t="str">
            <v>4510043U (ÖLFLEX® UNIPLUS 1X1 RD)</v>
          </cell>
          <cell r="B7640" t="str">
            <v>4510043U(ÖLFLEX® UNIPLUS 1X1 RD)</v>
          </cell>
          <cell r="C7640" t="str">
            <v>LAPP</v>
          </cell>
          <cell r="D7640" t="str">
            <v>Lapp-Planned Stock General</v>
          </cell>
        </row>
        <row r="7641">
          <cell r="A7641" t="str">
            <v>4510053U (ÖLFLEX® UNIPLUS 1X1 WH)</v>
          </cell>
          <cell r="B7641" t="str">
            <v>4510053U(ÖLFLEX® UNIPLUS 1X1 WH)</v>
          </cell>
          <cell r="C7641" t="str">
            <v>LAPP</v>
          </cell>
          <cell r="D7641" t="str">
            <v>Lapp-Planned Stock General</v>
          </cell>
        </row>
        <row r="7642">
          <cell r="A7642" t="str">
            <v>4510113U (ÖLFLEX® UNIPLUS 1X1 YE)</v>
          </cell>
          <cell r="B7642" t="str">
            <v>4510113U(ÖLFLEX® UNIPLUS 1X1 YE)</v>
          </cell>
          <cell r="C7642" t="str">
            <v>LAPP</v>
          </cell>
          <cell r="D7642" t="str">
            <v>Lapp-Planned Stock General</v>
          </cell>
        </row>
        <row r="7643">
          <cell r="A7643" t="str">
            <v>4520012U (ÖLFLEX® UNIPLUS 1X2.5 BK)</v>
          </cell>
          <cell r="B7643" t="str">
            <v>4520012U(ÖLFLEX® UNIPLUS 1X2.5 BK)</v>
          </cell>
          <cell r="C7643" t="str">
            <v>LAPP</v>
          </cell>
          <cell r="D7643" t="str">
            <v>Lapp-Planned Stock General</v>
          </cell>
        </row>
        <row r="7644">
          <cell r="A7644" t="str">
            <v>4520022U (ÖLFLEX® UNIPLUS 1X2.5 BU)</v>
          </cell>
          <cell r="B7644" t="str">
            <v>4520022U(ÖLFLEX® UNIPLUS 1X2.5 BU)</v>
          </cell>
          <cell r="C7644" t="str">
            <v>LAPP</v>
          </cell>
          <cell r="D7644" t="str">
            <v>Lapp-Planned Stock General</v>
          </cell>
        </row>
        <row r="7645">
          <cell r="A7645" t="str">
            <v>4520002U (ÖLFLEX® UNIPLUS 1X2.5 GNYE)</v>
          </cell>
          <cell r="B7645" t="str">
            <v>4520002U(ÖLFLEX® UNIPLUS 1X2.5 GNYE)</v>
          </cell>
          <cell r="C7645" t="str">
            <v>LAPP</v>
          </cell>
          <cell r="D7645" t="str">
            <v>Lapp-Planned Stock General</v>
          </cell>
        </row>
        <row r="7646">
          <cell r="A7646" t="str">
            <v>4520042U (ÖLFLEX® UNIPLUS 1X2.5 RD)</v>
          </cell>
          <cell r="B7646" t="str">
            <v>4520042U(ÖLFLEX® UNIPLUS 1X2.5 RD)</v>
          </cell>
          <cell r="C7646" t="str">
            <v>LAPP</v>
          </cell>
          <cell r="D7646" t="str">
            <v>Lapp-Planned Stock General</v>
          </cell>
        </row>
        <row r="7647">
          <cell r="A7647" t="str">
            <v>4521012U (ÖLFLEX® UNIPLUS 1X35 BK)</v>
          </cell>
          <cell r="B7647" t="str">
            <v>4521012U(ÖLFLEX® UNIPLUS 1X35 BK)</v>
          </cell>
          <cell r="C7647" t="str">
            <v>LAPP</v>
          </cell>
          <cell r="D7647" t="str">
            <v>Lapp-Planned Stock General</v>
          </cell>
        </row>
        <row r="7648">
          <cell r="A7648" t="str">
            <v>4520013U (ÖLFLEX® UNIPLUS 1X4 BK)</v>
          </cell>
          <cell r="B7648" t="str">
            <v>4520013U(ÖLFLEX® UNIPLUS 1X4 BK)</v>
          </cell>
          <cell r="C7648" t="str">
            <v>LAPP</v>
          </cell>
          <cell r="D7648" t="str">
            <v>Lapp-Planned Stock General</v>
          </cell>
        </row>
        <row r="7649">
          <cell r="A7649" t="str">
            <v>4520023U (ÖLFLEX® UNIPLUS 1X4 BU)</v>
          </cell>
          <cell r="B7649" t="str">
            <v>4520023U(ÖLFLEX® UNIPLUS 1X4 BU)</v>
          </cell>
          <cell r="C7649" t="str">
            <v>LAPP</v>
          </cell>
          <cell r="D7649" t="str">
            <v>Lapp-Planned Stock General</v>
          </cell>
        </row>
        <row r="7650">
          <cell r="A7650" t="str">
            <v>4520003U (ÖLFLEX® UNIPLUS 1X4 GNYE)</v>
          </cell>
          <cell r="B7650" t="str">
            <v>4520003U(ÖLFLEX® UNIPLUS 1X4 GNYE)</v>
          </cell>
          <cell r="C7650" t="str">
            <v>LAPP</v>
          </cell>
          <cell r="D7650" t="str">
            <v>Lapp-Planned Stock General</v>
          </cell>
        </row>
        <row r="7651">
          <cell r="A7651" t="str">
            <v>4520043U (ÖLFLEX® UNIPLUS 1X4 RD)</v>
          </cell>
          <cell r="B7651" t="str">
            <v>4520043U(ÖLFLEX® UNIPLUS 1X4 RD)</v>
          </cell>
          <cell r="C7651" t="str">
            <v>LAPP</v>
          </cell>
          <cell r="D7651" t="str">
            <v>Lapp-Planned Stock General</v>
          </cell>
        </row>
        <row r="7652">
          <cell r="A7652" t="str">
            <v>4520113U (ÖLFLEX® UNIPLUS 1X4 YE)</v>
          </cell>
          <cell r="B7652" t="str">
            <v>4520113U(ÖLFLEX® UNIPLUS 1X4 YE)</v>
          </cell>
          <cell r="C7652" t="str">
            <v>LAPP</v>
          </cell>
          <cell r="D7652" t="str">
            <v>Lapp-Planned Stock General</v>
          </cell>
        </row>
        <row r="7653">
          <cell r="A7653" t="str">
            <v>4520014U (ÖLFLEX® UNIPLUS 1X6 BK)</v>
          </cell>
          <cell r="B7653" t="str">
            <v>4520014U(ÖLFLEX® UNIPLUS 1X6 BK)</v>
          </cell>
          <cell r="C7653" t="str">
            <v>LAPP</v>
          </cell>
          <cell r="D7653" t="str">
            <v>Lapp-Planned Stock General</v>
          </cell>
        </row>
        <row r="7654">
          <cell r="A7654" t="str">
            <v>4520024U (ÖLFLEX® UNIPLUS 1X6 BU)</v>
          </cell>
          <cell r="B7654" t="str">
            <v>4520024U(ÖLFLEX® UNIPLUS 1X6 BU)</v>
          </cell>
          <cell r="C7654" t="str">
            <v>LAPP</v>
          </cell>
          <cell r="D7654" t="str">
            <v>Lapp-Planned Stock General</v>
          </cell>
        </row>
        <row r="7655">
          <cell r="A7655" t="str">
            <v>4520004U (ÖLFLEX® UNIPLUS 1X6 GNYE)</v>
          </cell>
          <cell r="B7655" t="str">
            <v>4520004U(ÖLFLEX® UNIPLUS 1X6 GNYE)</v>
          </cell>
          <cell r="C7655" t="str">
            <v>LAPP</v>
          </cell>
          <cell r="D7655" t="str">
            <v>Lapp-Planned Stock General</v>
          </cell>
        </row>
        <row r="7656">
          <cell r="A7656" t="str">
            <v>4520044U (ÖLFLEX® UNIPLUS 1X6 RD)</v>
          </cell>
          <cell r="B7656" t="str">
            <v>4520044U(ÖLFLEX® UNIPLUS 1X6 RD)</v>
          </cell>
          <cell r="C7656" t="str">
            <v>LAPP</v>
          </cell>
          <cell r="D7656" t="str">
            <v>Lapp-Planned Stock General</v>
          </cell>
        </row>
        <row r="7657">
          <cell r="A7657" t="str">
            <v>4520114U (ÖLFLEX® UNIPLUS 1X6 YE)</v>
          </cell>
          <cell r="B7657" t="str">
            <v>4520114U(ÖLFLEX® UNIPLUS 1X6 YE)</v>
          </cell>
          <cell r="C7657" t="str">
            <v>LAPP</v>
          </cell>
          <cell r="D7657" t="str">
            <v>Lapp-Planned Stock General</v>
          </cell>
        </row>
        <row r="7658">
          <cell r="A7658" t="str">
            <v>53111640 (SKINTOP® BS-M 32x1,5 RAL 7001 SGY)</v>
          </cell>
          <cell r="B7658" t="str">
            <v>53111640(SKINTOP® BS-M 32x1,5 RAL 7001 SGY)</v>
          </cell>
          <cell r="C7658" t="str">
            <v>LAPP</v>
          </cell>
          <cell r="D7658" t="str">
            <v>Lapp-Planned Stock Specific Customer</v>
          </cell>
        </row>
        <row r="7659">
          <cell r="A7659" t="str">
            <v>0034702 (UNITRONIC LiYCY 2x0,75)</v>
          </cell>
          <cell r="B7659" t="str">
            <v>0034702(UNITRONIC LiYCY 2x0,75)</v>
          </cell>
          <cell r="C7659" t="str">
            <v>LAPP</v>
          </cell>
          <cell r="D7659" t="str">
            <v>Lapp-Rinac</v>
          </cell>
        </row>
        <row r="7660">
          <cell r="A7660" t="str">
            <v>0034704 (UNITRONIC LIYCY 4X0,75)</v>
          </cell>
          <cell r="B7660" t="str">
            <v>0034704(UNITRONIC LIYCY 4X0,75)</v>
          </cell>
          <cell r="C7660" t="str">
            <v>LAPP</v>
          </cell>
          <cell r="D7660" t="str">
            <v>Lapp-Rinac</v>
          </cell>
        </row>
        <row r="7661">
          <cell r="A7661" t="str">
            <v>11198521 (Ölflex® 110  2 x 1.0 mm²)</v>
          </cell>
          <cell r="B7661" t="str">
            <v>11198521(Ölflex® 110  2 x 1.0 mm²)</v>
          </cell>
          <cell r="C7661" t="str">
            <v>LAPP</v>
          </cell>
          <cell r="D7661" t="str">
            <v>Lapp-Rinac</v>
          </cell>
        </row>
        <row r="7662">
          <cell r="A7662" t="str">
            <v>11192031 (Ölflex® 110  3 G 1.0 mm²)</v>
          </cell>
          <cell r="B7662" t="str">
            <v>11192031(Ölflex® 110  3 G 1.0 mm²)</v>
          </cell>
          <cell r="C7662" t="str">
            <v>LAPP</v>
          </cell>
          <cell r="D7662" t="str">
            <v>Lapp-Rinac</v>
          </cell>
        </row>
        <row r="7663">
          <cell r="A7663" t="str">
            <v>11192041 (Ölflex® 110  - 4 G 1.0 mm²)</v>
          </cell>
          <cell r="B7663" t="str">
            <v>11192041(Ölflex® 110  - 4 G 1.0 mm²)</v>
          </cell>
          <cell r="C7663" t="str">
            <v>LAPP</v>
          </cell>
          <cell r="D7663" t="str">
            <v>Lapp-Rinac</v>
          </cell>
        </row>
        <row r="7664">
          <cell r="A7664" t="str">
            <v>11192061 (Ölflex® 110 6G1)</v>
          </cell>
          <cell r="B7664" t="str">
            <v>11192061(Ölflex® 110 6G1)</v>
          </cell>
          <cell r="C7664" t="str">
            <v>LAPP</v>
          </cell>
          <cell r="D7664" t="str">
            <v>Lapp-Rinac</v>
          </cell>
        </row>
        <row r="7665">
          <cell r="A7665" t="str">
            <v>0065106_x000D_
 ("SILFLEX SiF/GL 1X2,5"_x000D_
)</v>
          </cell>
          <cell r="B7665" t="str">
            <v>0065106_x000D_
("SILFLEX SiF/GL 1X2,5"_x000D_
)</v>
          </cell>
          <cell r="C7665" t="str">
            <v>LAPP</v>
          </cell>
          <cell r="D7665" t="str">
            <v>Lapp-TD Power</v>
          </cell>
        </row>
        <row r="7666">
          <cell r="A7666" t="str">
            <v>4161501 (Multi-Standard SC 2.1 1X120 BK)</v>
          </cell>
          <cell r="B7666" t="str">
            <v>4161501(Multi-Standard SC 2.1 1X120 BK)</v>
          </cell>
          <cell r="C7666" t="str">
            <v>LAPP</v>
          </cell>
          <cell r="D7666" t="str">
            <v>Lapp-TD Power</v>
          </cell>
        </row>
        <row r="7667">
          <cell r="A7667" t="str">
            <v>4160900 (Multi-Standard SC 2.1 1X16 GNYE_x000D_
)</v>
          </cell>
          <cell r="B7667" t="str">
            <v>4160900(Multi-Standard SC 2.1 1X16 GNYE_x000D_
)</v>
          </cell>
          <cell r="C7667" t="str">
            <v>LAPP</v>
          </cell>
          <cell r="D7667" t="str">
            <v>Lapp-TD Power</v>
          </cell>
        </row>
        <row r="7668">
          <cell r="A7668" t="str">
            <v>4161400 (Multi-Standard SC 2.1 1X95 GNYE)</v>
          </cell>
          <cell r="B7668" t="str">
            <v>4161400(Multi-Standard SC 2.1 1X95 GNYE)</v>
          </cell>
          <cell r="C7668" t="str">
            <v>LAPP</v>
          </cell>
          <cell r="D7668" t="str">
            <v>Lapp-TD Power</v>
          </cell>
        </row>
        <row r="7669">
          <cell r="A7669" t="str">
            <v>53112080 (SKINTOP MS-M 63x1,5 PLUS_x000D_
)</v>
          </cell>
          <cell r="B7669" t="str">
            <v>53112080(SKINTOP MS-M 63x1,5 PLUS_x000D_
)</v>
          </cell>
          <cell r="C7669" t="str">
            <v>LAPP</v>
          </cell>
          <cell r="D7669" t="str">
            <v>Lapp-TD Power</v>
          </cell>
        </row>
        <row r="7670">
          <cell r="A7670" t="str">
            <v>4161500 (UL(MTW)-CSA-HAR Style 1015 0000AWG GNYE)</v>
          </cell>
          <cell r="B7670" t="str">
            <v>4161500(UL(MTW)-CSA-HAR Style 1015 0000AWG GNYE)</v>
          </cell>
          <cell r="C7670" t="str">
            <v>LAPP</v>
          </cell>
          <cell r="D7670" t="str">
            <v>Lapp-TD Power</v>
          </cell>
        </row>
        <row r="7671">
          <cell r="A7671" t="str">
            <v>4160701_x000D_
 (UL(MTW)-CSA-(HAR) Style 1015 10AWG BK_x000D_
)</v>
          </cell>
          <cell r="B7671" t="str">
            <v>4160701 (UL(MTW)-CSA-(HAR) Style 1015 10AWG BK )</v>
          </cell>
          <cell r="C7671" t="str">
            <v>LAPP</v>
          </cell>
          <cell r="D7671" t="str">
            <v>Lapp-TD Power</v>
          </cell>
        </row>
        <row r="7672">
          <cell r="A7672" t="str">
            <v>4160700_x000D_
 (UL(MTW)-CSA-HAR Style 1015 10AWG GNYE_x000D_
)</v>
          </cell>
          <cell r="B7672" t="str">
            <v>4160700_x000D_
(UL(MTW)-CSA-HAR Style 1015 10AWG GNYE_x000D_
)</v>
          </cell>
          <cell r="C7672" t="str">
            <v>LAPP</v>
          </cell>
          <cell r="D7672" t="str">
            <v>Lapp-TD Power</v>
          </cell>
        </row>
        <row r="7673">
          <cell r="A7673" t="str">
            <v>4160601_x000D_
 (UL(MTW)-CSA-HAR Style 1015 12AWG BK_x000D_
)</v>
          </cell>
          <cell r="B7673" t="str">
            <v>4160601_x000D_
(UL(MTW)-CSA-HAR Style 1015 12AWG BK_x000D_
)</v>
          </cell>
          <cell r="C7673" t="str">
            <v>LAPP</v>
          </cell>
          <cell r="D7673" t="str">
            <v>Lapp-TD Power</v>
          </cell>
        </row>
        <row r="7674">
          <cell r="A7674" t="str">
            <v>4160600_x000D_
 (UL(MTW)-CSA-HAR Style 1015 12AWG GNYE_x000D_
)</v>
          </cell>
          <cell r="B7674" t="str">
            <v>4160600_x000D_
(UL(MTW)-CSA-HAR Style 1015 12AWG GNYE_x000D_
)</v>
          </cell>
          <cell r="C7674" t="str">
            <v>LAPP</v>
          </cell>
          <cell r="D7674" t="str">
            <v>Lapp-TD Power</v>
          </cell>
        </row>
        <row r="7675">
          <cell r="A7675" t="str">
            <v>4160501_x000D_
 (UL(MTW)-CSA-HAR Style 1015 14AWG BK_x000D_
)</v>
          </cell>
          <cell r="B7675" t="str">
            <v>4160501_x000D_
(UL(MTW)-CSA-HAR Style 1015 14AWG BK_x000D_
)</v>
          </cell>
          <cell r="C7675" t="str">
            <v>LAPP</v>
          </cell>
          <cell r="D7675" t="str">
            <v>Lapp-TD Power</v>
          </cell>
        </row>
        <row r="7676">
          <cell r="A7676" t="str">
            <v>4160500_x000D_
 (UL(MTW)-CSA-HAR Style 1015 14AWG GNYE_x000D_
)</v>
          </cell>
          <cell r="B7676" t="str">
            <v>4160500_x000D_
(UL(MTW)-CSA-HAR Style 1015 14AWG GNYE_x000D_
)</v>
          </cell>
          <cell r="C7676" t="str">
            <v>LAPP</v>
          </cell>
          <cell r="D7676" t="str">
            <v>Lapp-TD Power</v>
          </cell>
        </row>
        <row r="7677">
          <cell r="A7677" t="str">
            <v>4160504_x000D_
 (UL(MTW)-CSA-HAR Style 1015 14AWG RD_x000D_
)</v>
          </cell>
          <cell r="B7677" t="str">
            <v>4160504_x000D_
(UL(MTW)-CSA-HAR Style 1015 14AWG RD_x000D_
)</v>
          </cell>
          <cell r="C7677" t="str">
            <v>LAPP</v>
          </cell>
          <cell r="D7677" t="str">
            <v>Lapp-TD Power</v>
          </cell>
        </row>
        <row r="7678">
          <cell r="A7678" t="str">
            <v>4160305_x000D_
 (UL(MTW)-CSA-HAR Style 1015 18AWG WH_x000D_
)</v>
          </cell>
          <cell r="B7678" t="str">
            <v>4160305_x000D_
(UL(MTW)-CSA-HAR Style 1015 18AWG WH_x000D_
)</v>
          </cell>
          <cell r="C7678" t="str">
            <v>LAPP</v>
          </cell>
          <cell r="D7678" t="str">
            <v>Lapp-TD Power</v>
          </cell>
        </row>
        <row r="7679">
          <cell r="A7679" t="str">
            <v>0015804_x000D_
 (ÖLFLEX 150 CY QUATTRO 4G1,5/16AWG_x000D_
)</v>
          </cell>
          <cell r="B7679" t="str">
            <v>0015804_x000D_
(ÖLFLEX 150 CY QUATTRO 4G1,5/16AWG_x000D_
)</v>
          </cell>
          <cell r="C7679" t="str">
            <v>LAPP</v>
          </cell>
          <cell r="D7679" t="str">
            <v>Lapp-TD Power</v>
          </cell>
        </row>
        <row r="7680">
          <cell r="A7680" t="str">
            <v>0015104 (ÖLFLEX 150 QUATTRO 4G0,75/19AWG_x000D_
)</v>
          </cell>
          <cell r="B7680" t="str">
            <v>0015104(ÖLFLEX 150 QUATTRO 4G0,75/19AWG_x000D_
)</v>
          </cell>
          <cell r="C7680" t="str">
            <v>LAPP</v>
          </cell>
          <cell r="D7680" t="str">
            <v>Lapp-TD Power</v>
          </cell>
        </row>
        <row r="7681">
          <cell r="A7681" t="str">
            <v>1024409 (ÖLFLEX HEAT 125 C MC 4G0.75)</v>
          </cell>
          <cell r="B7681" t="str">
            <v>1024409(ÖLFLEX HEAT 125 C MC 4G0.75)</v>
          </cell>
          <cell r="C7681" t="str">
            <v>LAPP</v>
          </cell>
          <cell r="D7681" t="str">
            <v>Lapp-TD Power</v>
          </cell>
        </row>
        <row r="7682">
          <cell r="A7682" t="str">
            <v>1024308 (ÖLFLEX HEAT 125 MC 3G0.75)</v>
          </cell>
          <cell r="B7682" t="str">
            <v>1024308(ÖLFLEX HEAT 125 MC 3G0.75)</v>
          </cell>
          <cell r="C7682" t="str">
            <v>LAPP</v>
          </cell>
          <cell r="D7682" t="str">
            <v>Lapp-TD Power</v>
          </cell>
        </row>
        <row r="7683">
          <cell r="A7683" t="str">
            <v>1024309 (ÖLFLEX HEAT 125 MC 4G0.75)</v>
          </cell>
          <cell r="B7683" t="str">
            <v>1024309(ÖLFLEX HEAT 125 MC 4G0.75)</v>
          </cell>
          <cell r="C7683" t="str">
            <v>LAPP</v>
          </cell>
          <cell r="D7683" t="str">
            <v>Lapp-TD Power</v>
          </cell>
        </row>
        <row r="7684">
          <cell r="A7684" t="str">
            <v>1024317 (ÖLFLEX HEAT 125 MC 4G1)</v>
          </cell>
          <cell r="B7684" t="str">
            <v>1024317(ÖLFLEX HEAT 125 MC 4G1)</v>
          </cell>
          <cell r="C7684" t="str">
            <v>LAPP</v>
          </cell>
          <cell r="D7684" t="str">
            <v>Lapp-TD Power</v>
          </cell>
        </row>
        <row r="7685">
          <cell r="A7685" t="str">
            <v>1024310 (ÖLFLEX HEAT 125 MC 5G0.75)</v>
          </cell>
          <cell r="B7685" t="str">
            <v>1024310(ÖLFLEX HEAT 125 MC 5G0.75)</v>
          </cell>
          <cell r="C7685" t="str">
            <v>LAPP</v>
          </cell>
          <cell r="D7685" t="str">
            <v>Lapp-TD Power</v>
          </cell>
        </row>
        <row r="7686">
          <cell r="A7686" t="str">
            <v>1234001 (ÖLFLEX HEAT 125 SC 1X1 BK_x000D_
)</v>
          </cell>
          <cell r="B7686" t="str">
            <v>1234001(ÖLFLEX HEAT 125 SC 1X1 BK_x000D_
)</v>
          </cell>
          <cell r="C7686" t="str">
            <v>LAPP</v>
          </cell>
          <cell r="D7686" t="str">
            <v>Lapp-TD Power</v>
          </cell>
        </row>
        <row r="7687">
          <cell r="A7687" t="str">
            <v>1236001_x000D_
 (ÖLFLEX HEAT 125 SC 1X2.5 BK_x000D_
)</v>
          </cell>
          <cell r="B7687" t="str">
            <v>1236001_x000D_
(ÖLFLEX HEAT 125 SC 1X2.5 BK_x000D_
)</v>
          </cell>
          <cell r="C7687" t="str">
            <v>LAPP</v>
          </cell>
          <cell r="D7687" t="str">
            <v>Lapp-TD Power</v>
          </cell>
        </row>
        <row r="7688">
          <cell r="A7688" t="str">
            <v>1237001 (ÖLFLEX HEAT 125 SC 1X4 BK_x000D_
)</v>
          </cell>
          <cell r="B7688" t="str">
            <v>1237001(ÖLFLEX HEAT 125 SC 1X4 BK_x000D_
)</v>
          </cell>
          <cell r="C7688" t="str">
            <v>LAPP</v>
          </cell>
          <cell r="D7688" t="str">
            <v>Lapp-TD Power</v>
          </cell>
        </row>
        <row r="7689">
          <cell r="A7689" t="str">
            <v>1249525 (ÖLFLEX HEAT 180 SiF A 1x1,5 BK)</v>
          </cell>
          <cell r="B7689" t="str">
            <v>1249525(ÖLFLEX HEAT 180 SiF A 1x1,5 BK)</v>
          </cell>
          <cell r="C7689" t="str">
            <v>LAPP</v>
          </cell>
          <cell r="D7689" t="str">
            <v>Lapp-TD Power</v>
          </cell>
        </row>
        <row r="7690">
          <cell r="A7690" t="str">
            <v>1249526 (ÖLFLEX HEAT 180 SiF A 1x2,5 BK_x000D_
)</v>
          </cell>
          <cell r="B7690" t="str">
            <v>1249526(ÖLFLEX HEAT 180 SiF A 1x2,5 BK )</v>
          </cell>
          <cell r="C7690" t="str">
            <v>LAPP</v>
          </cell>
          <cell r="D7690" t="str">
            <v>Lapp-TD Power</v>
          </cell>
        </row>
        <row r="7691">
          <cell r="A7691" t="str">
            <v>1249508 (ÖLFLEX HEAT 180 SIF A 1X6 GNYE)</v>
          </cell>
          <cell r="B7691" t="str">
            <v>1249508(ÖLFLEX HEAT 180 SIF A 1X6 GNYE)</v>
          </cell>
          <cell r="C7691" t="str">
            <v>LAPP</v>
          </cell>
          <cell r="D7691" t="str">
            <v>Lapp-TD Power</v>
          </cell>
        </row>
        <row r="7692">
          <cell r="A7692" t="str">
            <v>0065108_x000D_
 (ÖLFLEX HEAT 180 SiF/GL 1X6_x000D_
)</v>
          </cell>
          <cell r="B7692" t="str">
            <v>0065108_x000D_
(ÖLFLEX HEAT 180 SiF/GL 1X6_x000D_
)</v>
          </cell>
          <cell r="C7692" t="str">
            <v>LAPP</v>
          </cell>
          <cell r="D7692" t="str">
            <v>Lapp-TD Power</v>
          </cell>
        </row>
        <row r="7693">
          <cell r="A7693" t="str">
            <v>0046020 (ÖLFLEX HEAT 180 SiHF 3G2.5_x000D_
)</v>
          </cell>
          <cell r="B7693" t="str">
            <v>0046020(ÖLFLEX HEAT 180 SiHF 3G2.5_x000D_
)</v>
          </cell>
          <cell r="C7693" t="str">
            <v>LAPP</v>
          </cell>
          <cell r="D7693" t="str">
            <v>Lapp-TD Power</v>
          </cell>
        </row>
        <row r="7694">
          <cell r="A7694" t="str">
            <v>0046604 (ÖLFLEX HEAT 180 UL/CSA 7G0,5/20 AWG_x000D_
)</v>
          </cell>
          <cell r="B7694" t="str">
            <v>0046604(ÖLFLEX HEAT 180 UL/CSA 7G0,5/20 AWG_x000D_
)</v>
          </cell>
          <cell r="C7694" t="str">
            <v>LAPP</v>
          </cell>
          <cell r="D7694" t="str">
            <v>Lapp-TD Power</v>
          </cell>
        </row>
        <row r="7695">
          <cell r="A7695" t="str">
            <v>221807 (ÖLFLEX TRAY II 7G1 18/7C)</v>
          </cell>
          <cell r="B7695" t="str">
            <v>221807(ÖLFLEX TRAY II 7G1 18/7C)</v>
          </cell>
          <cell r="C7695" t="str">
            <v>LAPP</v>
          </cell>
          <cell r="D7695" t="str">
            <v>Lapp-TD Power</v>
          </cell>
        </row>
        <row r="7696">
          <cell r="A7696" t="str">
            <v>1024407 (ÖLFLEX® HEAT 125 C MC 2X0,75_x000D_
)</v>
          </cell>
          <cell r="B7696" t="str">
            <v>1024407(ÖLFLEX® HEAT 125 C MC 2X0,75_x000D_
)</v>
          </cell>
          <cell r="C7696" t="str">
            <v>LAPP</v>
          </cell>
          <cell r="D7696" t="str">
            <v>Lapp-TD Power</v>
          </cell>
        </row>
        <row r="7697">
          <cell r="A7697" t="str">
            <v>1024424 (ÖLFLEX® HEAT 125 C MC 3G1,5	_x000D_
)</v>
          </cell>
          <cell r="B7697" t="str">
            <v>1024424(ÖLFLEX® HEAT 125 C MC 3G1,5	_x000D_
)</v>
          </cell>
          <cell r="C7697" t="str">
            <v>LAPP</v>
          </cell>
          <cell r="D7697" t="str">
            <v>Lapp-TD Power</v>
          </cell>
        </row>
        <row r="7698">
          <cell r="A7698" t="str">
            <v>1024425 (ÖLFLEX® HEAT 125 C MC 4G1,5)</v>
          </cell>
          <cell r="B7698" t="str">
            <v>1024425(ÖLFLEX® HEAT 125 C MC 4G1,5)</v>
          </cell>
          <cell r="C7698" t="str">
            <v>LAPP</v>
          </cell>
          <cell r="D7698" t="str">
            <v>Lapp-TD Power</v>
          </cell>
        </row>
        <row r="7699">
          <cell r="A7699" t="str">
            <v>1024482 (ÖLFLEX® HEAT 125 C MC 4X0,75 (bk cores))</v>
          </cell>
          <cell r="B7699" t="str">
            <v>1024482(ÖLFLEX® HEAT 125 C MC 4X0,75 (bk cores))</v>
          </cell>
          <cell r="C7699" t="str">
            <v>LAPP</v>
          </cell>
          <cell r="D7699" t="str">
            <v>Lapp-TD Power</v>
          </cell>
        </row>
        <row r="7700">
          <cell r="A7700" t="str">
            <v>1024427 (ÖLFLEX® HEAT 125 C MC 7G1,5)</v>
          </cell>
          <cell r="B7700" t="str">
            <v>1024427(ÖLFLEX® HEAT 125 C MC 7G1,5)</v>
          </cell>
          <cell r="C7700" t="str">
            <v>LAPP</v>
          </cell>
          <cell r="D7700" t="str">
            <v>Lapp-TD Power</v>
          </cell>
        </row>
        <row r="7701">
          <cell r="A7701" t="str">
            <v>1024483 (ÖLFLEX® HEAT 125 C MC 7x0,75 (bk cores))</v>
          </cell>
          <cell r="B7701" t="str">
            <v>1024483(ÖLFLEX® HEAT 125 C MC 7x0,75 (bk cores))</v>
          </cell>
          <cell r="C7701" t="str">
            <v>LAPP</v>
          </cell>
          <cell r="D7701" t="str">
            <v>Lapp-TD Power</v>
          </cell>
        </row>
        <row r="7702">
          <cell r="A7702" t="str">
            <v>1024319 (ÖLFLEX® HEAT 125 MC 7G1)</v>
          </cell>
          <cell r="B7702" t="str">
            <v>1024319(ÖLFLEX® HEAT 125 MC 7G1)</v>
          </cell>
          <cell r="C7702" t="str">
            <v>LAPP</v>
          </cell>
          <cell r="D7702" t="str">
            <v>Lapp-TD Power</v>
          </cell>
        </row>
        <row r="7703">
          <cell r="A7703" t="str">
            <v>0046613 (ÖLFLEX® HEAT 180 MS 3G1)</v>
          </cell>
          <cell r="B7703" t="str">
            <v>0046613(ÖLFLEX® HEAT 180 MS 3G1)</v>
          </cell>
          <cell r="C7703" t="str">
            <v>LAPP</v>
          </cell>
          <cell r="D7703" t="str">
            <v>Lapp-TD Power</v>
          </cell>
        </row>
        <row r="7704">
          <cell r="A7704" t="str">
            <v>0046616 (ÖLFLEX® HEAT 180 MS 7G1)</v>
          </cell>
          <cell r="B7704" t="str">
            <v>0046616(ÖLFLEX® HEAT 180 MS 7G1)</v>
          </cell>
          <cell r="C7704" t="str">
            <v>LAPP</v>
          </cell>
          <cell r="D7704" t="str">
            <v>Lapp-TD Power</v>
          </cell>
        </row>
        <row r="7705">
          <cell r="A7705" t="str">
            <v>1249604 (ÖLFLEX® HEAT 180 SiF A 1x1 WH)</v>
          </cell>
          <cell r="B7705" t="str">
            <v>1249604(ÖLFLEX® HEAT 180 SiF A 1x1 WH)</v>
          </cell>
          <cell r="C7705" t="str">
            <v>LAPP</v>
          </cell>
          <cell r="D7705" t="str">
            <v>Lapp-TD Power</v>
          </cell>
        </row>
        <row r="7706">
          <cell r="A7706" t="str">
            <v>0046019 (ÖLFLEX® HEAT 180 SiHF 2X2,5)</v>
          </cell>
          <cell r="B7706" t="str">
            <v>0046019(ÖLFLEX® HEAT 180 SiHF 2X2,5)</v>
          </cell>
          <cell r="C7706" t="str">
            <v>LAPP</v>
          </cell>
          <cell r="D7706" t="str">
            <v>Lapp-TD Power</v>
          </cell>
        </row>
        <row r="7707">
          <cell r="A7707" t="str">
            <v>0046032 (ÖLFLEX® HEAT 180 SiHF 3G6)</v>
          </cell>
          <cell r="B7707" t="str">
            <v>0046032(ÖLFLEX® HEAT 180 SiHF 3G6)</v>
          </cell>
          <cell r="C7707" t="str">
            <v>LAPP</v>
          </cell>
          <cell r="D7707" t="str">
            <v>Lapp-TD Power</v>
          </cell>
        </row>
        <row r="7708">
          <cell r="A7708" t="str">
            <v>48352411 (ÖLFLEX® INSTRUM 1x3x1.5 FENYOSYSYC2 05 BK)</v>
          </cell>
          <cell r="B7708" t="str">
            <v>48352411(ÖLFLEX® INSTRUM 1x3x1.5 FENYOSYSYC2 05 BK)</v>
          </cell>
          <cell r="C7708" t="str">
            <v>LAPP</v>
          </cell>
          <cell r="D7708" t="str">
            <v>Lapp-TD Power</v>
          </cell>
        </row>
        <row r="7709">
          <cell r="A7709" t="str">
            <v>48352449 (ÖLFLEX® INSTRUM 6x3x1.5 FENYISOSYSYC2 05 GY)</v>
          </cell>
          <cell r="B7709" t="str">
            <v>48352449(ÖLFLEX® INSTRUM 6x3x1.5 FENYISOSYSYC2 05 GY)</v>
          </cell>
          <cell r="C7709" t="str">
            <v>LAPP</v>
          </cell>
          <cell r="D7709" t="str">
            <v>Lapp-TD Power</v>
          </cell>
        </row>
        <row r="7710">
          <cell r="A7710" t="str">
            <v>21700636 (ED-IE-90-6A-A-20-FC)</v>
          </cell>
          <cell r="B7710" t="str">
            <v>21700636(ED-IE-90-6A-A-20-FC)</v>
          </cell>
          <cell r="C7710" t="str">
            <v>LAPP</v>
          </cell>
          <cell r="D7710" t="str">
            <v>Lapp-Titan</v>
          </cell>
        </row>
        <row r="7711">
          <cell r="A7711" t="str">
            <v>4520095U (OLFLEX UNIPLUS 1X10 OG)</v>
          </cell>
          <cell r="B7711" t="str">
            <v>4520095U(OLFLEX UNIPLUS 1X10 OG)</v>
          </cell>
          <cell r="C7711" t="str">
            <v>LAPP</v>
          </cell>
          <cell r="D7711" t="str">
            <v>Lapp-Titan</v>
          </cell>
        </row>
        <row r="7712">
          <cell r="A7712" t="str">
            <v>4520096U (OLFLEX UNIPLUS 1X16 OG)</v>
          </cell>
          <cell r="B7712" t="str">
            <v>4520096U(OLFLEX UNIPLUS 1X16 OG)</v>
          </cell>
          <cell r="C7712" t="str">
            <v>LAPP</v>
          </cell>
          <cell r="D7712" t="str">
            <v>Lapp-Titan</v>
          </cell>
        </row>
        <row r="7713">
          <cell r="A7713" t="str">
            <v>4521021U (OLFLEX UNIPLUS 1X25 BU)</v>
          </cell>
          <cell r="B7713" t="str">
            <v>4521021U(OLFLEX UNIPLUS 1X25 BU)</v>
          </cell>
          <cell r="C7713" t="str">
            <v>LAPP</v>
          </cell>
          <cell r="D7713" t="str">
            <v>Lapp-Titan</v>
          </cell>
        </row>
        <row r="7714">
          <cell r="A7714" t="str">
            <v>4521091U (OLFLEX UNIPLUS 1X25 OG)</v>
          </cell>
          <cell r="B7714" t="str">
            <v>4521091U(OLFLEX UNIPLUS 1X25 OG)</v>
          </cell>
          <cell r="C7714" t="str">
            <v>LAPP</v>
          </cell>
          <cell r="D7714" t="str">
            <v>Lapp-Titan</v>
          </cell>
        </row>
        <row r="7715">
          <cell r="A7715" t="str">
            <v>0028312 (UNITRONIC LiYY 12x0,25)</v>
          </cell>
          <cell r="B7715" t="str">
            <v>0028312(UNITRONIC LiYY 12x0,25)</v>
          </cell>
          <cell r="C7715" t="str">
            <v>LAPP</v>
          </cell>
          <cell r="D7715" t="str">
            <v>Lapp-Titan</v>
          </cell>
        </row>
        <row r="7716">
          <cell r="A7716" t="str">
            <v>0028320 (UNITRONIC LiYY 20x0,25)</v>
          </cell>
          <cell r="B7716" t="str">
            <v>0028320(UNITRONIC LiYY 20x0,25)</v>
          </cell>
          <cell r="C7716" t="str">
            <v>LAPP</v>
          </cell>
          <cell r="D7716" t="str">
            <v>Lapp-Titan</v>
          </cell>
        </row>
        <row r="7717">
          <cell r="A7717" t="str">
            <v>0028502 (UNITRONIC LiYY 2x0,5)</v>
          </cell>
          <cell r="B7717" t="str">
            <v>0028502(UNITRONIC LiYY 2x0,5)</v>
          </cell>
          <cell r="C7717" t="str">
            <v>LAPP</v>
          </cell>
          <cell r="D7717" t="str">
            <v>Lapp-Titan</v>
          </cell>
        </row>
        <row r="7718">
          <cell r="A7718" t="str">
            <v>0028504 (UNITRONIC LiYY 4x0,5)</v>
          </cell>
          <cell r="B7718" t="str">
            <v>0028504(UNITRONIC LiYY 4x0,5)</v>
          </cell>
          <cell r="C7718" t="str">
            <v>LAPP</v>
          </cell>
          <cell r="D7718" t="str">
            <v>Lapp-Titan</v>
          </cell>
        </row>
        <row r="7719">
          <cell r="A7719" t="str">
            <v>0028508 (UNITRONIC LiYY 8x0,5_x000D_
)</v>
          </cell>
          <cell r="B7719" t="str">
            <v>0028508(UNITRONIC LiYY 8x0,5_x000D_
)</v>
          </cell>
          <cell r="C7719" t="str">
            <v>LAPP</v>
          </cell>
          <cell r="D7719" t="str">
            <v>Lapp-Titan</v>
          </cell>
        </row>
        <row r="7720">
          <cell r="A7720" t="str">
            <v>11191031 (Ölflex® 110  3 G 0.75 Mm²)</v>
          </cell>
          <cell r="B7720" t="str">
            <v>11191031(Ölflex® 110  3 G 0.75 Mm²)</v>
          </cell>
          <cell r="C7720" t="str">
            <v>LAPP</v>
          </cell>
          <cell r="D7720" t="str">
            <v>Lapp-Titan</v>
          </cell>
        </row>
        <row r="7721">
          <cell r="A7721" t="str">
            <v>11191051 (Ölflex® 110  5 G 0.75 mm²)</v>
          </cell>
          <cell r="B7721" t="str">
            <v>11191051(Ölflex® 110  5 G 0.75 mm²)</v>
          </cell>
          <cell r="C7721" t="str">
            <v>LAPP</v>
          </cell>
          <cell r="D7721" t="str">
            <v>Lapp-Titan</v>
          </cell>
        </row>
        <row r="7722">
          <cell r="A7722" t="str">
            <v>11193051 (Ölflex® 110 5G1.5)</v>
          </cell>
          <cell r="B7722" t="str">
            <v>11193051(Ölflex® 110 5G1.5)</v>
          </cell>
          <cell r="C7722" t="str">
            <v>LAPP</v>
          </cell>
          <cell r="D7722" t="str">
            <v>Lapp-Titan</v>
          </cell>
        </row>
        <row r="7723">
          <cell r="A7723" t="str">
            <v>11194051 (Ölflex® 110  5 G 2.5 mm²)</v>
          </cell>
          <cell r="B7723" t="str">
            <v>11194051(Ölflex® 110  5 G 2.5 mm²)</v>
          </cell>
          <cell r="C7723" t="str">
            <v>LAPP</v>
          </cell>
          <cell r="D7723" t="str">
            <v>Lapp-Titan</v>
          </cell>
        </row>
        <row r="7724">
          <cell r="A7724" t="str">
            <v>11195051 (Ölflex® 110  5 G 4.0 mm²)</v>
          </cell>
          <cell r="B7724" t="str">
            <v>11195051(Ölflex® 110  5 G 4.0 mm²)</v>
          </cell>
          <cell r="C7724" t="str">
            <v>LAPP</v>
          </cell>
          <cell r="D7724" t="str">
            <v>Lapp-Titan</v>
          </cell>
        </row>
        <row r="7725">
          <cell r="A7725" t="str">
            <v>11196051 (Ölflex® 110  - 5 G 6.0 mm²)</v>
          </cell>
          <cell r="B7725" t="str">
            <v>11196051(Ölflex® 110  - 5 G 6.0 mm²)</v>
          </cell>
          <cell r="C7725" t="str">
            <v>LAPP</v>
          </cell>
          <cell r="D7725" t="str">
            <v>Lapp-Titan</v>
          </cell>
        </row>
        <row r="7726">
          <cell r="A7726" t="str">
            <v>11353041 (Ölflex® 110 CY  4 G 1.5 mm²)</v>
          </cell>
          <cell r="B7726" t="str">
            <v>11353041(Ölflex® 110 CY  4 G 1.5 mm²)</v>
          </cell>
          <cell r="C7726" t="str">
            <v>LAPP</v>
          </cell>
          <cell r="D7726" t="str">
            <v>Lapp-Titan</v>
          </cell>
        </row>
        <row r="7727">
          <cell r="A7727" t="str">
            <v>4510142U (ÖLFLEX® UNIPLUS 1X0.75 DBU)</v>
          </cell>
          <cell r="B7727" t="str">
            <v>4510142U(ÖLFLEX® UNIPLUS 1X0.75 DBU)</v>
          </cell>
          <cell r="C7727" t="str">
            <v>LAPP</v>
          </cell>
          <cell r="D7727" t="str">
            <v>Lapp-Titan</v>
          </cell>
        </row>
        <row r="7728">
          <cell r="A7728" t="str">
            <v>4520025U (ÖLFLEX® UNIPLUS 1X10 BU)</v>
          </cell>
          <cell r="B7728" t="str">
            <v>4520025U(ÖLFLEX® UNIPLUS 1X10 BU)</v>
          </cell>
          <cell r="C7728" t="str">
            <v>LAPP</v>
          </cell>
          <cell r="D7728" t="str">
            <v>Lapp-Titan</v>
          </cell>
        </row>
        <row r="7729">
          <cell r="A7729" t="str">
            <v>4520141U (ÖLFLEX® UNIPLUS 1X1.5 DBU)</v>
          </cell>
          <cell r="B7729" t="str">
            <v>4520141U(ÖLFLEX® UNIPLUS 1X1.5 DBU)</v>
          </cell>
          <cell r="C7729" t="str">
            <v>LAPP</v>
          </cell>
          <cell r="D7729" t="str">
            <v>Lapp-Titan</v>
          </cell>
        </row>
        <row r="7730">
          <cell r="A7730" t="str">
            <v>4520142U (ÖLFLEX® UNIPLUS 1X2.5 DBU)</v>
          </cell>
          <cell r="B7730" t="str">
            <v>4520142U(ÖLFLEX® UNIPLUS 1X2.5 DBU)</v>
          </cell>
          <cell r="C7730" t="str">
            <v>LAPP</v>
          </cell>
          <cell r="D7730" t="str">
            <v>Lapp-Titan</v>
          </cell>
        </row>
        <row r="7731">
          <cell r="A7731" t="str">
            <v>4520094U (ÖLFLEX® UNIPLUS 1X6 OG)</v>
          </cell>
          <cell r="B7731" t="str">
            <v>4520094U(ÖLFLEX® UNIPLUS 1X6 OG)</v>
          </cell>
          <cell r="C7731" t="str">
            <v>LAPP</v>
          </cell>
          <cell r="D7731" t="str">
            <v>Lapp-Titan</v>
          </cell>
        </row>
        <row r="7732">
          <cell r="A7732" t="str">
            <v>LIPR12(WH) (12W LED SLIM PANEL PVC 6000K)</v>
          </cell>
          <cell r="B7732" t="str">
            <v>LIPR12(WH)(12W LED SLIM PANEL PVC 6000K)</v>
          </cell>
          <cell r="C7732" t="str">
            <v>LUKER</v>
          </cell>
          <cell r="D7732" t="str">
            <v>LUKER</v>
          </cell>
        </row>
        <row r="7733">
          <cell r="A7733" t="str">
            <v>LT818T (18W Tube Set T8 WH)</v>
          </cell>
          <cell r="B7733" t="str">
            <v>LT818T(18W Tube Set T8 WH)</v>
          </cell>
          <cell r="C7733" t="str">
            <v>LUKER</v>
          </cell>
          <cell r="D7733" t="str">
            <v>LUKER</v>
          </cell>
        </row>
        <row r="7734">
          <cell r="A7734" t="str">
            <v>1 MTR TRACK (1 MTR TRACK FITTING)</v>
          </cell>
          <cell r="B7734" t="str">
            <v>1 MTR TRACK(1 MTR TRACK FITTING)</v>
          </cell>
          <cell r="C7734" t="str">
            <v>LUKER</v>
          </cell>
          <cell r="D7734" t="str">
            <v>LUKER</v>
          </cell>
        </row>
        <row r="7735">
          <cell r="A7735" t="str">
            <v>1 MTR Track Black (1 MTR Track Fitting Black)</v>
          </cell>
          <cell r="B7735" t="str">
            <v>1 MTR Track Black(1 MTR Track Fitting Black)</v>
          </cell>
          <cell r="C7735" t="str">
            <v>LUKER</v>
          </cell>
          <cell r="D7735" t="str">
            <v>LUKER</v>
          </cell>
        </row>
        <row r="7736">
          <cell r="A7736" t="str">
            <v>LODARCS-3D (1x3W Plutus Outdoor Wall Light)</v>
          </cell>
          <cell r="B7736" t="str">
            <v>LODARCS-3D(1x3W Plutus Outdoor Wall Light)</v>
          </cell>
          <cell r="C7736" t="str">
            <v>LUKER</v>
          </cell>
          <cell r="D7736" t="str">
            <v>LUKER</v>
          </cell>
        </row>
        <row r="7737">
          <cell r="A7737" t="str">
            <v>LNPSRS40 WH (2x2 LED SURFACE PANEL 40W SQ WH)</v>
          </cell>
          <cell r="B7737" t="str">
            <v>LNPSRS40 WH(2x2 LED SURFACE PANEL 40W SQ WH)</v>
          </cell>
          <cell r="C7737" t="str">
            <v>LUKER</v>
          </cell>
          <cell r="D7737" t="str">
            <v>LUKER</v>
          </cell>
        </row>
        <row r="7738">
          <cell r="A7738" t="str">
            <v>LODARCD-6D WH (2x3W Plutus Outdoor Wall Light)</v>
          </cell>
          <cell r="B7738" t="str">
            <v>LODARCD-6D WH(2x3W Plutus Outdoor Wall Light)</v>
          </cell>
          <cell r="C7738" t="str">
            <v>LUKER</v>
          </cell>
          <cell r="D7738" t="str">
            <v>LUKER</v>
          </cell>
        </row>
        <row r="7739">
          <cell r="A7739" t="str">
            <v>LFLR30 RGB (30W LED FLOOD Light RGB)</v>
          </cell>
          <cell r="B7739" t="str">
            <v>LFLR30 RGB(30W LED FLOOD Light RGB)</v>
          </cell>
          <cell r="C7739" t="str">
            <v>LUKER</v>
          </cell>
          <cell r="D7739" t="str">
            <v>LUKER</v>
          </cell>
        </row>
        <row r="7740">
          <cell r="A7740" t="str">
            <v>LTH40 (40W Double Tube Set WH)</v>
          </cell>
          <cell r="B7740" t="str">
            <v>LTH40(40W Double Tube Set WH)</v>
          </cell>
          <cell r="C7740" t="str">
            <v>LUKER</v>
          </cell>
          <cell r="D7740" t="str">
            <v>LUKER</v>
          </cell>
        </row>
        <row r="7741">
          <cell r="A7741" t="str">
            <v>LOHY 50WH (50W LED HIGHBAY IP65 SOCER LIGHT 6000K)</v>
          </cell>
          <cell r="B7741" t="str">
            <v>LOHY 50WH(50W LED HIGHBAY IP65 SOCER LIGHT 6000K)</v>
          </cell>
          <cell r="C7741" t="str">
            <v>LUKER</v>
          </cell>
          <cell r="D7741" t="str">
            <v>LUKER</v>
          </cell>
        </row>
        <row r="7742">
          <cell r="A7742" t="str">
            <v>LT505 (5W Tube Set T5 WH)</v>
          </cell>
          <cell r="B7742" t="str">
            <v>LT505(5W Tube Set T5 WH)</v>
          </cell>
          <cell r="C7742" t="str">
            <v>LUKER</v>
          </cell>
          <cell r="D7742" t="str">
            <v>LUKER</v>
          </cell>
        </row>
        <row r="7743">
          <cell r="A7743" t="str">
            <v>LW107WW (Aether Indoor Wall Light 30 W)</v>
          </cell>
          <cell r="B7743" t="str">
            <v>LW107WW(Aether Indoor Wall Light 30 W)</v>
          </cell>
          <cell r="C7743" t="str">
            <v>LUKER</v>
          </cell>
          <cell r="D7743" t="str">
            <v>LUKER</v>
          </cell>
        </row>
        <row r="7744">
          <cell r="A7744" t="str">
            <v>LWL114-1 (Aether Indoor Wall Lights 7W)</v>
          </cell>
          <cell r="B7744" t="str">
            <v>LWL114-1(Aether Indoor Wall Lights 7W)</v>
          </cell>
          <cell r="C7744" t="str">
            <v>LUKER</v>
          </cell>
          <cell r="D7744" t="str">
            <v>LUKER</v>
          </cell>
        </row>
        <row r="7745">
          <cell r="A7745" t="str">
            <v>LPL2967 (Aluminium Profile Surface)</v>
          </cell>
          <cell r="B7745" t="str">
            <v>LPL2967(Aluminium Profile Surface)</v>
          </cell>
          <cell r="C7745" t="str">
            <v>LUKER</v>
          </cell>
          <cell r="D7745" t="str">
            <v>LUKER</v>
          </cell>
        </row>
        <row r="7746">
          <cell r="A7746" t="str">
            <v>LCL03SRD WW (Ceiling Light Sleek 3W Surface WW RD)</v>
          </cell>
          <cell r="B7746" t="str">
            <v>LCL03SRD WW(Ceiling Light Sleek 3W Surface WW RD)</v>
          </cell>
          <cell r="C7746" t="str">
            <v>LUKER</v>
          </cell>
          <cell r="D7746" t="str">
            <v>LUKER</v>
          </cell>
        </row>
        <row r="7747">
          <cell r="A7747" t="str">
            <v>LCL08SRD WW (Ceiling Light Sleek 8W Surface WW)</v>
          </cell>
          <cell r="B7747" t="str">
            <v>LCL08SRD WW(Ceiling Light Sleek 8W Surface WW)</v>
          </cell>
          <cell r="C7747" t="str">
            <v>LUKER</v>
          </cell>
          <cell r="D7747" t="str">
            <v>LUKER</v>
          </cell>
        </row>
        <row r="7748">
          <cell r="A7748" t="str">
            <v>LFCF0ALBA1200SVR (CEL FAN ALBA 1200MM Silver)</v>
          </cell>
          <cell r="B7748" t="str">
            <v>LFCF0ALBA1200SVR(CEL FAN ALBA 1200MM Silver)</v>
          </cell>
          <cell r="C7748" t="str">
            <v>LUKER</v>
          </cell>
          <cell r="D7748" t="str">
            <v>LUKER</v>
          </cell>
        </row>
        <row r="7749">
          <cell r="A7749" t="str">
            <v>LFCFANGEL1050SVR (CEL FAN ANGEL 1050MM Silver)</v>
          </cell>
          <cell r="B7749" t="str">
            <v>LFCFANGEL1050SVR(CEL FAN ANGEL 1050MM Silver)</v>
          </cell>
          <cell r="C7749" t="str">
            <v>LUKER</v>
          </cell>
          <cell r="D7749" t="str">
            <v>LUKER</v>
          </cell>
        </row>
        <row r="7750">
          <cell r="A7750" t="str">
            <v>LFCFANGEL1100BRN (CEL FAN ANGEL 1100MM Brown)</v>
          </cell>
          <cell r="B7750" t="str">
            <v>LFCFANGEL1100BRN(CEL FAN ANGEL 1100MM Brown)</v>
          </cell>
          <cell r="C7750" t="str">
            <v>LUKER</v>
          </cell>
          <cell r="D7750" t="str">
            <v>LUKER</v>
          </cell>
        </row>
        <row r="7751">
          <cell r="A7751" t="str">
            <v>LFCFANGEL1100WH (CEL FAN ANGEL 1100MM WHITE)</v>
          </cell>
          <cell r="B7751" t="str">
            <v>LFCFANGEL1100WH(CEL FAN ANGEL 1100MM WHITE)</v>
          </cell>
          <cell r="C7751" t="str">
            <v>LUKER</v>
          </cell>
          <cell r="D7751" t="str">
            <v>LUKER</v>
          </cell>
        </row>
        <row r="7752">
          <cell r="A7752" t="str">
            <v>LFCFAGSTA1400WOD (CEL FAN AUGUSTA 1400MM Wood)</v>
          </cell>
          <cell r="B7752" t="str">
            <v>LFCFAGSTA1400WOD(CEL FAN AUGUSTA 1400MM Wood)</v>
          </cell>
          <cell r="C7752" t="str">
            <v>LUKER</v>
          </cell>
          <cell r="D7752" t="str">
            <v>LUKER</v>
          </cell>
        </row>
        <row r="7753">
          <cell r="A7753" t="str">
            <v>LFCF0BUZZ1200BB (CEL FAN BUZZ 1200MM BG BROWN)</v>
          </cell>
          <cell r="B7753" t="str">
            <v>LFCF0BUZZ1200BB(CEL FAN BUZZ 1200MM BG BROWN)</v>
          </cell>
          <cell r="C7753" t="str">
            <v>LUKER</v>
          </cell>
          <cell r="D7753" t="str">
            <v>LUKER</v>
          </cell>
        </row>
        <row r="7754">
          <cell r="A7754" t="str">
            <v>LFCFDIANA1080BLK (CEL FAN DIANA 1080MM Black)</v>
          </cell>
          <cell r="B7754" t="str">
            <v>LFCFDIANA1080BLK(CEL FAN DIANA 1080MM Black)</v>
          </cell>
          <cell r="C7754" t="str">
            <v>LUKER</v>
          </cell>
          <cell r="D7754" t="str">
            <v>LUKER</v>
          </cell>
        </row>
        <row r="7755">
          <cell r="A7755" t="str">
            <v>LDSTRP1S48 CGR (CEL FAN DUSTER PLUS 1S 1200MM COOL GREY)</v>
          </cell>
          <cell r="B7755" t="str">
            <v>LDSTRP1S48 CGR(CEL FAN DUSTER PLUS 1S 1200MM COOL GREY)</v>
          </cell>
          <cell r="C7755" t="str">
            <v>LUKER</v>
          </cell>
          <cell r="D7755" t="str">
            <v>LUKER</v>
          </cell>
        </row>
        <row r="7756">
          <cell r="A7756" t="str">
            <v>LSZCIXR CU (CF SIZE ZERO CROWN RMT 1200 IVORY-ROSEWOOD-COPPER)</v>
          </cell>
          <cell r="B7756" t="str">
            <v>LSZCIXR CU(CF SIZE ZERO CROWN RMT 1200 IVORY-ROSEWOOD-COPPER)</v>
          </cell>
          <cell r="C7756" t="str">
            <v>LUKER</v>
          </cell>
          <cell r="D7756" t="str">
            <v>LUKER</v>
          </cell>
        </row>
        <row r="7757">
          <cell r="A7757" t="str">
            <v>LSZNWWW RG (CF SIZE ZERO NEO REGULATOR 1200 WH)</v>
          </cell>
          <cell r="B7757" t="str">
            <v>LSZNWWW RG(CF SIZE ZERO NEO REGULATOR 1200 WH)</v>
          </cell>
          <cell r="C7757" t="str">
            <v>LUKER</v>
          </cell>
          <cell r="D7757" t="str">
            <v>LUKER</v>
          </cell>
        </row>
        <row r="7758">
          <cell r="A7758" t="str">
            <v>LSZNWWW RMT (CF SIZE ZERO NEO RMT 1200 WH)</v>
          </cell>
          <cell r="B7758" t="str">
            <v>LSZNWWW RMT(CF SIZE ZERO NEO RMT 1200 WH)</v>
          </cell>
          <cell r="C7758" t="str">
            <v>LUKER</v>
          </cell>
          <cell r="D7758" t="str">
            <v>LUKER</v>
          </cell>
        </row>
        <row r="7759">
          <cell r="A7759" t="str">
            <v>ALPHA GALAXY MCR CU (CF SZA GALAXY RMT 1320 MATT CHERRY RED-BLACK-COPPER)</v>
          </cell>
          <cell r="B7759" t="str">
            <v>ALPHA GALAXY MCR CU(CF SZA GALAXY RMT 1320 MATT CHERRY RED-BLACK-COPPER)</v>
          </cell>
          <cell r="C7759" t="str">
            <v>LUKER</v>
          </cell>
          <cell r="D7759" t="str">
            <v>LUKER</v>
          </cell>
        </row>
        <row r="7760">
          <cell r="A7760" t="str">
            <v>LCOBR04 (WH) (COB LIGHT 4 WATTS RD WH)</v>
          </cell>
          <cell r="B7760" t="str">
            <v>LCOBR04(WH)(COB LIGHT 4 WATTS RD WH)</v>
          </cell>
          <cell r="C7760" t="str">
            <v>LUKER</v>
          </cell>
          <cell r="D7760" t="str">
            <v>LUKER</v>
          </cell>
        </row>
        <row r="7761">
          <cell r="A7761" t="str">
            <v>LCOB03RG (CORVUS ANTI-GLARE LED COB 3W ROSE GOLD LED)</v>
          </cell>
          <cell r="B7761" t="str">
            <v>LCOB03RG(CORVUS ANTI-GLARE LED COB 3W ROSE GOLD LED)</v>
          </cell>
          <cell r="C7761" t="str">
            <v>LUKER</v>
          </cell>
          <cell r="D7761" t="str">
            <v>LUKER</v>
          </cell>
        </row>
        <row r="7762">
          <cell r="A7762" t="str">
            <v>LCOBR30 N WH (CORVUS COB LIGHT 30W WH)</v>
          </cell>
          <cell r="B7762" t="str">
            <v>LCOBR30 N WH(CORVUS COB LIGHT 30W WH)</v>
          </cell>
          <cell r="C7762" t="str">
            <v>LUKER</v>
          </cell>
          <cell r="D7762" t="str">
            <v>LUKER</v>
          </cell>
        </row>
        <row r="7763">
          <cell r="A7763" t="str">
            <v>LSP18(WH) (DOWN LIGHT 18W RD WH)</v>
          </cell>
          <cell r="B7763" t="str">
            <v>LSP18(WH)(DOWN LIGHT 18W RD WH)</v>
          </cell>
          <cell r="C7763" t="str">
            <v>LUKER</v>
          </cell>
          <cell r="D7763" t="str">
            <v>LUKER</v>
          </cell>
        </row>
        <row r="7764">
          <cell r="A7764" t="str">
            <v>LCOB218SQ (Down Light COB 60' 36W)</v>
          </cell>
          <cell r="B7764" t="str">
            <v>LCOB218SQ(Down Light COB 60' 36W)</v>
          </cell>
          <cell r="C7764" t="str">
            <v>LUKER</v>
          </cell>
          <cell r="D7764" t="str">
            <v>LUKER</v>
          </cell>
        </row>
        <row r="7765">
          <cell r="A7765" t="str">
            <v>LPLSD05 (Driver 5 Amps Profile Sleek)</v>
          </cell>
          <cell r="B7765" t="str">
            <v>LPLSD05(Driver 5 Amps Profile Sleek)</v>
          </cell>
          <cell r="C7765" t="str">
            <v>LUKER</v>
          </cell>
          <cell r="D7765" t="str">
            <v>LUKER</v>
          </cell>
        </row>
        <row r="7766">
          <cell r="A7766" t="str">
            <v>ECO30 WH (ECO 30 1200mm Fan White)</v>
          </cell>
          <cell r="B7766" t="str">
            <v>ECO30 WH(ECO 30 1200mm Fan White)</v>
          </cell>
          <cell r="C7766" t="str">
            <v>LUKER</v>
          </cell>
          <cell r="D7766" t="str">
            <v>LUKER</v>
          </cell>
        </row>
        <row r="7767">
          <cell r="A7767" t="str">
            <v>LFLC200 (FLOOD LIGHT 200W)</v>
          </cell>
          <cell r="B7767" t="str">
            <v>LFLC200(FLOOD LIGHT 200W)</v>
          </cell>
          <cell r="C7767" t="str">
            <v>LUKER</v>
          </cell>
          <cell r="D7767" t="str">
            <v>LUKER</v>
          </cell>
        </row>
        <row r="7768">
          <cell r="A7768" t="str">
            <v>LFCFBLDCFLR1320-01 (FLORENCE CELLING FAN)</v>
          </cell>
          <cell r="B7768" t="str">
            <v>LFCFBLDCFLR1320-01(FLORENCE CELLING FAN)</v>
          </cell>
          <cell r="C7768" t="str">
            <v>LUKER</v>
          </cell>
          <cell r="D7768" t="str">
            <v>LUKER</v>
          </cell>
        </row>
        <row r="7769">
          <cell r="A7769" t="str">
            <v>LMTRHCR (FUOCO CONCEALED CORNER Horizontal)</v>
          </cell>
          <cell r="B7769" t="str">
            <v>LMTRHCR(FUOCO CONCEALED CORNER Horizontal)</v>
          </cell>
          <cell r="C7769" t="str">
            <v>LUKER</v>
          </cell>
          <cell r="D7769" t="str">
            <v>LUKER</v>
          </cell>
        </row>
        <row r="7770">
          <cell r="A7770" t="str">
            <v>LMTCHRC1MBK (FUOCO MAGNETIC CONCEALED Track channel)</v>
          </cell>
          <cell r="B7770" t="str">
            <v>LMTCHRC1MBK(FUOCO MAGNETIC CONCEALED Track channel)</v>
          </cell>
          <cell r="C7770" t="str">
            <v>LUKER</v>
          </cell>
          <cell r="D7770" t="str">
            <v>LUKER</v>
          </cell>
        </row>
        <row r="7771">
          <cell r="A7771" t="str">
            <v>LMTCHRC2MBK (FUOCO MAGNETIC CONCEALED Track channel 2MBK)</v>
          </cell>
          <cell r="B7771" t="str">
            <v>LMTCHRC2MBK(FUOCO MAGNETIC CONCEALED Track channel 2MBK)</v>
          </cell>
          <cell r="C7771" t="str">
            <v>LUKER</v>
          </cell>
          <cell r="D7771" t="str">
            <v>LUKER</v>
          </cell>
        </row>
        <row r="7772">
          <cell r="A7772" t="str">
            <v>LMTDR100 (FUOCO MAGNETIC LED DRIVER 100)</v>
          </cell>
          <cell r="B7772" t="str">
            <v>LMTDR100(FUOCO MAGNETIC LED DRIVER 100)</v>
          </cell>
          <cell r="C7772" t="str">
            <v>LUKER</v>
          </cell>
          <cell r="D7772" t="str">
            <v>LUKER</v>
          </cell>
        </row>
        <row r="7773">
          <cell r="A7773" t="str">
            <v>LMTDR200 (FUOCO MAGNETIC LED DRIVER 200)</v>
          </cell>
          <cell r="B7773" t="str">
            <v>LMTDR200(FUOCO MAGNETIC LED DRIVER 200)</v>
          </cell>
          <cell r="C7773" t="str">
            <v>LUKER</v>
          </cell>
          <cell r="D7773" t="str">
            <v>LUKER</v>
          </cell>
        </row>
        <row r="7774">
          <cell r="A7774" t="str">
            <v>LHL403E (HANG LIGHT LHL403E E27)</v>
          </cell>
          <cell r="B7774" t="str">
            <v>LHL403E(HANG LIGHT LHL403E E27)</v>
          </cell>
          <cell r="C7774" t="str">
            <v>LUKER</v>
          </cell>
          <cell r="D7774" t="str">
            <v>LUKER</v>
          </cell>
        </row>
        <row r="7775">
          <cell r="A7775" t="str">
            <v>LIMR6 WH (Helios 6W WH)</v>
          </cell>
          <cell r="B7775" t="str">
            <v>LIMR6 WH(Helios 6W WH)</v>
          </cell>
          <cell r="C7775" t="str">
            <v>LUKER</v>
          </cell>
          <cell r="D7775" t="str">
            <v>LUKER</v>
          </cell>
        </row>
        <row r="7776">
          <cell r="A7776" t="str">
            <v>LMR10 (Helios Mirror Lights 10W)</v>
          </cell>
          <cell r="B7776" t="str">
            <v>LMR10(Helios Mirror Lights 10W)</v>
          </cell>
          <cell r="C7776" t="str">
            <v>LUKER</v>
          </cell>
          <cell r="D7776" t="str">
            <v>LUKER</v>
          </cell>
        </row>
        <row r="7777">
          <cell r="A7777" t="str">
            <v>LHBY100 (High Bay Indl. 100WH)</v>
          </cell>
          <cell r="B7777" t="str">
            <v>LHBY100(High Bay Indl. 100WH)</v>
          </cell>
          <cell r="C7777" t="str">
            <v>LUKER</v>
          </cell>
          <cell r="D7777" t="str">
            <v>LUKER</v>
          </cell>
        </row>
        <row r="7778">
          <cell r="A7778" t="str">
            <v>LHBY150 (High Bay Indl. 150WH)</v>
          </cell>
          <cell r="B7778" t="str">
            <v>LHBY150(High Bay Indl. 150WH)</v>
          </cell>
          <cell r="C7778" t="str">
            <v>LUKER</v>
          </cell>
          <cell r="D7778" t="str">
            <v>LUKER</v>
          </cell>
        </row>
        <row r="7779">
          <cell r="A7779" t="str">
            <v>LSL206 (Indoor Hanging Light 12W)</v>
          </cell>
          <cell r="B7779" t="str">
            <v>LSL206(Indoor Hanging Light 12W)</v>
          </cell>
          <cell r="C7779" t="str">
            <v>LUKER</v>
          </cell>
          <cell r="D7779" t="str">
            <v>LUKER</v>
          </cell>
        </row>
        <row r="7780">
          <cell r="A7780" t="str">
            <v>LSL211-1 WH (Indoor Hanging Light 6W WH)</v>
          </cell>
          <cell r="B7780" t="str">
            <v>LSL211-1 WH(Indoor Hanging Light 6W WH)</v>
          </cell>
          <cell r="C7780" t="str">
            <v>LUKER</v>
          </cell>
          <cell r="D7780" t="str">
            <v>LUKER</v>
          </cell>
        </row>
        <row r="7781">
          <cell r="A7781" t="str">
            <v>LSL211-1 WW (Indoor Hanging Light 6W WW)</v>
          </cell>
          <cell r="B7781" t="str">
            <v>LSL211-1 WW(Indoor Hanging Light 6W WW)</v>
          </cell>
          <cell r="C7781" t="str">
            <v>LUKER</v>
          </cell>
          <cell r="D7781" t="str">
            <v>LUKER</v>
          </cell>
        </row>
        <row r="7782">
          <cell r="A7782" t="str">
            <v>LHL301 (Indoor Hanging Lights 36W WW)</v>
          </cell>
          <cell r="B7782" t="str">
            <v>LHL301(Indoor Hanging Lights 36W WW)</v>
          </cell>
          <cell r="C7782" t="str">
            <v>LUKER</v>
          </cell>
          <cell r="D7782" t="str">
            <v>LUKER</v>
          </cell>
        </row>
        <row r="7783">
          <cell r="A7783" t="str">
            <v>LWL101-1 NWH (Indoor Wall Light 12W NWH)</v>
          </cell>
          <cell r="B7783" t="str">
            <v>LWL101-1 NWH(Indoor Wall Light 12W NWH)</v>
          </cell>
          <cell r="C7783" t="str">
            <v>LUKER</v>
          </cell>
          <cell r="D7783" t="str">
            <v>LUKER</v>
          </cell>
        </row>
        <row r="7784">
          <cell r="A7784" t="str">
            <v>LWL101-2 NWH (Indoor Wall Light 24W NWH)</v>
          </cell>
          <cell r="B7784" t="str">
            <v>LWL101-2 NWH(Indoor Wall Light 24W NWH)</v>
          </cell>
          <cell r="C7784" t="str">
            <v>LUKER</v>
          </cell>
          <cell r="D7784" t="str">
            <v>LUKER</v>
          </cell>
        </row>
        <row r="7785">
          <cell r="A7785" t="str">
            <v>LHCTD4414340 (IVY CLASSIC 4X14W FTL)</v>
          </cell>
          <cell r="B7785" t="str">
            <v>LHCTD4414340(IVY CLASSIC 4X14W FTL)</v>
          </cell>
          <cell r="C7785" t="str">
            <v>LUKER</v>
          </cell>
          <cell r="D7785" t="str">
            <v>LUKER</v>
          </cell>
        </row>
        <row r="7786">
          <cell r="A7786" t="str">
            <v>LED Bulb PC 05W B22 WH CL (LBPC05 B22 CL)</v>
          </cell>
          <cell r="B7786" t="str">
            <v>LED Bulb PC 05W B22 WH CL(LBPC05 B22 CL)</v>
          </cell>
          <cell r="C7786" t="str">
            <v>LUKER</v>
          </cell>
          <cell r="D7786" t="str">
            <v>LUKER</v>
          </cell>
        </row>
        <row r="7787">
          <cell r="A7787" t="str">
            <v>B22 07W WH (LBPC07 B22 WH 07W LED BULB)</v>
          </cell>
          <cell r="B7787" t="str">
            <v>B22 07W WH(LBPC07 B22 WH 07W LED BULB)</v>
          </cell>
          <cell r="C7787" t="str">
            <v>LUKER</v>
          </cell>
          <cell r="D7787" t="str">
            <v>LUKER</v>
          </cell>
        </row>
        <row r="7788">
          <cell r="A7788" t="str">
            <v>B22 09W WH (LBPC09 B22 WH CL 9W LED Bulb)</v>
          </cell>
          <cell r="B7788" t="str">
            <v>B22 09W WH(LBPC09 B22 WH CL 9W LED Bulb)</v>
          </cell>
          <cell r="C7788" t="str">
            <v>LUKER</v>
          </cell>
          <cell r="D7788" t="str">
            <v>LUKER</v>
          </cell>
        </row>
        <row r="7789">
          <cell r="A7789" t="str">
            <v>LEF CEILING LIGHT 15W RD WH SLEEK (LCL15R WH SLK)</v>
          </cell>
          <cell r="B7789" t="e">
            <v>#N/A</v>
          </cell>
          <cell r="C7789" t="str">
            <v>LUKER</v>
          </cell>
          <cell r="D7789" t="str">
            <v>LUKER</v>
          </cell>
        </row>
        <row r="7790">
          <cell r="A7790" t="str">
            <v>LED CON LIGHT RD NW (LCOBR04 NW)</v>
          </cell>
          <cell r="B7790" t="e">
            <v>#N/A</v>
          </cell>
          <cell r="C7790" t="str">
            <v>LUKER</v>
          </cell>
          <cell r="D7790" t="str">
            <v>LUKER</v>
          </cell>
        </row>
        <row r="7791">
          <cell r="A7791" t="str">
            <v>LCOBSRR12 WH (LEC COB Light SR RD 12 WHS WH)</v>
          </cell>
          <cell r="B7791" t="str">
            <v>LCOBSRR12 WH(LEC COB Light SR RD 12 WHS WH)</v>
          </cell>
          <cell r="C7791" t="str">
            <v>LUKER</v>
          </cell>
          <cell r="D7791" t="str">
            <v>LUKER</v>
          </cell>
        </row>
        <row r="7792">
          <cell r="A7792" t="str">
            <v>LCOBSRR18 SS WH (LEC COB Light SR RD 18 WHS WH)</v>
          </cell>
          <cell r="B7792" t="str">
            <v>LCOBSRR18 SS WH(LEC COB Light SR RD 18 WHS WH)</v>
          </cell>
          <cell r="C7792" t="str">
            <v>LUKER</v>
          </cell>
          <cell r="D7792" t="str">
            <v>LUKER</v>
          </cell>
        </row>
        <row r="7793">
          <cell r="A7793" t="str">
            <v>LWL 112-1 WW (LED AETHER INDOOR WALL LAMPS 07W WW)</v>
          </cell>
          <cell r="B7793" t="str">
            <v>LWL 112-1 WW(LED AETHER INDOOR WALL LAMPS 07W WW)</v>
          </cell>
          <cell r="C7793" t="str">
            <v>LUKER</v>
          </cell>
          <cell r="D7793" t="str">
            <v>LUKER</v>
          </cell>
        </row>
        <row r="7794">
          <cell r="A7794" t="str">
            <v>LWL110-1 WW (LED Aether Indoor Wall Lamps 07W WW LWL 110-1)</v>
          </cell>
          <cell r="B7794" t="str">
            <v>LWL110-1 WW(LED Aether Indoor Wall Lamps 07W WW LWL 110-1)</v>
          </cell>
          <cell r="C7794" t="str">
            <v>LUKER</v>
          </cell>
          <cell r="D7794" t="str">
            <v>LUKER</v>
          </cell>
        </row>
        <row r="7795">
          <cell r="A7795" t="str">
            <v>LWL110-2WW (LED AETHER INDOOR WALL LAMPS 14W WW LWL 110-2)</v>
          </cell>
          <cell r="B7795" t="str">
            <v>LWL110-2WW(LED AETHER INDOOR WALL LAMPS 14W WW LWL 110-2)</v>
          </cell>
          <cell r="C7795" t="str">
            <v>LUKER</v>
          </cell>
          <cell r="D7795" t="str">
            <v>LUKER</v>
          </cell>
        </row>
        <row r="7796">
          <cell r="A7796" t="str">
            <v>LWL112-2 WW (LED AETHER INDOOR WALL LAMPS 14W WW LWL 112-2(LWL 1)</v>
          </cell>
          <cell r="B7796" t="str">
            <v>LWL112-2 WW(LED AETHER INDOOR WALL LAMPS 14W WW LWL 112-2(LWL 1)</v>
          </cell>
          <cell r="C7796" t="str">
            <v>LUKER</v>
          </cell>
          <cell r="D7796" t="str">
            <v>LUKER</v>
          </cell>
        </row>
        <row r="7797">
          <cell r="A7797" t="str">
            <v>LWL113-2WW (LED AETHER INDOOR WALL LAMPS 14W WW LWL113-2)</v>
          </cell>
          <cell r="B7797" t="str">
            <v>LWL113-2WW(LED AETHER INDOOR WALL LAMPS 14W WW LWL113-2)</v>
          </cell>
          <cell r="C7797" t="str">
            <v>LUKER</v>
          </cell>
          <cell r="D7797" t="str">
            <v>LUKER</v>
          </cell>
        </row>
        <row r="7798">
          <cell r="A7798" t="str">
            <v>LIMR 12 WW (LED ARCHITECH LIGHT LIMT 12 WW)</v>
          </cell>
          <cell r="B7798" t="str">
            <v>LIMR 12 WW(LED ARCHITECH LIGHT LIMT 12 WW)</v>
          </cell>
          <cell r="C7798" t="str">
            <v>LUKER</v>
          </cell>
          <cell r="D7798" t="str">
            <v>LUKER</v>
          </cell>
        </row>
        <row r="7799">
          <cell r="A7799" t="str">
            <v>LKM2240 (LED BACKLIT PANEL 40 WATTS 2 X 2)</v>
          </cell>
          <cell r="B7799" t="str">
            <v>LKM2240(LED BACKLIT PANEL 40 WATTS 2 X 2)</v>
          </cell>
          <cell r="C7799" t="str">
            <v>LUKER</v>
          </cell>
          <cell r="D7799" t="str">
            <v>LUKER</v>
          </cell>
        </row>
        <row r="7800">
          <cell r="A7800" t="str">
            <v>LKM2240WH (LED BACKLIT PANEL 40 WATTS 2 X 2 WH)</v>
          </cell>
          <cell r="B7800" t="str">
            <v>LKM2240WH(LED BACKLIT PANEL 40 WATTS 2 X 2 WH)</v>
          </cell>
          <cell r="C7800" t="str">
            <v>LUKER</v>
          </cell>
          <cell r="D7800" t="str">
            <v>LUKER</v>
          </cell>
        </row>
        <row r="7801">
          <cell r="A7801" t="str">
            <v>LKM2245 WH (LED Back Lit Pannel 45W 2x2)</v>
          </cell>
          <cell r="B7801" t="str">
            <v>LKM2245 WH(LED Back Lit Pannel 45W 2x2)</v>
          </cell>
          <cell r="C7801" t="str">
            <v>LUKER</v>
          </cell>
          <cell r="D7801" t="str">
            <v>LUKER</v>
          </cell>
        </row>
        <row r="7802">
          <cell r="A7802" t="str">
            <v>LT 36N WH (LED BATTEN NEO 4FT 36W WH)</v>
          </cell>
          <cell r="B7802" t="str">
            <v>LT 36N WH(LED BATTEN NEO 4FT 36W WH)</v>
          </cell>
          <cell r="C7802" t="str">
            <v>LUKER</v>
          </cell>
          <cell r="D7802" t="str">
            <v>LUKER</v>
          </cell>
        </row>
        <row r="7803">
          <cell r="A7803" t="str">
            <v>LBPC36 (LED BULB 36 WATTS)</v>
          </cell>
          <cell r="B7803" t="str">
            <v>LBPC36(LED BULB 36 WATTS)</v>
          </cell>
          <cell r="C7803" t="str">
            <v>LUKER</v>
          </cell>
          <cell r="D7803" t="str">
            <v>LUKER</v>
          </cell>
        </row>
        <row r="7804">
          <cell r="A7804" t="str">
            <v>LBPC48 (LED BULB 48 WATTS)</v>
          </cell>
          <cell r="B7804" t="str">
            <v>LBPC48(LED BULB 48 WATTS)</v>
          </cell>
          <cell r="C7804" t="str">
            <v>LUKER</v>
          </cell>
          <cell r="D7804" t="str">
            <v>LUKER</v>
          </cell>
        </row>
        <row r="7805">
          <cell r="A7805" t="str">
            <v>LBPC12CL (LED BULB CLASSIC 12 WATTS)</v>
          </cell>
          <cell r="B7805" t="str">
            <v>LBPC12CL(LED BULB CLASSIC 12 WATTS)</v>
          </cell>
          <cell r="C7805" t="str">
            <v>LUKER</v>
          </cell>
          <cell r="D7805" t="str">
            <v>LUKER</v>
          </cell>
        </row>
        <row r="7806">
          <cell r="A7806" t="str">
            <v>LBPC15CL (LED BULB CLASSIC 15 WATTS)</v>
          </cell>
          <cell r="B7806" t="str">
            <v>LBPC15CL(LED BULB CLASSIC 15 WATTS)</v>
          </cell>
          <cell r="C7806" t="str">
            <v>LUKER</v>
          </cell>
          <cell r="D7806" t="str">
            <v>LUKER</v>
          </cell>
        </row>
        <row r="7807">
          <cell r="A7807" t="str">
            <v>LBPC18CL (LED BULB CLASSIC 18 WATTS)</v>
          </cell>
          <cell r="B7807" t="str">
            <v>LBPC18CL(LED BULB CLASSIC 18 WATTS)</v>
          </cell>
          <cell r="C7807" t="str">
            <v>LUKER</v>
          </cell>
          <cell r="D7807" t="str">
            <v>LUKER</v>
          </cell>
        </row>
        <row r="7808">
          <cell r="A7808" t="str">
            <v>LBPC03CL (LED BULB CLASSIC 3 WATTS)</v>
          </cell>
          <cell r="B7808" t="str">
            <v>LBPC03CL(LED BULB CLASSIC 3 WATTS)</v>
          </cell>
          <cell r="C7808" t="str">
            <v>LUKER</v>
          </cell>
          <cell r="D7808" t="str">
            <v>LUKER</v>
          </cell>
        </row>
        <row r="7809">
          <cell r="A7809" t="str">
            <v>LBPC05CL (LED BULB CLASSIC 5 WATTS)</v>
          </cell>
          <cell r="B7809" t="str">
            <v>LBPC05CL(LED BULB CLASSIC 5 WATTS)</v>
          </cell>
          <cell r="C7809" t="str">
            <v>LUKER</v>
          </cell>
          <cell r="D7809" t="str">
            <v>LUKER</v>
          </cell>
        </row>
        <row r="7810">
          <cell r="A7810" t="str">
            <v>LBPC07CL (LED BULB CLASSIC 7 WATTS)</v>
          </cell>
          <cell r="B7810" t="str">
            <v>LBPC07CL(LED BULB CLASSIC 7 WATTS)</v>
          </cell>
          <cell r="C7810" t="str">
            <v>LUKER</v>
          </cell>
          <cell r="D7810" t="str">
            <v>LUKER</v>
          </cell>
        </row>
        <row r="7811">
          <cell r="A7811" t="str">
            <v>LBPC09CL (LED BULB CLASSIC 9 WATTS)</v>
          </cell>
          <cell r="B7811" t="str">
            <v>LBPC09CL(LED BULB CLASSIC 9 WATTS)</v>
          </cell>
          <cell r="C7811" t="str">
            <v>LUKER</v>
          </cell>
          <cell r="D7811" t="str">
            <v>LUKER</v>
          </cell>
        </row>
        <row r="7812">
          <cell r="A7812" t="str">
            <v>LBPC09CL(WH) (LED BULB CLASSIC 9 WATTS WH)</v>
          </cell>
          <cell r="B7812" t="str">
            <v>LBPC09CL(WH)(LED BULB CLASSIC 9 WATTS WH)</v>
          </cell>
          <cell r="C7812" t="str">
            <v>LUKER</v>
          </cell>
          <cell r="D7812" t="str">
            <v>LUKER</v>
          </cell>
        </row>
        <row r="7813">
          <cell r="A7813" t="str">
            <v>LBPC03HG (LED BULB HIGH GLOW 3 WATTS)</v>
          </cell>
          <cell r="B7813" t="str">
            <v>LBPC03HG(LED BULB HIGH GLOW 3 WATTS)</v>
          </cell>
          <cell r="C7813" t="str">
            <v>LUKER</v>
          </cell>
          <cell r="D7813" t="str">
            <v>LUKER</v>
          </cell>
        </row>
        <row r="7814">
          <cell r="A7814" t="str">
            <v>LBPC05HG (LED BULB HIGH GLOW 5 WATTS)</v>
          </cell>
          <cell r="B7814" t="str">
            <v>LBPC05HG(LED BULB HIGH GLOW 5 WATTS)</v>
          </cell>
          <cell r="C7814" t="str">
            <v>LUKER</v>
          </cell>
          <cell r="D7814" t="str">
            <v>LUKER</v>
          </cell>
        </row>
        <row r="7815">
          <cell r="A7815" t="str">
            <v>LBPC07HG (LED BULB HIGH GLOW 7 WATTS)</v>
          </cell>
          <cell r="B7815" t="str">
            <v>LBPC07HG(LED BULB HIGH GLOW 7 WATTS)</v>
          </cell>
          <cell r="C7815" t="str">
            <v>LUKER</v>
          </cell>
          <cell r="D7815" t="str">
            <v>LUKER</v>
          </cell>
        </row>
        <row r="7816">
          <cell r="A7816" t="str">
            <v>LBPC09HG (LED BULB HIGH GLOW 9 WATTS)</v>
          </cell>
          <cell r="B7816" t="str">
            <v>LBPC09HG(LED BULB HIGH GLOW 9 WATTS)</v>
          </cell>
          <cell r="C7816" t="str">
            <v>LUKER</v>
          </cell>
          <cell r="D7816" t="str">
            <v>LUKER</v>
          </cell>
        </row>
        <row r="7817">
          <cell r="A7817" t="str">
            <v>LBPC09 B22 WW CL (LED BULB PC 09W B22 WW CL)</v>
          </cell>
          <cell r="B7817" t="str">
            <v>LBPC09 B22 WW CL(LED BULB PC 09W B22 WW CL)</v>
          </cell>
          <cell r="C7817" t="str">
            <v>LUKER</v>
          </cell>
          <cell r="D7817" t="str">
            <v>LUKER</v>
          </cell>
        </row>
        <row r="7818">
          <cell r="A7818" t="str">
            <v>LBPC09 E27 WH CL (LED BULB PC 09W E27 WH CL)</v>
          </cell>
          <cell r="B7818" t="str">
            <v>LBPC09 E27 WH CL(LED BULB PC 09W E27 WH CL)</v>
          </cell>
          <cell r="C7818" t="str">
            <v>LUKER</v>
          </cell>
          <cell r="D7818" t="str">
            <v>LUKER</v>
          </cell>
        </row>
        <row r="7819">
          <cell r="A7819" t="str">
            <v>LBKOVD20 WH (LED BULKHEAD BOXY E6 LBKOVD20 WH)</v>
          </cell>
          <cell r="B7819" t="str">
            <v>LBKOVD20 WH(LED BULKHEAD BOXY E6 LBKOVD20 WH)</v>
          </cell>
          <cell r="C7819" t="str">
            <v>LUKER</v>
          </cell>
          <cell r="D7819" t="str">
            <v>LUKER</v>
          </cell>
        </row>
        <row r="7820">
          <cell r="A7820" t="str">
            <v>LBKOVSL04WH (LED Bulkhead Lights Outdoor 06W OV WH)</v>
          </cell>
          <cell r="B7820" t="str">
            <v>LBKOVSL04WH(LED Bulkhead Lights Outdoor 06W OV WH)</v>
          </cell>
          <cell r="C7820" t="str">
            <v>LUKER</v>
          </cell>
          <cell r="D7820" t="str">
            <v>LUKER</v>
          </cell>
        </row>
        <row r="7821">
          <cell r="A7821" t="str">
            <v>LBKOVSL12 WH (LED Bulkhead Lights Outdoor 12W OV WH)</v>
          </cell>
          <cell r="B7821" t="str">
            <v>LBKOVSL12 WH(LED Bulkhead Lights Outdoor 12W OV WH)</v>
          </cell>
          <cell r="C7821" t="str">
            <v>LUKER</v>
          </cell>
          <cell r="D7821" t="str">
            <v>LUKER</v>
          </cell>
        </row>
        <row r="7822">
          <cell r="A7822" t="str">
            <v>LBGC03 (LED CANDLE BULB 3 WATTS)</v>
          </cell>
          <cell r="B7822" t="str">
            <v>LBGC03(LED CANDLE BULB 3 WATTS)</v>
          </cell>
          <cell r="C7822" t="str">
            <v>LUKER</v>
          </cell>
          <cell r="D7822" t="str">
            <v>LUKER</v>
          </cell>
        </row>
        <row r="7823">
          <cell r="A7823" t="str">
            <v>LBGC05 (LED CANDLE BULB 5 WATTS)</v>
          </cell>
          <cell r="B7823" t="str">
            <v>LBGC05(LED CANDLE BULB 5 WATTS)</v>
          </cell>
          <cell r="C7823" t="str">
            <v>LUKER</v>
          </cell>
          <cell r="D7823" t="str">
            <v>LUKER</v>
          </cell>
        </row>
        <row r="7824">
          <cell r="A7824" t="str">
            <v>LPL2209 8W WH (LED CBT PROFILE LGT LPL2209 08W WH)</v>
          </cell>
          <cell r="B7824" t="str">
            <v>LPL2209 8W WH(LED CBT PROFILE LGT LPL2209 08W WH)</v>
          </cell>
          <cell r="C7824" t="str">
            <v>LUKER</v>
          </cell>
          <cell r="D7824" t="str">
            <v>LUKER</v>
          </cell>
        </row>
        <row r="7825">
          <cell r="A7825" t="str">
            <v>LCL12S/LCL12R (LED CEILING LIGHT 12 WATTS)</v>
          </cell>
          <cell r="B7825" t="str">
            <v>LCL12S/LCL12R(LED CEILING LIGHT 12 WATTS)</v>
          </cell>
          <cell r="C7825" t="str">
            <v>LUKER</v>
          </cell>
          <cell r="D7825" t="str">
            <v>LUKER</v>
          </cell>
        </row>
        <row r="7826">
          <cell r="A7826" t="str">
            <v>LCL18R (LED CEILING LIGHT 18 WATTS)</v>
          </cell>
          <cell r="B7826" t="str">
            <v>LCL18R(LED CEILING LIGHT 18 WATTS)</v>
          </cell>
          <cell r="C7826" t="str">
            <v>LUKER</v>
          </cell>
          <cell r="D7826" t="str">
            <v>LUKER</v>
          </cell>
        </row>
        <row r="7827">
          <cell r="A7827" t="str">
            <v>LCL8R (LED CEILING LIGHT 8 WATTS)</v>
          </cell>
          <cell r="B7827" t="str">
            <v>LCL8R(LED CEILING LIGHT 8 WATTS)</v>
          </cell>
          <cell r="C7827" t="str">
            <v>LUKER</v>
          </cell>
          <cell r="D7827" t="str">
            <v>LUKER</v>
          </cell>
        </row>
        <row r="7828">
          <cell r="A7828" t="str">
            <v>LCL12NR WH (LED CEILING LIGHT DOB RD 12W WH)</v>
          </cell>
          <cell r="B7828" t="str">
            <v>LCL12NR WH(LED CEILING LIGHT DOB RD 12W WH)</v>
          </cell>
          <cell r="C7828" t="str">
            <v>LUKER</v>
          </cell>
          <cell r="D7828" t="str">
            <v>LUKER</v>
          </cell>
        </row>
        <row r="7829">
          <cell r="A7829" t="str">
            <v>LCL07R WW (LED CEILING LIGHT ENS RD 07W WW)</v>
          </cell>
          <cell r="B7829" t="str">
            <v>LCL07R WW(LED CEILING LIGHT ENS RD 07W WW)</v>
          </cell>
          <cell r="C7829" t="str">
            <v>LUKER</v>
          </cell>
          <cell r="D7829" t="str">
            <v>LUKER</v>
          </cell>
        </row>
        <row r="7830">
          <cell r="A7830" t="str">
            <v>LCL20NS WH (LED Ceiling Light N SQ 20W WH)</v>
          </cell>
          <cell r="B7830" t="str">
            <v>LCL20NS WH(LED Ceiling Light N SQ 20W WH)</v>
          </cell>
          <cell r="C7830" t="str">
            <v>LUKER</v>
          </cell>
          <cell r="D7830" t="str">
            <v>LUKER</v>
          </cell>
        </row>
        <row r="7831">
          <cell r="A7831" t="str">
            <v>LCL15SSQ.LCL15SRD (LED CEILING LIGHT SLEEK 15 WATTS)</v>
          </cell>
          <cell r="B7831" t="str">
            <v>LCL15SSQ.LCL15SRD(LED CEILING LIGHT SLEEK 15 WATTS)</v>
          </cell>
          <cell r="C7831" t="str">
            <v>LUKER</v>
          </cell>
          <cell r="D7831" t="str">
            <v>LUKER</v>
          </cell>
        </row>
        <row r="7832">
          <cell r="A7832" t="str">
            <v>LCL08SSQ/LCL08SRD (LED CEILING LIGHT SLEEK 8 WATTS)</v>
          </cell>
          <cell r="B7832" t="str">
            <v>LCL08SSQ/LCL08SRD(LED CEILING LIGHT SLEEK 8 WATTS)</v>
          </cell>
          <cell r="C7832" t="str">
            <v>LUKER</v>
          </cell>
          <cell r="D7832" t="str">
            <v>LUKER</v>
          </cell>
        </row>
        <row r="7833">
          <cell r="A7833" t="str">
            <v>LCL18NR WH (LED CEILINING LIGHT DOB RD 18W WH)</v>
          </cell>
          <cell r="B7833" t="str">
            <v>LCL18NR WH(LED CEILINING LIGHT DOB RD 18W WH)</v>
          </cell>
          <cell r="C7833" t="str">
            <v>LUKER</v>
          </cell>
          <cell r="D7833" t="str">
            <v>LUKER</v>
          </cell>
        </row>
        <row r="7834">
          <cell r="A7834" t="str">
            <v>LTM1 (LED CHANNEL FOR TRACK LIGHT 1M)</v>
          </cell>
          <cell r="B7834" t="str">
            <v>LTM1(LED CHANNEL FOR TRACK LIGHT 1M)</v>
          </cell>
          <cell r="C7834" t="str">
            <v>LUKER</v>
          </cell>
          <cell r="D7834" t="str">
            <v>LUKER</v>
          </cell>
        </row>
        <row r="7835">
          <cell r="A7835" t="str">
            <v>LTM2 (LED CHANNEL FOR TRACK LIGHT 2M)</v>
          </cell>
          <cell r="B7835" t="str">
            <v>LTM2(LED CHANNEL FOR TRACK LIGHT 2M)</v>
          </cell>
          <cell r="C7835" t="str">
            <v>LUKER</v>
          </cell>
          <cell r="D7835" t="str">
            <v>LUKER</v>
          </cell>
        </row>
        <row r="7836">
          <cell r="A7836" t="str">
            <v>LCOBBSP12WW (LED COB LGT SR RD SP 12 BKG WW)</v>
          </cell>
          <cell r="B7836" t="str">
            <v>LCOBBSP12WW(LED COB LGT SR RD SP 12 BKG WW)</v>
          </cell>
          <cell r="C7836" t="str">
            <v>LUKER</v>
          </cell>
          <cell r="D7836" t="str">
            <v>LUKER</v>
          </cell>
        </row>
        <row r="7837">
          <cell r="A7837" t="str">
            <v>LCOBR01 WH (LED COB LIGHT 01W RDWH)</v>
          </cell>
          <cell r="B7837" t="str">
            <v>LCOBR01 WH(LED COB LIGHT 01W RDWH)</v>
          </cell>
          <cell r="C7837" t="str">
            <v>LUKER</v>
          </cell>
          <cell r="D7837" t="str">
            <v>LUKER</v>
          </cell>
        </row>
        <row r="7838">
          <cell r="A7838" t="str">
            <v>LCOBR01 WW (LED COB Light 01W RD WW)</v>
          </cell>
          <cell r="B7838" t="str">
            <v>LCOBR01 WW(LED COB Light 01W RD WW)</v>
          </cell>
          <cell r="C7838" t="str">
            <v>LUKER</v>
          </cell>
          <cell r="D7838" t="str">
            <v>LUKER</v>
          </cell>
        </row>
        <row r="7839">
          <cell r="A7839" t="str">
            <v>LSCR03 WH (LED COB LIGHT 03W ROUND WH)</v>
          </cell>
          <cell r="B7839" t="str">
            <v>LSCR03 WH(LED COB LIGHT 03W ROUND WH)</v>
          </cell>
          <cell r="C7839" t="str">
            <v>LUKER</v>
          </cell>
          <cell r="D7839" t="str">
            <v>LUKER</v>
          </cell>
        </row>
        <row r="7840">
          <cell r="A7840" t="str">
            <v>LCOBR07 WH (LED COB LIGHT 07W RDWH)</v>
          </cell>
          <cell r="B7840" t="str">
            <v>LCOBR07 WH(LED COB LIGHT 07W RDWH)</v>
          </cell>
          <cell r="C7840" t="str">
            <v>LUKER</v>
          </cell>
          <cell r="D7840" t="str">
            <v>LUKER</v>
          </cell>
        </row>
        <row r="7841">
          <cell r="A7841" t="str">
            <v>LCOB07 WH (LED COB LIGHT 07W WH)</v>
          </cell>
          <cell r="B7841" t="str">
            <v>LCOB07 WH(LED COB LIGHT 07W WH)</v>
          </cell>
          <cell r="C7841" t="str">
            <v>LUKER</v>
          </cell>
          <cell r="D7841" t="str">
            <v>LUKER</v>
          </cell>
        </row>
        <row r="7842">
          <cell r="A7842" t="str">
            <v>LCOBR18 WH (LED COB LIGHT 18W RD WH)</v>
          </cell>
          <cell r="B7842" t="str">
            <v>LCOBR18 WH(LED COB LIGHT 18W RD WH)</v>
          </cell>
          <cell r="C7842" t="str">
            <v>LUKER</v>
          </cell>
          <cell r="D7842" t="str">
            <v>LUKER</v>
          </cell>
        </row>
        <row r="7843">
          <cell r="A7843" t="str">
            <v>LSCOBS01/LSCOBR01 (LED COB LIGHT 1 WATT)</v>
          </cell>
          <cell r="B7843" t="str">
            <v>LSCOBS01/LSCOBR01(LED COB LIGHT 1 WATT)</v>
          </cell>
          <cell r="C7843" t="str">
            <v>LUKER</v>
          </cell>
          <cell r="D7843" t="str">
            <v>LUKER</v>
          </cell>
        </row>
        <row r="7844">
          <cell r="A7844" t="str">
            <v>LCOB04 WH (LED COB LIGHT 4W WH)</v>
          </cell>
          <cell r="B7844" t="str">
            <v>LCOB04 WH(LED COB LIGHT 4W WH)</v>
          </cell>
          <cell r="C7844" t="str">
            <v>LUKER</v>
          </cell>
          <cell r="D7844" t="str">
            <v>LUKER</v>
          </cell>
        </row>
        <row r="7845">
          <cell r="A7845" t="str">
            <v>LCOBR07 N WH (LED COB Light 60DWHRD 07W WH)</v>
          </cell>
          <cell r="B7845" t="str">
            <v>LCOBR07 N WH(LED COB Light 60DWHRD 07W WH)</v>
          </cell>
          <cell r="C7845" t="str">
            <v>LUKER</v>
          </cell>
          <cell r="D7845" t="str">
            <v>LUKER</v>
          </cell>
        </row>
        <row r="7846">
          <cell r="A7846" t="str">
            <v>LCOB18 SQ WH (LED COB LIGHT 60DWHSQ 18W WH)</v>
          </cell>
          <cell r="B7846" t="str">
            <v>LCOB18 SQ WH(LED COB LIGHT 60DWHSQ 18W WH)</v>
          </cell>
          <cell r="C7846" t="str">
            <v>LUKER</v>
          </cell>
          <cell r="D7846" t="str">
            <v>LUKER</v>
          </cell>
        </row>
        <row r="7847">
          <cell r="A7847" t="str">
            <v>LCOB18 SQ WW (LED COB LIGHT 60DWHSQ 18W WW)</v>
          </cell>
          <cell r="B7847" t="str">
            <v>LCOB18 SQ WW(LED COB LIGHT 60DWHSQ 18W WW)</v>
          </cell>
          <cell r="C7847" t="str">
            <v>LUKER</v>
          </cell>
          <cell r="D7847" t="str">
            <v>LUKER</v>
          </cell>
        </row>
        <row r="7848">
          <cell r="A7848" t="str">
            <v>LCOB218 SQ WW (LED COB LIGHT 60DWHSQ 2X18W WW)</v>
          </cell>
          <cell r="B7848" t="str">
            <v>LCOB218 SQ WW(LED COB LIGHT 60DWHSQ 2X18W WW)</v>
          </cell>
          <cell r="C7848" t="str">
            <v>LUKER</v>
          </cell>
          <cell r="D7848" t="str">
            <v>LUKER</v>
          </cell>
        </row>
        <row r="7849">
          <cell r="A7849" t="str">
            <v>LCOB03 BK WW (LED COB LIGHT BKRD 03W WW)</v>
          </cell>
          <cell r="B7849" t="str">
            <v>LCOB03 BK WW(LED COB LIGHT BKRD 03W WW)</v>
          </cell>
          <cell r="C7849" t="str">
            <v>LUKER</v>
          </cell>
          <cell r="D7849" t="str">
            <v>LUKER</v>
          </cell>
        </row>
        <row r="7850">
          <cell r="A7850" t="str">
            <v>LLCB0HLWH0012WH (LED COB LIGHT HL WH 12 WH)</v>
          </cell>
          <cell r="B7850" t="str">
            <v>LLCB0HLWH0012WH(LED COB LIGHT HL WH 12 WH)</v>
          </cell>
          <cell r="C7850" t="str">
            <v>LUKER</v>
          </cell>
          <cell r="D7850" t="str">
            <v>LUKER</v>
          </cell>
        </row>
        <row r="7851">
          <cell r="A7851" t="str">
            <v>LCOBSN07 (LED COB LIGHT SATIN NICKEL)</v>
          </cell>
          <cell r="B7851" t="str">
            <v>LCOBSN07(LED COB LIGHT SATIN NICKEL)</v>
          </cell>
          <cell r="C7851" t="str">
            <v>LUKER</v>
          </cell>
          <cell r="D7851" t="str">
            <v>LUKER</v>
          </cell>
        </row>
        <row r="7852">
          <cell r="A7852" t="str">
            <v>LSCS03/LSCR03 (LED COB LIGHT SATIN NICKEL 3 W)</v>
          </cell>
          <cell r="B7852" t="str">
            <v>LSCS03/LSCR03(LED COB LIGHT SATIN NICKEL 3 W)</v>
          </cell>
          <cell r="C7852" t="str">
            <v>LUKER</v>
          </cell>
          <cell r="D7852" t="str">
            <v>LUKER</v>
          </cell>
        </row>
        <row r="7853">
          <cell r="A7853" t="str">
            <v>LCOBBSRR12 RG WH (LED COB LIGHT SR RD 12 BKG WH)</v>
          </cell>
          <cell r="B7853" t="str">
            <v>LCOBBSRR12 RG WH(LED COB LIGHT SR RD 12 BKG WH)</v>
          </cell>
          <cell r="C7853" t="str">
            <v>LUKER</v>
          </cell>
          <cell r="D7853" t="str">
            <v>LUKER</v>
          </cell>
        </row>
        <row r="7854">
          <cell r="A7854" t="str">
            <v>LCOBBSRR18 RG WH (LED COB LIGHT SR RD 18 BKG WH)</v>
          </cell>
          <cell r="B7854" t="str">
            <v>LCOBBSRR18 RG WH(LED COB LIGHT SR RD 18 BKG WH)</v>
          </cell>
          <cell r="C7854" t="str">
            <v>LUKER</v>
          </cell>
          <cell r="D7854" t="str">
            <v>LUKER</v>
          </cell>
        </row>
        <row r="7855">
          <cell r="A7855" t="str">
            <v>LCOBR04 WW (LED COB LIGHT WHRD 04W WW)</v>
          </cell>
          <cell r="B7855" t="str">
            <v>LCOBR04 WW(LED COB LIGHT WHRD 04W WW)</v>
          </cell>
          <cell r="C7855" t="str">
            <v>LUKER</v>
          </cell>
          <cell r="D7855" t="str">
            <v>LUKER</v>
          </cell>
        </row>
        <row r="7856">
          <cell r="A7856" t="str">
            <v>LCOB18 WH (LED CONCEALED COB Light 18W WH)</v>
          </cell>
          <cell r="B7856" t="str">
            <v>LCOB18 WH(LED CONCEALED COB Light 18W WH)</v>
          </cell>
          <cell r="C7856" t="str">
            <v>LUKER</v>
          </cell>
          <cell r="D7856" t="str">
            <v>LUKER</v>
          </cell>
        </row>
        <row r="7857">
          <cell r="A7857" t="str">
            <v>LWL 102-1 WH (LED Decorative Wall Lamps Indoor 12W WH LWL 102-1_x000D_
)</v>
          </cell>
          <cell r="B7857" t="str">
            <v>LWL 102-1 WH(LED Decorative Wall Lamps Indoor 12W WH LWL 102-1_x000D_
)</v>
          </cell>
          <cell r="C7857" t="str">
            <v>LUKER</v>
          </cell>
          <cell r="D7857" t="str">
            <v>LUKER</v>
          </cell>
        </row>
        <row r="7858">
          <cell r="A7858" t="str">
            <v>LWL102-1WW (LED Decorative Wall Lamps Indoor 12W WW LWL 102-1)</v>
          </cell>
          <cell r="B7858" t="str">
            <v>LWL102-1WW(LED Decorative Wall Lamps Indoor 12W WW LWL 102-1)</v>
          </cell>
          <cell r="C7858" t="str">
            <v>LUKER</v>
          </cell>
          <cell r="D7858" t="str">
            <v>LUKER</v>
          </cell>
        </row>
        <row r="7859">
          <cell r="A7859" t="str">
            <v>LWL 104 WW (LED DECORATIVE WALL LAMPS INDOOR 12W WW LWL104)</v>
          </cell>
          <cell r="B7859" t="str">
            <v>LWL 104 WW(LED DECORATIVE WALL LAMPS INDOOR 12W WW LWL104)</v>
          </cell>
          <cell r="C7859" t="str">
            <v>LUKER</v>
          </cell>
          <cell r="D7859" t="str">
            <v>LUKER</v>
          </cell>
        </row>
        <row r="7860">
          <cell r="A7860" t="str">
            <v>LWL105WW (LED DECORATIVE WALL LAMPS INDOOR 12W WW LWL105)</v>
          </cell>
          <cell r="B7860" t="str">
            <v>LWL105WW(LED DECORATIVE WALL LAMPS INDOOR 12W WW LWL105)</v>
          </cell>
          <cell r="C7860" t="str">
            <v>LUKER</v>
          </cell>
          <cell r="D7860" t="str">
            <v>LUKER</v>
          </cell>
        </row>
        <row r="7861">
          <cell r="A7861" t="str">
            <v>LWL106 WH (LED DECORATIVE WALL LAMPS INDOOR 30W WH L106)</v>
          </cell>
          <cell r="B7861" t="str">
            <v>LWL106 WH(LED DECORATIVE WALL LAMPS INDOOR 30W WH L106)</v>
          </cell>
          <cell r="C7861" t="str">
            <v>LUKER</v>
          </cell>
          <cell r="D7861" t="str">
            <v>LUKER</v>
          </cell>
        </row>
        <row r="7862">
          <cell r="A7862" t="str">
            <v>LWL107 WW (LED DECORATIVE WALL LAMPS INDOOR 30W WW)</v>
          </cell>
          <cell r="B7862" t="str">
            <v>LWL107 WW(LED DECORATIVE WALL LAMPS INDOOR 30W WW)</v>
          </cell>
          <cell r="C7862" t="str">
            <v>LUKER</v>
          </cell>
          <cell r="D7862" t="str">
            <v>LUKER</v>
          </cell>
        </row>
        <row r="7863">
          <cell r="A7863" t="str">
            <v>LWL106WW (LED DECORATIVE WALL LAMPS INDOOR 30W WW LWL106)</v>
          </cell>
          <cell r="B7863" t="str">
            <v>LWL106WW(LED DECORATIVE WALL LAMPS INDOOR 30W WW LWL106)</v>
          </cell>
          <cell r="C7863" t="str">
            <v>LUKER</v>
          </cell>
          <cell r="D7863" t="str">
            <v>LUKER</v>
          </cell>
        </row>
        <row r="7864">
          <cell r="A7864" t="str">
            <v>LTHC36 (LED DOUBE TUBE SET 36W 4 FT)</v>
          </cell>
          <cell r="B7864" t="str">
            <v>LTHC36(LED DOUBE TUBE SET 36W 4 FT)</v>
          </cell>
          <cell r="C7864" t="str">
            <v>LUKER</v>
          </cell>
          <cell r="D7864" t="str">
            <v>LUKER</v>
          </cell>
        </row>
        <row r="7865">
          <cell r="A7865" t="str">
            <v>LDSR40 (LED DOUBLE TUBE REFLECTOR)</v>
          </cell>
          <cell r="B7865" t="str">
            <v>LDSR40(LED DOUBLE TUBE REFLECTOR)</v>
          </cell>
          <cell r="C7865" t="str">
            <v>LUKER</v>
          </cell>
          <cell r="D7865" t="str">
            <v>LUKER</v>
          </cell>
        </row>
        <row r="7866">
          <cell r="A7866" t="str">
            <v>LSTRG40 (LED DOUBLE TUBE STRING)</v>
          </cell>
          <cell r="B7866" t="str">
            <v>LSTRG40(LED DOUBLE TUBE STRING)</v>
          </cell>
          <cell r="C7866" t="str">
            <v>LUKER</v>
          </cell>
          <cell r="D7866" t="str">
            <v>LUKER</v>
          </cell>
        </row>
        <row r="7867">
          <cell r="A7867" t="str">
            <v>LDS15/LDR15 (LEDDOWN LIGHT 15 WATTS)</v>
          </cell>
          <cell r="B7867" t="str">
            <v>LDS15/LDR15(LEDDOWN LIGHT 15 WATTS)</v>
          </cell>
          <cell r="C7867" t="str">
            <v>LUKER</v>
          </cell>
          <cell r="D7867" t="str">
            <v>LUKER</v>
          </cell>
        </row>
        <row r="7868">
          <cell r="A7868" t="str">
            <v>LDS20/LDR20 (LED DOWN LIGHT 20 WATTS)</v>
          </cell>
          <cell r="B7868" t="str">
            <v>LDS20/LDR20(LED DOWN LIGHT 20 WATTS)</v>
          </cell>
          <cell r="C7868" t="str">
            <v>LUKER</v>
          </cell>
          <cell r="D7868" t="str">
            <v>LUKER</v>
          </cell>
        </row>
        <row r="7869">
          <cell r="A7869" t="str">
            <v>LDR03 (LED DOWN LIGHT 3 WATTS)</v>
          </cell>
          <cell r="B7869" t="str">
            <v>LDR03(LED DOWN LIGHT 3 WATTS)</v>
          </cell>
          <cell r="C7869" t="str">
            <v>LUKER</v>
          </cell>
          <cell r="D7869" t="str">
            <v>LUKER</v>
          </cell>
        </row>
        <row r="7870">
          <cell r="A7870" t="str">
            <v>LDRJB03 (LED DOWN LIGHT 3 WATTS(JB))</v>
          </cell>
          <cell r="B7870" t="str">
            <v>LDRJB03(LED DOWN LIGHT 3 WATTS(JB))</v>
          </cell>
          <cell r="C7870" t="str">
            <v>LUKER</v>
          </cell>
          <cell r="D7870" t="str">
            <v>LUKER</v>
          </cell>
        </row>
        <row r="7871">
          <cell r="A7871" t="str">
            <v>LDR05 (LED DOWN LIGHT 5 WATTS)</v>
          </cell>
          <cell r="B7871" t="str">
            <v>LDR05(LED DOWN LIGHT 5 WATTS)</v>
          </cell>
          <cell r="C7871" t="str">
            <v>LUKER</v>
          </cell>
          <cell r="D7871" t="str">
            <v>LUKER</v>
          </cell>
        </row>
        <row r="7872">
          <cell r="A7872" t="str">
            <v>LDR05(WH) (LED DOWN LIGHT 5 WATTS RD WH)</v>
          </cell>
          <cell r="B7872" t="str">
            <v>LDR05(WH)(LED DOWN LIGHT 5 WATTS RD WH)</v>
          </cell>
          <cell r="C7872" t="str">
            <v>LUKER</v>
          </cell>
          <cell r="D7872" t="str">
            <v>LUKER</v>
          </cell>
        </row>
        <row r="7873">
          <cell r="A7873" t="str">
            <v>LDS07/LDR07 (LED DOWN LIGHT 7 WATTS)</v>
          </cell>
          <cell r="B7873" t="str">
            <v>LDS07/LDR07(LED DOWN LIGHT 7 WATTS)</v>
          </cell>
          <cell r="C7873" t="str">
            <v>LUKER</v>
          </cell>
          <cell r="D7873" t="str">
            <v>LUKER</v>
          </cell>
        </row>
        <row r="7874">
          <cell r="A7874" t="str">
            <v>LDR07 WH (LED DOWN LIGHT 7 WATTS WH)</v>
          </cell>
          <cell r="B7874" t="str">
            <v>LDR07 WH(LED DOWN LIGHT 7 WATTS WH)</v>
          </cell>
          <cell r="C7874" t="str">
            <v>LUKER</v>
          </cell>
          <cell r="D7874" t="str">
            <v>LUKER</v>
          </cell>
        </row>
        <row r="7875">
          <cell r="A7875" t="str">
            <v>LEDR07 N WH (LED DOWNLIGHT ENS PC RD 07W N WH)</v>
          </cell>
          <cell r="B7875" t="str">
            <v>LEDR07 N WH(LED DOWNLIGHT ENS PC RD 07W N WH)</v>
          </cell>
          <cell r="C7875" t="str">
            <v>LUKER</v>
          </cell>
          <cell r="D7875" t="str">
            <v>LUKER</v>
          </cell>
        </row>
        <row r="7876">
          <cell r="A7876" t="str">
            <v>LDR07 MTL WH (LED DOWN LIGHT MTL RD 07W WH)</v>
          </cell>
          <cell r="B7876" t="str">
            <v>LDR07 MTL WH(LED DOWN LIGHT MTL RD 07W WH)</v>
          </cell>
          <cell r="C7876" t="str">
            <v>LUKER</v>
          </cell>
          <cell r="D7876" t="str">
            <v>LUKER</v>
          </cell>
        </row>
        <row r="7877">
          <cell r="A7877" t="str">
            <v>LDRJB03 N WW (LED DOWN LIGHT PC JBRD 03W WW)</v>
          </cell>
          <cell r="B7877" t="str">
            <v>LDRJB03 N WW(LED DOWN LIGHT PC JBRD 03W WW)</v>
          </cell>
          <cell r="C7877" t="str">
            <v>LUKER</v>
          </cell>
          <cell r="D7877" t="str">
            <v>LUKER</v>
          </cell>
        </row>
        <row r="7878">
          <cell r="A7878" t="str">
            <v>LBGB12CL WH (LED EMER BULB 12W B22 WH)</v>
          </cell>
          <cell r="B7878" t="str">
            <v>LBGB12CL WH(LED EMER BULB 12W B22 WH)</v>
          </cell>
          <cell r="C7878" t="str">
            <v>LUKER</v>
          </cell>
          <cell r="D7878" t="str">
            <v>LUKER</v>
          </cell>
        </row>
        <row r="7879">
          <cell r="A7879" t="str">
            <v>LFLR50 RGB (LED Flood Light 050W RGB)</v>
          </cell>
          <cell r="B7879" t="str">
            <v>LFLR50 RGB(LED Flood Light 050W RGB)</v>
          </cell>
          <cell r="C7879" t="str">
            <v>LUKER</v>
          </cell>
          <cell r="D7879" t="str">
            <v>LUKER</v>
          </cell>
        </row>
        <row r="7880">
          <cell r="A7880" t="str">
            <v>LFL100 (LED FLOOD LIGHT 100 W)</v>
          </cell>
          <cell r="B7880" t="str">
            <v>LFL100(LED FLOOD LIGHT 100 W)</v>
          </cell>
          <cell r="C7880" t="str">
            <v>LUKER</v>
          </cell>
          <cell r="D7880" t="str">
            <v>LUKER</v>
          </cell>
        </row>
        <row r="7881">
          <cell r="A7881" t="str">
            <v>LFL10 (LED FLOOD LIGHT 10 W)</v>
          </cell>
          <cell r="B7881" t="str">
            <v>LFL10(LED FLOOD LIGHT 10 W)</v>
          </cell>
          <cell r="C7881" t="str">
            <v>LUKER</v>
          </cell>
          <cell r="D7881" t="str">
            <v>LUKER</v>
          </cell>
        </row>
        <row r="7882">
          <cell r="A7882" t="str">
            <v>LFL COB150 (LED FLOOD LIGHT 150 W COB TYPE)</v>
          </cell>
          <cell r="B7882" t="str">
            <v>LFL COB150(LED FLOOD LIGHT 150 W COB TYPE)</v>
          </cell>
          <cell r="C7882" t="str">
            <v>LUKER</v>
          </cell>
          <cell r="D7882" t="str">
            <v>LUKER</v>
          </cell>
        </row>
        <row r="7883">
          <cell r="A7883" t="str">
            <v>LFL160 (LED FLOOD LIGHT 160 W)</v>
          </cell>
          <cell r="B7883" t="str">
            <v>LFL160(LED FLOOD LIGHT 160 W)</v>
          </cell>
          <cell r="C7883" t="str">
            <v>LUKER</v>
          </cell>
          <cell r="D7883" t="str">
            <v>LUKER</v>
          </cell>
        </row>
        <row r="7884">
          <cell r="A7884" t="str">
            <v>LFL200 (LED FLOOD LIGHT 200 W)</v>
          </cell>
          <cell r="B7884" t="str">
            <v>LFL200(LED FLOOD LIGHT 200 W)</v>
          </cell>
          <cell r="C7884" t="str">
            <v>LUKER</v>
          </cell>
          <cell r="D7884" t="str">
            <v>LUKER</v>
          </cell>
        </row>
        <row r="7885">
          <cell r="A7885" t="str">
            <v>LFLCOB200 (LED FLOOD LIGHT 200 W COB TYPE)</v>
          </cell>
          <cell r="B7885" t="str">
            <v>LFLCOB200(LED FLOOD LIGHT 200 W COB TYPE)</v>
          </cell>
          <cell r="C7885" t="str">
            <v>LUKER</v>
          </cell>
          <cell r="D7885" t="str">
            <v>LUKER</v>
          </cell>
        </row>
        <row r="7886">
          <cell r="A7886" t="str">
            <v>LFL20 (LED FLOOD LIGHT 20 W)</v>
          </cell>
          <cell r="B7886" t="str">
            <v>LFL20(LED FLOOD LIGHT 20 W)</v>
          </cell>
          <cell r="C7886" t="str">
            <v>LUKER</v>
          </cell>
          <cell r="D7886" t="str">
            <v>LUKER</v>
          </cell>
        </row>
        <row r="7887">
          <cell r="A7887" t="str">
            <v>LFLCOB20 (LED FLOOD LIGHT 20 W COB TYPE)</v>
          </cell>
          <cell r="B7887" t="str">
            <v>LFLCOB20(LED FLOOD LIGHT 20 W COB TYPE)</v>
          </cell>
          <cell r="C7887" t="str">
            <v>LUKER</v>
          </cell>
          <cell r="D7887" t="str">
            <v>LUKER</v>
          </cell>
        </row>
        <row r="7888">
          <cell r="A7888" t="str">
            <v>LFL30 (LED FLOOD LIGHT 30 W)</v>
          </cell>
          <cell r="B7888" t="str">
            <v>LFL30(LED FLOOD LIGHT 30 W)</v>
          </cell>
          <cell r="C7888" t="str">
            <v>LUKER</v>
          </cell>
          <cell r="D7888" t="str">
            <v>LUKER</v>
          </cell>
        </row>
        <row r="7889">
          <cell r="A7889" t="str">
            <v>LFL30(WH) (LED FLOOD LIGHT 30 W WH)</v>
          </cell>
          <cell r="B7889" t="str">
            <v>LFL30(WH)(LED FLOOD LIGHT 30 W WH)</v>
          </cell>
          <cell r="C7889" t="str">
            <v>LUKER</v>
          </cell>
          <cell r="D7889" t="str">
            <v>LUKER</v>
          </cell>
        </row>
        <row r="7890">
          <cell r="A7890" t="str">
            <v>LFLCOB50 (LED FLOOD LIGHT 50 W COB TYPE)</v>
          </cell>
          <cell r="B7890" t="str">
            <v>LFLCOB50(LED FLOOD LIGHT 50 W COB TYPE)</v>
          </cell>
          <cell r="C7890" t="str">
            <v>LUKER</v>
          </cell>
          <cell r="D7890" t="str">
            <v>LUKER</v>
          </cell>
        </row>
        <row r="7891">
          <cell r="A7891" t="str">
            <v>LFL50LNS WH (LED FLOOD LIGHT LNS 50W WH)</v>
          </cell>
          <cell r="B7891" t="str">
            <v>LFL50LNS WH(LED FLOOD LIGHT LNS 50W WH)</v>
          </cell>
          <cell r="C7891" t="str">
            <v>LUKER</v>
          </cell>
          <cell r="D7891" t="str">
            <v>LUKER</v>
          </cell>
        </row>
        <row r="7892">
          <cell r="A7892" t="str">
            <v>LFL50SEN (LED FLOOD LIGHT SENSOR 50 W WH)</v>
          </cell>
          <cell r="B7892" t="str">
            <v>LFL50SEN(LED FLOOD LIGHT SENSOR 50 W WH)</v>
          </cell>
          <cell r="C7892" t="str">
            <v>LUKER</v>
          </cell>
          <cell r="D7892" t="str">
            <v>LUKER</v>
          </cell>
        </row>
        <row r="7893">
          <cell r="A7893" t="str">
            <v>LFLSL30 BK WH (LED FLOOD LIGHT SLKBK 030W WH)</v>
          </cell>
          <cell r="B7893" t="str">
            <v>LFLSL30 BK WH(LED FLOOD LIGHT SLKBK 030W WH)</v>
          </cell>
          <cell r="C7893" t="str">
            <v>LUKER</v>
          </cell>
          <cell r="D7893" t="str">
            <v>LUKER</v>
          </cell>
        </row>
        <row r="7894">
          <cell r="A7894" t="str">
            <v>LFLSL50 BK WH_x000D_
 (LED FLOOD LIGHT SLKBK 050W WH_x000D_
)</v>
          </cell>
          <cell r="B7894" t="str">
            <v>LFLSL50 BK WH_x000D_
(LED FLOOD LIGHT SLKBK 050W WH_x000D_
)</v>
          </cell>
          <cell r="C7894" t="str">
            <v>LUKER</v>
          </cell>
          <cell r="D7894" t="str">
            <v>LUKER</v>
          </cell>
        </row>
        <row r="7895">
          <cell r="A7895" t="str">
            <v>LSP03 WW (LED FOCUS LIGHT 03W WW)</v>
          </cell>
          <cell r="B7895" t="str">
            <v>LSP03 WW(LED FOCUS LIGHT 03W WW)</v>
          </cell>
          <cell r="C7895" t="str">
            <v>LUKER</v>
          </cell>
          <cell r="D7895" t="str">
            <v>LUKER</v>
          </cell>
        </row>
        <row r="7896">
          <cell r="A7896" t="str">
            <v>LSP07N WW (LED FOCUS LIGHT 07W N WH)</v>
          </cell>
          <cell r="B7896" t="str">
            <v>LSP07N WW(LED FOCUS LIGHT 07W N WH)</v>
          </cell>
          <cell r="C7896" t="str">
            <v>LUKER</v>
          </cell>
          <cell r="D7896" t="str">
            <v>LUKER</v>
          </cell>
        </row>
        <row r="7897">
          <cell r="A7897" t="str">
            <v>LSP18 (LED FOCUS LIGHT 18 WATTS)</v>
          </cell>
          <cell r="B7897" t="str">
            <v>LSP18(LED FOCUS LIGHT 18 WATTS)</v>
          </cell>
          <cell r="C7897" t="str">
            <v>LUKER</v>
          </cell>
          <cell r="D7897" t="str">
            <v>LUKER</v>
          </cell>
        </row>
        <row r="7898">
          <cell r="A7898" t="str">
            <v>LSP04 WH (LED FOCUS LIGHT 3 WATTS WH)</v>
          </cell>
          <cell r="B7898" t="str">
            <v>LSP04 WH(LED FOCUS LIGHT 3 WATTS WH)</v>
          </cell>
          <cell r="C7898" t="str">
            <v>LUKER</v>
          </cell>
          <cell r="D7898" t="str">
            <v>LUKER</v>
          </cell>
        </row>
        <row r="7899">
          <cell r="A7899" t="str">
            <v>LSP07 WH (LED FOCUS LIGHT 7 WATTS WH)</v>
          </cell>
          <cell r="B7899" t="str">
            <v>LSP07 WH(LED FOCUS LIGHT 7 WATTS WH)</v>
          </cell>
          <cell r="C7899" t="str">
            <v>LUKER</v>
          </cell>
          <cell r="D7899" t="str">
            <v>LUKER</v>
          </cell>
        </row>
        <row r="7900">
          <cell r="A7900" t="str">
            <v>LSP07 WW (LED FOCUS LIGHT 7 WATTS WW)</v>
          </cell>
          <cell r="B7900" t="str">
            <v>LSP07 WW(LED FOCUS LIGHT 7 WATTS WW)</v>
          </cell>
          <cell r="C7900" t="str">
            <v>LUKER</v>
          </cell>
          <cell r="D7900" t="str">
            <v>LUKER</v>
          </cell>
        </row>
        <row r="7901">
          <cell r="A7901" t="str">
            <v>LODSP20 WW (LED FOCUS LIGHT LODSP 20W WW)</v>
          </cell>
          <cell r="B7901" t="str">
            <v>LODSP20 WW(LED FOCUS LIGHT LODSP 20W WW)</v>
          </cell>
          <cell r="C7901" t="str">
            <v>LUKER</v>
          </cell>
          <cell r="D7901" t="str">
            <v>LUKER</v>
          </cell>
        </row>
        <row r="7902">
          <cell r="A7902" t="str">
            <v>LOBRD60WH (LED Garden LGT LOBRD60 18W WH)</v>
          </cell>
          <cell r="B7902" t="str">
            <v>LOBRD60WH(LED Garden LGT LOBRD60 18W WH)</v>
          </cell>
          <cell r="C7902" t="str">
            <v>LUKER</v>
          </cell>
          <cell r="D7902" t="str">
            <v>LUKER</v>
          </cell>
        </row>
        <row r="7903">
          <cell r="A7903" t="str">
            <v>LODBS12 WH (LED Garden LGT LODB12 12W WH)</v>
          </cell>
          <cell r="B7903" t="str">
            <v>LODBS12 WH(LED Garden LGT LODB12 12W WH)</v>
          </cell>
          <cell r="C7903" t="str">
            <v>LUKER</v>
          </cell>
          <cell r="D7903" t="str">
            <v>LUKER</v>
          </cell>
        </row>
        <row r="7904">
          <cell r="A7904" t="str">
            <v>LODBG05 WH (LED GARDEN LGT LODBG05 05 WH)</v>
          </cell>
          <cell r="B7904" t="str">
            <v>LODBG05 WH(LED GARDEN LGT LODBG05 05 WH)</v>
          </cell>
          <cell r="C7904" t="str">
            <v>LUKER</v>
          </cell>
          <cell r="D7904" t="str">
            <v>LUKER</v>
          </cell>
        </row>
        <row r="7905">
          <cell r="A7905" t="str">
            <v>LODBG05 WW (LED GARDEN LIGHT 05W WW (LODB05 WW))</v>
          </cell>
          <cell r="B7905" t="str">
            <v>LODBG05 WW(LED GARDEN LIGHT 05W WW(LODB05 WW))</v>
          </cell>
          <cell r="C7905" t="str">
            <v>LUKER</v>
          </cell>
          <cell r="D7905" t="str">
            <v>LUKER</v>
          </cell>
        </row>
        <row r="7906">
          <cell r="A7906" t="str">
            <v>LSSPK5W WW (LED Garden &amp; Spot Light Outdoor 5W WW LSSPK5W)</v>
          </cell>
          <cell r="B7906" t="str">
            <v>LSSPK5W WW(LED Garden &amp; Spot Light Outdoor 5W WW LSSPK5W)</v>
          </cell>
          <cell r="C7906" t="str">
            <v>LUKER</v>
          </cell>
          <cell r="D7906" t="str">
            <v>LUKER</v>
          </cell>
        </row>
        <row r="7907">
          <cell r="A7907" t="str">
            <v>LODSP05 WW (LED GARDEN &amp; SPOT LIGHTS OUTDOOR 1X5 W WW)</v>
          </cell>
          <cell r="B7907" t="str">
            <v>LODSP05 WW(LED GARDEN &amp; SPOT LIGHTS OUTDOOR 1X5 W WW)</v>
          </cell>
          <cell r="C7907" t="str">
            <v>LUKER</v>
          </cell>
          <cell r="D7907" t="str">
            <v>LUKER</v>
          </cell>
        </row>
        <row r="7908">
          <cell r="A7908" t="str">
            <v>LHL305-1 25W WW (LED HANGING LIGHT 25W/305 WW)</v>
          </cell>
          <cell r="B7908" t="str">
            <v>LHL305-1 25W WW(LED HANGING LIGHT 25W/305 WW)</v>
          </cell>
          <cell r="C7908" t="str">
            <v>LUKER</v>
          </cell>
          <cell r="D7908" t="str">
            <v>LUKER</v>
          </cell>
        </row>
        <row r="7909">
          <cell r="A7909" t="str">
            <v>LOHY120LNWH (LED HB LIGHT OD LN 120W N WH)</v>
          </cell>
          <cell r="B7909" t="str">
            <v>LOHY120LNWH(LED HB LIGHT OD LN 120W N WH)</v>
          </cell>
          <cell r="C7909" t="str">
            <v>LUKER</v>
          </cell>
          <cell r="D7909" t="str">
            <v>LUKER</v>
          </cell>
        </row>
        <row r="7910">
          <cell r="A7910" t="str">
            <v>LHBY200 (LED HIGH BAY INDUSTRIAL 200 WATTS)</v>
          </cell>
          <cell r="B7910" t="str">
            <v>LHBY200(LED HIGH BAY INDUSTRIAL 200 WATTS)</v>
          </cell>
          <cell r="C7910" t="str">
            <v>LUKER</v>
          </cell>
          <cell r="D7910" t="str">
            <v>LUKER</v>
          </cell>
        </row>
        <row r="7911">
          <cell r="A7911" t="str">
            <v>LHBY50 (LED HIGH BAY INDUSTRIAL 50 WATTS)</v>
          </cell>
          <cell r="B7911" t="str">
            <v>LHBY50(LED HIGH BAY INDUSTRIAL 50 WATTS)</v>
          </cell>
          <cell r="C7911" t="str">
            <v>LUKER</v>
          </cell>
          <cell r="D7911" t="str">
            <v>LUKER</v>
          </cell>
        </row>
        <row r="7912">
          <cell r="A7912" t="str">
            <v>LHBY50(WH) (LED HIGH BAY INDUSTRIAL 50 WATTS WH)</v>
          </cell>
          <cell r="B7912" t="str">
            <v>LHBY50(WH)(LED HIGH BAY INDUSTRIAL 50 WATTS WH)</v>
          </cell>
          <cell r="C7912" t="str">
            <v>LUKER</v>
          </cell>
          <cell r="D7912" t="str">
            <v>LUKER</v>
          </cell>
        </row>
        <row r="7913">
          <cell r="A7913" t="str">
            <v>LLHBENDHLN100WH (LED HIGHBAY LGHT OD LN 100W WH (LOHY100LN WH))</v>
          </cell>
          <cell r="B7913" t="str">
            <v>LLHBENDHLN100WH(LED HIGHBAY LGHT OD LN 100W WH (LOHY100LN WH))</v>
          </cell>
          <cell r="C7913" t="str">
            <v>LUKER</v>
          </cell>
          <cell r="D7913" t="str">
            <v>LUKER</v>
          </cell>
        </row>
        <row r="7914">
          <cell r="A7914" t="str">
            <v>LHBY070 WH (LED HIGHBAY LIGHT IND 070W WH)</v>
          </cell>
          <cell r="B7914" t="str">
            <v>LHBY070 WH(LED HIGHBAY LIGHT IND 070W WH)</v>
          </cell>
          <cell r="C7914" t="str">
            <v>LUKER</v>
          </cell>
          <cell r="D7914" t="str">
            <v>LUKER</v>
          </cell>
        </row>
        <row r="7915">
          <cell r="A7915" t="str">
            <v>LHBY100 WH (LED HIGHBAY LIGHT IND 100W WH)</v>
          </cell>
          <cell r="B7915" t="str">
            <v>LHBY100 WH(LED HIGHBAY LIGHT IND 100W WH)</v>
          </cell>
          <cell r="C7915" t="str">
            <v>LUKER</v>
          </cell>
          <cell r="D7915" t="str">
            <v>LUKER</v>
          </cell>
        </row>
        <row r="7916">
          <cell r="A7916" t="str">
            <v>LOHY200 WH (LED HIGHBAY LIGHT OD 200W WH)</v>
          </cell>
          <cell r="B7916" t="str">
            <v>LOHY200 WH(LED HIGHBAY LIGHT OD 200W WH)</v>
          </cell>
          <cell r="C7916" t="str">
            <v>LUKER</v>
          </cell>
          <cell r="D7916" t="str">
            <v>LUKER</v>
          </cell>
        </row>
        <row r="7917">
          <cell r="A7917" t="str">
            <v>LOHY050 LN WH (LED HYGHBAY LIGHT OD LN 50W WH)</v>
          </cell>
          <cell r="B7917" t="str">
            <v>LOHY050 LN WH(LED HYGHBAY LIGHT OD LN 50W WH)</v>
          </cell>
          <cell r="C7917" t="str">
            <v>LUKER</v>
          </cell>
          <cell r="D7917" t="str">
            <v>LUKER</v>
          </cell>
        </row>
        <row r="7918">
          <cell r="A7918" t="str">
            <v>LSCOBR01 WH (LED Light 01W WH)</v>
          </cell>
          <cell r="B7918" t="str">
            <v>LSCOBR01 WH(LED Light 01W WH)</v>
          </cell>
          <cell r="C7918" t="str">
            <v>LUKER</v>
          </cell>
          <cell r="D7918" t="str">
            <v>LUKER</v>
          </cell>
        </row>
        <row r="7919">
          <cell r="A7919" t="str">
            <v>LHBYC40 (LED LOW BAY COMMERCIAL 40 WATTS)</v>
          </cell>
          <cell r="B7919" t="str">
            <v>LHBYC40(LED LOW BAY COMMERCIAL 40 WATTS)</v>
          </cell>
          <cell r="C7919" t="str">
            <v>LUKER</v>
          </cell>
          <cell r="D7919" t="str">
            <v>LUKER</v>
          </cell>
        </row>
        <row r="7920">
          <cell r="A7920" t="str">
            <v>SPDRVLKM2245 (LED MIRROR DRIVE 45W)</v>
          </cell>
          <cell r="B7920" t="str">
            <v>SPDRVLKM2245(LED MIRROR DRIVE 45W)</v>
          </cell>
          <cell r="C7920" t="str">
            <v>LUKER</v>
          </cell>
          <cell r="D7920" t="str">
            <v>LUKER</v>
          </cell>
        </row>
        <row r="7921">
          <cell r="A7921" t="str">
            <v>LADMR12WH (LED MIRROR LGT LADMR12 12W WH)</v>
          </cell>
          <cell r="B7921" t="str">
            <v>LADMR12WH(LED MIRROR LGT LADMR12 12W WH)</v>
          </cell>
          <cell r="C7921" t="str">
            <v>LUKER</v>
          </cell>
          <cell r="D7921" t="str">
            <v>LUKER</v>
          </cell>
        </row>
        <row r="7922">
          <cell r="A7922" t="str">
            <v>LM3C9 3 IN 1 (LED MIRROR LIGHT LM3C9 09W 3IN1)</v>
          </cell>
          <cell r="B7922" t="str">
            <v>LM3C9 3 IN 1(LED MIRROR LIGHT LM3C9 09W 3IN1)</v>
          </cell>
          <cell r="C7922" t="str">
            <v>LUKER</v>
          </cell>
          <cell r="D7922" t="str">
            <v>LUKER</v>
          </cell>
        </row>
        <row r="7923">
          <cell r="A7923" t="str">
            <v>LMR10 WW (LED MIRROR LIGHT LMR10 10W WW)</v>
          </cell>
          <cell r="B7923" t="str">
            <v>LMR10 WW(LED MIRROR LIGHT LMR10 10W WW)</v>
          </cell>
          <cell r="C7923" t="str">
            <v>LUKER</v>
          </cell>
          <cell r="D7923" t="str">
            <v>LUKER</v>
          </cell>
        </row>
        <row r="7924">
          <cell r="A7924" t="str">
            <v>LODSR515 WW (LED OD SUR LIGHT 5W GR BD WW)</v>
          </cell>
          <cell r="B7924" t="str">
            <v>LODSR515 WW(LED OD SUR LIGHT 5W GR BD WW)</v>
          </cell>
          <cell r="C7924" t="str">
            <v>LUKER</v>
          </cell>
          <cell r="D7924" t="str">
            <v>LUKER</v>
          </cell>
        </row>
        <row r="7925">
          <cell r="A7925" t="str">
            <v>LODWW10 WW (LED O/D WALL WASHER 10W WW)</v>
          </cell>
          <cell r="B7925" t="str">
            <v>LODWW10 WW(LED O/D WALL WASHER 10W WW)</v>
          </cell>
          <cell r="C7925" t="str">
            <v>LUKER</v>
          </cell>
          <cell r="D7925" t="str">
            <v>LUKER</v>
          </cell>
        </row>
        <row r="7926">
          <cell r="A7926" t="str">
            <v>LODWW18 BL (LED O/D WALL WASHER 18W BL)</v>
          </cell>
          <cell r="B7926" t="str">
            <v>LODWW18 BL(LED O/D WALL WASHER 18W BL)</v>
          </cell>
          <cell r="C7926" t="str">
            <v>LUKER</v>
          </cell>
          <cell r="D7926" t="str">
            <v>LUKER</v>
          </cell>
        </row>
        <row r="7927">
          <cell r="A7927" t="str">
            <v>LODWS103 WW (LED Outdoor Light 03W WW)</v>
          </cell>
          <cell r="B7927" t="str">
            <v>LODWS103 WW(LED Outdoor Light 03W WW)</v>
          </cell>
          <cell r="C7927" t="str">
            <v>LUKER</v>
          </cell>
          <cell r="D7927" t="str">
            <v>LUKER</v>
          </cell>
        </row>
        <row r="7928">
          <cell r="A7928" t="str">
            <v>LODWS203 WW (LED OUTDOOR LIGHT 06W WW)</v>
          </cell>
          <cell r="B7928" t="str">
            <v>LODWS203 WW(LED OUTDOOR LIGHT 06W WW)</v>
          </cell>
          <cell r="C7928" t="str">
            <v>LUKER</v>
          </cell>
          <cell r="D7928" t="str">
            <v>LUKER</v>
          </cell>
        </row>
        <row r="7929">
          <cell r="A7929" t="str">
            <v>LTOD40 WH (LED Outdoor Tube 40W T8 4FT WH)</v>
          </cell>
          <cell r="B7929" t="str">
            <v>LTOD40 WH(LED Outdoor Tube 40W T8 4FT WH)</v>
          </cell>
          <cell r="C7929" t="str">
            <v>LUKER</v>
          </cell>
          <cell r="D7929" t="str">
            <v>LUKER</v>
          </cell>
        </row>
        <row r="7930">
          <cell r="A7930" t="str">
            <v>LIPR03 WH (LED PREMIUM SLIM PANEL 03W RD WH LIPR)</v>
          </cell>
          <cell r="B7930" t="str">
            <v>LIPR03 WH(LED PREMIUM SLIM PANEL 03W RD WH LIPR)</v>
          </cell>
          <cell r="C7930" t="str">
            <v>LUKER</v>
          </cell>
          <cell r="D7930" t="str">
            <v>LUKER</v>
          </cell>
        </row>
        <row r="7931">
          <cell r="A7931" t="str">
            <v>LIPR06 WH (LED PREMIUM SLIM PANEL 6W RD WH LIPR)</v>
          </cell>
          <cell r="B7931" t="str">
            <v>LIPR06 WH(LED PREMIUM SLIM PANEL 6W RD WH LIPR)</v>
          </cell>
          <cell r="C7931" t="str">
            <v>LUKER</v>
          </cell>
          <cell r="D7931" t="str">
            <v>LUKER</v>
          </cell>
        </row>
        <row r="7932">
          <cell r="A7932" t="str">
            <v>LIPSRR06 WH (LED PR SURFACE Panel 06W RD WH)</v>
          </cell>
          <cell r="B7932" t="str">
            <v>LIPSRR06 WH(LED PR SURFACE Panel 06W RD WH)</v>
          </cell>
          <cell r="C7932" t="str">
            <v>LUKER</v>
          </cell>
          <cell r="D7932" t="str">
            <v>LUKER</v>
          </cell>
        </row>
        <row r="7933">
          <cell r="A7933" t="str">
            <v>LNPR03 WW (LED SLIM PANEL 03W RD WW LNPR)</v>
          </cell>
          <cell r="B7933" t="str">
            <v>LNPR03 WW(LED SLIM PANEL 03W RD WW LNPR)</v>
          </cell>
          <cell r="C7933" t="str">
            <v>LUKER</v>
          </cell>
          <cell r="D7933" t="str">
            <v>LUKER</v>
          </cell>
        </row>
        <row r="7934">
          <cell r="A7934" t="str">
            <v>LNPR06 WW (LED SLIM PANEL 06W RD WW LNPR)</v>
          </cell>
          <cell r="B7934" t="str">
            <v>LNPR06 WW(LED SLIM PANEL 06W RD WW LNPR)</v>
          </cell>
          <cell r="C7934" t="str">
            <v>LUKER</v>
          </cell>
          <cell r="D7934" t="str">
            <v>LUKER</v>
          </cell>
        </row>
        <row r="7935">
          <cell r="A7935" t="str">
            <v>LNPS06 NW (LED SLIM Panel 06W SQ NW LNPS)</v>
          </cell>
          <cell r="B7935" t="str">
            <v>LNPS06 NW(LED SLIM Panel 06W SQ NW LNPS)</v>
          </cell>
          <cell r="C7935" t="str">
            <v>LUKER</v>
          </cell>
          <cell r="D7935" t="str">
            <v>LUKER</v>
          </cell>
        </row>
        <row r="7936">
          <cell r="A7936" t="str">
            <v>LNPR09 WH (LED SLIM PANEL 09W RD WH LNPR)</v>
          </cell>
          <cell r="B7936" t="str">
            <v>LNPR09 WH(LED SLIM PANEL 09W RD WH LNPR)</v>
          </cell>
          <cell r="C7936" t="str">
            <v>LUKER</v>
          </cell>
          <cell r="D7936" t="str">
            <v>LUKER</v>
          </cell>
        </row>
        <row r="7937">
          <cell r="A7937" t="str">
            <v>LNPS09 WH (LED Slim Panel 09W SQ WH LNPS)</v>
          </cell>
          <cell r="B7937" t="str">
            <v>LNPS09 WH(LED Slim Panel 09W SQ WH LNPS)</v>
          </cell>
          <cell r="C7937" t="str">
            <v>LUKER</v>
          </cell>
          <cell r="D7937" t="str">
            <v>LUKER</v>
          </cell>
        </row>
        <row r="7938">
          <cell r="A7938" t="str">
            <v>LNPR12 (WH) (LED SLIM PANEL 12 WATTS RD WH)</v>
          </cell>
          <cell r="B7938" t="str">
            <v>LNPR12(WH)(LED SLIM PANEL 12 WATTS RD WH)</v>
          </cell>
          <cell r="C7938" t="str">
            <v>LUKER</v>
          </cell>
          <cell r="D7938" t="str">
            <v>LUKER</v>
          </cell>
        </row>
        <row r="7939">
          <cell r="A7939" t="str">
            <v>LNPS12 WH SQ (LED SLIM PANEL 12 WATTS SQ WH)</v>
          </cell>
          <cell r="B7939" t="str">
            <v>LNPS12 WH SQ(LED SLIM PANEL 12 WATTS SQ WH)</v>
          </cell>
          <cell r="C7939" t="str">
            <v>LUKER</v>
          </cell>
          <cell r="D7939" t="str">
            <v>LUKER</v>
          </cell>
        </row>
        <row r="7940">
          <cell r="A7940" t="str">
            <v>LNPS12 WH (LED SLIM PANEL 12 WATTS SQ WH LNPS)</v>
          </cell>
          <cell r="B7940" t="str">
            <v>LNPS12 WH(LED SLIM PANEL 12 WATTS SQ WH LNPS)</v>
          </cell>
          <cell r="C7940" t="str">
            <v>LUKER</v>
          </cell>
          <cell r="D7940" t="str">
            <v>LUKER</v>
          </cell>
        </row>
        <row r="7941">
          <cell r="A7941" t="str">
            <v>LNPR12 3IN1 (LED SLIM Panel 12W RD 3IN1)</v>
          </cell>
          <cell r="B7941" t="str">
            <v>LNPR12 3IN1(LED SLIM Panel 12W RD 3IN1)</v>
          </cell>
          <cell r="C7941" t="str">
            <v>LUKER</v>
          </cell>
          <cell r="D7941" t="str">
            <v>LUKER</v>
          </cell>
        </row>
        <row r="7942">
          <cell r="A7942" t="str">
            <v>LNPS12 3IN1 (LED SLIM Panel 12W SQ 3IN1)</v>
          </cell>
          <cell r="B7942" t="str">
            <v>LNPS12 3IN1(LED SLIM Panel 12W SQ 3IN1)</v>
          </cell>
          <cell r="C7942" t="str">
            <v>LUKER</v>
          </cell>
          <cell r="D7942" t="str">
            <v>LUKER</v>
          </cell>
        </row>
        <row r="7943">
          <cell r="A7943" t="str">
            <v>LNPS15/LNPR15 (LED SLIM PANEL 15 WATTS)</v>
          </cell>
          <cell r="B7943" t="str">
            <v>LNPS15/LNPR15(LED SLIM PANEL 15 WATTS)</v>
          </cell>
          <cell r="C7943" t="str">
            <v>LUKER</v>
          </cell>
          <cell r="D7943" t="str">
            <v>LUKER</v>
          </cell>
        </row>
        <row r="7944">
          <cell r="A7944" t="str">
            <v>LNPR15 (LED SLIM PANEL 15 WATTS RD WH)</v>
          </cell>
          <cell r="B7944" t="str">
            <v>LNPR15(LED SLIM PANEL 15 WATTS RD WH)</v>
          </cell>
          <cell r="C7944" t="str">
            <v>LUKER</v>
          </cell>
          <cell r="D7944" t="str">
            <v>LUKER</v>
          </cell>
        </row>
        <row r="7945">
          <cell r="A7945" t="str">
            <v>LNPS18/LNPR18 (LED SLIM PANEL 18 WATTS)</v>
          </cell>
          <cell r="B7945" t="str">
            <v>LNPS18/LNPR18(LED SLIM PANEL 18 WATTS)</v>
          </cell>
          <cell r="C7945" t="str">
            <v>LUKER</v>
          </cell>
          <cell r="D7945" t="str">
            <v>LUKER</v>
          </cell>
        </row>
        <row r="7946">
          <cell r="A7946" t="str">
            <v>LNPR18 (LED SLIM PANEL 18 WATTS RD WH)</v>
          </cell>
          <cell r="B7946" t="str">
            <v>LNPR18(LED SLIM PANEL 18 WATTS RD WH)</v>
          </cell>
          <cell r="C7946" t="str">
            <v>LUKER</v>
          </cell>
          <cell r="D7946" t="str">
            <v>LUKER</v>
          </cell>
        </row>
        <row r="7947">
          <cell r="A7947" t="str">
            <v>LNPS24 (LED SLIM PANEL 24 WATTS)</v>
          </cell>
          <cell r="B7947" t="str">
            <v>LNPS24(LED SLIM PANEL 24 WATTS)</v>
          </cell>
          <cell r="C7947" t="str">
            <v>LUKER</v>
          </cell>
          <cell r="D7947" t="str">
            <v>LUKER</v>
          </cell>
        </row>
        <row r="7948">
          <cell r="A7948" t="str">
            <v>LNPS24(WH) (LED SLIM PANEL 24 WATTS SQ  WH)</v>
          </cell>
          <cell r="B7948" t="str">
            <v>LNPS24(WH)(LED SLIM PANEL 24 WATTS SQ WH)</v>
          </cell>
          <cell r="C7948" t="str">
            <v>LUKER</v>
          </cell>
          <cell r="D7948" t="str">
            <v>LUKER</v>
          </cell>
        </row>
        <row r="7949">
          <cell r="A7949" t="str">
            <v>LNPS30 WW (LED SLIM PANEL 30 WATTS SQ  WW)</v>
          </cell>
          <cell r="B7949" t="str">
            <v>LNPS30 WW(LED SLIM PANEL 30 WATTS SQ WW)</v>
          </cell>
          <cell r="C7949" t="str">
            <v>LUKER</v>
          </cell>
          <cell r="D7949" t="str">
            <v>LUKER</v>
          </cell>
        </row>
        <row r="7950">
          <cell r="A7950" t="str">
            <v>LNPS03/LNPR03 (LED SLIM PANEL 3 WATTS)</v>
          </cell>
          <cell r="B7950" t="str">
            <v>LNPS03/LNPR03(LED SLIM PANEL 3 WATTS)</v>
          </cell>
          <cell r="C7950" t="str">
            <v>LUKER</v>
          </cell>
          <cell r="D7950" t="str">
            <v>LUKER</v>
          </cell>
        </row>
        <row r="7951">
          <cell r="A7951" t="str">
            <v>LNPS03 WH (LED SLIM PANEL 3 WATTS SQ WH)</v>
          </cell>
          <cell r="B7951" t="str">
            <v>LNPS03 WH(LED SLIM PANEL 3 WATTS SQ WH)</v>
          </cell>
          <cell r="C7951" t="str">
            <v>LUKER</v>
          </cell>
          <cell r="D7951" t="str">
            <v>LUKER</v>
          </cell>
        </row>
        <row r="7952">
          <cell r="A7952" t="str">
            <v>LPS40 (LED SLIM PANEL 40 WATTS 2 X 2)</v>
          </cell>
          <cell r="B7952" t="str">
            <v>LPS40(LED SLIM PANEL 40 WATTS 2 X 2)</v>
          </cell>
          <cell r="C7952" t="str">
            <v>LUKER</v>
          </cell>
          <cell r="D7952" t="str">
            <v>LUKER</v>
          </cell>
        </row>
        <row r="7953">
          <cell r="A7953" t="str">
            <v>LPS40WH (LED SLIM PANEL 40 WATTS 2 X 2 WH)</v>
          </cell>
          <cell r="B7953" t="str">
            <v>LPS40WH(LED SLIM PANEL 40 WATTS 2 X 2 WH)</v>
          </cell>
          <cell r="C7953" t="str">
            <v>LUKER</v>
          </cell>
          <cell r="D7953" t="str">
            <v>LUKER</v>
          </cell>
        </row>
        <row r="7954">
          <cell r="A7954" t="str">
            <v>LPMC40 (LED SLIM PANEL 40 WATTS 4 X 6")</v>
          </cell>
          <cell r="B7954" t="str">
            <v>LPMC40(LED SLIM PANEL 40 WATTS 4 X 6")</v>
          </cell>
          <cell r="C7954" t="str">
            <v>LUKER</v>
          </cell>
          <cell r="D7954" t="str">
            <v>LUKER</v>
          </cell>
        </row>
        <row r="7955">
          <cell r="A7955" t="str">
            <v>LPMC48 (LED SLIM PANEL 48 WATTS 4 X 1)</v>
          </cell>
          <cell r="B7955" t="str">
            <v>LPMC48(LED SLIM PANEL 48 WATTS 4 X 1)</v>
          </cell>
          <cell r="C7955" t="str">
            <v>LUKER</v>
          </cell>
          <cell r="D7955" t="str">
            <v>LUKER</v>
          </cell>
        </row>
        <row r="7956">
          <cell r="A7956" t="str">
            <v>LNPS06 WH (LED SLIM PANEL 6 WATTS SQ WH LNPS)</v>
          </cell>
          <cell r="B7956" t="str">
            <v>LNPS06 WH(LED SLIM PANEL 6 WATTS SQ WH LNPS)</v>
          </cell>
          <cell r="C7956" t="str">
            <v>LUKER</v>
          </cell>
          <cell r="D7956" t="str">
            <v>LUKER</v>
          </cell>
        </row>
        <row r="7957">
          <cell r="A7957" t="str">
            <v>LNPS09/LNPR09 (LED SLIM PANEL 9 WATTS)</v>
          </cell>
          <cell r="B7957" t="str">
            <v>LNPS09/LNPR09(LED SLIM PANEL 9 WATTS)</v>
          </cell>
          <cell r="C7957" t="str">
            <v>LUKER</v>
          </cell>
          <cell r="D7957" t="str">
            <v>LUKER</v>
          </cell>
        </row>
        <row r="7958">
          <cell r="A7958" t="str">
            <v>LNPR9 (WH) (LED SLIM PANEL 9 WATTS RD WH)</v>
          </cell>
          <cell r="B7958" t="str">
            <v>LNPR9(WH)(LED SLIM PANEL 9 WATTS RD WH)</v>
          </cell>
          <cell r="C7958" t="str">
            <v>LUKER</v>
          </cell>
          <cell r="D7958" t="str">
            <v>LUKER</v>
          </cell>
        </row>
        <row r="7959">
          <cell r="A7959" t="str">
            <v>LNPS9 (WH) (LED SLIM PANEL 9 WATTS SQ WH)</v>
          </cell>
          <cell r="B7959" t="str">
            <v>LNPS9(WH)(LED SLIM PANEL 9 WATTS SQ WH)</v>
          </cell>
          <cell r="C7959" t="str">
            <v>LUKER</v>
          </cell>
          <cell r="D7959" t="str">
            <v>LUKER</v>
          </cell>
        </row>
        <row r="7960">
          <cell r="A7960" t="str">
            <v>LNPR12 N WW (LED SLIM PANEL ELNRD 12W WW)</v>
          </cell>
          <cell r="B7960" t="str">
            <v>LNPR12 N WW(LED SLIM PANEL ELNRD 12W WW)</v>
          </cell>
          <cell r="C7960" t="str">
            <v>LUKER</v>
          </cell>
          <cell r="D7960" t="str">
            <v>LUKER</v>
          </cell>
        </row>
        <row r="7961">
          <cell r="A7961" t="str">
            <v>LNPR18 WH (LED SLIM PANEL ELRD 18W WH)</v>
          </cell>
          <cell r="B7961" t="str">
            <v>LNPR18 WH(LED SLIM PANEL ELRD 18W WH)</v>
          </cell>
          <cell r="C7961" t="str">
            <v>LUKER</v>
          </cell>
          <cell r="D7961" t="str">
            <v>LUKER</v>
          </cell>
        </row>
        <row r="7962">
          <cell r="A7962" t="str">
            <v>LNPS30 WH (LED SLIM PANEL ELSQ 30W WH)</v>
          </cell>
          <cell r="B7962" t="str">
            <v>LNPS30 WH(LED SLIM PANEL ELSQ 30W WH)</v>
          </cell>
          <cell r="C7962" t="str">
            <v>LUKER</v>
          </cell>
          <cell r="D7962" t="str">
            <v>LUKER</v>
          </cell>
        </row>
        <row r="7963">
          <cell r="A7963" t="str">
            <v>LSCOBR01 WW (LED Spot Light 1W WW)</v>
          </cell>
          <cell r="B7963" t="str">
            <v>LSCOBR01 WW(LED Spot Light 1W WW)</v>
          </cell>
          <cell r="C7963" t="str">
            <v>LUKER</v>
          </cell>
          <cell r="D7963" t="str">
            <v>LUKER</v>
          </cell>
        </row>
        <row r="7964">
          <cell r="A7964" t="str">
            <v>LSCS01/LSCR01 (LED SPOT LIGHT SATIN NICKEL 1 W)</v>
          </cell>
          <cell r="B7964" t="str">
            <v>LSCS01/LSCR01(LED SPOT LIGHT SATIN NICKEL 1 W)</v>
          </cell>
          <cell r="C7964" t="str">
            <v>LUKER</v>
          </cell>
          <cell r="D7964" t="str">
            <v>LUKER</v>
          </cell>
        </row>
        <row r="7965">
          <cell r="A7965" t="str">
            <v>LSCR01 WW SN (LED SPOT LIGHT SNRD 01W WW)</v>
          </cell>
          <cell r="B7965" t="str">
            <v>LSCR01 WW SN(LED SPOT LIGHT SNRD 01W WW)</v>
          </cell>
          <cell r="C7965" t="str">
            <v>LUKER</v>
          </cell>
          <cell r="D7965" t="str">
            <v>LUKER</v>
          </cell>
        </row>
        <row r="7966">
          <cell r="A7966" t="str">
            <v>LSCR03 WH SN (LED SPOT LIGHT SNRD 03W WH)</v>
          </cell>
          <cell r="B7966" t="str">
            <v>LSCR03 WH SN(LED SPOT LIGHT SNRD 03W WH)</v>
          </cell>
          <cell r="C7966" t="str">
            <v>LUKER</v>
          </cell>
          <cell r="D7966" t="str">
            <v>LUKER</v>
          </cell>
        </row>
        <row r="7967">
          <cell r="A7967" t="str">
            <v>LSCR03 WW SN (LED SPOT LIGHT SNRD 03W WW)</v>
          </cell>
          <cell r="B7967" t="str">
            <v>LSCR03 WW SN(LED SPOT LIGHT SNRD 03W WW)</v>
          </cell>
          <cell r="C7967" t="str">
            <v>LUKER</v>
          </cell>
          <cell r="D7967" t="str">
            <v>LUKER</v>
          </cell>
        </row>
        <row r="7968">
          <cell r="A7968" t="str">
            <v>LSCS03 WW SN (LED SPOT LIGHT SNSQ 03W WW)</v>
          </cell>
          <cell r="B7968" t="str">
            <v>LSCS03 WW SN(LED SPOT LIGHT SNSQ 03W WW)</v>
          </cell>
          <cell r="C7968" t="str">
            <v>LUKER</v>
          </cell>
          <cell r="D7968" t="str">
            <v>LUKER</v>
          </cell>
        </row>
        <row r="7969">
          <cell r="A7969" t="str">
            <v>LSCOBS01 WW (LED SPOT LIGHT WHSQ 01W WW)</v>
          </cell>
          <cell r="B7969" t="str">
            <v>LSCOBS01 WW(LED SPOT LIGHT WHSQ 01W WW)</v>
          </cell>
          <cell r="C7969" t="str">
            <v>LUKER</v>
          </cell>
          <cell r="D7969" t="str">
            <v>LUKER</v>
          </cell>
        </row>
        <row r="7970">
          <cell r="A7970" t="str">
            <v>LST120 (LED STREET LIGHT 120 WATTS)</v>
          </cell>
          <cell r="B7970" t="str">
            <v>LST120(LED STREET LIGHT 120 WATTS)</v>
          </cell>
          <cell r="C7970" t="str">
            <v>LUKER</v>
          </cell>
          <cell r="D7970" t="str">
            <v>LUKER</v>
          </cell>
        </row>
        <row r="7971">
          <cell r="A7971" t="str">
            <v>LST120 WH (LED STREET LIGHT 120W WH)</v>
          </cell>
          <cell r="B7971" t="str">
            <v>LST120 WH(LED STREET LIGHT 120W WH)</v>
          </cell>
          <cell r="C7971" t="str">
            <v>LUKER</v>
          </cell>
          <cell r="D7971" t="str">
            <v>LUKER</v>
          </cell>
        </row>
        <row r="7972">
          <cell r="A7972" t="str">
            <v>LST15 (LED STREET LIGHT 15 WATTS)</v>
          </cell>
          <cell r="B7972" t="str">
            <v>LST15(LED STREET LIGHT 15 WATTS)</v>
          </cell>
          <cell r="C7972" t="str">
            <v>LUKER</v>
          </cell>
          <cell r="D7972" t="str">
            <v>LUKER</v>
          </cell>
        </row>
        <row r="7973">
          <cell r="A7973" t="str">
            <v>LST36 (LED STREET LIGHT 36 WATTS)</v>
          </cell>
          <cell r="B7973" t="str">
            <v>LST36(LED STREET LIGHT 36 WATTS)</v>
          </cell>
          <cell r="C7973" t="str">
            <v>LUKER</v>
          </cell>
          <cell r="D7973" t="str">
            <v>LUKER</v>
          </cell>
        </row>
        <row r="7974">
          <cell r="A7974" t="str">
            <v>LST48 (LED STREET LIGHT 48 WATTS)</v>
          </cell>
          <cell r="B7974" t="str">
            <v>LST48(LED STREET LIGHT 48 WATTS)</v>
          </cell>
          <cell r="C7974" t="str">
            <v>LUKER</v>
          </cell>
          <cell r="D7974" t="str">
            <v>LUKER</v>
          </cell>
        </row>
        <row r="7975">
          <cell r="A7975" t="str">
            <v>LST72 (LED STREET LIGHT 72 WATTS)</v>
          </cell>
          <cell r="B7975" t="str">
            <v>LST72(LED STREET LIGHT 72 WATTS)</v>
          </cell>
          <cell r="C7975" t="str">
            <v>LUKER</v>
          </cell>
          <cell r="D7975" t="str">
            <v>LUKER</v>
          </cell>
        </row>
        <row r="7976">
          <cell r="A7976" t="str">
            <v>LST90 (LED STREET LIGHT 90 WATTS)</v>
          </cell>
          <cell r="B7976" t="str">
            <v>LST90(LED STREET LIGHT 90 WATTS)</v>
          </cell>
          <cell r="C7976" t="str">
            <v>LUKER</v>
          </cell>
          <cell r="D7976" t="str">
            <v>LUKER</v>
          </cell>
        </row>
        <row r="7977">
          <cell r="A7977" t="str">
            <v>LSTE100/WH (LED Street Light Sleek 100W)</v>
          </cell>
          <cell r="B7977" t="str">
            <v>LSTE100/WH(LED Street Light Sleek 100W)</v>
          </cell>
          <cell r="C7977" t="str">
            <v>LUKER</v>
          </cell>
          <cell r="D7977" t="str">
            <v>LUKER</v>
          </cell>
        </row>
        <row r="7978">
          <cell r="A7978" t="str">
            <v>LSTE20/WH (LED Street Light Sleek 20W)</v>
          </cell>
          <cell r="B7978" t="str">
            <v>LSTE20/WH(LED Street Light Sleek 20W)</v>
          </cell>
          <cell r="C7978" t="str">
            <v>LUKER</v>
          </cell>
          <cell r="D7978" t="str">
            <v>LUKER</v>
          </cell>
        </row>
        <row r="7979">
          <cell r="A7979" t="str">
            <v>LSTE30/WH (LED Street Light Sleek 30W)</v>
          </cell>
          <cell r="B7979" t="str">
            <v>LSTE30/WH(LED Street Light Sleek 30W)</v>
          </cell>
          <cell r="C7979" t="str">
            <v>LUKER</v>
          </cell>
          <cell r="D7979" t="str">
            <v>LUKER</v>
          </cell>
        </row>
        <row r="7980">
          <cell r="A7980" t="str">
            <v>LSTE020 WH (LED STREET LIGHT SLK 020W WH)</v>
          </cell>
          <cell r="B7980" t="str">
            <v>LSTE020 WH(LED STREET LIGHT SLK 020W WH)</v>
          </cell>
          <cell r="C7980" t="str">
            <v>LUKER</v>
          </cell>
          <cell r="D7980" t="str">
            <v>LUKER</v>
          </cell>
        </row>
        <row r="7981">
          <cell r="A7981" t="str">
            <v>LSTE050S WH (LED STREET LIGHT SLK 050W NEO WH)</v>
          </cell>
          <cell r="B7981" t="str">
            <v>LSTE050S WH(LED STREET LIGHT SLK 050W NEO WH)</v>
          </cell>
          <cell r="C7981" t="str">
            <v>LUKER</v>
          </cell>
          <cell r="D7981" t="str">
            <v>LUKER</v>
          </cell>
        </row>
        <row r="7982">
          <cell r="A7982" t="str">
            <v>LS2835 BL (LED Strip 06W BL (MTR))</v>
          </cell>
          <cell r="B7982" t="str">
            <v>LS2835 BL(LED Strip 06W BL(MTR))</v>
          </cell>
          <cell r="C7982" t="str">
            <v>LUKER</v>
          </cell>
          <cell r="D7982" t="str">
            <v>LUKER</v>
          </cell>
        </row>
        <row r="7983">
          <cell r="A7983" t="str">
            <v>LS2835-PK (LED Strip 06W Pink (MTR))</v>
          </cell>
          <cell r="B7983" t="str">
            <v>LS2835-PK(LED Strip 06W Pink(MTR))</v>
          </cell>
          <cell r="C7983" t="str">
            <v>LUKER</v>
          </cell>
          <cell r="D7983" t="str">
            <v>LUKER</v>
          </cell>
        </row>
        <row r="7984">
          <cell r="A7984" t="str">
            <v>LS2835 WH (LED STRIP 06W WH)</v>
          </cell>
          <cell r="B7984" t="str">
            <v>LS2835 WH(LED STRIP 06W WH)</v>
          </cell>
          <cell r="C7984" t="str">
            <v>LUKER</v>
          </cell>
          <cell r="D7984" t="str">
            <v>LUKER</v>
          </cell>
        </row>
        <row r="7985">
          <cell r="A7985" t="str">
            <v>LS2835 WW (LED Strip 06W WW (MTR))</v>
          </cell>
          <cell r="B7985" t="str">
            <v>LS2835 WW(LED Strip 06W WW(MTR))</v>
          </cell>
          <cell r="C7985" t="str">
            <v>LUKER</v>
          </cell>
          <cell r="D7985" t="str">
            <v>LUKER</v>
          </cell>
        </row>
        <row r="7986">
          <cell r="A7986" t="str">
            <v>LPLS180WH (LED STRIP 180 LED PER METER WH)</v>
          </cell>
          <cell r="B7986" t="str">
            <v>LPLS180WH(LED STRIP 180 LED PER METER WH)</v>
          </cell>
          <cell r="C7986" t="str">
            <v>LUKER</v>
          </cell>
          <cell r="D7986" t="str">
            <v>LUKER</v>
          </cell>
        </row>
        <row r="7987">
          <cell r="A7987" t="str">
            <v>LSRGB12 (LED STRIP CONTROLLER 12 AMPS)</v>
          </cell>
          <cell r="B7987" t="str">
            <v>LSRGB12(LED STRIP CONTROLLER 12 AMPS)</v>
          </cell>
          <cell r="C7987" t="str">
            <v>LUKER</v>
          </cell>
          <cell r="D7987" t="str">
            <v>LUKER</v>
          </cell>
        </row>
        <row r="7988">
          <cell r="A7988" t="str">
            <v>LSRGB30 (LED STRIP CONTROLLER 30 AMPS)</v>
          </cell>
          <cell r="B7988" t="str">
            <v>LSRGB30(LED STRIP CONTROLLER 30 AMPS)</v>
          </cell>
          <cell r="C7988" t="str">
            <v>LUKER</v>
          </cell>
          <cell r="D7988" t="str">
            <v>LUKER</v>
          </cell>
        </row>
        <row r="7989">
          <cell r="A7989" t="str">
            <v>LSRGB06 (LED STRIP CONTROLLER 6 AMPS)</v>
          </cell>
          <cell r="B7989" t="str">
            <v>LSRGB06(LED STRIP CONTROLLER 6 AMPS)</v>
          </cell>
          <cell r="C7989" t="str">
            <v>LUKER</v>
          </cell>
          <cell r="D7989" t="str">
            <v>LUKER</v>
          </cell>
        </row>
        <row r="7990">
          <cell r="A7990" t="str">
            <v>LSD01 (LED STRIP DRIVE 1.25 AMPS)</v>
          </cell>
          <cell r="B7990" t="str">
            <v>LSD01(LED STRIP DRIVE 1.25 AMPS)</v>
          </cell>
          <cell r="C7990" t="str">
            <v>LUKER</v>
          </cell>
          <cell r="D7990" t="str">
            <v>LUKER</v>
          </cell>
        </row>
        <row r="7991">
          <cell r="A7991" t="str">
            <v>LSD12 (LED STRIP DRIVE 12 Amps)</v>
          </cell>
          <cell r="B7991" t="str">
            <v>LSD12(LED STRIP DRIVE 12 Amps)</v>
          </cell>
          <cell r="C7991" t="str">
            <v>LUKER</v>
          </cell>
          <cell r="D7991" t="str">
            <v>LUKER</v>
          </cell>
        </row>
        <row r="7992">
          <cell r="A7992" t="str">
            <v>LLST00NDR0012 (LED STRIP DRIVE 12P5 AMPS (LSD12))</v>
          </cell>
          <cell r="B7992" t="str">
            <v>LLST00NDR0012(LED STRIP DRIVE 12P5 AMPS(LSD12))</v>
          </cell>
          <cell r="C7992" t="str">
            <v>LUKER</v>
          </cell>
          <cell r="D7992" t="str">
            <v>LUKER</v>
          </cell>
        </row>
        <row r="7993">
          <cell r="A7993" t="str">
            <v>LSD16 (LED STRIP DRIVE 16 AMPS)</v>
          </cell>
          <cell r="B7993" t="str">
            <v>LSD16(LED STRIP DRIVE 16 AMPS)</v>
          </cell>
          <cell r="C7993" t="str">
            <v>LUKER</v>
          </cell>
          <cell r="D7993" t="str">
            <v>LUKER</v>
          </cell>
        </row>
        <row r="7994">
          <cell r="A7994" t="str">
            <v>LSD20 (LED STRIP DRIVE 20 AMPS)</v>
          </cell>
          <cell r="B7994" t="str">
            <v>LSD20(LED STRIP DRIVE 20 AMPS)</v>
          </cell>
          <cell r="C7994" t="str">
            <v>LUKER</v>
          </cell>
          <cell r="D7994" t="str">
            <v>LUKER</v>
          </cell>
        </row>
        <row r="7995">
          <cell r="A7995" t="str">
            <v>LSD02 (LED STRIP DRIVE 2 AMPS)</v>
          </cell>
          <cell r="B7995" t="str">
            <v>LSD02(LED STRIP DRIVE 2 AMPS)</v>
          </cell>
          <cell r="C7995" t="str">
            <v>LUKER</v>
          </cell>
          <cell r="D7995" t="str">
            <v>LUKER</v>
          </cell>
        </row>
        <row r="7996">
          <cell r="A7996" t="str">
            <v>LSD30 (LED STRIP DRIVE 30 AMPS)</v>
          </cell>
          <cell r="B7996" t="str">
            <v>LSD30(LED STRIP DRIVE 30 AMPS)</v>
          </cell>
          <cell r="C7996" t="str">
            <v>LUKER</v>
          </cell>
          <cell r="D7996" t="str">
            <v>LUKER</v>
          </cell>
        </row>
        <row r="7997">
          <cell r="A7997" t="str">
            <v>LSD03 (LED STRIP DRIVE 3 AMPS)</v>
          </cell>
          <cell r="B7997" t="str">
            <v>LSD03(LED STRIP DRIVE 3 AMPS)</v>
          </cell>
          <cell r="C7997" t="str">
            <v>LUKER</v>
          </cell>
          <cell r="D7997" t="str">
            <v>LUKER</v>
          </cell>
        </row>
        <row r="7998">
          <cell r="A7998" t="str">
            <v>LSD05 (LED STRIP DRIVE 5 AMPS)</v>
          </cell>
          <cell r="B7998" t="str">
            <v>LSD05(LED STRIP DRIVE 5 AMPS)</v>
          </cell>
          <cell r="C7998" t="str">
            <v>LUKER</v>
          </cell>
          <cell r="D7998" t="str">
            <v>LUKER</v>
          </cell>
        </row>
        <row r="7999">
          <cell r="A7999" t="str">
            <v>LSD08 (LED STRIP DRIVE 8 AMPS)</v>
          </cell>
          <cell r="B7999" t="str">
            <v>LSD08(LED STRIP DRIVE 8 AMPS)</v>
          </cell>
          <cell r="C7999" t="str">
            <v>LUKER</v>
          </cell>
          <cell r="D7999" t="str">
            <v>LUKER</v>
          </cell>
        </row>
        <row r="8000">
          <cell r="A8000" t="str">
            <v>LED STRIP FOR PROFILE 12W NW</v>
          </cell>
          <cell r="B8000" t="str">
            <v>LED STRIP FOR PROFILE 12W NW</v>
          </cell>
          <cell r="C8000" t="str">
            <v>LUKER</v>
          </cell>
          <cell r="D8000" t="str">
            <v>LUKER</v>
          </cell>
        </row>
        <row r="8001">
          <cell r="A8001" t="str">
            <v>LPLS120 WW (LED STRIP FOR PROFILE 12W WW)</v>
          </cell>
          <cell r="B8001" t="str">
            <v>LPLS120 WW(LED STRIP FOR PROFILE 12W WW)</v>
          </cell>
          <cell r="C8001" t="str">
            <v>LUKER</v>
          </cell>
          <cell r="D8001" t="str">
            <v>LUKER</v>
          </cell>
        </row>
        <row r="8002">
          <cell r="A8002" t="str">
            <v>LPLS180 WW (LED STRIP FOR PROFILE 18W WW)</v>
          </cell>
          <cell r="B8002" t="str">
            <v>LPLS180 WW(LED STRIP FOR PROFILE 18W WW)</v>
          </cell>
          <cell r="C8002" t="str">
            <v>LUKER</v>
          </cell>
          <cell r="D8002" t="str">
            <v>LUKER</v>
          </cell>
        </row>
        <row r="8003">
          <cell r="A8003" t="str">
            <v>LLST0012N2835WW (LED STRIP IND2835 06W WW (LS2835 WW))</v>
          </cell>
          <cell r="B8003" t="str">
            <v>LLST0012N2835WW(LED STRIP IND2835 06W WW(LS2835 WW))</v>
          </cell>
          <cell r="C8003" t="str">
            <v>LUKER</v>
          </cell>
          <cell r="D8003" t="str">
            <v>LUKER</v>
          </cell>
        </row>
        <row r="8004">
          <cell r="A8004" t="str">
            <v>LS5050 (LED STRIP INDOOR 14.6 W)</v>
          </cell>
          <cell r="B8004" t="str">
            <v>LS5050(LED STRIP INDOOR 14.6 W)</v>
          </cell>
          <cell r="C8004" t="str">
            <v>LUKER</v>
          </cell>
          <cell r="D8004" t="str">
            <v>LUKER</v>
          </cell>
        </row>
        <row r="8005">
          <cell r="A8005" t="str">
            <v>LS2835 (LED STRIP INDOOR 6 W)</v>
          </cell>
          <cell r="B8005" t="str">
            <v>LS2835(LED STRIP INDOOR 6 W)</v>
          </cell>
          <cell r="C8005" t="str">
            <v>LUKER</v>
          </cell>
          <cell r="D8005" t="str">
            <v>LUKER</v>
          </cell>
        </row>
        <row r="8006">
          <cell r="A8006" t="str">
            <v>LLST0220E2835WH (LED STRIP OD2835 220V WH (LS02835 WH))</v>
          </cell>
          <cell r="B8006" t="str">
            <v>LLST0220E2835WH(LED STRIP OD2835 220V WH (LS02835 WH))</v>
          </cell>
          <cell r="C8006" t="str">
            <v>LUKER</v>
          </cell>
          <cell r="D8006" t="str">
            <v>LUKER</v>
          </cell>
        </row>
        <row r="8007">
          <cell r="A8007" t="str">
            <v>LSO2835 WW (LED STRIP OD2835 220V WW)</v>
          </cell>
          <cell r="B8007" t="str">
            <v>LSO2835 WW(LED STRIP OD2835 220V WW)</v>
          </cell>
          <cell r="C8007" t="str">
            <v>LUKER</v>
          </cell>
          <cell r="D8007" t="str">
            <v>LUKER</v>
          </cell>
        </row>
        <row r="8008">
          <cell r="A8008" t="str">
            <v>LS05050 RGN (LED STRIP OD5050 14P6W RGB)</v>
          </cell>
          <cell r="B8008" t="str">
            <v>LS05050 RGN(LED STRIP OD5050 14P6W RGB)</v>
          </cell>
          <cell r="C8008" t="str">
            <v>LUKER</v>
          </cell>
          <cell r="D8008" t="str">
            <v>LUKER</v>
          </cell>
        </row>
        <row r="8009">
          <cell r="A8009" t="str">
            <v>LSO5050 WW (LED STRIP OD5050 14P6W  WW)</v>
          </cell>
          <cell r="B8009" t="str">
            <v>LSO5050 WW(LED STRIP OD5050 14P6W WW)</v>
          </cell>
          <cell r="C8009" t="str">
            <v>LUKER</v>
          </cell>
          <cell r="D8009" t="str">
            <v>LUKER</v>
          </cell>
        </row>
        <row r="8010">
          <cell r="A8010" t="str">
            <v>LSO5050 (LED STRIP OUTDOOR 14.4 W)</v>
          </cell>
          <cell r="B8010" t="str">
            <v>LSO5050(LED STRIP OUTDOOR 14.4 W)</v>
          </cell>
          <cell r="C8010" t="str">
            <v>LUKER</v>
          </cell>
          <cell r="D8010" t="str">
            <v>LUKER</v>
          </cell>
        </row>
        <row r="8011">
          <cell r="A8011" t="str">
            <v>LOSC220V (LED STRIP OUTDOOR CONNECTOR)</v>
          </cell>
          <cell r="B8011" t="str">
            <v>LOSC220V(LED STRIP OUTDOOR CONNECTOR)</v>
          </cell>
          <cell r="C8011" t="str">
            <v>LUKER</v>
          </cell>
          <cell r="D8011" t="str">
            <v>LUKER</v>
          </cell>
        </row>
        <row r="8012">
          <cell r="A8012" t="str">
            <v>LNPSRR03 WW (LED SURFACE PANEL 03W RD WW LNPSRR)</v>
          </cell>
          <cell r="B8012" t="str">
            <v>LNPSRR03 WW(LED SURFACE PANEL 03W RD WW LNPSRR)</v>
          </cell>
          <cell r="C8012" t="str">
            <v>LUKER</v>
          </cell>
          <cell r="D8012" t="str">
            <v>LUKER</v>
          </cell>
        </row>
        <row r="8013">
          <cell r="A8013" t="str">
            <v>LNPSRR03 WH (LED Surface Panel 03W WH)</v>
          </cell>
          <cell r="B8013" t="str">
            <v>LNPSRR03 WH(LED Surface Panel 03W WH)</v>
          </cell>
          <cell r="C8013" t="str">
            <v>LUKER</v>
          </cell>
          <cell r="D8013" t="str">
            <v>LUKER</v>
          </cell>
        </row>
        <row r="8014">
          <cell r="A8014" t="str">
            <v>LNPSRR06 WH (LED Surface Panel 06W RD WH)</v>
          </cell>
          <cell r="B8014" t="str">
            <v>LNPSRR06 WH(LED Surface Panel 06W RD WH)</v>
          </cell>
          <cell r="C8014" t="str">
            <v>LUKER</v>
          </cell>
          <cell r="D8014" t="str">
            <v>LUKER</v>
          </cell>
        </row>
        <row r="8015">
          <cell r="A8015" t="str">
            <v>LNPSRR06 WW (LED Surface Panel 06W RD WW)</v>
          </cell>
          <cell r="B8015" t="str">
            <v>LNPSRR06 WW(LED Surface Panel 06W RD WW)</v>
          </cell>
          <cell r="C8015" t="str">
            <v>LUKER</v>
          </cell>
          <cell r="D8015" t="str">
            <v>LUKER</v>
          </cell>
        </row>
        <row r="8016">
          <cell r="A8016" t="str">
            <v>LNPSRS12/LNPSRR12 (LED SURFACE PANEL 12 WATTS)</v>
          </cell>
          <cell r="B8016" t="str">
            <v>LNPSRS12/LNPSRR12(LED SURFACE PANEL 12 WATTS)</v>
          </cell>
          <cell r="C8016" t="str">
            <v>LUKER</v>
          </cell>
          <cell r="D8016" t="str">
            <v>LUKER</v>
          </cell>
        </row>
        <row r="8017">
          <cell r="A8017" t="str">
            <v>LNPSRR12 (WW) (LED SURFACE PANEL 12 WATTS RD WW)</v>
          </cell>
          <cell r="B8017" t="str">
            <v>LNPSRR12(WW)(LED SURFACE PANEL 12 WATTS RD WW)</v>
          </cell>
          <cell r="C8017" t="str">
            <v>LUKER</v>
          </cell>
          <cell r="D8017" t="str">
            <v>LUKER</v>
          </cell>
        </row>
        <row r="8018">
          <cell r="A8018" t="str">
            <v>LNPSRR12 (WW) (New) (LED SURFACE PANEL 12 WATTS RD WW N)</v>
          </cell>
          <cell r="B8018" t="str">
            <v>LNPSRR12(WW)(New)(LED SURFACE PANEL 12 WATTS RD WW N)</v>
          </cell>
          <cell r="C8018" t="str">
            <v>LUKER</v>
          </cell>
          <cell r="D8018" t="str">
            <v>LUKER</v>
          </cell>
        </row>
        <row r="8019">
          <cell r="A8019" t="str">
            <v>LNPSRR12 WH (LED Surface Panel 12W RD WH)</v>
          </cell>
          <cell r="B8019" t="str">
            <v>LNPSRR12 WH(LED Surface Panel 12W RD WH)</v>
          </cell>
          <cell r="C8019" t="str">
            <v>LUKER</v>
          </cell>
          <cell r="D8019" t="str">
            <v>LUKER</v>
          </cell>
        </row>
        <row r="8020">
          <cell r="A8020" t="str">
            <v>LNPSRS12 WH (LED Surface Panel 12W SQ WH LNPSRS)</v>
          </cell>
          <cell r="B8020" t="str">
            <v>LNPSRS12 WH(LED Surface Panel 12W SQ WH LNPSRS)</v>
          </cell>
          <cell r="C8020" t="str">
            <v>LUKER</v>
          </cell>
          <cell r="D8020" t="str">
            <v>LUKER</v>
          </cell>
        </row>
        <row r="8021">
          <cell r="A8021" t="str">
            <v>LNPSRS18/LNPSRR18 (LED SURFACE PANEL 18 WATTS)</v>
          </cell>
          <cell r="B8021" t="str">
            <v>LNPSRS18/LNPSRR18(LED SURFACE PANEL 18 WATTS)</v>
          </cell>
          <cell r="C8021" t="str">
            <v>LUKER</v>
          </cell>
          <cell r="D8021" t="str">
            <v>LUKER</v>
          </cell>
        </row>
        <row r="8022">
          <cell r="A8022" t="str">
            <v>LNPSRR18 (WH) (LED SURFACE PANEL 18 WATTS RD WH)</v>
          </cell>
          <cell r="B8022" t="str">
            <v>LNPSRR18(WH)(LED SURFACE PANEL 18 WATTS RD WH)</v>
          </cell>
          <cell r="C8022" t="str">
            <v>LUKER</v>
          </cell>
          <cell r="D8022" t="str">
            <v>LUKER</v>
          </cell>
        </row>
        <row r="8023">
          <cell r="A8023" t="str">
            <v>LNPSRR18 (WW) (LED SURFACE PANEL 18 WATTS RD WW)</v>
          </cell>
          <cell r="B8023" t="str">
            <v>LNPSRR18(WW)(LED SURFACE PANEL 18 WATTS RD WW)</v>
          </cell>
          <cell r="C8023" t="str">
            <v>LUKER</v>
          </cell>
          <cell r="D8023" t="str">
            <v>LUKER</v>
          </cell>
        </row>
        <row r="8024">
          <cell r="A8024" t="str">
            <v>LNPSRS18 (WW) (LED SURFACE PANEL 18 WATTS SQ WW)</v>
          </cell>
          <cell r="B8024" t="str">
            <v>LNPSRS18(WW)(LED SURFACE PANEL 18 WATTS SQ WW)</v>
          </cell>
          <cell r="C8024" t="str">
            <v>LUKER</v>
          </cell>
          <cell r="D8024" t="str">
            <v>LUKER</v>
          </cell>
        </row>
        <row r="8025">
          <cell r="A8025" t="str">
            <v>LNPSRS18 WH (LED Surface Panel 18W SQ WH LNPSRS)</v>
          </cell>
          <cell r="B8025" t="str">
            <v>LNPSRS18 WH(LED Surface Panel 18W SQ WH LNPSRS)</v>
          </cell>
          <cell r="C8025" t="str">
            <v>LUKER</v>
          </cell>
          <cell r="D8025" t="str">
            <v>LUKER</v>
          </cell>
        </row>
        <row r="8026">
          <cell r="A8026" t="str">
            <v>LNPSRR30 WH (LED SURFACE PANEL 30W RD WH)</v>
          </cell>
          <cell r="B8026" t="str">
            <v>LNPSRR30 WH(LED SURFACE PANEL 30W RD WH)</v>
          </cell>
          <cell r="C8026" t="str">
            <v>LUKER</v>
          </cell>
          <cell r="D8026" t="str">
            <v>LUKER</v>
          </cell>
        </row>
        <row r="8027">
          <cell r="A8027" t="str">
            <v>LNPSRR30 WW (LED SURFACE PANEL 30W RD WW)</v>
          </cell>
          <cell r="B8027" t="str">
            <v>LNPSRR30 WW(LED SURFACE PANEL 30W RD WW)</v>
          </cell>
          <cell r="C8027" t="str">
            <v>LUKER</v>
          </cell>
          <cell r="D8027" t="str">
            <v>LUKER</v>
          </cell>
        </row>
        <row r="8028">
          <cell r="A8028" t="str">
            <v>LNPSRS3/LNPSRR3 (LED SURFACE PANEL 3 WATTS)</v>
          </cell>
          <cell r="B8028" t="str">
            <v>LNPSRS3/LNPSRR3(LED SURFACE PANEL 3 WATTS)</v>
          </cell>
          <cell r="C8028" t="str">
            <v>LUKER</v>
          </cell>
          <cell r="D8028" t="str">
            <v>LUKER</v>
          </cell>
        </row>
        <row r="8029">
          <cell r="A8029" t="str">
            <v>LPSRS40 (LED SURFACE PANEL 40 WATTS 2 X 2)</v>
          </cell>
          <cell r="B8029" t="str">
            <v>LPSRS40(LED SURFACE PANEL 40 WATTS 2 X 2)</v>
          </cell>
          <cell r="C8029" t="str">
            <v>LUKER</v>
          </cell>
          <cell r="D8029" t="str">
            <v>LUKER</v>
          </cell>
        </row>
        <row r="8030">
          <cell r="A8030" t="str">
            <v>LPSRS48 (LED SURFACE PANEL 48 WATTS 4 X 1)</v>
          </cell>
          <cell r="B8030" t="str">
            <v>LPSRS48(LED SURFACE PANEL 48 WATTS 4 X 1)</v>
          </cell>
          <cell r="C8030" t="str">
            <v>LUKER</v>
          </cell>
          <cell r="D8030" t="str">
            <v>LUKER</v>
          </cell>
        </row>
        <row r="8031">
          <cell r="A8031" t="str">
            <v>LNPSRS6/LNPSRR6 (LED SURFACE PANEL 6 WATTS)</v>
          </cell>
          <cell r="B8031" t="str">
            <v>LNPSRS6/LNPSRR6(LED SURFACE PANEL 6 WATTS)</v>
          </cell>
          <cell r="C8031" t="str">
            <v>LUKER</v>
          </cell>
          <cell r="D8031" t="str">
            <v>LUKER</v>
          </cell>
        </row>
        <row r="8032">
          <cell r="A8032" t="str">
            <v>LNPSRS18 N WH (LED SURFACE PANEL ELSQ 18W N WH)</v>
          </cell>
          <cell r="B8032" t="str">
            <v>LNPSRS18 N WH(LED SURFACE PANEL ELSQ 18W N WH)</v>
          </cell>
          <cell r="C8032" t="str">
            <v>LUKER</v>
          </cell>
          <cell r="D8032" t="str">
            <v>LUKER</v>
          </cell>
        </row>
        <row r="8033">
          <cell r="A8033" t="str">
            <v>LNPSRS30 WH (LED SURFACE PANEL ELSQ 30W WH)</v>
          </cell>
          <cell r="B8033" t="str">
            <v>LNPSRS30 WH(LED SURFACE PANEL ELSQ 30W WH)</v>
          </cell>
          <cell r="C8033" t="str">
            <v>LUKER</v>
          </cell>
          <cell r="D8033" t="str">
            <v>LUKER</v>
          </cell>
        </row>
        <row r="8034">
          <cell r="A8034" t="str">
            <v>LNPSRS30 WW (LED SURFACE PANEL ELSQ 30W WW)</v>
          </cell>
          <cell r="B8034" t="str">
            <v>LNPSRS30 WW(LED SURFACE PANEL ELSQ 30W WW)</v>
          </cell>
          <cell r="C8034" t="str">
            <v>LUKER</v>
          </cell>
          <cell r="D8034" t="str">
            <v>LUKER</v>
          </cell>
        </row>
        <row r="8035">
          <cell r="A8035" t="str">
            <v>LNPSRS40 WW (LED SURFACE PANEL ELSQ 40W WW)</v>
          </cell>
          <cell r="B8035" t="str">
            <v>LNPSRS40 WW(LED SURFACE PANEL ELSQ 40W WW)</v>
          </cell>
          <cell r="C8035" t="str">
            <v>LUKER</v>
          </cell>
          <cell r="D8035" t="str">
            <v>LUKER</v>
          </cell>
        </row>
        <row r="8036">
          <cell r="A8036" t="str">
            <v>LIPSRR06 WW (LED SURFACE PANEL PRMRD 06W WW)</v>
          </cell>
          <cell r="B8036" t="str">
            <v>LIPSRR06 WW(LED SURFACE PANEL PRMRD 06W WW)</v>
          </cell>
          <cell r="C8036" t="str">
            <v>LUKER</v>
          </cell>
          <cell r="D8036" t="str">
            <v>LUKER</v>
          </cell>
        </row>
        <row r="8037">
          <cell r="A8037" t="str">
            <v>LIPSRR12 WH (LED Surface Panel PRMRD 12W WH)</v>
          </cell>
          <cell r="B8037" t="str">
            <v>LIPSRR12 WH(LED Surface Panel PRMRD 12W WH)</v>
          </cell>
          <cell r="C8037" t="str">
            <v>LUKER</v>
          </cell>
          <cell r="D8037" t="str">
            <v>LUKER</v>
          </cell>
        </row>
        <row r="8038">
          <cell r="A8038" t="str">
            <v>LTJL (LED TRACK CONNECTOR L SHAPE)</v>
          </cell>
          <cell r="B8038" t="str">
            <v>LTJL(LED TRACK CONNECTOR L SHAPE)</v>
          </cell>
          <cell r="C8038" t="str">
            <v>LUKER</v>
          </cell>
          <cell r="D8038" t="str">
            <v>LUKER</v>
          </cell>
        </row>
        <row r="8039">
          <cell r="A8039" t="str">
            <v>LTJS (LED TRACK CONNECTOR STRAIGHT)</v>
          </cell>
          <cell r="B8039" t="str">
            <v>LTJS(LED TRACK CONNECTOR STRAIGHT)</v>
          </cell>
          <cell r="C8039" t="str">
            <v>LUKER</v>
          </cell>
          <cell r="D8039" t="str">
            <v>LUKER</v>
          </cell>
        </row>
        <row r="8040">
          <cell r="A8040" t="str">
            <v>LSPT12 (LED TRACK LIGHT 12 WATTS)</v>
          </cell>
          <cell r="B8040" t="str">
            <v>LSPT12(LED TRACK LIGHT 12 WATTS)</v>
          </cell>
          <cell r="C8040" t="str">
            <v>LUKER</v>
          </cell>
          <cell r="D8040" t="str">
            <v>LUKER</v>
          </cell>
        </row>
        <row r="8041">
          <cell r="A8041" t="str">
            <v>LSPT12(WH) (LED Track Light 12W WH)</v>
          </cell>
          <cell r="B8041" t="str">
            <v>LSPT12(WH)(LED Track Light 12W WH)</v>
          </cell>
          <cell r="C8041" t="str">
            <v>LUKER</v>
          </cell>
          <cell r="D8041" t="str">
            <v>LUKER</v>
          </cell>
        </row>
        <row r="8042">
          <cell r="A8042" t="str">
            <v>LSPT12B WH (LED Track Light 12W WH Black)</v>
          </cell>
          <cell r="B8042" t="str">
            <v>LSPT12B WH(LED Track Light 12W WH Black)</v>
          </cell>
          <cell r="C8042" t="str">
            <v>LUKER</v>
          </cell>
          <cell r="D8042" t="str">
            <v>LUKER</v>
          </cell>
        </row>
        <row r="8043">
          <cell r="A8043" t="str">
            <v>LSPT24 (LED TRACK LIGHT 24 WATTS)</v>
          </cell>
          <cell r="B8043" t="str">
            <v>LSPT24(LED TRACK LIGHT 24 WATTS)</v>
          </cell>
          <cell r="C8043" t="str">
            <v>LUKER</v>
          </cell>
          <cell r="D8043" t="str">
            <v>LUKER</v>
          </cell>
        </row>
        <row r="8044">
          <cell r="A8044" t="str">
            <v>LLTR000BK0012NW (LED TRACK LIGHT BK 12W NW ( LSPT12 B NW))</v>
          </cell>
          <cell r="B8044" t="str">
            <v>LLTR000BK0012NW(LED TRACK LIGHT BK 12W NW( LSPT12 B NW))</v>
          </cell>
          <cell r="C8044" t="str">
            <v>LUKER</v>
          </cell>
          <cell r="D8044" t="str">
            <v>LUKER</v>
          </cell>
        </row>
        <row r="8045">
          <cell r="A8045" t="str">
            <v>LSPT12 B WW (LED TRACK LIGHT BK 12W WW)</v>
          </cell>
          <cell r="B8045" t="str">
            <v>LSPT12 B WW(LED TRACK LIGHT BK 12W WW)</v>
          </cell>
          <cell r="C8045" t="str">
            <v>LUKER</v>
          </cell>
          <cell r="D8045" t="str">
            <v>LUKER</v>
          </cell>
        </row>
        <row r="8046">
          <cell r="A8046" t="str">
            <v>LLTR000WH030SWH (LED TRACK LIGHT WH 30W S WH)</v>
          </cell>
          <cell r="B8046" t="str">
            <v>LLTR000WH030SWH(LED TRACK LIGHT WH 30W S WH)</v>
          </cell>
          <cell r="C8046" t="str">
            <v>LUKER</v>
          </cell>
          <cell r="D8046" t="str">
            <v>LUKER</v>
          </cell>
        </row>
        <row r="8047">
          <cell r="A8047" t="str">
            <v>LT5M10WH (LED TUBE 10W T5 2FT WH MR)</v>
          </cell>
          <cell r="B8047" t="str">
            <v>LT5M10WH(LED TUBE 10W T5 2FT WH MR)</v>
          </cell>
          <cell r="C8047" t="str">
            <v>LUKER</v>
          </cell>
          <cell r="D8047" t="str">
            <v>LUKER</v>
          </cell>
        </row>
        <row r="8048">
          <cell r="A8048" t="str">
            <v>LT518 4FT WH CL (LED TUBE 18W T5 4FT WH CL)</v>
          </cell>
          <cell r="B8048" t="str">
            <v>LT518 4FT WH CL(LED TUBE 18W T5 4FT WH CL)</v>
          </cell>
          <cell r="C8048" t="str">
            <v>LUKER</v>
          </cell>
          <cell r="D8048" t="str">
            <v>LUKER</v>
          </cell>
        </row>
        <row r="8049">
          <cell r="A8049" t="str">
            <v>LT518 4FT WH ECL (LED TUBE 18W T5 4FT WH ECO CL (LT518 4FT WH ECL))</v>
          </cell>
          <cell r="B8049" t="str">
            <v>LT518 4FT WH ECL(LED TUBE 18W T5 4FT WH ECO CL(LT518 4FT WH ECL))</v>
          </cell>
          <cell r="C8049" t="str">
            <v>LUKER</v>
          </cell>
          <cell r="D8049" t="str">
            <v>LUKER</v>
          </cell>
        </row>
        <row r="8050">
          <cell r="A8050" t="str">
            <v>LT520 WH (LED TUBE 20W T5 4FT WH)</v>
          </cell>
          <cell r="B8050" t="str">
            <v>LT520 WH(LED TUBE 20W T5 4FT WH)</v>
          </cell>
          <cell r="C8050" t="str">
            <v>LUKER</v>
          </cell>
          <cell r="D8050" t="str">
            <v>LUKER</v>
          </cell>
        </row>
        <row r="8051">
          <cell r="A8051" t="str">
            <v>WS-F8-W20 (Led Tube 20WT8 4FT WH)</v>
          </cell>
          <cell r="B8051" t="str">
            <v>WS-F8-W20(Led Tube 20WT8 4FT WH)</v>
          </cell>
          <cell r="C8051" t="str">
            <v>LUKER</v>
          </cell>
          <cell r="D8051" t="str">
            <v>LUKER</v>
          </cell>
        </row>
        <row r="8052">
          <cell r="A8052" t="str">
            <v>LTH36WH (LED Tube 36W T8 4FT WH)</v>
          </cell>
          <cell r="B8052" t="str">
            <v>LTH36WH(LED Tube 36W T8 4FT WH)</v>
          </cell>
          <cell r="C8052" t="str">
            <v>LUKER</v>
          </cell>
          <cell r="D8052" t="str">
            <v>LUKER</v>
          </cell>
        </row>
        <row r="8053">
          <cell r="A8053" t="str">
            <v>LT518 (LED TUBE CLASSIC 18 WATTS 4 FT)</v>
          </cell>
          <cell r="B8053" t="str">
            <v>LT518(LED TUBE CLASSIC 18 WATTS 4 FT)</v>
          </cell>
          <cell r="C8053" t="str">
            <v>LUKER</v>
          </cell>
          <cell r="D8053" t="str">
            <v>LUKER</v>
          </cell>
        </row>
        <row r="8054">
          <cell r="A8054" t="str">
            <v>LT509 (LED TUBE CLASSIC 9 WATTS 2 FT)</v>
          </cell>
          <cell r="B8054" t="str">
            <v>LT509(LED TUBE CLASSIC 9 WATTS 2 FT)</v>
          </cell>
          <cell r="C8054" t="str">
            <v>LUKER</v>
          </cell>
          <cell r="D8054" t="str">
            <v>LUKER</v>
          </cell>
        </row>
        <row r="8055">
          <cell r="A8055" t="str">
            <v>LT518ECL (LED TUBE ECO CLASSIC 18 WATTS 4 FT)</v>
          </cell>
          <cell r="B8055" t="str">
            <v>LT518ECL(LED TUBE ECO CLASSIC 18 WATTS 4 FT)</v>
          </cell>
          <cell r="C8055" t="str">
            <v>LUKER</v>
          </cell>
          <cell r="D8055" t="str">
            <v>LUKER</v>
          </cell>
        </row>
        <row r="8056">
          <cell r="A8056" t="str">
            <v>LT5M18 (LED TUBE MUSHROOM 18 WATTS 4 FT)</v>
          </cell>
          <cell r="B8056" t="str">
            <v>LT5M18(LED TUBE MUSHROOM 18 WATTS 4 FT)</v>
          </cell>
          <cell r="C8056" t="str">
            <v>LUKER</v>
          </cell>
          <cell r="D8056" t="str">
            <v>LUKER</v>
          </cell>
        </row>
        <row r="8057">
          <cell r="A8057" t="str">
            <v>LT5M05 (LED TUBE MUSHROOM 5 WATTS 1FT)</v>
          </cell>
          <cell r="B8057" t="str">
            <v>LT5M05(LED TUBE MUSHROOM 5 WATTS 1FT)</v>
          </cell>
          <cell r="C8057" t="str">
            <v>LUKER</v>
          </cell>
          <cell r="D8057" t="str">
            <v>LUKER</v>
          </cell>
        </row>
        <row r="8058">
          <cell r="A8058" t="str">
            <v>LT5M05WH (LED TUBE MUSHROOM 5 WATTS 1FT WH)</v>
          </cell>
          <cell r="B8058" t="str">
            <v>LT5M05WH(LED TUBE MUSHROOM 5 WATTS 1FT WH)</v>
          </cell>
          <cell r="C8058" t="str">
            <v>LUKER</v>
          </cell>
          <cell r="D8058" t="str">
            <v>LUKER</v>
          </cell>
        </row>
        <row r="8059">
          <cell r="A8059" t="str">
            <v>LT5M05WW (LED TUBE MUSHROOM 5 WATTS 1FT WW)</v>
          </cell>
          <cell r="B8059" t="str">
            <v>LT5M05WW(LED TUBE MUSHROOM 5 WATTS 1FT WW)</v>
          </cell>
          <cell r="C8059" t="str">
            <v>LUKER</v>
          </cell>
          <cell r="D8059" t="str">
            <v>LUKER</v>
          </cell>
        </row>
        <row r="8060">
          <cell r="A8060" t="str">
            <v>LT5M09 (LED TUBE MUSHROOM 9 WATTS 2 FT)</v>
          </cell>
          <cell r="B8060" t="str">
            <v>LT5M09(LED TUBE MUSHROOM 9 WATTS 2 FT)</v>
          </cell>
          <cell r="C8060" t="str">
            <v>LUKER</v>
          </cell>
          <cell r="D8060" t="str">
            <v>LUKER</v>
          </cell>
        </row>
        <row r="8061">
          <cell r="A8061" t="str">
            <v>LTP 818 WH (LED TUBE PC RETRO 18W WH (LTP818 WH))</v>
          </cell>
          <cell r="B8061" t="str">
            <v>LTP 818 WH(LED TUBE PC RETRO 18W WH(LTP818 WH))</v>
          </cell>
          <cell r="C8061" t="str">
            <v>LUKER</v>
          </cell>
          <cell r="D8061" t="str">
            <v>LUKER</v>
          </cell>
        </row>
        <row r="8062">
          <cell r="A8062" t="str">
            <v>LTD818T (LED TUBE RETROFIT DOM 18W 4 FT)</v>
          </cell>
          <cell r="B8062" t="str">
            <v>LTD818T(LED TUBE RETROFIT DOM 18W 4 FT)</v>
          </cell>
          <cell r="C8062" t="str">
            <v>LUKER</v>
          </cell>
          <cell r="D8062" t="str">
            <v>LUKER</v>
          </cell>
        </row>
        <row r="8063">
          <cell r="A8063" t="str">
            <v>LTI818T (LED TUBE RETROFIT IND 18W 4 FT)</v>
          </cell>
          <cell r="B8063" t="str">
            <v>LTI818T(LED TUBE RETROFIT IND 18W 4 FT)</v>
          </cell>
          <cell r="C8063" t="str">
            <v>LUKER</v>
          </cell>
          <cell r="D8063" t="str">
            <v>LUKER</v>
          </cell>
        </row>
        <row r="8064">
          <cell r="A8064" t="str">
            <v>LT5M24WH (LED TUBE T54FT MR 24W WH)</v>
          </cell>
          <cell r="B8064" t="str">
            <v>LT5M24WH(LED TUBE T54FT MR 24W WH)</v>
          </cell>
          <cell r="C8064" t="str">
            <v>LUKER</v>
          </cell>
          <cell r="D8064" t="str">
            <v>LUKER</v>
          </cell>
        </row>
        <row r="8065">
          <cell r="A8065" t="str">
            <v>LT520P WH (LED TUBE T54FT PLASTIC 20W WH)</v>
          </cell>
          <cell r="B8065" t="str">
            <v>LT520P WH(LED TUBE T54FT PLASTIC 20W WH)</v>
          </cell>
          <cell r="C8065" t="str">
            <v>LUKER</v>
          </cell>
          <cell r="D8065" t="str">
            <v>LUKER</v>
          </cell>
        </row>
        <row r="8066">
          <cell r="A8066" t="str">
            <v>LT818 (LED TUBE T8 SQUARE 18 WATTS 4 FT)</v>
          </cell>
          <cell r="B8066" t="str">
            <v>LT818(LED TUBE T8 SQUARE 18 WATTS 4 FT)</v>
          </cell>
          <cell r="C8066" t="str">
            <v>LUKER</v>
          </cell>
          <cell r="D8066" t="str">
            <v>LUKER</v>
          </cell>
        </row>
        <row r="8067">
          <cell r="A8067" t="str">
            <v>LT824 (LED TUBE T8 SQUARE 24 WATTS 4 FT)</v>
          </cell>
          <cell r="B8067" t="str">
            <v>LT824(LED TUBE T8 SQUARE 24 WATTS 4 FT)</v>
          </cell>
          <cell r="C8067" t="str">
            <v>LUKER</v>
          </cell>
          <cell r="D8067" t="str">
            <v>LUKER</v>
          </cell>
        </row>
        <row r="8068">
          <cell r="A8068" t="str">
            <v>LWL103-1 WW (LED  Wall Lamps Indoor 12W WW LWL 103-1)</v>
          </cell>
          <cell r="B8068" t="str">
            <v>LWL103-1 WW(LED Wall Lamps Indoor 12W WW LWL 103-1)</v>
          </cell>
          <cell r="C8068" t="str">
            <v>LUKER</v>
          </cell>
          <cell r="D8068" t="str">
            <v>LUKER</v>
          </cell>
        </row>
        <row r="8069">
          <cell r="A8069" t="str">
            <v>LWLCS1 BK WH (LED WALL LGT CASS0-S1 BK 24W WH)</v>
          </cell>
          <cell r="B8069" t="str">
            <v>LWLCS1 BK WH(LED WALL LGT CASS0-S1 BK 24W WH)</v>
          </cell>
          <cell r="C8069" t="str">
            <v>LUKER</v>
          </cell>
          <cell r="D8069" t="str">
            <v>LUKER</v>
          </cell>
        </row>
        <row r="8070">
          <cell r="A8070" t="str">
            <v>LWLCS1 BK WW (LED WALL LGT CASS0-S1 BK 24W WW)</v>
          </cell>
          <cell r="B8070" t="str">
            <v>LWLCS1 BK WW(LED WALL LGT CASS0-S1 BK 24W WW)</v>
          </cell>
          <cell r="C8070" t="str">
            <v>LUKER</v>
          </cell>
          <cell r="D8070" t="str">
            <v>LUKER</v>
          </cell>
        </row>
        <row r="8071">
          <cell r="A8071" t="str">
            <v>LOD428 WW (LED WALL LGT LOD428 08W WW)</v>
          </cell>
          <cell r="B8071" t="str">
            <v>LOD428 WW(LED WALL LGT LOD428 08W WW)</v>
          </cell>
          <cell r="C8071" t="str">
            <v>LUKER</v>
          </cell>
          <cell r="D8071" t="str">
            <v>LUKER</v>
          </cell>
        </row>
        <row r="8072">
          <cell r="A8072" t="str">
            <v>LOD544 GR WW (LED WALL LGT LOD544GY 05W WW)</v>
          </cell>
          <cell r="B8072" t="str">
            <v>LOD544 GR WW(LED WALL LGT LOD544GY 05W WW)</v>
          </cell>
          <cell r="C8072" t="str">
            <v>LUKER</v>
          </cell>
          <cell r="D8072" t="str">
            <v>LUKER</v>
          </cell>
        </row>
        <row r="8073">
          <cell r="A8073" t="str">
            <v>LOD544 WW (LED WALL LGT LOD544WH 05W WW)</v>
          </cell>
          <cell r="B8073" t="str">
            <v>LOD544 WW(LED WALL LGT LOD544WH 05W WW)</v>
          </cell>
          <cell r="C8073" t="str">
            <v>LUKER</v>
          </cell>
          <cell r="D8073" t="str">
            <v>LUKER</v>
          </cell>
        </row>
        <row r="8074">
          <cell r="A8074" t="str">
            <v>LOD919 WW (LED WALL LGT LOD919 09W WW)</v>
          </cell>
          <cell r="B8074" t="str">
            <v>LOD919 WW(LED WALL LGT LOD919 09W WW)</v>
          </cell>
          <cell r="C8074" t="str">
            <v>LUKER</v>
          </cell>
          <cell r="D8074" t="str">
            <v>LUKER</v>
          </cell>
        </row>
        <row r="8075">
          <cell r="A8075" t="str">
            <v>LODWD05 WH (LED WALL LGT LODWD05 09W WH)</v>
          </cell>
          <cell r="B8075" t="str">
            <v>LODWD05 WH(LED WALL LGT LODWD05 09W WH)</v>
          </cell>
          <cell r="C8075" t="str">
            <v>LUKER</v>
          </cell>
          <cell r="D8075" t="str">
            <v>LUKER</v>
          </cell>
        </row>
        <row r="8076">
          <cell r="A8076" t="str">
            <v>LWL108 WW (LED WALL LGT LWL108 20W WW)</v>
          </cell>
          <cell r="B8076" t="str">
            <v>LWL108 WW(LED WALL LGT LWL108 20W WW)</v>
          </cell>
          <cell r="C8076" t="str">
            <v>LUKER</v>
          </cell>
          <cell r="D8076" t="str">
            <v>LUKER</v>
          </cell>
        </row>
        <row r="8077">
          <cell r="A8077" t="str">
            <v>LWL117-15W WW (LED WALL LGT LWL117X1 05W WW)</v>
          </cell>
          <cell r="B8077" t="str">
            <v>LWL117-15W WW(LED WALL LGT LWL117X1 05W WW)</v>
          </cell>
          <cell r="C8077" t="str">
            <v>LUKER</v>
          </cell>
          <cell r="D8077" t="str">
            <v>LUKER</v>
          </cell>
        </row>
        <row r="8078">
          <cell r="A8078" t="str">
            <v>LWLN118-15W WW (LED WALL LGT LWL118X1 05W WW)</v>
          </cell>
          <cell r="B8078" t="str">
            <v>LWLN118-15W WW(LED WALL LGT LWL118X1 05W WW)</v>
          </cell>
          <cell r="C8078" t="str">
            <v>LUKER</v>
          </cell>
          <cell r="D8078" t="str">
            <v>LUKER</v>
          </cell>
        </row>
        <row r="8079">
          <cell r="A8079" t="str">
            <v>LWL120-15W WW (LED WALL LGT LWL120X1 05W WW)</v>
          </cell>
          <cell r="B8079" t="str">
            <v>LWL120-15W WW(LED WALL LGT LWL120X1 05W WW)</v>
          </cell>
          <cell r="C8079" t="str">
            <v>LUKER</v>
          </cell>
          <cell r="D8079" t="str">
            <v>LUKER</v>
          </cell>
        </row>
        <row r="8080">
          <cell r="A8080" t="str">
            <v>LWL126-1 WW (LED WALL LGT LWL126X1 05W WW)</v>
          </cell>
          <cell r="B8080" t="str">
            <v>LWL126-1 WW(LED WALL LGT LWL126X1 05W WW)</v>
          </cell>
          <cell r="C8080" t="str">
            <v>LUKER</v>
          </cell>
          <cell r="D8080" t="str">
            <v>LUKER</v>
          </cell>
        </row>
        <row r="8081">
          <cell r="A8081" t="str">
            <v>LWL127-1WW (LED WALL LGT LWL127X1 03W WW)</v>
          </cell>
          <cell r="B8081" t="str">
            <v>LWL127-1WW(LED WALL LGT LWL127X1 03W WW)</v>
          </cell>
          <cell r="C8081" t="str">
            <v>LUKER</v>
          </cell>
          <cell r="D8081" t="str">
            <v>LUKER</v>
          </cell>
        </row>
        <row r="8082">
          <cell r="A8082" t="str">
            <v>LODWL10 WW (LED Wall Light OV 10W WH BD WW)</v>
          </cell>
          <cell r="B8082" t="str">
            <v>LODWL10 WW(LED Wall Light OV 10W WH BD WW)</v>
          </cell>
          <cell r="C8082" t="str">
            <v>LUKER</v>
          </cell>
          <cell r="D8082" t="str">
            <v>LUKER</v>
          </cell>
        </row>
        <row r="8083">
          <cell r="A8083" t="str">
            <v>LODSG9 WW (LED Wall Lights Outdoor UP&amp;Down 04W S WW)</v>
          </cell>
          <cell r="B8083" t="str">
            <v>LODSG9 WW(LED Wall Lights Outdoor UP&amp;Down 04W S WW)</v>
          </cell>
          <cell r="C8083" t="str">
            <v>LUKER</v>
          </cell>
          <cell r="D8083" t="str">
            <v>LUKER</v>
          </cell>
        </row>
        <row r="8084">
          <cell r="A8084" t="str">
            <v>LWRCR06 WW (LED Wall Lights Outdoor UP&amp;Down 05W WW)</v>
          </cell>
          <cell r="B8084" t="str">
            <v>LWRCR06 WW(LED Wall Lights Outdoor UP&amp;Down 05W WW)</v>
          </cell>
          <cell r="C8084" t="str">
            <v>LUKER</v>
          </cell>
          <cell r="D8084" t="str">
            <v>LUKER</v>
          </cell>
        </row>
        <row r="8085">
          <cell r="A8085" t="str">
            <v>LODUPGU10WW (LED Wall Lights Outdoor UP &amp; Down 06W DWW)</v>
          </cell>
          <cell r="B8085" t="str">
            <v>LODUPGU10WW(LED Wall Lights Outdoor UP &amp; Down 06W DWW)</v>
          </cell>
          <cell r="C8085" t="str">
            <v>LUKER</v>
          </cell>
          <cell r="D8085" t="str">
            <v>LUKER</v>
          </cell>
        </row>
        <row r="8086">
          <cell r="A8086" t="str">
            <v>LODSQS3D WW (LED Wall Lights Outdoor UP&amp;Down 1x3W 3D WW)</v>
          </cell>
          <cell r="B8086" t="str">
            <v>LODSQS3D WW(LED Wall Lights Outdoor UP&amp;Down 1x3W 3D WW)</v>
          </cell>
          <cell r="C8086" t="str">
            <v>LUKER</v>
          </cell>
          <cell r="D8086" t="str">
            <v>LUKER</v>
          </cell>
        </row>
        <row r="8087">
          <cell r="A8087" t="str">
            <v>LODWD05 WW (LED WALL LIGHTS OUTDOOR UP &amp; DOWN 1X5W WW)</v>
          </cell>
          <cell r="B8087" t="str">
            <v>LODWD05 WW(LED WALL LIGHTS OUTDOOR UP &amp; DOWN 1X5W WW)</v>
          </cell>
          <cell r="C8087" t="str">
            <v>LUKER</v>
          </cell>
          <cell r="D8087" t="str">
            <v>LUKER</v>
          </cell>
        </row>
        <row r="8088">
          <cell r="A8088" t="str">
            <v>LARCUPD06D WW (LED Wall Lights Outdoor UP&amp;Down 2x3W D WW)</v>
          </cell>
          <cell r="B8088" t="str">
            <v>LARCUPD06D WW(LED Wall Lights Outdoor UP&amp;Down 2x3W D WW)</v>
          </cell>
          <cell r="C8088" t="str">
            <v>LUKER</v>
          </cell>
          <cell r="D8088" t="str">
            <v>LUKER</v>
          </cell>
        </row>
        <row r="8089">
          <cell r="A8089" t="str">
            <v>LZCOB18 (LED ZOOM LIGHT 18 WATTS)</v>
          </cell>
          <cell r="B8089" t="str">
            <v>LZCOB18(LED ZOOM LIGHT 18 WATTS)</v>
          </cell>
          <cell r="C8089" t="str">
            <v>LUKER</v>
          </cell>
          <cell r="D8089" t="str">
            <v>LUKER</v>
          </cell>
        </row>
        <row r="8090">
          <cell r="A8090" t="str">
            <v>LZCOB35 - (LED ZOOM LIGHT 35 WATTS)</v>
          </cell>
          <cell r="B8090" t="str">
            <v>LZCOB35 -(LED ZOOM LIGHT 35 WATTS)</v>
          </cell>
          <cell r="C8090" t="str">
            <v>LUKER</v>
          </cell>
          <cell r="D8090" t="str">
            <v>LUKER</v>
          </cell>
        </row>
        <row r="8091">
          <cell r="A8091" t="str">
            <v>LZCOB50 (LED ZOOM LIGHT 50 WATTS)</v>
          </cell>
          <cell r="B8091" t="str">
            <v>LZCOB50(LED ZOOM LIGHT 50 WATTS)</v>
          </cell>
          <cell r="C8091" t="str">
            <v>LUKER</v>
          </cell>
          <cell r="D8091" t="str">
            <v>LUKER</v>
          </cell>
        </row>
        <row r="8092">
          <cell r="A8092" t="str">
            <v>LZCOB07 (LED ZOOM LIGHT 7 WATTS)</v>
          </cell>
          <cell r="B8092" t="str">
            <v>LZCOB07(LED ZOOM LIGHT 7 WATTS)</v>
          </cell>
          <cell r="C8092" t="str">
            <v>LUKER</v>
          </cell>
          <cell r="D8092" t="str">
            <v>LUKER</v>
          </cell>
        </row>
        <row r="8093">
          <cell r="A8093" t="str">
            <v>LWL121/1 WW (LEF IND WALL LIGHT 3W 121-1WW)</v>
          </cell>
          <cell r="B8093" t="str">
            <v>LWL121/1 WW(LEF IND WALL LIGHT 3W 121-1WW)</v>
          </cell>
          <cell r="C8093" t="str">
            <v>LUKER</v>
          </cell>
          <cell r="D8093" t="str">
            <v>LUKER</v>
          </cell>
        </row>
        <row r="8094">
          <cell r="A8094" t="str">
            <v>LED IND WALL LIGHT 3W 121-1 WW (LML121/1 WW)</v>
          </cell>
          <cell r="B8094" t="e">
            <v>#N/A</v>
          </cell>
          <cell r="C8094" t="str">
            <v>LUKER</v>
          </cell>
          <cell r="D8094" t="str">
            <v>LUKER</v>
          </cell>
        </row>
        <row r="8095">
          <cell r="A8095" t="str">
            <v>LED INDOOR MIRROR LAMPS 12W WH LMR10 (LMR10 WH)</v>
          </cell>
          <cell r="B8095" t="e">
            <v>#N/A</v>
          </cell>
          <cell r="C8095" t="str">
            <v>LUKER</v>
          </cell>
          <cell r="D8095" t="str">
            <v>LUKER</v>
          </cell>
        </row>
        <row r="8096">
          <cell r="A8096" t="str">
            <v>LNPR03 WH (LNPR03 WH LED SLIM PANEL 03W RD WH)</v>
          </cell>
          <cell r="B8096" t="str">
            <v>LNPR03 WH(LNPR03 WH LED SLIM PANEL 03W RD WH)</v>
          </cell>
          <cell r="C8096" t="str">
            <v>LUKER</v>
          </cell>
          <cell r="D8096" t="str">
            <v>LUKER</v>
          </cell>
        </row>
        <row r="8097">
          <cell r="A8097" t="str">
            <v>LNPR06 3 IN 1 (LNPR06LED SLIM PANEL 06W RD 3IN 1 3 IN 1)</v>
          </cell>
          <cell r="B8097" t="str">
            <v>LNPR06 3 IN 1(LNPR06LED SLIM PANEL 06W RD 3IN 1 3 IN 1)</v>
          </cell>
          <cell r="C8097" t="str">
            <v>LUKER</v>
          </cell>
          <cell r="D8097" t="str">
            <v>LUKER</v>
          </cell>
        </row>
        <row r="8098">
          <cell r="A8098" t="str">
            <v>LNPR06 WH (LNPR06 WH LED PANEL 6W RD WH)</v>
          </cell>
          <cell r="B8098" t="str">
            <v>LNPR06 WH(LNPR06 WH LED PANEL 6W RD WH)</v>
          </cell>
          <cell r="C8098" t="str">
            <v>LUKER</v>
          </cell>
          <cell r="D8098" t="str">
            <v>LUKER</v>
          </cell>
        </row>
        <row r="8099">
          <cell r="A8099" t="str">
            <v>LED SLIM PANEL 09W RD NWH LNPR (LNPR09 NW)</v>
          </cell>
          <cell r="B8099" t="e">
            <v>#N/A</v>
          </cell>
          <cell r="C8099" t="str">
            <v>LUKER</v>
          </cell>
          <cell r="D8099" t="str">
            <v>LUKER</v>
          </cell>
        </row>
        <row r="8100">
          <cell r="A8100" t="str">
            <v>LNPS06 3 in 1 (LNPS06LED SLIM PANEL 06W SQ  1 3 IN 1)</v>
          </cell>
          <cell r="B8100" t="str">
            <v>LNPS06 3 in 1(LNPS06LED SLIM PANEL 06W SQ 1 3 IN 1)</v>
          </cell>
          <cell r="C8100" t="str">
            <v>LUKER</v>
          </cell>
          <cell r="D8100" t="str">
            <v>LUKER</v>
          </cell>
        </row>
        <row r="8101">
          <cell r="A8101" t="str">
            <v>LTD818TWH (LTD818T (LED TUBE RETROFIT DOM 18W 4 FT))</v>
          </cell>
          <cell r="B8101" t="str">
            <v>LTD818TWH(LTD818T(LED TUBE RETROFIT DOM 18W 4 FT))</v>
          </cell>
          <cell r="C8101" t="str">
            <v>LUKER</v>
          </cell>
          <cell r="D8101" t="str">
            <v>LUKER</v>
          </cell>
        </row>
        <row r="8102">
          <cell r="A8102" t="str">
            <v>LBKOVSL18WH (LUKER Bulkhead Lights Outside 18W OV WH)</v>
          </cell>
          <cell r="B8102" t="str">
            <v>LBKOVSL18WH(LUKER Bulkhead Lights Outside 18W OV WH)</v>
          </cell>
          <cell r="C8102" t="str">
            <v>LUKER</v>
          </cell>
          <cell r="D8102" t="str">
            <v>LUKER</v>
          </cell>
        </row>
        <row r="8103">
          <cell r="A8103" t="str">
            <v>LCOB30 (Luker COB Light 30 Watt NW)</v>
          </cell>
          <cell r="B8103" t="str">
            <v>LCOB30(Luker COB Light 30 Watt NW)</v>
          </cell>
          <cell r="C8103" t="str">
            <v>LUKER</v>
          </cell>
          <cell r="D8103" t="str">
            <v>LUKER</v>
          </cell>
        </row>
        <row r="8104">
          <cell r="A8104" t="str">
            <v>LBSL9 WH (Luker LED Indoor Wall Light 9W WH)</v>
          </cell>
          <cell r="B8104" t="str">
            <v>LBSL9 WH(Luker LED Indoor Wall Light 9W WH)</v>
          </cell>
          <cell r="C8104" t="str">
            <v>LUKER</v>
          </cell>
          <cell r="D8104" t="str">
            <v>LUKER</v>
          </cell>
        </row>
        <row r="8105">
          <cell r="A8105" t="str">
            <v>LT5M20 (Luker Make 20W Tube Light 4 Feet)</v>
          </cell>
          <cell r="B8105" t="str">
            <v>LT5M20(Luker Make 20W Tube Light 4 Feet)</v>
          </cell>
          <cell r="C8105" t="str">
            <v>LUKER</v>
          </cell>
          <cell r="D8105" t="str">
            <v>LUKER</v>
          </cell>
        </row>
        <row r="8106">
          <cell r="A8106" t="str">
            <v>LFCFO NANO 1200 (Luker Make Nano FAN Ivory 1200)</v>
          </cell>
          <cell r="B8106" t="str">
            <v>LFCFO NANO 1200(Luker Make Nano FAN Ivory 1200)</v>
          </cell>
          <cell r="C8106" t="str">
            <v>LUKER</v>
          </cell>
          <cell r="D8106" t="str">
            <v>LUKER</v>
          </cell>
        </row>
        <row r="8107">
          <cell r="A8107" t="str">
            <v>LFCFONASI155OSW (Luker ONASSIS FAN WH)</v>
          </cell>
          <cell r="B8107" t="str">
            <v>LFCFONASI155OSW(Luker ONASSIS FAN WH)</v>
          </cell>
          <cell r="C8107" t="str">
            <v>LUKER</v>
          </cell>
          <cell r="D8107" t="str">
            <v>LUKER</v>
          </cell>
        </row>
        <row r="8108">
          <cell r="A8108" t="str">
            <v>EXHAUST FAN LXC06 I (LXC 06)</v>
          </cell>
          <cell r="B8108" t="e">
            <v>#N/A</v>
          </cell>
          <cell r="C8108" t="str">
            <v>LUKER</v>
          </cell>
          <cell r="D8108" t="str">
            <v>LUKER</v>
          </cell>
        </row>
        <row r="8109">
          <cell r="A8109" t="str">
            <v>LMCL12 WH (Mirror Light 12W WH)</v>
          </cell>
          <cell r="B8109" t="str">
            <v>LMCL12 WH(Mirror Light 12W WH)</v>
          </cell>
          <cell r="C8109" t="str">
            <v>LUKER</v>
          </cell>
          <cell r="D8109" t="str">
            <v>LUKER</v>
          </cell>
        </row>
        <row r="8110">
          <cell r="A8110" t="str">
            <v>LAGCOB07 WH (Narrow Beam AntiGlare 7W WH)</v>
          </cell>
          <cell r="B8110" t="str">
            <v>LAGCOB07 WH(Narrow Beam AntiGlare 7W WH)</v>
          </cell>
          <cell r="C8110" t="str">
            <v>LUKER</v>
          </cell>
          <cell r="D8110" t="str">
            <v>LUKER</v>
          </cell>
        </row>
        <row r="8111">
          <cell r="A8111" t="str">
            <v>LSOC2835 (NEON LED Strip Connector 220v)</v>
          </cell>
          <cell r="B8111" t="str">
            <v>LSOC2835(NEON LED Strip Connector 220v)</v>
          </cell>
          <cell r="C8111" t="str">
            <v>LUKER</v>
          </cell>
          <cell r="D8111" t="str">
            <v>LUKER</v>
          </cell>
        </row>
        <row r="8112">
          <cell r="A8112" t="str">
            <v>LSO2835 (NERO NEON LED Strip Outdoor 220v WH)</v>
          </cell>
          <cell r="B8112" t="str">
            <v>LSO2835(NERO NEON LED Strip Outdoor 220v WH)</v>
          </cell>
          <cell r="C8112" t="str">
            <v>LUKER</v>
          </cell>
          <cell r="D8112" t="str">
            <v>LUKER</v>
          </cell>
        </row>
        <row r="8113">
          <cell r="A8113" t="str">
            <v>LLPL01414003M (PROFILE AL CHANNEL 1414 3M (LPL1414))</v>
          </cell>
          <cell r="B8113" t="str">
            <v>LLPL01414003M(PROFILE AL CHANNEL 1414 3M(LPL1414))</v>
          </cell>
          <cell r="C8113" t="str">
            <v>LUKER</v>
          </cell>
          <cell r="D8113" t="str">
            <v>LUKER</v>
          </cell>
        </row>
        <row r="8114">
          <cell r="A8114" t="str">
            <v>LLPL05035003M (PROFILE AL CHANNEL 5035 3M (LPL5035))</v>
          </cell>
          <cell r="B8114" t="str">
            <v>LLPL05035003M(PROFILE AL CHANNEL 5035 3M(LPL5035))</v>
          </cell>
          <cell r="C8114" t="str">
            <v>LUKER</v>
          </cell>
          <cell r="D8114" t="str">
            <v>LUKER</v>
          </cell>
        </row>
        <row r="8115">
          <cell r="A8115" t="str">
            <v>WW (Slim Panel Light 30 w)</v>
          </cell>
          <cell r="B8115" t="str">
            <v>WW(Slim Panel Light 30 w)</v>
          </cell>
          <cell r="C8115" t="str">
            <v>LUKER</v>
          </cell>
          <cell r="D8115" t="str">
            <v>LUKER</v>
          </cell>
        </row>
        <row r="8116">
          <cell r="A8116" t="str">
            <v>LSCR01 WH (Spot Light 1W WH)</v>
          </cell>
          <cell r="B8116" t="str">
            <v>LSCR01 WH(Spot Light 1W WH)</v>
          </cell>
          <cell r="C8116" t="str">
            <v>LUKER</v>
          </cell>
          <cell r="D8116" t="str">
            <v>LUKER</v>
          </cell>
        </row>
        <row r="8117">
          <cell r="A8117" t="str">
            <v>LSCR01 WW (Spot Light 1W WW)</v>
          </cell>
          <cell r="B8117" t="str">
            <v>LSCR01 WW(Spot Light 1W WW)</v>
          </cell>
          <cell r="C8117" t="str">
            <v>LUKER</v>
          </cell>
          <cell r="D8117" t="str">
            <v>LUKER</v>
          </cell>
        </row>
        <row r="8118">
          <cell r="A8118" t="str">
            <v>LST24 (Street Light 24 WH)</v>
          </cell>
          <cell r="B8118" t="str">
            <v>LST24(Street Light 24 WH)</v>
          </cell>
          <cell r="C8118" t="str">
            <v>LUKER</v>
          </cell>
          <cell r="D8118" t="str">
            <v>LUKER</v>
          </cell>
        </row>
        <row r="8119">
          <cell r="A8119" t="str">
            <v>LLST00CNE5050 (Strip Connector OD 14P6W)</v>
          </cell>
          <cell r="B8119" t="str">
            <v>LLST00CNE5050(Strip Connector OD 14P6W)</v>
          </cell>
          <cell r="C8119" t="str">
            <v>LUKER</v>
          </cell>
          <cell r="D8119" t="str">
            <v>LUKER</v>
          </cell>
        </row>
        <row r="8120">
          <cell r="A8120" t="str">
            <v>LSOCP5050 RGB (STRIP CONNECTOR OD 14P6W RGB)</v>
          </cell>
          <cell r="B8120" t="str">
            <v>LSOCP5050 RGB(STRIP CONNECTOR OD 14P6W RGB)</v>
          </cell>
          <cell r="C8120" t="str">
            <v>LUKER</v>
          </cell>
          <cell r="D8120" t="str">
            <v>LUKER</v>
          </cell>
        </row>
        <row r="8121">
          <cell r="A8121" t="str">
            <v>LLTROCHBK001M (TRACK CHANNEL BK 1MTR (1 MTR TRACK BK))</v>
          </cell>
          <cell r="B8121" t="str">
            <v>LLTROCHBK001M(TRACK CHANNEL BK 1MTR(1 MTR TRACK BK))</v>
          </cell>
          <cell r="C8121" t="str">
            <v>LUKER</v>
          </cell>
          <cell r="D8121" t="str">
            <v>LUKER</v>
          </cell>
        </row>
        <row r="8122">
          <cell r="A8122" t="str">
            <v>LCL15NR WH (Trimless Surface Panel Series-2 15W WH)</v>
          </cell>
          <cell r="B8122" t="str">
            <v>LCL15NR WH(Trimless Surface Panel Series-2 15W WH)</v>
          </cell>
          <cell r="C8122" t="str">
            <v>LUKER</v>
          </cell>
          <cell r="D8122" t="str">
            <v>LUKER</v>
          </cell>
        </row>
        <row r="8123">
          <cell r="A8123" t="str">
            <v>LCL6NR WH (Trimless Surface Panel Series-2 6W WH)</v>
          </cell>
          <cell r="B8123" t="str">
            <v>LCL6NR WH(Trimless Surface Panel Series-2 6W WH)</v>
          </cell>
          <cell r="C8123" t="str">
            <v>LUKER</v>
          </cell>
          <cell r="D8123" t="str">
            <v>LUKER</v>
          </cell>
        </row>
        <row r="8124">
          <cell r="A8124" t="str">
            <v>LCL6NR WW (Trimless Surface Panel Series-2 6W WW)</v>
          </cell>
          <cell r="B8124" t="str">
            <v>LCL6NR WW(Trimless Surface Panel Series-2 6W WW)</v>
          </cell>
          <cell r="C8124" t="str">
            <v>LUKER</v>
          </cell>
          <cell r="D8124" t="str">
            <v>LUKER</v>
          </cell>
        </row>
        <row r="8125">
          <cell r="A8125" t="str">
            <v>LT36 (TUBE LIGHT SET 36W)</v>
          </cell>
          <cell r="B8125" t="str">
            <v>LT36(TUBE LIGHT SET 36W)</v>
          </cell>
          <cell r="C8125" t="str">
            <v>LUKER</v>
          </cell>
          <cell r="D8125" t="str">
            <v>LUKER</v>
          </cell>
        </row>
        <row r="8126">
          <cell r="A8126" t="str">
            <v>LPST10 IV (WATER HEATER BLUE LAGOON 10 LTR IVORY (LPST 10 IV))</v>
          </cell>
          <cell r="B8126" t="str">
            <v>LPST10 IV(WATER HEATER BLUE LAGOON 10 LTR IVORY(LPST 10 IV))</v>
          </cell>
          <cell r="C8126" t="str">
            <v>LUKER</v>
          </cell>
          <cell r="D8126" t="str">
            <v>LUKER</v>
          </cell>
        </row>
        <row r="8127">
          <cell r="A8127" t="str">
            <v>LMTH4CNC (WIRE CONNECTOR CORNER)</v>
          </cell>
          <cell r="B8127" t="e">
            <v>#N/A</v>
          </cell>
          <cell r="C8127" t="str">
            <v>LUKER</v>
          </cell>
          <cell r="D8127" t="str">
            <v>LUKER</v>
          </cell>
        </row>
        <row r="8128">
          <cell r="A8128" t="str">
            <v>LMTICNC (WIRE CONNECTOR STRAIGHT)</v>
          </cell>
          <cell r="B8128" t="str">
            <v>LMTICNC(WIRE CONNECTOR STRAIGHT)</v>
          </cell>
          <cell r="C8128" t="str">
            <v>LUKER</v>
          </cell>
          <cell r="D8128" t="str">
            <v>LUKER</v>
          </cell>
        </row>
        <row r="8129">
          <cell r="A8129" t="str">
            <v>LWL10-2 (WL BELLA GBS2 E27 DOUBLE CFEBRN)</v>
          </cell>
          <cell r="B8129" t="str">
            <v>LWL10-2(WL BELLA GBS2 E27 DOUBLE CFEBRN)</v>
          </cell>
          <cell r="C8129" t="str">
            <v>LUKER</v>
          </cell>
          <cell r="D8129" t="str">
            <v>LUKER</v>
          </cell>
        </row>
        <row r="8130">
          <cell r="A8130" t="str">
            <v>LWF2J16P WH (WL FAN W2J PABLO 400MM WH)</v>
          </cell>
          <cell r="B8130" t="str">
            <v>LWF2J16P WH(WL FAN W2J PABLO 400MM WH)</v>
          </cell>
          <cell r="C8130" t="str">
            <v>LUKER</v>
          </cell>
          <cell r="D8130" t="str">
            <v>LUKER</v>
          </cell>
        </row>
        <row r="8131">
          <cell r="A8131" t="str">
            <v>1252A (1252A 63A 5Pin IP44 Panel mounted receptacle_x000D_
)</v>
          </cell>
          <cell r="B8131" t="str">
            <v>1252A(1252A 63A 5Pin IP44 Panel mounted receptacle_x000D_
)</v>
          </cell>
          <cell r="C8131" t="str">
            <v>MENNEKES</v>
          </cell>
          <cell r="D8131" t="str">
            <v>MENNEKES</v>
          </cell>
        </row>
        <row r="8132">
          <cell r="A8132" t="str">
            <v>14226 (125A 5P 500V 7H)</v>
          </cell>
          <cell r="B8132" t="str">
            <v>14226(125A 5P 500V 7H)</v>
          </cell>
          <cell r="C8132" t="str">
            <v>MENNEKES</v>
          </cell>
          <cell r="D8132" t="str">
            <v>MENNEKES</v>
          </cell>
        </row>
        <row r="8133">
          <cell r="A8133" t="str">
            <v>1973 (125A5P 7H500V IP67)</v>
          </cell>
          <cell r="B8133" t="str">
            <v>1973(125A5P 7H500V IP67)</v>
          </cell>
          <cell r="C8133" t="str">
            <v>MENNEKES</v>
          </cell>
          <cell r="D8133" t="str">
            <v>MENNEKES</v>
          </cell>
        </row>
        <row r="8134">
          <cell r="A8134" t="str">
            <v>1463 (16A 230V 3PIN IP44 Panel Socket)</v>
          </cell>
          <cell r="B8134" t="str">
            <v>1463(16A 230V 3PIN IP44 Panel Socket)</v>
          </cell>
          <cell r="C8134" t="str">
            <v>MENNEKES</v>
          </cell>
          <cell r="D8134" t="str">
            <v>MENNEKES</v>
          </cell>
        </row>
        <row r="8135">
          <cell r="A8135" t="str">
            <v>1192.0 (16A 230v IP67 Blue Wall Mount 3P Right Angle Industrial Power Socket)</v>
          </cell>
          <cell r="B8135" t="str">
            <v>1192.0(16A 230v IP67 Blue Wall Mount 3P Right Angle Industrial Power Socket)</v>
          </cell>
          <cell r="C8135" t="str">
            <v>MENNEKES</v>
          </cell>
          <cell r="D8135" t="str">
            <v>MENNEKES</v>
          </cell>
        </row>
        <row r="8136">
          <cell r="A8136" t="str">
            <v>9301 (16a 3p 230v Wm Recptacles IP 67)</v>
          </cell>
          <cell r="B8136" t="str">
            <v>9301(16a 3p 230v Wm Recptacles IP 67)</v>
          </cell>
          <cell r="C8136" t="str">
            <v>MENNEKES</v>
          </cell>
          <cell r="D8136" t="str">
            <v>MENNEKES</v>
          </cell>
        </row>
        <row r="8137">
          <cell r="A8137" t="str">
            <v>13555 (16A 3P 2H 50-500V IP54 Plug PowerTOP Xtra)</v>
          </cell>
          <cell r="B8137" t="str">
            <v>13555(16A 3P 2H 50-500V IP54 Plug PowerTOP Xtra)</v>
          </cell>
          <cell r="C8137" t="str">
            <v>MENNEKES</v>
          </cell>
          <cell r="D8137" t="str">
            <v>MENNEKES</v>
          </cell>
        </row>
        <row r="8138">
          <cell r="A8138" t="str">
            <v>278 (16A3P 6H230V PLUG AM-TOP IP67)</v>
          </cell>
          <cell r="B8138" t="str">
            <v>278(16A3P 6H230V PLUG AM-TOP IP67)</v>
          </cell>
          <cell r="C8138" t="str">
            <v>MENNEKES</v>
          </cell>
          <cell r="D8138" t="str">
            <v>MENNEKES</v>
          </cell>
        </row>
        <row r="8139">
          <cell r="A8139" t="str">
            <v>509 (16A 3Pin 110V IP44 Connector)</v>
          </cell>
          <cell r="B8139" t="str">
            <v>509(16A 3Pin 110V IP44 Connector)</v>
          </cell>
          <cell r="C8139" t="str">
            <v>MENNEKES</v>
          </cell>
          <cell r="D8139" t="str">
            <v>MENNEKES</v>
          </cell>
        </row>
        <row r="8140">
          <cell r="A8140" t="str">
            <v>247 (16A 3Pin 110V IP44 Plug Top)</v>
          </cell>
          <cell r="B8140" t="str">
            <v>247(16A 3Pin 110V IP44 Plug Top)</v>
          </cell>
          <cell r="C8140" t="str">
            <v>MENNEKES</v>
          </cell>
          <cell r="D8140" t="str">
            <v>MENNEKES</v>
          </cell>
        </row>
        <row r="8141">
          <cell r="A8141" t="str">
            <v>14620 (16A 3PIN INDUSTRIAL CONNECTOR IP 67)</v>
          </cell>
          <cell r="B8141" t="str">
            <v>14620(16A 3PIN INDUSTRIAL CONNECTOR IP 67)</v>
          </cell>
          <cell r="C8141" t="str">
            <v>MENNEKES</v>
          </cell>
          <cell r="D8141" t="str">
            <v>MENNEKES</v>
          </cell>
        </row>
        <row r="8142">
          <cell r="A8142" t="str">
            <v>13620 (16A 3PIN INDUSTRIAL PLUG IP67)</v>
          </cell>
          <cell r="B8142" t="str">
            <v>13620(16A 3PIN INDUSTRIAL PLUG IP67)</v>
          </cell>
          <cell r="C8142" t="str">
            <v>MENNEKES</v>
          </cell>
          <cell r="D8142" t="str">
            <v>MENNEKES</v>
          </cell>
        </row>
        <row r="8143">
          <cell r="A8143" t="str">
            <v>510 (16A 3Pin IP44 Connector AM-TOP®)</v>
          </cell>
          <cell r="B8143" t="str">
            <v>510(16A 3Pin IP44 Connector AM-TOP®)</v>
          </cell>
          <cell r="C8143" t="str">
            <v>MENNEKES</v>
          </cell>
          <cell r="D8143" t="str">
            <v>MENNEKES</v>
          </cell>
        </row>
        <row r="8144">
          <cell r="A8144" t="str">
            <v>10843 (16A 3Pin IP44 Connector SCHUKO®)</v>
          </cell>
          <cell r="B8144" t="str">
            <v>10843(16A 3Pin IP44 Connector SCHUKO®)</v>
          </cell>
          <cell r="C8144" t="str">
            <v>MENNEKES</v>
          </cell>
          <cell r="D8144" t="str">
            <v>MENNEKES</v>
          </cell>
        </row>
        <row r="8145">
          <cell r="A8145" t="str">
            <v>812 (16A 3Pin IP 44 Input Plug)</v>
          </cell>
          <cell r="B8145" t="str">
            <v>812(16A 3Pin IP 44 Input Plug)</v>
          </cell>
          <cell r="C8145" t="str">
            <v>MENNEKES</v>
          </cell>
          <cell r="D8145" t="str">
            <v>MENNEKES</v>
          </cell>
        </row>
        <row r="8146">
          <cell r="A8146" t="str">
            <v>1366 (16A 3Pin IP44 Panel mounted receptacle)</v>
          </cell>
          <cell r="B8146" t="str">
            <v>1366(16A 3Pin IP44 Panel mounted receptacle)</v>
          </cell>
          <cell r="C8146" t="str">
            <v>MENNEKES</v>
          </cell>
          <cell r="D8146" t="str">
            <v>MENNEKES</v>
          </cell>
        </row>
        <row r="8147">
          <cell r="A8147" t="str">
            <v>248.0 (16A 3Pin IP44 Plug AM-TOP®)</v>
          </cell>
          <cell r="B8147" t="str">
            <v>248.0(16A 3Pin IP44 Plug AM-TOP®)</v>
          </cell>
          <cell r="C8147" t="str">
            <v>MENNEKES</v>
          </cell>
          <cell r="D8147" t="str">
            <v>MENNEKES</v>
          </cell>
        </row>
        <row r="8148">
          <cell r="A8148" t="str">
            <v>10754 (16A 3Pin IP44 Plug SCHUKO®)</v>
          </cell>
          <cell r="B8148" t="str">
            <v>10754(16A 3Pin IP44 Plug SCHUKO®)</v>
          </cell>
          <cell r="C8148" t="str">
            <v>MENNEKES</v>
          </cell>
          <cell r="D8148" t="str">
            <v>MENNEKES</v>
          </cell>
        </row>
        <row r="8149">
          <cell r="A8149" t="str">
            <v>10838_x000D_
 (16A 3Pin IP44 Plug SCHUKO®_x000D_
)</v>
          </cell>
          <cell r="B8149" t="str">
            <v>10838_x000D_
(16A 3Pin IP44 Plug SCHUKO®_x000D_
)</v>
          </cell>
          <cell r="C8149" t="str">
            <v>MENNEKES</v>
          </cell>
          <cell r="D8149" t="str">
            <v>MENNEKES</v>
          </cell>
        </row>
        <row r="8150">
          <cell r="A8150" t="str">
            <v>1363.0 (16A 3Pin IP44 Socket)</v>
          </cell>
          <cell r="B8150" t="str">
            <v>1363.0(16A 3Pin IP44 Socket)</v>
          </cell>
          <cell r="C8150" t="str">
            <v>MENNEKES</v>
          </cell>
          <cell r="D8150" t="str">
            <v>MENNEKES</v>
          </cell>
        </row>
        <row r="8151">
          <cell r="A8151" t="str">
            <v>10083.0 (16A 3Pin IP44 Wall Mounted Receptacle SCHUKO®)</v>
          </cell>
          <cell r="B8151" t="str">
            <v>10083.0(16A 3Pin IP44 Wall Mounted Receptacle SCHUKO®)</v>
          </cell>
          <cell r="C8151" t="str">
            <v>MENNEKES</v>
          </cell>
          <cell r="D8151" t="str">
            <v>MENNEKES</v>
          </cell>
        </row>
        <row r="8152">
          <cell r="A8152" t="str">
            <v>11081.0 (16A 3Pin IP54 Panel mounted receptacle SCHUKO)</v>
          </cell>
          <cell r="B8152" t="str">
            <v>11081.0(16A 3Pin IP54 Panel mounted receptacle SCHUKO)</v>
          </cell>
          <cell r="C8152" t="str">
            <v>MENNEKES</v>
          </cell>
          <cell r="D8152" t="str">
            <v>MENNEKES</v>
          </cell>
        </row>
        <row r="8153">
          <cell r="A8153" t="str">
            <v>11082.0 (16A 3Pin IP54 Panel mounted receptacle SCHUKO Blue)</v>
          </cell>
          <cell r="B8153" t="str">
            <v>11082.0(16A 3Pin IP54 Panel mounted receptacle SCHUKO Blue)</v>
          </cell>
          <cell r="C8153" t="str">
            <v>MENNEKES</v>
          </cell>
          <cell r="D8153" t="str">
            <v>MENNEKES</v>
          </cell>
        </row>
        <row r="8154">
          <cell r="A8154" t="str">
            <v>241.0 (16A 3Pin IP 67 Wall mounted receptacle with TwinCONTACT)</v>
          </cell>
          <cell r="B8154" t="str">
            <v>241.0(16A 3Pin IP 67 Wall mounted receptacle with TwinCONTACT)</v>
          </cell>
          <cell r="C8154" t="str">
            <v>MENNEKES</v>
          </cell>
          <cell r="D8154" t="str">
            <v>MENNEKES</v>
          </cell>
        </row>
        <row r="8155">
          <cell r="A8155" t="str">
            <v>11031 (16A 3 pin Schucho_x000D_
)</v>
          </cell>
          <cell r="B8155" t="str">
            <v>11031(16A 3 pin Schucho_x000D_
)</v>
          </cell>
          <cell r="C8155" t="str">
            <v>MENNEKES</v>
          </cell>
          <cell r="D8155" t="str">
            <v>MENNEKES</v>
          </cell>
        </row>
        <row r="8156">
          <cell r="A8156" t="str">
            <v>252 (16A 4Pin IP44 Plug AM-TOP®)</v>
          </cell>
          <cell r="B8156" t="str">
            <v>252(16A 4Pin IP44 Plug AM-TOP®)</v>
          </cell>
          <cell r="C8156" t="str">
            <v>MENNEKES</v>
          </cell>
          <cell r="D8156" t="str">
            <v>MENNEKES</v>
          </cell>
        </row>
        <row r="8157">
          <cell r="A8157" t="str">
            <v>544 (16A 4 pin IP 67 CEE Connectors AMTOP_x000D_
with screw terminal and single_x000D_
part body)</v>
          </cell>
          <cell r="B8157" t="str">
            <v>544(16A 4 pin IP 67 CEE Connectors AMTOP_x000D_
with screw terminal and single_x000D_
part body)</v>
          </cell>
          <cell r="C8157" t="str">
            <v>MENNEKES</v>
          </cell>
          <cell r="D8157" t="str">
            <v>MENNEKES</v>
          </cell>
        </row>
        <row r="8158">
          <cell r="A8158" t="str">
            <v>282 (16A 4 pin IP 67 CEE Plugs AM-TOP_x000D_
with screw terminal and single part_x000D_
body)</v>
          </cell>
          <cell r="B8158" t="str">
            <v>282(16A 4 pin IP 67 CEE Plugs AM-TOP_x000D_
with screw terminal and single part_x000D_
body)</v>
          </cell>
          <cell r="C8158" t="str">
            <v>MENNEKES</v>
          </cell>
          <cell r="D8158" t="str">
            <v>MENNEKES</v>
          </cell>
        </row>
        <row r="8159">
          <cell r="A8159" t="str">
            <v>5603A (16A5P 6H400V Receptacle DUO IP67)</v>
          </cell>
          <cell r="B8159" t="str">
            <v>5603A(16A5P 6H400V Receptacle DUO IP67)</v>
          </cell>
          <cell r="C8159" t="str">
            <v>MENNEKES</v>
          </cell>
          <cell r="D8159" t="str">
            <v>MENNEKES</v>
          </cell>
        </row>
        <row r="8160">
          <cell r="A8160" t="str">
            <v>27004 (16A 5P 6H 400V Wall Mounted Socket IP 44)</v>
          </cell>
          <cell r="B8160" t="str">
            <v>27004(16A 5P 6H 400V Wall Mounted Socket IP 44)</v>
          </cell>
          <cell r="C8160" t="str">
            <v>MENNEKES</v>
          </cell>
          <cell r="D8160" t="str">
            <v>MENNEKES</v>
          </cell>
        </row>
        <row r="8161">
          <cell r="A8161" t="str">
            <v>228A (16A 5Pin 6H400V Receptacle TA IP67)</v>
          </cell>
          <cell r="B8161" t="str">
            <v>228A(16A 5Pin 6H400V Receptacle TA IP67)</v>
          </cell>
          <cell r="C8161" t="str">
            <v>MENNEKES</v>
          </cell>
          <cell r="D8161" t="str">
            <v>MENNEKES</v>
          </cell>
        </row>
        <row r="8162">
          <cell r="A8162" t="str">
            <v>5 (16A 5Pin IP44 Connector AM-TOP®)</v>
          </cell>
          <cell r="B8162" t="str">
            <v>5(16A 5Pin IP44 Connector AM-TOP®)</v>
          </cell>
          <cell r="C8162" t="str">
            <v>MENNEKES</v>
          </cell>
          <cell r="D8162" t="str">
            <v>MENNEKES</v>
          </cell>
        </row>
        <row r="8163">
          <cell r="A8163" t="str">
            <v>1385 (16A 5Pin IP44 Panel mounted receptacle)</v>
          </cell>
          <cell r="B8163" t="str">
            <v>1385(16A 5Pin IP44 Panel mounted receptacle)</v>
          </cell>
          <cell r="C8163" t="str">
            <v>MENNEKES</v>
          </cell>
          <cell r="D8163" t="str">
            <v>MENNEKES</v>
          </cell>
        </row>
        <row r="8164">
          <cell r="A8164" t="str">
            <v>3 (16A 5Pin IP44 Plug AM-TOP®)</v>
          </cell>
          <cell r="B8164" t="str">
            <v>3(16A 5Pin IP44 Plug AM-TOP®)</v>
          </cell>
          <cell r="C8164" t="str">
            <v>MENNEKES</v>
          </cell>
          <cell r="D8164" t="str">
            <v>MENNEKES</v>
          </cell>
        </row>
        <row r="8165">
          <cell r="A8165" t="str">
            <v>342.0 (16A 5Pin IP44 Wall mounted inlet)</v>
          </cell>
          <cell r="B8165" t="str">
            <v>342.0(16A 5Pin IP44 Wall mounted inlet)</v>
          </cell>
          <cell r="C8165" t="str">
            <v>MENNEKES</v>
          </cell>
          <cell r="D8165" t="str">
            <v>MENNEKES</v>
          </cell>
        </row>
        <row r="8166">
          <cell r="A8166" t="str">
            <v>3485.0 (16A 5Pin IP 67 Panel mounted receptacle with TwinCONTACT)</v>
          </cell>
          <cell r="B8166" t="str">
            <v>3485.0(16A 5Pin IP 67 Panel mounted receptacle with TwinCONTACT)</v>
          </cell>
          <cell r="C8166" t="str">
            <v>MENNEKES</v>
          </cell>
          <cell r="D8166" t="str">
            <v>MENNEKES</v>
          </cell>
        </row>
        <row r="8167">
          <cell r="A8167" t="str">
            <v>288 (16A 5Pin IP67 Plug AM-TOP®)</v>
          </cell>
          <cell r="B8167" t="str">
            <v>288(16A 5Pin IP67 Plug AM-TOP®)</v>
          </cell>
          <cell r="C8167" t="str">
            <v>MENNEKES</v>
          </cell>
          <cell r="D8167" t="str">
            <v>MENNEKES</v>
          </cell>
        </row>
        <row r="8168">
          <cell r="A8168" t="str">
            <v>677A (32A 3P 4H 50V 100-200Hz Plug IP44)</v>
          </cell>
          <cell r="B8168" t="str">
            <v>677A(32A 3P 4H 50V 100-200Hz Plug IP44)</v>
          </cell>
          <cell r="C8168" t="str">
            <v>MENNEKES</v>
          </cell>
          <cell r="D8168" t="str">
            <v>MENNEKES</v>
          </cell>
        </row>
        <row r="8169">
          <cell r="A8169" t="str">
            <v>522 (32A 3P 6H 230V Connector AM-TOP IP44)</v>
          </cell>
          <cell r="B8169" t="str">
            <v>522(32A 3P 6H 230V Connector AM-TOP IP44)</v>
          </cell>
          <cell r="C8169" t="str">
            <v>MENNEKES</v>
          </cell>
          <cell r="D8169" t="str">
            <v>MENNEKES</v>
          </cell>
        </row>
        <row r="8170">
          <cell r="A8170" t="str">
            <v>3226 (32A 3p 6H 230V IP 44 Plug Power TOP Plus)</v>
          </cell>
          <cell r="B8170" t="str">
            <v>3226(32A 3p 6H 230V IP 44 Plug Power TOP Plus)</v>
          </cell>
          <cell r="C8170" t="str">
            <v>MENNEKES</v>
          </cell>
          <cell r="D8170" t="str">
            <v>MENNEKES</v>
          </cell>
        </row>
        <row r="8171">
          <cell r="A8171" t="str">
            <v>817 (32A 3P 6H 230V Panel Mounted Inlet IP44)</v>
          </cell>
          <cell r="B8171" t="str">
            <v>817(32A 3P 6H 230V Panel Mounted Inlet IP44)</v>
          </cell>
          <cell r="C8171" t="str">
            <v>MENNEKES</v>
          </cell>
          <cell r="D8171" t="str">
            <v>MENNEKES</v>
          </cell>
        </row>
        <row r="8172">
          <cell r="A8172" t="str">
            <v>1395 (32A 3Pin IP44 Panel mounted receptacle)</v>
          </cell>
          <cell r="B8172" t="str">
            <v>1395(32A 3Pin IP44 Panel mounted receptacle)</v>
          </cell>
          <cell r="C8172" t="str">
            <v>MENNEKES</v>
          </cell>
          <cell r="D8172" t="str">
            <v>MENNEKES</v>
          </cell>
        </row>
        <row r="8173">
          <cell r="A8173" t="str">
            <v>260 (32A 3Pin IP44 Plug AM-TOP®)</v>
          </cell>
          <cell r="B8173" t="str">
            <v>260(32A 3Pin IP44 Plug AM-TOP®)</v>
          </cell>
          <cell r="C8173" t="str">
            <v>MENNEKES</v>
          </cell>
          <cell r="D8173" t="str">
            <v>MENNEKES</v>
          </cell>
        </row>
        <row r="8174">
          <cell r="A8174" t="str">
            <v>2178 (32A5P 2H&gt;50V&gt;300-500Hz Plug AM-Top IP 44)</v>
          </cell>
          <cell r="B8174" t="str">
            <v>2178(32A5P 2H&gt;50V&gt;300-500Hz Plug AM-Top IP 44)</v>
          </cell>
          <cell r="C8174" t="str">
            <v>MENNEKES</v>
          </cell>
          <cell r="D8174" t="str">
            <v>MENNEKES</v>
          </cell>
        </row>
        <row r="8175">
          <cell r="A8175" t="str">
            <v>3149 (32A5P 2H&gt;50V&gt;300-500Hz Wallmounted Receptacle IP 44)</v>
          </cell>
          <cell r="B8175" t="str">
            <v>3149(32A5P 2H&gt;50V&gt;300-500Hz Wallmounted Receptacle IP 44)</v>
          </cell>
          <cell r="C8175" t="str">
            <v>MENNEKES</v>
          </cell>
          <cell r="D8175" t="str">
            <v>MENNEKES</v>
          </cell>
        </row>
        <row r="8176">
          <cell r="A8176" t="str">
            <v>3416 (32A 5P 6H 400V Connector Power TOP Plus)</v>
          </cell>
          <cell r="B8176" t="str">
            <v>3416(32A 5P 6H 400V Connector Power TOP Plus)</v>
          </cell>
          <cell r="C8176" t="str">
            <v>MENNEKES</v>
          </cell>
          <cell r="D8176" t="str">
            <v>MENNEKES</v>
          </cell>
        </row>
        <row r="8177">
          <cell r="A8177" t="str">
            <v>821 (32A 5P 6H400V Panelmounted Inlet IP44)</v>
          </cell>
          <cell r="B8177" t="str">
            <v>821(32A 5P 6H400V Panelmounted Inlet IP44)</v>
          </cell>
          <cell r="C8177" t="str">
            <v>MENNEKES</v>
          </cell>
          <cell r="D8177" t="str">
            <v>MENNEKES</v>
          </cell>
        </row>
        <row r="8178">
          <cell r="A8178" t="str">
            <v>1500 (32A5P 6H400V PANELMOUNTED RECEPTACLE TA)</v>
          </cell>
          <cell r="B8178" t="str">
            <v>1500(32A5P 6H400V PANELMOUNTED RECEPTACLE TA)</v>
          </cell>
          <cell r="C8178" t="str">
            <v>MENNEKES</v>
          </cell>
          <cell r="D8178" t="str">
            <v>MENNEKES</v>
          </cell>
        </row>
        <row r="8179">
          <cell r="A8179" t="str">
            <v>14A (32A5P 6H400V Plug Pro TOP II IP44)</v>
          </cell>
          <cell r="B8179" t="str">
            <v>14A(32A5P 6H400V Plug Pro TOP II IP44)</v>
          </cell>
          <cell r="C8179" t="str">
            <v>MENNEKES</v>
          </cell>
          <cell r="D8179" t="str">
            <v>MENNEKES</v>
          </cell>
        </row>
        <row r="8180">
          <cell r="A8180" t="str">
            <v>240A (32A 5Pin 400V 6H IP 67 PM)</v>
          </cell>
          <cell r="B8180" t="str">
            <v>240A(32A 5Pin 400V 6H IP 67 PM)</v>
          </cell>
          <cell r="C8180" t="str">
            <v>MENNEKES</v>
          </cell>
          <cell r="D8180" t="str">
            <v>MENNEKES</v>
          </cell>
        </row>
        <row r="8181">
          <cell r="A8181" t="str">
            <v>6 (32A 5Pin IP44 Connector AM-TOP®)</v>
          </cell>
          <cell r="B8181" t="str">
            <v>6(32A 5Pin IP44 Connector AM-TOP®)</v>
          </cell>
          <cell r="C8181" t="str">
            <v>MENNEKES</v>
          </cell>
          <cell r="D8181" t="str">
            <v>MENNEKES</v>
          </cell>
        </row>
        <row r="8182">
          <cell r="A8182" t="str">
            <v>3451.0 (32A 5Pin IP44 Panel mounted receptacle)</v>
          </cell>
          <cell r="B8182" t="str">
            <v>3451.0(32A 5Pin IP44 Panel mounted receptacle)</v>
          </cell>
          <cell r="C8182" t="str">
            <v>MENNEKES</v>
          </cell>
          <cell r="D8182" t="str">
            <v>MENNEKES</v>
          </cell>
        </row>
        <row r="8183">
          <cell r="A8183" t="str">
            <v>4.0 (32A 5Pin IP44 Plug AM-TOP®)</v>
          </cell>
          <cell r="B8183" t="str">
            <v>4.0(32A 5Pin IP44 Plug AM-TOP®)</v>
          </cell>
          <cell r="C8183" t="str">
            <v>MENNEKES</v>
          </cell>
          <cell r="D8183" t="str">
            <v>MENNEKES</v>
          </cell>
        </row>
        <row r="8184">
          <cell r="A8184" t="str">
            <v>354.0 (32A 5Pin IP 44 Wall mounted inlet)</v>
          </cell>
          <cell r="B8184" t="str">
            <v>354.0(32A 5Pin IP 44 Wall mounted inlet)</v>
          </cell>
          <cell r="C8184" t="str">
            <v>MENNEKES</v>
          </cell>
          <cell r="D8184" t="str">
            <v>MENNEKES</v>
          </cell>
        </row>
        <row r="8185">
          <cell r="A8185" t="str">
            <v>300 (32A 5 Pin IP 67 Plug AM-TOP®)</v>
          </cell>
          <cell r="B8185" t="str">
            <v>300(32A 5 Pin IP 67 Plug AM-TOP®)</v>
          </cell>
          <cell r="C8185" t="str">
            <v>MENNEKES</v>
          </cell>
          <cell r="D8185" t="str">
            <v>MENNEKES</v>
          </cell>
        </row>
        <row r="8186">
          <cell r="A8186" t="str">
            <v>2.0 (32A 5P IP44 Wall Mounted Receptacle)</v>
          </cell>
          <cell r="B8186" t="str">
            <v>2.0(32A 5P IP44 Wall Mounted Receptacle)</v>
          </cell>
          <cell r="C8186" t="str">
            <v>MENNEKES</v>
          </cell>
          <cell r="D8186" t="str">
            <v>MENNEKES</v>
          </cell>
        </row>
        <row r="8187">
          <cell r="A8187" t="str">
            <v>88678 (4 SCHUKO® 16A, 230V insert tilted through 30º IP 44 Enclosure Receptacle strip)</v>
          </cell>
          <cell r="B8187" t="str">
            <v>88678(4 SCHUKO® 16A, 230V insert tilted through 30º IP 44 Enclosure Receptacle strip)</v>
          </cell>
          <cell r="C8187" t="str">
            <v>MENNEKES</v>
          </cell>
          <cell r="D8187" t="str">
            <v>MENNEKES</v>
          </cell>
        </row>
        <row r="8188">
          <cell r="A8188" t="str">
            <v>1408 (5 Pin,16Amps Panel Mounted Inlet IP44)</v>
          </cell>
          <cell r="B8188" t="str">
            <v>1408(5 Pin,16Amps Panel Mounted Inlet IP44)</v>
          </cell>
          <cell r="C8188" t="str">
            <v>MENNEKES</v>
          </cell>
          <cell r="D8188" t="str">
            <v>MENNEKES</v>
          </cell>
        </row>
        <row r="8189">
          <cell r="A8189" t="str">
            <v>11010 (60A2P+E 230V SCHUKO Receptacle Grey)</v>
          </cell>
          <cell r="B8189" t="str">
            <v>11010(60A2P+E 230V SCHUKO Receptacle Grey)</v>
          </cell>
          <cell r="C8189" t="str">
            <v>MENNEKES</v>
          </cell>
          <cell r="D8189" t="str">
            <v>MENNEKES</v>
          </cell>
        </row>
        <row r="8190">
          <cell r="A8190" t="str">
            <v>3285 (63A, 3+N+E Poles, 400V IP44 Connector)</v>
          </cell>
          <cell r="B8190" t="str">
            <v>3285(63A, 3+N+E Poles, 400V IP44 Connector)</v>
          </cell>
          <cell r="C8190" t="str">
            <v>MENNEKES</v>
          </cell>
          <cell r="D8190" t="str">
            <v>MENNEKES</v>
          </cell>
        </row>
        <row r="8191">
          <cell r="A8191" t="str">
            <v>1688 (63A 400V IP44 Inlet)</v>
          </cell>
          <cell r="B8191" t="str">
            <v>1688(63A 400V IP44 Inlet)</v>
          </cell>
          <cell r="C8191" t="str">
            <v>MENNEKES</v>
          </cell>
          <cell r="D8191" t="str">
            <v>MENNEKES</v>
          </cell>
        </row>
        <row r="8192">
          <cell r="A8192" t="str">
            <v>3258 (63A 400v IP44 Red Cable Mount 3P+N+E Industrial Power Plug)</v>
          </cell>
          <cell r="B8192" t="str">
            <v>3258(63A 400v IP44 Red Cable Mount 3P+N+E Industrial Power Plug)</v>
          </cell>
          <cell r="C8192" t="str">
            <v>MENNEKES</v>
          </cell>
          <cell r="D8192" t="str">
            <v>MENNEKES</v>
          </cell>
        </row>
        <row r="8193">
          <cell r="A8193" t="str">
            <v>3658 (63A 5P 400V Panel Mounted Inlet IP 67)</v>
          </cell>
          <cell r="B8193" t="str">
            <v>3658(63A 5P 400V Panel Mounted Inlet IP 67)</v>
          </cell>
          <cell r="C8193" t="str">
            <v>MENNEKES</v>
          </cell>
          <cell r="D8193" t="str">
            <v>MENNEKES</v>
          </cell>
        </row>
        <row r="8194">
          <cell r="A8194" t="str">
            <v>3425 (63A5P 6H400V Connector Power TOP Plus IP 67)</v>
          </cell>
          <cell r="B8194" t="str">
            <v>3425(63A5P 6H400V Connector Power TOP Plus IP 67)</v>
          </cell>
          <cell r="C8194" t="str">
            <v>MENNEKES</v>
          </cell>
          <cell r="D8194" t="str">
            <v>MENNEKES</v>
          </cell>
        </row>
        <row r="8195">
          <cell r="A8195" t="str">
            <v>5643A (63A5P 6H400V IP400V IP67 wall mounted receptacle DUO with DIN rail)</v>
          </cell>
          <cell r="B8195" t="str">
            <v>5643A(63A5P 6H400V IP400V IP67 wall mounted receptacle DUO with DIN rail)</v>
          </cell>
          <cell r="C8195" t="str">
            <v>MENNEKES</v>
          </cell>
          <cell r="D8195" t="str">
            <v>MENNEKES</v>
          </cell>
        </row>
        <row r="8196">
          <cell r="A8196" t="str">
            <v>63A 5Pin IP44 Panel mounted receptacle</v>
          </cell>
          <cell r="B8196" t="str">
            <v>63A 5Pin IP44 Panel mounted receptacle</v>
          </cell>
          <cell r="C8196" t="str">
            <v>MENNEKES</v>
          </cell>
          <cell r="D8196" t="str">
            <v>MENNEKES</v>
          </cell>
        </row>
        <row r="8197">
          <cell r="A8197" t="str">
            <v>1155A (63A 5Pin IP44 Panel mounted receptacle_x000D_
)</v>
          </cell>
          <cell r="B8197" t="str">
            <v>1155A(63A 5Pin IP44 Panel mounted receptacle_x000D_
)</v>
          </cell>
          <cell r="C8197" t="str">
            <v>MENNEKES</v>
          </cell>
          <cell r="D8197" t="str">
            <v>MENNEKES</v>
          </cell>
        </row>
        <row r="8198">
          <cell r="A8198" t="str">
            <v>13212.0 (63A 5Pin IP67 nickel plated contacts, highly heat resistant contact carrier Plug PowerTOP® Xtra)</v>
          </cell>
          <cell r="B8198" t="str">
            <v>13212.0(63A 5Pin IP67 nickel plated contacts, highly heat resistant contact carrier Plug PowerTOP® Xtra)</v>
          </cell>
          <cell r="C8198" t="str">
            <v>MENNEKES</v>
          </cell>
          <cell r="D8198" t="str">
            <v>MENNEKES</v>
          </cell>
        </row>
        <row r="8199">
          <cell r="A8199" t="str">
            <v>940028 (AMAXX Combination unit CEE 32 A, 5 p, 400 V, CEE 16 A, 4 p, 400 VCEE 16 A, 3 p, 230 V)</v>
          </cell>
          <cell r="B8199" t="str">
            <v>940028(AMAXX Combination unit CEE 32 A, 5 p, 400 V, CEE 16 A, 4 p, 400 VCEE 16 A, 3 p, 230 V)</v>
          </cell>
          <cell r="C8199" t="str">
            <v>MENNEKES</v>
          </cell>
          <cell r="D8199" t="str">
            <v>MENNEKES</v>
          </cell>
        </row>
        <row r="8200">
          <cell r="A8200" t="str">
            <v>947815 (AMAXX RECEP COMBI UNIT IP 44)</v>
          </cell>
          <cell r="B8200" t="str">
            <v>947815(AMAXX RECEP COMBI UNIT IP 44)</v>
          </cell>
          <cell r="C8200" t="str">
            <v>MENNEKES</v>
          </cell>
          <cell r="D8200" t="str">
            <v>MENNEKES</v>
          </cell>
        </row>
        <row r="8201">
          <cell r="A8201" t="str">
            <v>938120 (AMAXX recept. Combination, IP44)</v>
          </cell>
          <cell r="B8201" t="str">
            <v>938120(AMAXX recept. Combination, IP44)</v>
          </cell>
          <cell r="C8201" t="str">
            <v>MENNEKES</v>
          </cell>
          <cell r="D8201" t="str">
            <v>MENNEKES</v>
          </cell>
        </row>
        <row r="8202">
          <cell r="A8202" t="str">
            <v>3987 (Ampere:32A. Poles:4p. Voltage:400V Angled Plug IP44)</v>
          </cell>
          <cell r="B8202" t="str">
            <v>3987(Ampere:32A. Poles:4p. Voltage:400V Angled Plug IP44)</v>
          </cell>
          <cell r="C8202" t="str">
            <v>MENNEKES</v>
          </cell>
          <cell r="D8202" t="str">
            <v>MENNEKES</v>
          </cell>
        </row>
        <row r="8203">
          <cell r="A8203" t="str">
            <v>4102 (Blue 2P+E IP44 Cepex surface socket,16A 230V)</v>
          </cell>
          <cell r="B8203" t="str">
            <v>4102(Blue 2P+E IP44 Cepex surface socket,16A 230V)</v>
          </cell>
          <cell r="C8203" t="str">
            <v>MENNEKES</v>
          </cell>
          <cell r="D8203" t="str">
            <v>MENNEKES</v>
          </cell>
        </row>
        <row r="8204">
          <cell r="A8204" t="str">
            <v>1467 (CEE Panel Mounted Receptacles 16A 4 Pin)</v>
          </cell>
          <cell r="B8204" t="str">
            <v>1467(CEE Panel Mounted Receptacles 16A 4 Pin)</v>
          </cell>
          <cell r="C8204" t="str">
            <v>MENNEKES</v>
          </cell>
          <cell r="D8204" t="str">
            <v>MENNEKES</v>
          </cell>
        </row>
        <row r="8205">
          <cell r="A8205" t="str">
            <v>13567 (CEE Plug PTX R 16A5p2h&gt;50 IP54)</v>
          </cell>
          <cell r="B8205" t="str">
            <v>13567(CEE Plug PTX R 16A5p2h&gt;50 IP54)</v>
          </cell>
          <cell r="C8205" t="str">
            <v>MENNEKES</v>
          </cell>
          <cell r="D8205" t="str">
            <v>MENNEKES</v>
          </cell>
        </row>
        <row r="8206">
          <cell r="A8206" t="str">
            <v>5496 (CEE Wall Mounted Fused Receptacle 16A 3+E P IP 44)</v>
          </cell>
          <cell r="B8206" t="str">
            <v>5496(CEE Wall Mounted Fused Receptacle 16A 3+E P IP 44)</v>
          </cell>
          <cell r="C8206" t="str">
            <v>MENNEKES</v>
          </cell>
          <cell r="D8206" t="str">
            <v>MENNEKES</v>
          </cell>
        </row>
        <row r="8207">
          <cell r="A8207" t="str">
            <v>5535 (CEE Wall Mounted Fused Receptacles IP 67 63A 5 Pin)</v>
          </cell>
          <cell r="B8207" t="str">
            <v>5535(CEE Wall Mounted Fused Receptacles IP 67 63A 5 Pin)</v>
          </cell>
          <cell r="C8207" t="str">
            <v>MENNEKES</v>
          </cell>
          <cell r="D8207" t="str">
            <v>MENNEKES</v>
          </cell>
        </row>
        <row r="8208">
          <cell r="A8208" t="str">
            <v>4115 (Cepex Panel Mounted Receptacle 16A 5P 400V 6H IP44)</v>
          </cell>
          <cell r="B8208" t="str">
            <v>4115(Cepex Panel Mounted Receptacle 16A 5P 400V 6H IP44)</v>
          </cell>
          <cell r="C8208" t="str">
            <v>MENNEKES</v>
          </cell>
          <cell r="D8208" t="str">
            <v>MENNEKES</v>
          </cell>
        </row>
        <row r="8209">
          <cell r="A8209" t="str">
            <v>14216 (Connector PowerTOPXtra 125A3p6h230v IP67)</v>
          </cell>
          <cell r="B8209" t="str">
            <v>14216(Connector PowerTOPXtra 125A3p6h230v IP67)</v>
          </cell>
          <cell r="C8209" t="str">
            <v>MENNEKES</v>
          </cell>
          <cell r="D8209" t="str">
            <v>MENNEKES</v>
          </cell>
        </row>
        <row r="8210">
          <cell r="A8210" t="str">
            <v>14212 (Connector Powertop xtra 63A 400v 5P)</v>
          </cell>
          <cell r="B8210" t="str">
            <v>14212(Connector Powertop xtra 63A 400v 5P)</v>
          </cell>
          <cell r="C8210" t="str">
            <v>MENNEKES</v>
          </cell>
          <cell r="D8210" t="str">
            <v>MENNEKES</v>
          </cell>
        </row>
        <row r="8211">
          <cell r="A8211" t="str">
            <v>14624 (Connector PowerTOP® Xtra with ErgoCONTACT)</v>
          </cell>
          <cell r="B8211" t="str">
            <v>14624(Connector PowerTOP® Xtra with ErgoCONTACT)</v>
          </cell>
          <cell r="C8211" t="str">
            <v>MENNEKES</v>
          </cell>
          <cell r="D8211" t="str">
            <v>MENNEKES</v>
          </cell>
        </row>
        <row r="8212">
          <cell r="A8212" t="str">
            <v>10087 (Grounding type receptacle 15A,2P+E,IP44(US Schuko))</v>
          </cell>
          <cell r="B8212" t="str">
            <v>10087(Grounding type receptacle 15A,2P+E,IP44(US Schuko))</v>
          </cell>
          <cell r="C8212" t="str">
            <v>MENNEKES</v>
          </cell>
          <cell r="D8212" t="str">
            <v>MENNEKES</v>
          </cell>
        </row>
        <row r="8213">
          <cell r="A8213" t="str">
            <v>1983 (High Performance Panel Mounted Inlet 125A 5Pin)</v>
          </cell>
          <cell r="B8213" t="str">
            <v>1983(High Performance Panel Mounted Inlet 125A 5Pin)</v>
          </cell>
          <cell r="C8213" t="str">
            <v>MENNEKES</v>
          </cell>
          <cell r="D8213" t="str">
            <v>MENNEKES</v>
          </cell>
        </row>
        <row r="8214">
          <cell r="A8214" t="str">
            <v>1492 (IP44 Blue Panel Mount 3P Angled Industrial Power Socket, Rated At 32.0A, 230.0 V)</v>
          </cell>
          <cell r="B8214" t="str">
            <v>1492(IP44 Blue Panel Mount 3P Angled Industrial Power Socket, Rated At 32.0A, 230.0 V)</v>
          </cell>
          <cell r="C8214" t="str">
            <v>MENNEKES</v>
          </cell>
          <cell r="D8214" t="str">
            <v>MENNEKES</v>
          </cell>
        </row>
        <row r="8215">
          <cell r="A8215" t="str">
            <v>344 (IP44 Blue Wall Mount 3P 25 ° Industrial Power Plug, Rated At 32A, 230 V)</v>
          </cell>
          <cell r="B8215" t="str">
            <v>344(IP44 Blue Wall Mount 3P 25 ° Industrial Power Plug, Rated At 32A, 230 V)</v>
          </cell>
          <cell r="C8215" t="str">
            <v>MENNEKES</v>
          </cell>
          <cell r="D8215" t="str">
            <v>MENNEKES</v>
          </cell>
        </row>
        <row r="8216">
          <cell r="A8216" t="str">
            <v>10082 (Mennakes Wall Mount Plug 2P 16Amps Schuko Blue)</v>
          </cell>
          <cell r="B8216" t="str">
            <v>10082(Mennakes Wall Mount Plug 2P 16Amps Schuko Blue)</v>
          </cell>
          <cell r="C8216" t="str">
            <v>MENNEKES</v>
          </cell>
          <cell r="D8216" t="str">
            <v>MENNEKES</v>
          </cell>
        </row>
        <row r="8217">
          <cell r="A8217" t="str">
            <v>1399 (Mennekes 1399 32A4P 6H400V cultivation box TA, IP44)</v>
          </cell>
          <cell r="B8217" t="str">
            <v>1399(Mennekes 1399 32A4P 6H400V cultivation box TA, IP44)</v>
          </cell>
          <cell r="C8217" t="str">
            <v>MENNEKES</v>
          </cell>
          <cell r="D8217" t="str">
            <v>MENNEKES</v>
          </cell>
        </row>
        <row r="8218">
          <cell r="A8218" t="str">
            <v>27008 (MENNEKES 32A Red 5 Pole Industrial Power Socket, 400V, IP44)</v>
          </cell>
          <cell r="B8218" t="str">
            <v>27008(MENNEKES 32A Red 5 Pole Industrial Power Socket, 400V, IP44)</v>
          </cell>
          <cell r="C8218" t="str">
            <v>MENNEKES</v>
          </cell>
          <cell r="D8218" t="str">
            <v>MENNEKES</v>
          </cell>
        </row>
        <row r="8219">
          <cell r="A8219" t="str">
            <v>5692A (MENNEKES 415V 125A 3PN+E SWITCHED SOCKET)</v>
          </cell>
          <cell r="B8219" t="str">
            <v>5692A(MENNEKES 415V 125A 3PN+E SWITCHED SOCKET)</v>
          </cell>
          <cell r="C8219" t="str">
            <v>MENNEKES</v>
          </cell>
          <cell r="D8219" t="str">
            <v>MENNEKES</v>
          </cell>
        </row>
        <row r="8220">
          <cell r="A8220" t="str">
            <v>834 (Mennekes 834 – Recessed Plug Straight 32 A 5 Poles 400 V)</v>
          </cell>
          <cell r="B8220" t="str">
            <v>834(Mennekes 834 – Recessed Plug Straight 32 A 5 Poles 400 V)</v>
          </cell>
          <cell r="C8220" t="str">
            <v>MENNEKES</v>
          </cell>
          <cell r="D8220" t="str">
            <v>MENNEKES</v>
          </cell>
        </row>
        <row r="8221">
          <cell r="A8221" t="str">
            <v>9561 (MENNEKES 9561, Grey, 4P, 500 V, 50-60 Hz, 32 A)</v>
          </cell>
          <cell r="B8221" t="str">
            <v>9561(MENNEKES 9561, Grey, 4P, 500 V, 50-60 Hz, 32 A)</v>
          </cell>
          <cell r="C8221" t="str">
            <v>MENNEKES</v>
          </cell>
          <cell r="D8221" t="str">
            <v>MENNEKES</v>
          </cell>
        </row>
        <row r="8222">
          <cell r="A8222" t="str">
            <v>264 (MENNEKES, AM-TOP IP44 Red Cable Mount 4P Industrial Power Plug, Rated At 32.0A, 400 V)</v>
          </cell>
          <cell r="B8222" t="str">
            <v>264(MENNEKES, AM-TOP IP44 Red Cable Mount 4P Industrial Power Plug, Rated At 32.0A, 400 V)</v>
          </cell>
          <cell r="C8222" t="str">
            <v>MENNEKES</v>
          </cell>
          <cell r="D8222" t="str">
            <v>MENNEKES</v>
          </cell>
        </row>
        <row r="8223">
          <cell r="A8223" t="str">
            <v>562 (MENNEKES, AM-TOP IP67 Red Cable Mount 5P Industrial Power Socket, Rated At 32.0A, 400 V)</v>
          </cell>
          <cell r="B8223" t="str">
            <v>562(MENNEKES, AM-TOP IP67 Red Cable Mount 5P Industrial Power Socket, Rated At 32.0A, 400 V)</v>
          </cell>
          <cell r="C8223" t="str">
            <v>MENNEKES</v>
          </cell>
          <cell r="D8223" t="str">
            <v>MENNEKES</v>
          </cell>
        </row>
        <row r="8224">
          <cell r="A8224" t="str">
            <v>3306 (Mennekes-angle plug m kink protection, 230V 32A 3-pin 6h 3306)</v>
          </cell>
          <cell r="B8224" t="str">
            <v>3306(Mennekes-angle plug m kink protection, 230V 32A 3-pin 6h 3306)</v>
          </cell>
          <cell r="C8224" t="str">
            <v>MENNEKES</v>
          </cell>
          <cell r="D8224" t="str">
            <v>MENNEKES</v>
          </cell>
        </row>
        <row r="8225">
          <cell r="A8225" t="str">
            <v>3212 (Mennekes CEE Plug 63 A, 2 Pole+E, IP 44, 230 V)</v>
          </cell>
          <cell r="B8225" t="str">
            <v>3212(Mennekes CEE Plug 63 A, 2 Pole+E, IP 44, 230 V)</v>
          </cell>
          <cell r="C8225" t="str">
            <v>MENNEKES</v>
          </cell>
          <cell r="D8225" t="str">
            <v>MENNEKES</v>
          </cell>
        </row>
        <row r="8226">
          <cell r="A8226" t="str">
            <v>1261 (Mennekes CEE Receptacle 63 A, 2 Pole+E, Panel Mounted, IP 44, 230 V)</v>
          </cell>
          <cell r="B8226" t="str">
            <v>1261(Mennekes CEE Receptacle 63 A, 2 Pole+E, Panel Mounted, IP 44, 230 V)</v>
          </cell>
          <cell r="C8226" t="str">
            <v>MENNEKES</v>
          </cell>
          <cell r="D8226" t="str">
            <v>MENNEKES</v>
          </cell>
        </row>
        <row r="8227">
          <cell r="A8227" t="str">
            <v>1496 (MENNEKES IP44 Red Panel Mount 4P Angled Industrial Power Socket, Rated At 32.0A, 400 V)</v>
          </cell>
          <cell r="B8227" t="str">
            <v>1496(MENNEKES IP44 Red Panel Mount 4P Angled Industrial Power Socket, Rated At 32.0A, 400 V)</v>
          </cell>
          <cell r="C8227" t="str">
            <v>MENNEKES</v>
          </cell>
          <cell r="D8227" t="str">
            <v>MENNEKES</v>
          </cell>
        </row>
        <row r="8228">
          <cell r="A8228" t="str">
            <v>21492 (Mennekes Plug AM-TOP 32 A, 4 p, 500 V, 7 h, 50-60 Hz, IP 67, 255 g, DE, VDE)</v>
          </cell>
          <cell r="B8228" t="str">
            <v>21492(Mennekes Plug AM-TOP 32 A, 4 p, 500 V, 7 h, 50-60 Hz, IP 67, 255 g, DE, VDE)</v>
          </cell>
          <cell r="C8228" t="str">
            <v>MENNEKES</v>
          </cell>
          <cell r="D8228" t="str">
            <v>MENNEKES</v>
          </cell>
        </row>
        <row r="8229">
          <cell r="A8229" t="str">
            <v>3381 (MENNEKES, PowerTOP Plus IP67 Red Cable Mount 3P+N+E Industrial Power Plug, Rated At 125.0A, 400 V)</v>
          </cell>
          <cell r="B8229" t="str">
            <v>3381(MENNEKES, PowerTOP Plus IP67 Red Cable Mount 3P+N+E Industrial Power Plug, Rated At 125.0A, 400 V)</v>
          </cell>
          <cell r="C8229" t="str">
            <v>MENNEKES</v>
          </cell>
          <cell r="D8229" t="str">
            <v>MENNEKES</v>
          </cell>
        </row>
        <row r="8230">
          <cell r="A8230" t="str">
            <v>1461 (MENNEKES, TorsionSpringCONTACT IP67 Red Panel Mount 5P Industrial Power Socket, Rated At 125.0A, 400 V)</v>
          </cell>
          <cell r="B8230" t="str">
            <v>1461(MENNEKES, TorsionSpringCONTACT IP67 Red Panel Mount 5P Industrial Power Socket, Rated At 125.0A, 400 V)</v>
          </cell>
          <cell r="C8230" t="str">
            <v>MENNEKES</v>
          </cell>
          <cell r="D8230" t="str">
            <v>MENNEKES</v>
          </cell>
        </row>
        <row r="8231">
          <cell r="A8231" t="str">
            <v>3665 (Panel mounted inlet, 125A3p6h230V IP67)</v>
          </cell>
          <cell r="B8231" t="str">
            <v>3665(Panel mounted inlet, 125A3p6h230V IP67)</v>
          </cell>
          <cell r="C8231" t="str">
            <v>MENNEKES</v>
          </cell>
          <cell r="D8231" t="str">
            <v>MENNEKES</v>
          </cell>
        </row>
        <row r="8232">
          <cell r="A8232" t="str">
            <v>836 (Panel Mounted Inlet, IP 67 Protection, Heat Resistant Nickel Plated Contact, 6 hours Earth Position, 3 Pole, 63 A Current, 230V, Blue)</v>
          </cell>
          <cell r="B8232" t="str">
            <v>836(Panel Mounted Inlet, IP 67 Protection, Heat Resistant Nickel Plated Contact, 6 hours Earth Position, 3 Pole, 63 A Current, 230V, Blue)</v>
          </cell>
          <cell r="C8232" t="str">
            <v>MENNEKES</v>
          </cell>
          <cell r="D8232" t="str">
            <v>MENNEKES</v>
          </cell>
        </row>
        <row r="8233">
          <cell r="A8233" t="str">
            <v>229A (Panel mounted receptacle 32A 110V 3P Socket IP67)</v>
          </cell>
          <cell r="B8233" t="str">
            <v>229A(Panel mounted receptacle 32A 110V 3P Socket IP67)</v>
          </cell>
          <cell r="C8233" t="str">
            <v>MENNEKES</v>
          </cell>
          <cell r="D8233" t="str">
            <v>MENNEKES</v>
          </cell>
        </row>
        <row r="8234">
          <cell r="A8234" t="str">
            <v>1263A (Panel mounted receptacle 63A 110V 3P Socket IP67)</v>
          </cell>
          <cell r="B8234" t="str">
            <v>1263A(Panel mounted receptacle 63A 110V 3P Socket IP67)</v>
          </cell>
          <cell r="C8234" t="str">
            <v>MENNEKES</v>
          </cell>
          <cell r="D8234" t="str">
            <v>MENNEKES</v>
          </cell>
        </row>
        <row r="8235">
          <cell r="A8235" t="str">
            <v>216A (Panel Mounted Socket 125A 5P 6H400V IP67)</v>
          </cell>
          <cell r="B8235" t="str">
            <v>216A(Panel Mounted Socket 125A 5P 6H400V IP67)</v>
          </cell>
          <cell r="C8235" t="str">
            <v>MENNEKES</v>
          </cell>
          <cell r="D8235" t="str">
            <v>MENNEKES</v>
          </cell>
        </row>
        <row r="8236">
          <cell r="A8236" t="str">
            <v>1253 (Panel Mount Inlet Socket 16A 5Pole 440V AC)</v>
          </cell>
          <cell r="B8236" t="str">
            <v>1253(Panel Mount Inlet Socket 16A 5Pole 440V AC)</v>
          </cell>
          <cell r="C8236" t="str">
            <v>MENNEKES</v>
          </cell>
          <cell r="D8236" t="str">
            <v>MENNEKES</v>
          </cell>
        </row>
        <row r="8237">
          <cell r="A8237" t="str">
            <v>13112 (Plug Powertop xtra 63A 400v 5P)</v>
          </cell>
          <cell r="B8237" t="str">
            <v>13112(Plug Powertop xtra 63A 400v 5P)</v>
          </cell>
          <cell r="C8237" t="str">
            <v>MENNEKES</v>
          </cell>
          <cell r="D8237" t="str">
            <v>MENNEKES</v>
          </cell>
        </row>
        <row r="8238">
          <cell r="A8238" t="str">
            <v>550 (Plug with Screw Terminal 16A 5P 400v)</v>
          </cell>
          <cell r="B8238" t="str">
            <v>550(Plug with Screw Terminal 16A 5P 400v)</v>
          </cell>
          <cell r="C8238" t="str">
            <v>MENNEKES</v>
          </cell>
          <cell r="D8238" t="str">
            <v>MENNEKES</v>
          </cell>
        </row>
        <row r="8239">
          <cell r="A8239" t="str">
            <v>14513 (PowerTOP IP44 Blue Cable Mount 3P Industrial Power Socket, Rated At 32A, 230v)</v>
          </cell>
          <cell r="B8239" t="str">
            <v>14513(PowerTOP IP44 Blue Cable Mount 3P Industrial Power Socket, Rated At 32A, 230v)</v>
          </cell>
          <cell r="C8239" t="str">
            <v>MENNEKES</v>
          </cell>
          <cell r="D8239" t="str">
            <v>MENNEKES</v>
          </cell>
        </row>
        <row r="8240">
          <cell r="A8240" t="str">
            <v>3403 (PowerTOP IP67 Blue Cable Mount 2P+E Industrial Power Socket, Rated At 63.0A, 230.0 V)</v>
          </cell>
          <cell r="B8240" t="str">
            <v>3403(PowerTOP IP67 Blue Cable Mount 2P+E Industrial Power Socket, Rated At 63.0A, 230.0 V)</v>
          </cell>
          <cell r="C8240" t="str">
            <v>MENNEKES</v>
          </cell>
          <cell r="D8240" t="str">
            <v>MENNEKES</v>
          </cell>
        </row>
        <row r="8241">
          <cell r="A8241" t="str">
            <v>3325 (PowerTOP Plus IP67 Red Cable Mount 5P Industrial Power Plug, Rated At 63.0A, 400 V)</v>
          </cell>
          <cell r="B8241" t="str">
            <v>3325(PowerTOP Plus IP67 Red Cable Mount 5P Industrial Power Plug, Rated At 63.0A, 400 V)</v>
          </cell>
          <cell r="C8241" t="str">
            <v>MENNEKES</v>
          </cell>
          <cell r="D8241" t="str">
            <v>MENNEKES</v>
          </cell>
        </row>
        <row r="8242">
          <cell r="A8242" t="str">
            <v>3480 (PowerTOP Plus IP67 Red Cable Mount 5P Industrial Power Socket, Rated At 125.0A, 400 V)</v>
          </cell>
          <cell r="B8242" t="str">
            <v>3480(PowerTOP Plus IP67 Red Cable Mount 5P Industrial Power Socket, Rated At 125.0A, 400 V)</v>
          </cell>
          <cell r="C8242" t="str">
            <v>MENNEKES</v>
          </cell>
          <cell r="D8242" t="str">
            <v>MENNEKES</v>
          </cell>
        </row>
        <row r="8243">
          <cell r="A8243" t="str">
            <v>13225 (PowerTOP Xtra 125A 5P6H400V Plug IP67)</v>
          </cell>
          <cell r="B8243" t="str">
            <v>13225(PowerTOP Xtra 125A 5P6H400V Plug IP67)</v>
          </cell>
          <cell r="C8243" t="str">
            <v>MENNEKES</v>
          </cell>
          <cell r="D8243" t="str">
            <v>MENNEKES</v>
          </cell>
        </row>
        <row r="8244">
          <cell r="A8244" t="str">
            <v>3414 (TOMA AEREO 32AMP 2P+T 250V AZUL 6H IP44 (2 CUERPOS) EX 522)</v>
          </cell>
          <cell r="B8244" t="str">
            <v>3414(TOMA AEREO 32AMP 2P+T 250V AZUL 6H IP44 (2 CUERPOS) EX 522)</v>
          </cell>
          <cell r="C8244" t="str">
            <v>MENNEKES</v>
          </cell>
          <cell r="D8244" t="str">
            <v>MENNEKES</v>
          </cell>
        </row>
        <row r="8245">
          <cell r="A8245" t="str">
            <v>7050 (Wall Mounted Socket 16A 3Pole 230V)</v>
          </cell>
          <cell r="B8245" t="str">
            <v>7050(Wall Mounted Socket 16A 3Pole 230V)</v>
          </cell>
          <cell r="C8245" t="str">
            <v>MENNEKES</v>
          </cell>
          <cell r="D8245" t="str">
            <v>MENNEKES</v>
          </cell>
        </row>
        <row r="8246">
          <cell r="A8246" t="str">
            <v>14225 (Wall Mounted Socket 32A)</v>
          </cell>
          <cell r="B8246" t="str">
            <v>14225(Wall Mounted Socket 32A)</v>
          </cell>
          <cell r="C8246" t="str">
            <v>MENNEKES</v>
          </cell>
          <cell r="D8246" t="str">
            <v>MENNEKES</v>
          </cell>
        </row>
        <row r="8247">
          <cell r="A8247" t="str">
            <v>5603306G (Wallm Recept. DUO 32A3P6h 230V IP44)</v>
          </cell>
          <cell r="B8247" t="str">
            <v>5603306G(Wallm Recept. DUO 32A3P6h 230V IP44)</v>
          </cell>
          <cell r="C8247" t="str">
            <v>MENNEKES</v>
          </cell>
          <cell r="D8247" t="str">
            <v>MENNEKES</v>
          </cell>
        </row>
        <row r="8248">
          <cell r="A8248" t="str">
            <v>0027408</v>
          </cell>
          <cell r="B8248" t="str">
            <v>0027408</v>
          </cell>
          <cell r="C8248" t="str">
            <v>OTHER PRODUCTS</v>
          </cell>
          <cell r="D8248" t="str">
            <v>OTHER PRODUCTS</v>
          </cell>
        </row>
        <row r="8249">
          <cell r="A8249" t="str">
            <v>CABLE TIE WITH MARKER (100MM MARKER TIE)</v>
          </cell>
          <cell r="B8249" t="str">
            <v>CABLE TIE WITH MARKER(100MM MARKER TIE)</v>
          </cell>
          <cell r="C8249" t="str">
            <v>OTHER PRODUCTS</v>
          </cell>
          <cell r="D8249" t="str">
            <v>OTHER PRODUCTS</v>
          </cell>
        </row>
        <row r="8250">
          <cell r="A8250" t="str">
            <v>100x50x2mm (100x50x2mm RACEWAY WITH COVER)</v>
          </cell>
          <cell r="B8250" t="str">
            <v>100x50x2mm(100x50x2mm RACEWAY WITH COVER)</v>
          </cell>
          <cell r="C8250" t="str">
            <v>OTHER PRODUCTS</v>
          </cell>
          <cell r="D8250" t="str">
            <v>OTHER PRODUCTS</v>
          </cell>
        </row>
        <row r="8251">
          <cell r="A8251" t="str">
            <v>21011 (10A 1 WAY SWITCH)</v>
          </cell>
          <cell r="B8251" t="str">
            <v>21011(10A 1 WAY SWITCH)</v>
          </cell>
          <cell r="C8251" t="str">
            <v>OTHER PRODUCTS</v>
          </cell>
          <cell r="D8251" t="str">
            <v>OTHER PRODUCTS</v>
          </cell>
        </row>
        <row r="8252">
          <cell r="A8252" t="str">
            <v>21022 (10A 2 WAY SWITCH)</v>
          </cell>
          <cell r="B8252" t="str">
            <v>21022(10A 2 WAY SWITCH)</v>
          </cell>
          <cell r="C8252" t="str">
            <v>OTHER PRODUCTS</v>
          </cell>
          <cell r="D8252" t="str">
            <v>OTHER PRODUCTS</v>
          </cell>
        </row>
        <row r="8253">
          <cell r="A8253" t="str">
            <v>111024 (10 SQ MMX2 CORE ARMD ALUM. INDL. CABLE 1.1 KV GR)</v>
          </cell>
          <cell r="B8253" t="str">
            <v>111024(10 SQ MMX2 CORE ARMD ALUM. INDL. CABLE 1.1 KV GR)</v>
          </cell>
          <cell r="C8253" t="str">
            <v>OTHER PRODUCTS</v>
          </cell>
          <cell r="D8253" t="str">
            <v>OTHER PRODUCTS</v>
          </cell>
        </row>
        <row r="8254">
          <cell r="A8254" t="str">
            <v>111073 (10 SQ.MM X 4 CORE_x000D_
ARMD ALUM.INDL.CABLE 1.1KVGR_x000D_
Cat Ref : LVIS09AXSFY2004C010SA004S)</v>
          </cell>
          <cell r="B8254" t="str">
            <v>111073(10 SQ.MM X 4 CORE_x000D_
ARMD ALUM.INDL.CABLE 1.1KVGR_x000D_
Cat Ref : LVIS09AXSFY2004C010SA004S)</v>
          </cell>
          <cell r="C8254" t="str">
            <v>OTHER PRODUCTS</v>
          </cell>
          <cell r="D8254" t="str">
            <v>OTHER PRODUCTS</v>
          </cell>
        </row>
        <row r="8255">
          <cell r="A8255" t="str">
            <v>INDOOR KIT (11KV 3CX95SQMM INDOOR TERMINATION KIT)</v>
          </cell>
          <cell r="B8255" t="str">
            <v>INDOOR KIT(11KV 3CX95SQMM INDOOR TERMINATION KIT)</v>
          </cell>
          <cell r="C8255" t="str">
            <v>OTHER PRODUCTS</v>
          </cell>
          <cell r="D8255" t="str">
            <v>OTHER PRODUCTS</v>
          </cell>
        </row>
        <row r="8256">
          <cell r="A8256" t="str">
            <v>OUTDOOR KIT (11KV 3CX95SQMM OUTDOOR TERMINATION KIT)</v>
          </cell>
          <cell r="B8256" t="str">
            <v>OUTDOOR KIT(11KV 3CX95SQMM OUTDOOR TERMINATION KIT)</v>
          </cell>
          <cell r="C8256" t="str">
            <v>OTHER PRODUCTS</v>
          </cell>
          <cell r="D8256" t="str">
            <v>OTHER PRODUCTS</v>
          </cell>
        </row>
        <row r="8257">
          <cell r="A8257" t="str">
            <v>HEX HAS-257 (120 Sqmm Alu Ring Type Lugs)</v>
          </cell>
          <cell r="B8257" t="str">
            <v>HEX HAS-257(120 Sqmm Alu Ring Type Lugs)</v>
          </cell>
          <cell r="C8257" t="str">
            <v>OTHER PRODUCTS</v>
          </cell>
          <cell r="D8257" t="str">
            <v>OTHER PRODUCTS</v>
          </cell>
        </row>
        <row r="8258">
          <cell r="A8258" t="str">
            <v>111062 (120 SQ. MM X 3.5 CORE ARMD ALUM. INDL. CABLE 1.1KVGR_x000D_
)</v>
          </cell>
          <cell r="B8258" t="str">
            <v>111062(120 SQ. MM X 3.5 CORE ARMD ALUM. INDL. CABLE 1.1KVGR_x000D_
)</v>
          </cell>
          <cell r="C8258" t="str">
            <v>OTHER PRODUCTS</v>
          </cell>
          <cell r="D8258" t="str">
            <v>OTHER PRODUCTS</v>
          </cell>
        </row>
        <row r="8259">
          <cell r="A8259" t="str">
            <v>111362 (120 SQMM X 3.5 CORE FRLS ARMD ALUM INDL CABLE 1.1KV)</v>
          </cell>
          <cell r="B8259" t="str">
            <v>111362(120 SQMM X 3.5 CORE FRLS ARMD ALUM INDL CABLE 1.1KV)</v>
          </cell>
          <cell r="C8259" t="str">
            <v>OTHER PRODUCTS</v>
          </cell>
          <cell r="D8259" t="str">
            <v>OTHER PRODUCTS</v>
          </cell>
        </row>
        <row r="8260">
          <cell r="A8260" t="str">
            <v>12.5M Highmast (12.5 Mtr Highmast with all accessories. Base Plate round plate 500x25MM with Gland plate. Foundation bolt M25x900MM long x 6 nos.  _x000D_
)</v>
          </cell>
          <cell r="B8260" t="str">
            <v>12.5M Highmast(12.5 Mtr Highmast with all accessories. Base Plate round plate 500x25MM with Gland plate. Foundation bolt M25x900MM long x 6 nos. _x000D_
)</v>
          </cell>
          <cell r="C8260" t="str">
            <v>OTHER PRODUCTS</v>
          </cell>
          <cell r="D8260" t="str">
            <v>OTHER PRODUCTS</v>
          </cell>
        </row>
        <row r="8261">
          <cell r="A8261" t="str">
            <v>L681308 (12M Plate White)</v>
          </cell>
          <cell r="B8261" t="str">
            <v>L681308(12M Plate White)</v>
          </cell>
          <cell r="C8261" t="str">
            <v>OTHER PRODUCTS</v>
          </cell>
          <cell r="D8261" t="str">
            <v>OTHER PRODUCTS</v>
          </cell>
        </row>
        <row r="8262">
          <cell r="A8262" t="str">
            <v>30271 (12M TRESA PLATE)</v>
          </cell>
          <cell r="B8262" t="str">
            <v>30271(12M TRESA PLATE)</v>
          </cell>
          <cell r="C8262" t="str">
            <v>OTHER PRODUCTS</v>
          </cell>
          <cell r="D8262" t="str">
            <v>OTHER PRODUCTS</v>
          </cell>
        </row>
        <row r="8263">
          <cell r="A8263" t="str">
            <v>638112-1 (1441636 PIN-CONNECTOR)</v>
          </cell>
          <cell r="B8263" t="str">
            <v>638112-1(1441636 PIN-CONNECTOR)</v>
          </cell>
          <cell r="C8263" t="str">
            <v>OTHER PRODUCTS</v>
          </cell>
          <cell r="D8263" t="str">
            <v>OTHER PRODUCTS</v>
          </cell>
        </row>
        <row r="8264">
          <cell r="A8264" t="str">
            <v>117125 (150x1C BK FR PVC Flexible Cable)</v>
          </cell>
          <cell r="B8264" t="str">
            <v>117125(150x1C BK FR PVC Flexible Cable)</v>
          </cell>
          <cell r="C8264" t="str">
            <v>OTHER PRODUCTS</v>
          </cell>
          <cell r="D8264" t="str">
            <v>OTHER PRODUCTS</v>
          </cell>
        </row>
        <row r="8265">
          <cell r="A8265" t="str">
            <v>11886502 (1.5 (22/ .3 ) FR - HV GREEN (C300))</v>
          </cell>
          <cell r="B8265" t="str">
            <v>11886502(1.5(22/ .3 ) FR - HV GREEN(C300))</v>
          </cell>
          <cell r="C8265" t="str">
            <v>OTHER PRODUCTS</v>
          </cell>
          <cell r="D8265" t="str">
            <v>OTHER PRODUCTS</v>
          </cell>
        </row>
        <row r="8266">
          <cell r="A8266" t="str">
            <v>2Cx1.5sqnn Arm LTXLPE FRLS (1.5Sqmm x 2Core 1.1kV Grade Stranded Copper Conductor Arm LT XLPE FRLS Cable)</v>
          </cell>
          <cell r="B8266" t="str">
            <v>2Cx1.5sqnn Arm LTXLPE FRLS(1.5Sqmm x 2Core 1.1kV Grade Stranded Copper Conductor Arm LT XLPE FRLS Cable)</v>
          </cell>
          <cell r="C8266" t="str">
            <v>OTHER PRODUCTS</v>
          </cell>
          <cell r="D8266" t="str">
            <v>OTHER PRODUCTS</v>
          </cell>
        </row>
        <row r="8267">
          <cell r="A8267" t="str">
            <v>113309 (1.5 SQMM X 2CORE ARMD COPP. INDL. FAS CABLE RED)</v>
          </cell>
          <cell r="B8267" t="str">
            <v>113309(1.5 SQMM X 2CORE ARMD COPP. INDL. FAS CABLE RED)</v>
          </cell>
          <cell r="C8267" t="str">
            <v>OTHER PRODUCTS</v>
          </cell>
          <cell r="D8267" t="str">
            <v>OTHER PRODUCTS</v>
          </cell>
        </row>
        <row r="8268">
          <cell r="A8268" t="str">
            <v>2Cx1.5sqmm FRLS (1.5Sqmm x 2Core PVC Insulated Multi Stranded Copper Flexible FRLS Cable)</v>
          </cell>
          <cell r="B8268" t="str">
            <v>2Cx1.5sqmm FRLS(1.5Sqmm x 2Core PVC Insulated Multi Stranded Copper Flexible FRLS Cable)</v>
          </cell>
          <cell r="C8268" t="str">
            <v>OTHER PRODUCTS</v>
          </cell>
          <cell r="D8268" t="str">
            <v>OTHER PRODUCTS</v>
          </cell>
        </row>
        <row r="8269">
          <cell r="A8269" t="str">
            <v>1.5sqmmX2Core Shielded Copper Armed Cable</v>
          </cell>
          <cell r="B8269" t="str">
            <v>1.5sqmmX2Core Shielded Copper Armed Cable</v>
          </cell>
          <cell r="C8269" t="str">
            <v>OTHER PRODUCTS</v>
          </cell>
          <cell r="D8269" t="str">
            <v>OTHER PRODUCTS</v>
          </cell>
        </row>
        <row r="8270">
          <cell r="A8270" t="str">
            <v>3Cx1.5 Copper Arm LTXLPE (1.5Sqmm x 3.5Core 1.1kV Grade Solid Copper Conductor Arm LT XLPE Cable)</v>
          </cell>
          <cell r="B8270" t="str">
            <v>3Cx1.5 Copper Arm LTXLPE(1.5Sqmm x 3.5Core 1.1kV Grade Solid Copper Conductor Arm LT XLPE Cable)</v>
          </cell>
          <cell r="C8270" t="str">
            <v>OTHER PRODUCTS</v>
          </cell>
          <cell r="D8270" t="str">
            <v>OTHER PRODUCTS</v>
          </cell>
        </row>
        <row r="8271">
          <cell r="A8271" t="str">
            <v>1.5sqmmx3C Shielded Copper Armed Cable</v>
          </cell>
          <cell r="B8271" t="str">
            <v>1.5sqmmx3C Shielded Copper Armed Cable</v>
          </cell>
          <cell r="C8271" t="str">
            <v>OTHER PRODUCTS</v>
          </cell>
          <cell r="D8271" t="str">
            <v>OTHER PRODUCTS</v>
          </cell>
        </row>
        <row r="8272">
          <cell r="A8272" t="str">
            <v>1.5sqmmX4Core Shilded Armed Cable</v>
          </cell>
          <cell r="B8272" t="str">
            <v>1.5sqmmX4Core Shilded Armed Cable</v>
          </cell>
          <cell r="C8272" t="str">
            <v>OTHER PRODUCTS</v>
          </cell>
          <cell r="D8272" t="str">
            <v>OTHER PRODUCTS</v>
          </cell>
        </row>
        <row r="8273">
          <cell r="A8273" t="str">
            <v>11951011 (16/.2(0.5)X2C_x000D_
OVERALL SHIELDED SCREENED BMS_x000D_
CABLE_x000D_
Cat Ref :_x000D_
ICBS04CYUAYL002C0.5SA003S)</v>
          </cell>
          <cell r="B8273" t="str">
            <v>11951011(16/.2(0.5)X2C_x000D_
OVERALL SHIELDED SCREENED BMS_x000D_
CABLE_x000D_
Cat Ref :_x000D_
ICBS04CYUAYL002C0.5SA003S)</v>
          </cell>
          <cell r="C8273" t="str">
            <v>OTHER PRODUCTS</v>
          </cell>
          <cell r="D8273" t="str">
            <v>OTHER PRODUCTS</v>
          </cell>
        </row>
        <row r="8274">
          <cell r="A8274" t="str">
            <v>L681105 (16A SWITCH W/i L)</v>
          </cell>
          <cell r="B8274" t="str">
            <v>L681105(16A SWITCH W/i L)</v>
          </cell>
          <cell r="C8274" t="str">
            <v>OTHER PRODUCTS</v>
          </cell>
          <cell r="D8274" t="str">
            <v>OTHER PRODUCTS</v>
          </cell>
        </row>
        <row r="8275">
          <cell r="A8275" t="str">
            <v>L681309 (16M Plate White)</v>
          </cell>
          <cell r="B8275" t="str">
            <v>L681309(16M Plate White)</v>
          </cell>
          <cell r="C8275" t="str">
            <v>OTHER PRODUCTS</v>
          </cell>
          <cell r="D8275" t="str">
            <v>OTHER PRODUCTS</v>
          </cell>
        </row>
        <row r="8276">
          <cell r="A8276" t="str">
            <v>34680 (16M TRESA PLATE)</v>
          </cell>
          <cell r="B8276" t="str">
            <v>34680(16M TRESA PLATE)</v>
          </cell>
          <cell r="C8276" t="str">
            <v>OTHER PRODUCTS</v>
          </cell>
          <cell r="D8276" t="str">
            <v>OTHER PRODUCTS</v>
          </cell>
        </row>
        <row r="8277">
          <cell r="A8277" t="str">
            <v>16MTRHIGH_x000D_
MASTHEAD_x000D_
FRAMELATIN_x000D_
GARAGE10_x000D_
LIGHTS_x000D_
M25X850MM_x000D_
BOLTWITH_x000D_
ACCESSORIES_x000D_
3PHASEPANEL_x000D_
BOARD._x000D_</v>
          </cell>
          <cell r="B8277" t="str">
            <v>16MTRHIGH_x000D_
MASTHEAD_x000D_
FRAMELATIN_x000D_
GARAGE10_x000D_
LIGHTS_x000D_
M25X850MM_x000D_
BOLTWITH_x000D_
ACCESSORIES_x000D_
3PHASEPANEL_x000D_
BOARD._x000D_</v>
          </cell>
          <cell r="C8277" t="str">
            <v>OTHER PRODUCTS</v>
          </cell>
          <cell r="D8277" t="str">
            <v>OTHER PRODUCTS</v>
          </cell>
        </row>
        <row r="8278">
          <cell r="A8278" t="str">
            <v>111074 (16 SQ.MM X 4 CORE_x000D_
ARMD ALUM.INDL.CABLE 1.1KVGR_x000D_
Cat Ref : LVIS09AXSFY2004C016SA002S)</v>
          </cell>
          <cell r="B8278" t="str">
            <v>111074(16 SQ.MM X 4 CORE_x000D_
ARMD ALUM.INDL.CABLE 1.1KVGR_x000D_
Cat Ref : LVIS09AXSFY2004C016SA002S)</v>
          </cell>
          <cell r="C8278" t="str">
            <v>OTHER PRODUCTS</v>
          </cell>
          <cell r="D8278" t="str">
            <v>OTHER PRODUCTS</v>
          </cell>
        </row>
        <row r="8279">
          <cell r="A8279" t="str">
            <v>113046 (16 SQ.MM X 4 CORE ARMD COPPER INDL.CABLE 1.1KVGR)</v>
          </cell>
          <cell r="B8279" t="str">
            <v>113046(16 SQ.MM X 4 CORE ARMD COPPER INDL.CABLE 1.1KVGR)</v>
          </cell>
          <cell r="C8279" t="str">
            <v>OTHER PRODUCTS</v>
          </cell>
          <cell r="D8279" t="str">
            <v>OTHER PRODUCTS</v>
          </cell>
        </row>
        <row r="8280">
          <cell r="A8280" t="str">
            <v>EARTHING SET (17.2mm Dia, 2m Long Cu Bonded Earth Electrode)</v>
          </cell>
          <cell r="B8280" t="str">
            <v>EARTHING SET(17.2mm Dia, 2m Long Cu Bonded Earth Electrode)</v>
          </cell>
          <cell r="C8280" t="str">
            <v>OTHER PRODUCTS</v>
          </cell>
          <cell r="D8280" t="str">
            <v>OTHER PRODUCTS</v>
          </cell>
        </row>
        <row r="8281">
          <cell r="A8281" t="str">
            <v>Omega Earthing (17.2mm Dia Cu Bonded 250 Micron 3 Meter Length with Suitable SS Clamp &amp; 25 kgs Omega Enhancement backfill Compound)</v>
          </cell>
          <cell r="B8281" t="str">
            <v>Omega Earthing(17.2mm Dia Cu Bonded 250 Micron 3 Meter Length with Suitable SS Clamp &amp; 25 kgs Omega Enhancement backfill Compound)</v>
          </cell>
          <cell r="C8281" t="str">
            <v>OTHER PRODUCTS</v>
          </cell>
          <cell r="D8281" t="str">
            <v>OTHER PRODUCTS</v>
          </cell>
        </row>
        <row r="8282">
          <cell r="A8282" t="str">
            <v>111064 (185 SQ MMX3.5 CORE ARMD ALUM. INDL. CABLE 1.1KVGR)</v>
          </cell>
          <cell r="B8282" t="str">
            <v>111064(185 SQ MMX3.5 CORE ARMD ALUM. INDL. CABLE 1.1KVGR)</v>
          </cell>
          <cell r="C8282" t="str">
            <v>OTHER PRODUCTS</v>
          </cell>
          <cell r="D8282" t="str">
            <v>OTHER PRODUCTS</v>
          </cell>
        </row>
        <row r="8283">
          <cell r="A8283" t="str">
            <v>111364 (185 SQMM X 3.5 CORE FRLS ARMD ALUM INDL CABLE 1.1KV)</v>
          </cell>
          <cell r="B8283" t="str">
            <v>111364(185 SQMM X 3.5 CORE FRLS ARMD ALUM INDL CABLE 1.1KV)</v>
          </cell>
          <cell r="C8283" t="str">
            <v>OTHER PRODUCTS</v>
          </cell>
          <cell r="D8283" t="str">
            <v>OTHER PRODUCTS</v>
          </cell>
        </row>
        <row r="8284">
          <cell r="A8284" t="str">
            <v>L681310 (18M Plate White)</v>
          </cell>
          <cell r="B8284" t="str">
            <v>L681310(18M Plate White)</v>
          </cell>
          <cell r="C8284" t="str">
            <v>OTHER PRODUCTS</v>
          </cell>
          <cell r="D8284" t="str">
            <v>OTHER PRODUCTS</v>
          </cell>
        </row>
        <row r="8285">
          <cell r="A8285" t="str">
            <v>CABLE TIE WITH MARKER BK (200MM CABLE TIE KSS)</v>
          </cell>
          <cell r="B8285" t="str">
            <v>CABLE TIE WITH MARKER BK(200MM CABLE TIE KSS)</v>
          </cell>
          <cell r="C8285" t="str">
            <v>OTHER PRODUCTS</v>
          </cell>
          <cell r="D8285" t="str">
            <v>OTHER PRODUCTS</v>
          </cell>
        </row>
        <row r="8286">
          <cell r="A8286" t="str">
            <v>L572063 (20A SWITCH W/I ART)</v>
          </cell>
          <cell r="B8286" t="str">
            <v>L572063(20A SWITCH W/I ART)</v>
          </cell>
          <cell r="C8286" t="str">
            <v>OTHER PRODUCTS</v>
          </cell>
          <cell r="D8286" t="str">
            <v>OTHER PRODUCTS</v>
          </cell>
        </row>
        <row r="8287">
          <cell r="A8287" t="str">
            <v>30828 (20A TWIN SOCKET)</v>
          </cell>
          <cell r="B8287" t="str">
            <v>30828(20A TWIN SOCKET)</v>
          </cell>
          <cell r="C8287" t="str">
            <v>OTHER PRODUCTS</v>
          </cell>
          <cell r="D8287" t="str">
            <v>OTHER PRODUCTS</v>
          </cell>
        </row>
        <row r="8288">
          <cell r="A8288" t="str">
            <v>20mm Plastic Flexible Pipe</v>
          </cell>
          <cell r="B8288" t="str">
            <v>20mm Plastic Flexible Pipe</v>
          </cell>
          <cell r="C8288" t="str">
            <v>OTHER PRODUCTS</v>
          </cell>
          <cell r="D8288" t="str">
            <v>OTHER PRODUCTS</v>
          </cell>
        </row>
        <row r="8289">
          <cell r="A8289" t="str">
            <v>21590 Neptune Make 63A 5Pin Plug</v>
          </cell>
          <cell r="B8289" t="str">
            <v>21590(21590 Neptune Make 63A 5Pin Plug)</v>
          </cell>
          <cell r="C8289" t="str">
            <v>OTHER PRODUCTS</v>
          </cell>
          <cell r="D8289" t="str">
            <v>OTHER PRODUCTS</v>
          </cell>
        </row>
        <row r="8290">
          <cell r="A8290" t="str">
            <v>111065 (240 SQ MM X 3.5 CORE ARMD ALUM INDL CABLE 1.1KVGR)</v>
          </cell>
          <cell r="B8290" t="str">
            <v>111065(240 SQ MM X 3.5 CORE ARMD ALUM INDL CABLE 1.1KVGR)</v>
          </cell>
          <cell r="C8290" t="str">
            <v>OTHER PRODUCTS</v>
          </cell>
          <cell r="D8290" t="str">
            <v>OTHER PRODUCTS</v>
          </cell>
        </row>
        <row r="8291">
          <cell r="A8291" t="str">
            <v>111083 (240sqmm x 4Core Armd Alum. Indl Cable 1.1KVGR)</v>
          </cell>
          <cell r="B8291" t="str">
            <v>111083(240sqmm x 4Core Armd Alum. Indl Cable 1.1KVGR)</v>
          </cell>
          <cell r="C8291" t="str">
            <v>OTHER PRODUCTS</v>
          </cell>
          <cell r="D8291" t="str">
            <v>OTHER PRODUCTS</v>
          </cell>
        </row>
        <row r="8292">
          <cell r="A8292" t="str">
            <v>24X0.5 SQ MM</v>
          </cell>
          <cell r="B8292" t="str">
            <v>24X0.5 SQ MM</v>
          </cell>
          <cell r="C8292" t="str">
            <v>OTHER PRODUCTS</v>
          </cell>
          <cell r="D8292" t="str">
            <v>OTHER PRODUCTS</v>
          </cell>
        </row>
        <row r="8293">
          <cell r="A8293" t="str">
            <v>11887302 (2.5 ( 36/ .3 ) FR - HV Black ( C300 ))</v>
          </cell>
          <cell r="B8293" t="str">
            <v>11887302(2.5( 36/ .3 ) FR - HV Black( C300 ))</v>
          </cell>
          <cell r="C8293" t="str">
            <v>OTHER PRODUCTS</v>
          </cell>
          <cell r="D8293" t="str">
            <v>OTHER PRODUCTS</v>
          </cell>
        </row>
        <row r="8294">
          <cell r="A8294" t="str">
            <v>11887002 (2.5 ( 36/.3) FR HV - RED ( C 300 ))</v>
          </cell>
          <cell r="B8294" t="str">
            <v>11887002(2.5( 36/.3) FR HV - RED( C 300 ))</v>
          </cell>
          <cell r="C8294" t="str">
            <v>OTHER PRODUCTS</v>
          </cell>
          <cell r="D8294" t="str">
            <v>OTHER PRODUCTS</v>
          </cell>
        </row>
        <row r="8295">
          <cell r="A8295" t="str">
            <v>BE425Y (25A 100MA 4P ADD-ON- BLOCK)</v>
          </cell>
          <cell r="B8295" t="str">
            <v>BE425Y(25A 100MA 4P ADD-ON- BLOCK)</v>
          </cell>
          <cell r="C8295" t="str">
            <v>OTHER PRODUCTS</v>
          </cell>
          <cell r="D8295" t="str">
            <v>OTHER PRODUCTS</v>
          </cell>
        </row>
        <row r="8296">
          <cell r="A8296" t="str">
            <v>111057 (25 SQ.MM X 3.5_x000D_
CORE ARMD ALUM.INDL.CABLE_x000D_
1.1KVGR)</v>
          </cell>
          <cell r="B8296" t="str">
            <v>111057(25 SQ.MM X 3.5_x000D_
CORE ARMD ALUM.INDL.CABLE_x000D_
1.1KVGR)</v>
          </cell>
          <cell r="C8296" t="str">
            <v>OTHER PRODUCTS</v>
          </cell>
          <cell r="D8296" t="str">
            <v>OTHER PRODUCTS</v>
          </cell>
        </row>
        <row r="8297">
          <cell r="A8297" t="str">
            <v>113028 (25SQ. MMX3.5CORE ARMD COPPER INDL CABLE 1.1KVGR)</v>
          </cell>
          <cell r="B8297" t="str">
            <v>113028(25SQ. MMX3.5CORE ARMD COPPER INDL CABLE 1.1KVGR)</v>
          </cell>
          <cell r="C8297" t="str">
            <v>OTHER PRODUCTS</v>
          </cell>
          <cell r="D8297" t="str">
            <v>OTHER PRODUCTS</v>
          </cell>
        </row>
        <row r="8298">
          <cell r="A8298" t="str">
            <v>111039 (2.5 SQ.MM X 3 CORE_x000D_
ARMD ALUM.INDL.CABLE 1.1KVGR)</v>
          </cell>
          <cell r="B8298" t="str">
            <v>111039(2.5 SQ.MM X 3 CORE_x000D_
ARMD ALUM.INDL.CABLE 1.1KVGR)</v>
          </cell>
          <cell r="C8298" t="str">
            <v>OTHER PRODUCTS</v>
          </cell>
          <cell r="D8298" t="str">
            <v>OTHER PRODUCTS</v>
          </cell>
        </row>
        <row r="8299">
          <cell r="A8299" t="str">
            <v>113242 (2.5 SQ.MM X 4CORE_x000D_
ARMD COPPER INDL.CABLE 1.1KVGR)</v>
          </cell>
          <cell r="B8299" t="str">
            <v>113242(2.5 SQ.MM X 4CORE_x000D_
ARMD COPPER INDL.CABLE 1.1KVGR)</v>
          </cell>
          <cell r="C8299" t="str">
            <v>OTHER PRODUCTS</v>
          </cell>
          <cell r="D8299" t="str">
            <v>OTHER PRODUCTS</v>
          </cell>
        </row>
        <row r="8300">
          <cell r="A8300" t="str">
            <v>11107501 (25 SqmmX 4Core Armd Alum Indl Cable 1.1KVGR)</v>
          </cell>
          <cell r="B8300" t="str">
            <v>11107501(25 SqmmX 4Core Armd Alum Indl Cable 1.1KVGR)</v>
          </cell>
          <cell r="C8300" t="str">
            <v>OTHER PRODUCTS</v>
          </cell>
          <cell r="D8300" t="str">
            <v>OTHER PRODUCTS</v>
          </cell>
        </row>
        <row r="8301">
          <cell r="A8301" t="str">
            <v>113047 (25 SQ.MM X 4CORE ARMD COPPER INDL.CABLE 1.1KVGR)</v>
          </cell>
          <cell r="B8301" t="str">
            <v>113047(25 SQ.MM X 4CORE ARMD COPPER INDL.CABLE 1.1KVGR)</v>
          </cell>
          <cell r="C8301" t="str">
            <v>OTHER PRODUCTS</v>
          </cell>
          <cell r="D8301" t="str">
            <v>OTHER PRODUCTS</v>
          </cell>
        </row>
        <row r="8302">
          <cell r="A8302" t="str">
            <v>27408</v>
          </cell>
          <cell r="B8302" t="str">
            <v>27408</v>
          </cell>
          <cell r="C8302" t="str">
            <v>OTHER PRODUCTS</v>
          </cell>
          <cell r="D8302" t="str">
            <v>OTHER PRODUCTS</v>
          </cell>
        </row>
        <row r="8303">
          <cell r="A8303" t="str">
            <v>AAO2-BI (2A 550V AC BS88 Fuse)</v>
          </cell>
          <cell r="B8303" t="str">
            <v>AAO2-BI(2A 550V AC BS88 Fuse)</v>
          </cell>
          <cell r="C8303" t="str">
            <v>OTHER PRODUCTS</v>
          </cell>
          <cell r="D8303" t="str">
            <v>OTHER PRODUCTS</v>
          </cell>
        </row>
        <row r="8304">
          <cell r="A8304" t="str">
            <v>Armd FRLS 2C1.5Sqmm (2CX1.5Sqmm Cu Armd FRLS Cable - KEI)</v>
          </cell>
          <cell r="B8304" t="str">
            <v>Armd FRLS 2C1.5Sqmm(2CX1.5Sqmm Cu Armd FRLS Cable - KEI)</v>
          </cell>
          <cell r="C8304" t="str">
            <v>OTHER PRODUCTS</v>
          </cell>
          <cell r="D8304" t="str">
            <v>OTHER PRODUCTS</v>
          </cell>
        </row>
        <row r="8305">
          <cell r="A8305" t="str">
            <v>L573412 (2M 32A DP SWITCH)</v>
          </cell>
          <cell r="B8305" t="str">
            <v>L573412(2M 32A DP SWITCH)</v>
          </cell>
          <cell r="C8305" t="str">
            <v>OTHER PRODUCTS</v>
          </cell>
          <cell r="D8305" t="str">
            <v>OTHER PRODUCTS</v>
          </cell>
        </row>
        <row r="8306">
          <cell r="A8306" t="str">
            <v>L681301 (2M Plate White)</v>
          </cell>
          <cell r="B8306" t="str">
            <v>L681301(2M Plate White)</v>
          </cell>
          <cell r="C8306" t="str">
            <v>OTHER PRODUCTS</v>
          </cell>
          <cell r="D8306" t="str">
            <v>OTHER PRODUCTS</v>
          </cell>
        </row>
        <row r="8307">
          <cell r="A8307" t="str">
            <v>30227 (2M TRESA PLATE)</v>
          </cell>
          <cell r="B8307" t="str">
            <v>30227(2M TRESA PLATE)</v>
          </cell>
          <cell r="C8307" t="str">
            <v>OTHER PRODUCTS</v>
          </cell>
          <cell r="D8307" t="str">
            <v>OTHER PRODUCTS</v>
          </cell>
        </row>
        <row r="8308">
          <cell r="A8308" t="str">
            <v>FINOLEX TELE (2 PAIR TELEPHONE CABLE)</v>
          </cell>
          <cell r="B8308" t="str">
            <v>FINOLEX TELE(2 PAIR TELEPHONE CABLE)</v>
          </cell>
          <cell r="C8308" t="str">
            <v>OTHER PRODUCTS</v>
          </cell>
          <cell r="D8308" t="str">
            <v>OTHER PRODUCTS</v>
          </cell>
        </row>
        <row r="8309">
          <cell r="A8309" t="str">
            <v xml:space="preserve">2 Runs of 2.5+1 run 1.5sq.mm Copper Wire in 20mm dia Flexible Hose Pipe_x000D_
</v>
          </cell>
          <cell r="B8309" t="str">
            <v xml:space="preserve">2 Runs of 2.5+1 run 1.5sq.mm Copper Wire in 20mm dia Flexible Hose Pipe_x000D_
</v>
          </cell>
          <cell r="C8309" t="str">
            <v>OTHER PRODUCTS</v>
          </cell>
          <cell r="D8309" t="str">
            <v>OTHER PRODUCTS</v>
          </cell>
        </row>
        <row r="8310">
          <cell r="A8310" t="str">
            <v>300x50x2mm (300X50X2mm Bolt Nut Ladder)</v>
          </cell>
          <cell r="B8310" t="str">
            <v>300x50x2mm(300X50X2mm Bolt Nut Ladder)</v>
          </cell>
          <cell r="C8310" t="str">
            <v>OTHER PRODUCTS</v>
          </cell>
          <cell r="D8310" t="str">
            <v>OTHER PRODUCTS</v>
          </cell>
        </row>
        <row r="8311">
          <cell r="A8311" t="str">
            <v>30 core*0.25sqmm shielded</v>
          </cell>
          <cell r="B8311" t="str">
            <v>30 core*0.25sqmm shielded</v>
          </cell>
          <cell r="C8311" t="str">
            <v>OTHER PRODUCTS</v>
          </cell>
          <cell r="D8311" t="str">
            <v>OTHER PRODUCTS</v>
          </cell>
        </row>
        <row r="8312">
          <cell r="A8312" t="str">
            <v>21984 (32A DP 1W SWITCH W/I)</v>
          </cell>
          <cell r="B8312" t="str">
            <v>21984(32A DP 1W SWITCH W/I)</v>
          </cell>
          <cell r="C8312" t="str">
            <v>OTHER PRODUCTS</v>
          </cell>
          <cell r="D8312" t="str">
            <v>OTHER PRODUCTS</v>
          </cell>
        </row>
        <row r="8313">
          <cell r="A8313" t="str">
            <v>21984 BK (32A DP 1W SWITCH W/I BK)</v>
          </cell>
          <cell r="B8313" t="str">
            <v>21984 BK(32A DP 1W SWITCH W/I BK)</v>
          </cell>
          <cell r="C8313" t="str">
            <v>OTHER PRODUCTS</v>
          </cell>
          <cell r="D8313" t="str">
            <v>OTHER PRODUCTS</v>
          </cell>
        </row>
        <row r="8314">
          <cell r="A8314" t="str">
            <v>L681116 (32A DP SWITCH W/i L)</v>
          </cell>
          <cell r="B8314" t="str">
            <v>L681116(32A DP SWITCH W/i L)</v>
          </cell>
          <cell r="C8314" t="str">
            <v>OTHER PRODUCTS</v>
          </cell>
          <cell r="D8314" t="str">
            <v>OTHER PRODUCTS</v>
          </cell>
        </row>
        <row r="8315">
          <cell r="A8315" t="str">
            <v>Street Light Arm (32mm SL Pole Arm with Clamp)</v>
          </cell>
          <cell r="B8315" t="str">
            <v>Street Light Arm(32mm SL Pole Arm with Clamp)</v>
          </cell>
          <cell r="C8315" t="str">
            <v>OTHER PRODUCTS</v>
          </cell>
          <cell r="D8315" t="str">
            <v>OTHER PRODUCTS</v>
          </cell>
        </row>
        <row r="8316">
          <cell r="A8316" t="str">
            <v>3.5 C X 240 SQMM PVC ALU. ARMD UG CABLES</v>
          </cell>
          <cell r="B8316" t="str">
            <v>3.5 C X 240 SQMM PVC ALU. ARMD UG CABLES</v>
          </cell>
          <cell r="C8316" t="str">
            <v>OTHER PRODUCTS</v>
          </cell>
          <cell r="D8316" t="str">
            <v>OTHER PRODUCTS</v>
          </cell>
        </row>
        <row r="8317">
          <cell r="A8317" t="str">
            <v>35MM AL PROFILE WITH LED LIGHTING_x000D_ (35mm Recessed AL Profile with 240LED Strip_x000D_
with 5A Heavy duty Driver)</v>
          </cell>
          <cell r="B8317" t="str">
            <v>35MM AL PROFILE WITH LED LIGHTING_x000D_(35mm Recessed AL Profile with 240LED Strip_x000D_
with 5A Heavy duty Driver)</v>
          </cell>
          <cell r="C8317" t="str">
            <v>OTHER PRODUCTS</v>
          </cell>
          <cell r="D8317" t="str">
            <v>OTHER PRODUCTS</v>
          </cell>
        </row>
        <row r="8318">
          <cell r="A8318" t="str">
            <v>111058 (35 SQ MM X 3.5 CORE ARMD ALUM. INDL CABLE 1.1 KV GR)</v>
          </cell>
          <cell r="B8318" t="str">
            <v>111058(35 SQ MM X 3.5 CORE ARMD ALUM. INDL CABLE 1.1 KV GR)</v>
          </cell>
          <cell r="C8318" t="str">
            <v>OTHER PRODUCTS</v>
          </cell>
          <cell r="D8318" t="str">
            <v>OTHER PRODUCTS</v>
          </cell>
        </row>
        <row r="8319">
          <cell r="A8319" t="str">
            <v>111076 (35 SQMM X 4 CORE ARMD ALUM INDL CABLE 1.1KVGR)</v>
          </cell>
          <cell r="B8319" t="str">
            <v>111076(35 SQMM X 4 CORE ARMD ALUM INDL CABLE 1.1KVGR)</v>
          </cell>
          <cell r="C8319" t="str">
            <v>OTHER PRODUCTS</v>
          </cell>
          <cell r="D8319" t="str">
            <v>OTHER PRODUCTS</v>
          </cell>
        </row>
        <row r="8320">
          <cell r="A8320" t="str">
            <v>3Core1.5sqmm XLPE Insulated Armoured Copper Cable</v>
          </cell>
          <cell r="B8320" t="str">
            <v>3Core1.5sqmm XLPE Insulated Armoured Copper Cable</v>
          </cell>
          <cell r="C8320" t="str">
            <v>OTHER PRODUCTS</v>
          </cell>
          <cell r="D8320" t="str">
            <v>OTHER PRODUCTS</v>
          </cell>
        </row>
        <row r="8321">
          <cell r="A8321" t="str">
            <v>3Core 2.5sqmm XLPE Insulated Armoured Copper Cable</v>
          </cell>
          <cell r="B8321" t="str">
            <v>3Core 2.5sqmm XLPE Insulated Armoured Copper Cable</v>
          </cell>
          <cell r="C8321" t="str">
            <v>OTHER PRODUCTS</v>
          </cell>
          <cell r="D8321" t="str">
            <v>OTHER PRODUCTS</v>
          </cell>
        </row>
        <row r="8322">
          <cell r="A8322" t="str">
            <v>3Core 4sqmm XLPE Insulated Armoured Copper Cable</v>
          </cell>
          <cell r="B8322" t="str">
            <v>3Core 4sqmm XLPE Insulated Armoured Copper Cable</v>
          </cell>
          <cell r="C8322" t="str">
            <v>OTHER PRODUCTS</v>
          </cell>
          <cell r="D8322" t="str">
            <v>OTHER PRODUCTS</v>
          </cell>
        </row>
        <row r="8323">
          <cell r="A8323" t="str">
            <v>3Cx300 Sqmm (3Core x 300 Sqmm Polycab HT Cable)</v>
          </cell>
          <cell r="B8323" t="str">
            <v>3Cx300 Sqmm(3Core x 300 Sqmm Polycab HT Cable)</v>
          </cell>
          <cell r="C8323" t="str">
            <v>OTHER PRODUCTS</v>
          </cell>
          <cell r="D8323" t="str">
            <v>OTHER PRODUCTS</v>
          </cell>
        </row>
        <row r="8324">
          <cell r="A8324" t="str">
            <v>3D 2556 (3D 2566 185E10 ALS)</v>
          </cell>
          <cell r="B8324" t="str">
            <v>3D 2556(3D 2566 185E10 ALS)</v>
          </cell>
          <cell r="C8324" t="str">
            <v>OTHER PRODUCTS</v>
          </cell>
          <cell r="D8324" t="str">
            <v>OTHER PRODUCTS</v>
          </cell>
        </row>
        <row r="8325">
          <cell r="A8325" t="str">
            <v>ALU LUGE (3D 2573 400E20 ALU LUGE)</v>
          </cell>
          <cell r="B8325" t="str">
            <v>ALU LUGE(3D 2573 400E20 ALU LUGE)</v>
          </cell>
          <cell r="C8325" t="str">
            <v>OTHER PRODUCTS</v>
          </cell>
          <cell r="D8325" t="str">
            <v>OTHER PRODUCTS</v>
          </cell>
        </row>
        <row r="8326">
          <cell r="A8326" t="str">
            <v>DT04-2P-E005 (3E3364 RECEPTACLE AS)</v>
          </cell>
          <cell r="B8326" t="str">
            <v>DT04-2P-E005(3E3364 RECEPTACLE AS)</v>
          </cell>
          <cell r="C8326" t="str">
            <v>OTHER PRODUCTS</v>
          </cell>
          <cell r="D8326" t="str">
            <v>OTHER PRODUCTS</v>
          </cell>
        </row>
        <row r="8327">
          <cell r="A8327" t="str">
            <v>W2P-P004 (3E3365 WEDGE-RECEPTACLE)</v>
          </cell>
          <cell r="B8327" t="str">
            <v>W2P-P004(3E3365 WEDGE-RECEPTACLE)</v>
          </cell>
          <cell r="C8327" t="str">
            <v>OTHER PRODUCTS</v>
          </cell>
          <cell r="D8327" t="str">
            <v>OTHER PRODUCTS</v>
          </cell>
        </row>
        <row r="8328">
          <cell r="A8328" t="str">
            <v>DT04-4P-E005 (3E3376 RECEPTACLE)</v>
          </cell>
          <cell r="B8328" t="str">
            <v>DT04-4P-E005(3E3376 RECEPTACLE)</v>
          </cell>
          <cell r="C8328" t="str">
            <v>OTHER PRODUCTS</v>
          </cell>
          <cell r="D8328" t="str">
            <v>OTHER PRODUCTS</v>
          </cell>
        </row>
        <row r="8329">
          <cell r="A8329" t="str">
            <v>W4P-P004 (3E3377 WEDGE-RECEPTACLE)</v>
          </cell>
          <cell r="B8329" t="str">
            <v>W4P-P004(3E3377 WEDGE-RECEPTACLE)</v>
          </cell>
          <cell r="C8329" t="str">
            <v>OTHER PRODUCTS</v>
          </cell>
          <cell r="D8329" t="str">
            <v>OTHER PRODUCTS</v>
          </cell>
        </row>
        <row r="8330">
          <cell r="A8330" t="str">
            <v>W12P (3E5180 WEDGE-RECEPTACLE)</v>
          </cell>
          <cell r="B8330" t="str">
            <v>W12P(3E5180 WEDGE-RECEPTACLE)</v>
          </cell>
          <cell r="C8330" t="str">
            <v>OTHER PRODUCTS</v>
          </cell>
          <cell r="D8330" t="str">
            <v>OTHER PRODUCTS</v>
          </cell>
        </row>
        <row r="8331">
          <cell r="A8331" t="str">
            <v>3M INSULATION (3M INSULATION TAPE)</v>
          </cell>
          <cell r="B8331" t="str">
            <v>3M INSULATION(3M INSULATION TAPE)</v>
          </cell>
          <cell r="C8331" t="str">
            <v>OTHER PRODUCTS</v>
          </cell>
          <cell r="D8331" t="str">
            <v>OTHER PRODUCTS</v>
          </cell>
        </row>
        <row r="8332">
          <cell r="A8332" t="str">
            <v>L681302 (3M Plate White)</v>
          </cell>
          <cell r="B8332" t="str">
            <v>L681302(3M Plate White)</v>
          </cell>
          <cell r="C8332" t="str">
            <v>OTHER PRODUCTS</v>
          </cell>
          <cell r="D8332" t="str">
            <v>OTHER PRODUCTS</v>
          </cell>
        </row>
        <row r="8333">
          <cell r="A8333" t="str">
            <v>30238 (3M TRESA PLATE)</v>
          </cell>
          <cell r="B8333" t="str">
            <v>30238(3M TRESA PLATE)</v>
          </cell>
          <cell r="C8333" t="str">
            <v>OTHER PRODUCTS</v>
          </cell>
          <cell r="D8333" t="str">
            <v>OTHER PRODUCTS</v>
          </cell>
        </row>
        <row r="8334">
          <cell r="A8334" t="str">
            <v>3NW NS 20A HRC FUSE</v>
          </cell>
          <cell r="B8334" t="str">
            <v>3NW NS 20A HRC FUSE</v>
          </cell>
          <cell r="C8334" t="str">
            <v>OTHER PRODUCTS</v>
          </cell>
          <cell r="D8334" t="str">
            <v>OTHER PRODUCTS</v>
          </cell>
        </row>
        <row r="8335">
          <cell r="A8335" t="str">
            <v>DC GLAND (45MM DC GLAND)</v>
          </cell>
          <cell r="B8335" t="str">
            <v>DC GLAND(45MM DC GLAND)</v>
          </cell>
          <cell r="C8335" t="str">
            <v>OTHER PRODUCTS</v>
          </cell>
          <cell r="D8335" t="str">
            <v>OTHER PRODUCTS</v>
          </cell>
        </row>
        <row r="8336">
          <cell r="A8336" t="str">
            <v>HMI DC 1 3/4 (45mm Gland 3.5c x 120 Sqmm)</v>
          </cell>
          <cell r="B8336" t="str">
            <v>HMI DC 1 3/4(45mm Gland 3.5c x 120 Sqmm)</v>
          </cell>
          <cell r="C8336" t="str">
            <v>OTHER PRODUCTS</v>
          </cell>
          <cell r="D8336" t="str">
            <v>OTHER PRODUCTS</v>
          </cell>
        </row>
        <row r="8337">
          <cell r="A8337" t="str">
            <v>48 C/G FAN (48 C/G Make High Speed FAN)</v>
          </cell>
          <cell r="B8337" t="str">
            <v>48 C/G FAN(48 C/G Make High Speed FAN)</v>
          </cell>
          <cell r="C8337" t="str">
            <v>OTHER PRODUCTS</v>
          </cell>
          <cell r="D8337" t="str">
            <v>OTHER PRODUCTS</v>
          </cell>
        </row>
        <row r="8338">
          <cell r="A8338" t="str">
            <v>4Core1.5 Sqmm XLPE Insulated Armoured Copper Cable</v>
          </cell>
          <cell r="B8338" t="str">
            <v>4Core1.5 Sqmm XLPE Insulated Armoured Copper Cable</v>
          </cell>
          <cell r="C8338" t="str">
            <v>OTHER PRODUCTS</v>
          </cell>
          <cell r="D8338" t="str">
            <v>OTHER PRODUCTS</v>
          </cell>
        </row>
        <row r="8339">
          <cell r="A8339" t="str">
            <v>4Cx16 Cable (4Core16sqmm Copper Armored Cable Polycab)</v>
          </cell>
          <cell r="B8339" t="str">
            <v>4Cx16 Cable(4Core16sqmm Copper Armored Cable Polycab)</v>
          </cell>
          <cell r="C8339" t="str">
            <v>OTHER PRODUCTS</v>
          </cell>
          <cell r="D8339" t="str">
            <v>OTHER PRODUCTS</v>
          </cell>
        </row>
        <row r="8340">
          <cell r="A8340" t="str">
            <v>4core 2.5sqmm XLPE Insulated Armoured Copper Cable</v>
          </cell>
          <cell r="B8340" t="str">
            <v>4core 2.5sqmm XLPE Insulated Armoured Copper Cable</v>
          </cell>
          <cell r="C8340" t="str">
            <v>OTHER PRODUCTS</v>
          </cell>
          <cell r="D8340" t="str">
            <v>OTHER PRODUCTS</v>
          </cell>
        </row>
        <row r="8341">
          <cell r="A8341" t="str">
            <v>4Core 4sqmm XLPE Insulated Armoured Copper Cable</v>
          </cell>
          <cell r="B8341" t="str">
            <v>4Core 4sqmm XLPE Insulated Armoured Copper Cable</v>
          </cell>
          <cell r="C8341" t="str">
            <v>OTHER PRODUCTS</v>
          </cell>
          <cell r="D8341" t="str">
            <v>OTHER PRODUCTS</v>
          </cell>
        </row>
        <row r="8342">
          <cell r="A8342" t="str">
            <v>4Core 6sqmm XLPE Insulated Armoured Copper Cable</v>
          </cell>
          <cell r="B8342" t="str">
            <v>4Core 6sqmm XLPE Insulated Armoured Copper Cable</v>
          </cell>
          <cell r="C8342" t="str">
            <v>OTHER PRODUCTS</v>
          </cell>
          <cell r="D8342" t="str">
            <v>OTHER PRODUCTS</v>
          </cell>
        </row>
        <row r="8343">
          <cell r="A8343" t="str">
            <v>4Core x 25Sq.mm Al Ar LT XLPE Cable 1.1 Kv</v>
          </cell>
          <cell r="B8343" t="str">
            <v>4Core x 25Sq.mm Al Ar LT XLPE Cable 1.1 Kv</v>
          </cell>
          <cell r="C8343" t="str">
            <v>OTHER PRODUCTS</v>
          </cell>
          <cell r="D8343" t="str">
            <v>OTHER PRODUCTS</v>
          </cell>
        </row>
        <row r="8344">
          <cell r="A8344" t="str">
            <v>4 Core x 2.5Sq.mm Cu AR Havells Cable</v>
          </cell>
          <cell r="B8344" t="str">
            <v>4 Core x 2.5Sq.mm Cu AR Havells Cable</v>
          </cell>
          <cell r="C8344" t="str">
            <v>OTHER PRODUCTS</v>
          </cell>
          <cell r="D8344" t="str">
            <v>OTHER PRODUCTS</v>
          </cell>
        </row>
        <row r="8345">
          <cell r="A8345" t="str">
            <v>4Cx35 Sqmm (4Core x 35Sq.mm Al Ar LT XLPE Cable 1.1 Kv_x000D_
)</v>
          </cell>
          <cell r="B8345" t="str">
            <v>4Cx35 Sqmm(4Core x 35Sq.mm Al Ar LT XLPE Cable 1.1 Kv_x000D_
)</v>
          </cell>
          <cell r="C8345" t="str">
            <v>OTHER PRODUCTS</v>
          </cell>
          <cell r="D8345" t="str">
            <v>OTHER PRODUCTS</v>
          </cell>
        </row>
        <row r="8346">
          <cell r="A8346" t="str">
            <v>4 Core x 4Sq.mm CU.AR Havelles Cable</v>
          </cell>
          <cell r="B8346" t="str">
            <v>4 Core x 4Sq.mm CU.AR Havelles Cable</v>
          </cell>
          <cell r="C8346" t="str">
            <v>OTHER PRODUCTS</v>
          </cell>
          <cell r="D8346" t="str">
            <v>OTHER PRODUCTS</v>
          </cell>
        </row>
        <row r="8347">
          <cell r="A8347" t="str">
            <v>4 C X 16 SQMM PVC ALU ARMD UG CABLES</v>
          </cell>
          <cell r="B8347" t="str">
            <v>4 C X 16 SQMM PVC ALU ARMD UG CABLES</v>
          </cell>
          <cell r="C8347" t="str">
            <v>OTHER PRODUCTS</v>
          </cell>
          <cell r="D8347" t="str">
            <v>OTHER PRODUCTS</v>
          </cell>
        </row>
        <row r="8348">
          <cell r="A8348" t="str">
            <v>L681303 (4M Plate White)</v>
          </cell>
          <cell r="B8348" t="str">
            <v>L681303(4M Plate White)</v>
          </cell>
          <cell r="C8348" t="str">
            <v>OTHER PRODUCTS</v>
          </cell>
          <cell r="D8348" t="str">
            <v>OTHER PRODUCTS</v>
          </cell>
        </row>
        <row r="8349">
          <cell r="A8349" t="str">
            <v>30249 (4M TRESA PLATE)</v>
          </cell>
          <cell r="B8349" t="str">
            <v>30249(4M TRESA PLATE)</v>
          </cell>
          <cell r="C8349" t="str">
            <v>OTHER PRODUCTS</v>
          </cell>
          <cell r="D8349" t="str">
            <v>OTHER PRODUCTS</v>
          </cell>
        </row>
        <row r="8350">
          <cell r="A8350" t="str">
            <v>113243 (4 SQ.MM X 4CORE_x000D_
ARMD COPPER INDL.CABLE 1.1KVGR)</v>
          </cell>
          <cell r="B8350" t="str">
            <v>113243(4 SQ.MM X 4CORE_x000D_
ARMD COPPER INDL.CABLE 1.1KVGR)</v>
          </cell>
          <cell r="C8350" t="str">
            <v>OTHER PRODUCTS</v>
          </cell>
          <cell r="D8350" t="str">
            <v>OTHER PRODUCTS</v>
          </cell>
        </row>
        <row r="8351">
          <cell r="A8351" t="str">
            <v>1195001201 (4X1 TINNED CU. STR.COND CU ZHFR HR SOLAR WIRE BLK)</v>
          </cell>
          <cell r="B8351" t="str">
            <v>1195001201(4X1 TINNED CU. STR.COND CU ZHFR HR SOLAR WIRE BLK)</v>
          </cell>
          <cell r="C8351" t="str">
            <v>OTHER PRODUCTS</v>
          </cell>
          <cell r="D8351" t="str">
            <v>OTHER PRODUCTS</v>
          </cell>
        </row>
        <row r="8352">
          <cell r="A8352" t="str">
            <v>111059 (50 SQ.MM X 3.5_x000D_
CORE ARMD ALUM.INDL.CABLE_x000D_
1.1KVGR)</v>
          </cell>
          <cell r="B8352" t="str">
            <v>111059(50 SQ.MM X 3.5_x000D_
CORE ARMD ALUM.INDL.CABLE_x000D_
1.1KVGR)</v>
          </cell>
          <cell r="C8352" t="str">
            <v>OTHER PRODUCTS</v>
          </cell>
          <cell r="D8352" t="str">
            <v>OTHER PRODUCTS</v>
          </cell>
        </row>
        <row r="8353">
          <cell r="A8353" t="str">
            <v>111077 (50 SQ.MM X 4 CORE_x000D_
ARMD ALUM.INDL.CABLE 1.1KVGR_x000D_
POL)</v>
          </cell>
          <cell r="B8353" t="str">
            <v>111077(50 SQ.MM X 4 CORE_x000D_
ARMD ALUM.INDL.CABLE 1.1KVGR_x000D_
POL)</v>
          </cell>
          <cell r="C8353" t="str">
            <v>OTHER PRODUCTS</v>
          </cell>
          <cell r="D8353" t="str">
            <v>OTHER PRODUCTS</v>
          </cell>
        </row>
        <row r="8354">
          <cell r="A8354" t="str">
            <v>113261_x000D_
 (5CORE X 2.5 SQ.MM ARMD COPPER INDL.CABLE 1.1KVGR LVBS09CXSWY2005C2.5SA002S_x000D_
)</v>
          </cell>
          <cell r="B8354" t="str">
            <v>113261_x000D_
(5CORE X 2.5 SQ.MM ARMD COPPER INDL.CABLE 1.1KVGR LVBS09CXSWY2005C2.5SA002S_x000D_
)</v>
          </cell>
          <cell r="C8354" t="str">
            <v>OTHER PRODUCTS</v>
          </cell>
          <cell r="D8354" t="str">
            <v>OTHER PRODUCTS</v>
          </cell>
        </row>
        <row r="8355">
          <cell r="A8355" t="str">
            <v>L681122 (6/16A Socket Allzy WH)</v>
          </cell>
          <cell r="B8355" t="str">
            <v>L681122(6/16A Socket Allzy WH)</v>
          </cell>
          <cell r="C8355" t="str">
            <v>OTHER PRODUCTS</v>
          </cell>
          <cell r="D8355" t="str">
            <v>OTHER PRODUCTS</v>
          </cell>
        </row>
        <row r="8356">
          <cell r="A8356" t="str">
            <v>L681100 (6A 1WAY SWITCH)</v>
          </cell>
          <cell r="B8356" t="str">
            <v>L681100(6A 1WAY SWITCH)</v>
          </cell>
          <cell r="C8356" t="str">
            <v>OTHER PRODUCTS</v>
          </cell>
          <cell r="D8356" t="str">
            <v>OTHER PRODUCTS</v>
          </cell>
        </row>
        <row r="8357">
          <cell r="A8357" t="str">
            <v>L573470 (6A 2/3PIN UNI SOC (573424))</v>
          </cell>
          <cell r="B8357" t="str">
            <v>L573470(6A 2/3PIN UNI SOC (573424))</v>
          </cell>
          <cell r="C8357" t="str">
            <v>OTHER PRODUCTS</v>
          </cell>
          <cell r="D8357" t="str">
            <v>OTHER PRODUCTS</v>
          </cell>
        </row>
        <row r="8358">
          <cell r="A8358" t="str">
            <v>L681111 (6A 2WAY SWTICH)</v>
          </cell>
          <cell r="B8358" t="str">
            <v>L681111(6A 2WAY SWTICH)</v>
          </cell>
          <cell r="C8358" t="str">
            <v>OTHER PRODUCTS</v>
          </cell>
          <cell r="D8358" t="str">
            <v>OTHER PRODUCTS</v>
          </cell>
        </row>
        <row r="8359">
          <cell r="A8359" t="str">
            <v>21102 (6A 3PIN SOCKET)</v>
          </cell>
          <cell r="B8359" t="str">
            <v>21102(6A 3PIN SOCKET)</v>
          </cell>
          <cell r="C8359" t="str">
            <v>OTHER PRODUCTS</v>
          </cell>
          <cell r="D8359" t="str">
            <v>OTHER PRODUCTS</v>
          </cell>
        </row>
        <row r="8360">
          <cell r="A8360" t="str">
            <v>L681124 (6A 3 PIN SOCKET ALLZY WH)</v>
          </cell>
          <cell r="B8360" t="str">
            <v>L681124(6A 3 PIN SOCKET ALLZY WH)</v>
          </cell>
          <cell r="C8360" t="str">
            <v>OTHER PRODUCTS</v>
          </cell>
          <cell r="D8360" t="str">
            <v>OTHER PRODUCTS</v>
          </cell>
        </row>
        <row r="8361">
          <cell r="A8361" t="str">
            <v>L681114 (6A Bell Push W/i 2m)</v>
          </cell>
          <cell r="B8361" t="str">
            <v>L681114(6A Bell Push W/i 2m)</v>
          </cell>
          <cell r="C8361" t="str">
            <v>OTHER PRODUCTS</v>
          </cell>
          <cell r="D8361" t="str">
            <v>OTHER PRODUCTS</v>
          </cell>
        </row>
        <row r="8362">
          <cell r="A8362" t="str">
            <v>6cx1 Sq mm Thrmocouple Sheilded Cable</v>
          </cell>
          <cell r="B8362" t="str">
            <v>6cx1 Sq mm Thrmocouple Sheilded Cable</v>
          </cell>
          <cell r="C8362" t="str">
            <v>OTHER PRODUCTS</v>
          </cell>
          <cell r="D8362" t="str">
            <v>OTHER PRODUCTS</v>
          </cell>
        </row>
        <row r="8363">
          <cell r="A8363" t="str">
            <v>L575740 (6M PLATE SQ)</v>
          </cell>
          <cell r="B8363" t="str">
            <v>L575740(6M PLATE SQ)</v>
          </cell>
          <cell r="C8363" t="str">
            <v>OTHER PRODUCTS</v>
          </cell>
          <cell r="D8363" t="str">
            <v>OTHER PRODUCTS</v>
          </cell>
        </row>
        <row r="8364">
          <cell r="A8364" t="str">
            <v>L681304 (6M Plate White)</v>
          </cell>
          <cell r="B8364" t="str">
            <v>L681304(6M Plate White)</v>
          </cell>
          <cell r="C8364" t="str">
            <v>OTHER PRODUCTS</v>
          </cell>
          <cell r="D8364" t="str">
            <v>OTHER PRODUCTS</v>
          </cell>
        </row>
        <row r="8365">
          <cell r="A8365" t="str">
            <v>30250 (6M TRESA PLATE)</v>
          </cell>
          <cell r="B8365" t="str">
            <v>30250(6M TRESA PLATE)</v>
          </cell>
          <cell r="C8365" t="str">
            <v>OTHER PRODUCTS</v>
          </cell>
          <cell r="D8365" t="str">
            <v>OTHER PRODUCTS</v>
          </cell>
        </row>
        <row r="8366">
          <cell r="A8366" t="str">
            <v>111060 (70 SQ.MM X 3.5 CORE_x000D_
ARMD ALUM.INDL.CABLE 1.1KVGR)</v>
          </cell>
          <cell r="B8366" t="str">
            <v>111060(70 SQ.MM X 3.5 CORE_x000D_
ARMD ALUM.INDL.CABLE 1.1KVGR)</v>
          </cell>
          <cell r="C8366" t="str">
            <v>OTHER PRODUCTS</v>
          </cell>
          <cell r="D8366" t="str">
            <v>OTHER PRODUCTS</v>
          </cell>
        </row>
        <row r="8367">
          <cell r="A8367" t="str">
            <v>111078 (70 SQMM X 4 CORE ARMD ALUM INDL CABLE 1.1KVGR)</v>
          </cell>
          <cell r="B8367" t="str">
            <v>111078(70 SQMM X 4 CORE ARMD ALUM INDL CABLE 1.1KVGR)</v>
          </cell>
          <cell r="C8367" t="str">
            <v>OTHER PRODUCTS</v>
          </cell>
          <cell r="D8367" t="str">
            <v>OTHER PRODUCTS</v>
          </cell>
        </row>
        <row r="8368">
          <cell r="A8368" t="str">
            <v>30384 (8H TRESA PLATE)</v>
          </cell>
          <cell r="B8368" t="str">
            <v>30384(8H TRESA PLATE)</v>
          </cell>
          <cell r="C8368" t="str">
            <v>OTHER PRODUCTS</v>
          </cell>
          <cell r="D8368" t="str">
            <v>OTHER PRODUCTS</v>
          </cell>
        </row>
        <row r="8369">
          <cell r="A8369" t="str">
            <v>Anchor Fastner (8mm Anchor Fastner)</v>
          </cell>
          <cell r="B8369" t="str">
            <v>Anchor Fastner(8mm Anchor Fastner)</v>
          </cell>
          <cell r="C8369" t="str">
            <v>OTHER PRODUCTS</v>
          </cell>
          <cell r="D8369" t="str">
            <v>OTHER PRODUCTS</v>
          </cell>
        </row>
        <row r="8370">
          <cell r="A8370" t="str">
            <v>Nut &amp; Washeer (8mm Nut &amp; Washeer)</v>
          </cell>
          <cell r="B8370" t="str">
            <v>Nut &amp; Washeer(8mm Nut &amp; Washeer)</v>
          </cell>
          <cell r="C8370" t="str">
            <v>OTHER PRODUCTS</v>
          </cell>
          <cell r="D8370" t="str">
            <v>OTHER PRODUCTS</v>
          </cell>
        </row>
        <row r="8371">
          <cell r="A8371" t="str">
            <v>Threaded Road (8 MM Threaded Road)</v>
          </cell>
          <cell r="B8371" t="str">
            <v>Threaded Road(8 MM Threaded Road)</v>
          </cell>
          <cell r="C8371" t="str">
            <v>OTHER PRODUCTS</v>
          </cell>
          <cell r="D8371" t="str">
            <v>OTHER PRODUCTS</v>
          </cell>
        </row>
        <row r="8372">
          <cell r="A8372" t="str">
            <v>L575750 (8M PLATE SQ)</v>
          </cell>
          <cell r="B8372" t="str">
            <v>L575750(8M PLATE SQ)</v>
          </cell>
          <cell r="C8372" t="str">
            <v>OTHER PRODUCTS</v>
          </cell>
          <cell r="D8372" t="str">
            <v>OTHER PRODUCTS</v>
          </cell>
        </row>
        <row r="8373">
          <cell r="A8373" t="str">
            <v>L681305 (8M Plate White)</v>
          </cell>
          <cell r="B8373" t="str">
            <v>L681305(8M Plate White)</v>
          </cell>
          <cell r="C8373" t="str">
            <v>OTHER PRODUCTS</v>
          </cell>
          <cell r="D8373" t="str">
            <v>OTHER PRODUCTS</v>
          </cell>
        </row>
        <row r="8374">
          <cell r="A8374" t="str">
            <v>114017-ZZ (8T8737 PLUG-SEAL)</v>
          </cell>
          <cell r="B8374" t="str">
            <v>114017-ZZ(8T8737 PLUG-SEAL)</v>
          </cell>
          <cell r="C8374" t="str">
            <v>OTHER PRODUCTS</v>
          </cell>
          <cell r="D8374" t="str">
            <v>OTHER PRODUCTS</v>
          </cell>
        </row>
        <row r="8375">
          <cell r="A8375" t="str">
            <v>111061 (95 SQ.MM X 3.5 CORE ARMD ALUM. INDL. CABLE 1.1KV GR)</v>
          </cell>
          <cell r="B8375" t="str">
            <v>111061(95 SQ.MM X 3.5 CORE ARMD ALUM. INDL. CABLE 1.1KV GR)</v>
          </cell>
          <cell r="C8375" t="str">
            <v>OTHER PRODUCTS</v>
          </cell>
          <cell r="D8375" t="str">
            <v>OTHER PRODUCTS</v>
          </cell>
        </row>
        <row r="8376">
          <cell r="A8376" t="str">
            <v>95Sq.mm x 3C 11KV ABC Stright Throuigh Jointing KIT</v>
          </cell>
          <cell r="B8376" t="str">
            <v>95Sq.mm x 3C 11KV ABC Stright Throuigh Jointing KIT</v>
          </cell>
          <cell r="C8376" t="str">
            <v>OTHER PRODUCTS</v>
          </cell>
          <cell r="D8376" t="str">
            <v>OTHER PRODUCTS</v>
          </cell>
        </row>
        <row r="8377">
          <cell r="A8377" t="str">
            <v>126226 (95 SQ.MM X 3C HT XLPE ARMD INDL. CBL 11KV GR.(E))</v>
          </cell>
          <cell r="B8377" t="str">
            <v>126226(95 SQ.MM X 3C HT XLPE ARMD INDL. CBL 11KV GR.(E))</v>
          </cell>
          <cell r="C8377" t="str">
            <v>OTHER PRODUCTS</v>
          </cell>
          <cell r="D8377" t="str">
            <v>OTHER PRODUCTS</v>
          </cell>
        </row>
        <row r="8378">
          <cell r="A8378" t="str">
            <v>128336 (95 SQ MM X 3C HT XLPE R W-ARMD INDL CBL 11KV GR (E))</v>
          </cell>
          <cell r="B8378" t="str">
            <v>128336(95 SQ MM X 3C HT XLPE R W-ARMD INDL CBL 11KV GR (E))</v>
          </cell>
          <cell r="C8378" t="str">
            <v>OTHER PRODUCTS</v>
          </cell>
          <cell r="D8378" t="str">
            <v>OTHER PRODUCTS</v>
          </cell>
        </row>
        <row r="8379">
          <cell r="A8379" t="str">
            <v>111048 (95 SQ.MM X 3 CORE ARMD ALUM.INDL.CABLE 1.1KVGR)</v>
          </cell>
          <cell r="B8379" t="str">
            <v>111048(95 SQ.MM X 3 CORE ARMD ALUM.INDL.CABLE 1.1KVGR)</v>
          </cell>
          <cell r="C8379" t="str">
            <v>OTHER PRODUCTS</v>
          </cell>
          <cell r="D8379" t="str">
            <v>OTHER PRODUCTS</v>
          </cell>
        </row>
        <row r="8380">
          <cell r="A8380" t="str">
            <v>Havells Cable (95 SQ.MM X 3 CORE HT 11kV (E) Flat Armoured Cable)</v>
          </cell>
          <cell r="B8380" t="str">
            <v>Havells Cable(95 SQ.MM X 3 CORE HT 11kV (E) Flat Armoured Cable)</v>
          </cell>
          <cell r="C8380" t="str">
            <v>OTHER PRODUCTS</v>
          </cell>
          <cell r="D8380" t="str">
            <v>OTHER PRODUCTS</v>
          </cell>
        </row>
        <row r="8381">
          <cell r="A8381" t="str">
            <v>111079 (95 SQMM X 4 CORE ARMD ALUM INDL CABLE 1.1 KV GR)</v>
          </cell>
          <cell r="B8381" t="str">
            <v>111079(95 SQMM X 4 CORE ARMD ALUM INDL CABLE 1.1 KV GR)</v>
          </cell>
          <cell r="C8381" t="str">
            <v>OTHER PRODUCTS</v>
          </cell>
          <cell r="D8381" t="str">
            <v>OTHER PRODUCTS</v>
          </cell>
        </row>
        <row r="8382">
          <cell r="A8382" t="str">
            <v>9Mtr Street Light Pole Single ARM</v>
          </cell>
          <cell r="B8382" t="str">
            <v>9Mtr Street Light Pole Single ARM</v>
          </cell>
          <cell r="C8382" t="str">
            <v>OTHER PRODUCTS</v>
          </cell>
          <cell r="D8382" t="str">
            <v>OTHER PRODUCTS</v>
          </cell>
        </row>
        <row r="8383">
          <cell r="A8383" t="str">
            <v>CABLE TRAY (AERON PERF. TY. CABLE TRAY 300mm(W) X 50mm(H) X 3mm(T))</v>
          </cell>
          <cell r="B8383" t="str">
            <v>CABLE TRAY(AERON PERF. TY. CABLE TRAY 300mm(W) X 50mm(H) X 3mm(T))</v>
          </cell>
          <cell r="C8383" t="str">
            <v>OTHER PRODUCTS</v>
          </cell>
          <cell r="D8383" t="str">
            <v>OTHER PRODUCTS</v>
          </cell>
        </row>
        <row r="8384">
          <cell r="A8384" t="str">
            <v>ANCHOR (ANGLE HOLDER)</v>
          </cell>
          <cell r="B8384" t="str">
            <v>ANCHOR(ANGLE HOLDER)</v>
          </cell>
          <cell r="C8384" t="str">
            <v>OTHER PRODUCTS</v>
          </cell>
          <cell r="D8384" t="str">
            <v>OTHER PRODUCTS</v>
          </cell>
        </row>
        <row r="8385">
          <cell r="A8385" t="str">
            <v>EHI 25-22 YELLOW (ASHWIN LUGS 25*22MM YELLOW)</v>
          </cell>
          <cell r="B8385" t="str">
            <v>EHI 25-22 YELLOW(ASHWIN LUGS 25*22MM YELLOW)</v>
          </cell>
          <cell r="C8385" t="str">
            <v>OTHER PRODUCTS</v>
          </cell>
          <cell r="D8385" t="str">
            <v>OTHER PRODUCTS</v>
          </cell>
        </row>
        <row r="8386">
          <cell r="A8386" t="str">
            <v>4Q156662089100 (ATC 8C X 1.50 Sq mm)</v>
          </cell>
          <cell r="B8386" t="str">
            <v>4Q156662089100(ATC 8C X 1.50 Sq mm)</v>
          </cell>
          <cell r="C8386" t="str">
            <v>OTHER PRODUCTS</v>
          </cell>
          <cell r="D8386" t="str">
            <v>OTHER PRODUCTS</v>
          </cell>
        </row>
        <row r="8387">
          <cell r="A8387" t="str">
            <v>CZ001 (AUX CONTACT FOR RCCBs)</v>
          </cell>
          <cell r="B8387" t="str">
            <v>CZ001(AUX CONTACT FOR RCCBs)</v>
          </cell>
          <cell r="C8387" t="str">
            <v>OTHER PRODUCTS</v>
          </cell>
          <cell r="D8387" t="str">
            <v>OTHER PRODUCTS</v>
          </cell>
        </row>
        <row r="8388">
          <cell r="A8388" t="str">
            <v>Aviation Lamp (Aviation Lamp for Highmast)</v>
          </cell>
          <cell r="B8388" t="str">
            <v>Aviation Lamp(Aviation Lamp for Highmast)</v>
          </cell>
          <cell r="C8388" t="str">
            <v>OTHER PRODUCTS</v>
          </cell>
          <cell r="D8388" t="str">
            <v>OTHER PRODUCTS</v>
          </cell>
        </row>
        <row r="8389">
          <cell r="A8389" t="str">
            <v>FLP-2595 (BALIGA FLOOD LIGHT FITTING TO SUIT 100W LED)</v>
          </cell>
          <cell r="B8389" t="str">
            <v>FLP-2595(BALIGA FLOOD LIGHT FITTING TO SUIT 100W LED)</v>
          </cell>
          <cell r="C8389" t="str">
            <v>OTHER PRODUCTS</v>
          </cell>
          <cell r="D8389" t="str">
            <v>OTHER PRODUCTS</v>
          </cell>
        </row>
        <row r="8390">
          <cell r="A8390" t="str">
            <v>HOLDER (BATTEN HOLDER)</v>
          </cell>
          <cell r="B8390" t="str">
            <v>HOLDER(BATTEN HOLDER)</v>
          </cell>
          <cell r="C8390" t="str">
            <v>OTHER PRODUCTS</v>
          </cell>
          <cell r="D8390" t="str">
            <v>OTHER PRODUCTS</v>
          </cell>
        </row>
        <row r="8391">
          <cell r="A8391" t="str">
            <v>FSGX1 (BCH Make Foot Switch)</v>
          </cell>
          <cell r="B8391" t="str">
            <v>FSGX1(BCH Make Foot Switch)</v>
          </cell>
          <cell r="C8391" t="str">
            <v>OTHER PRODUCTS</v>
          </cell>
          <cell r="D8391" t="str">
            <v>OTHER PRODUCTS</v>
          </cell>
        </row>
        <row r="8392">
          <cell r="A8392" t="str">
            <v>L681169 (Blank Plate L)</v>
          </cell>
          <cell r="B8392" t="str">
            <v>L681169(Blank Plate L)</v>
          </cell>
          <cell r="C8392" t="str">
            <v>OTHER PRODUCTS</v>
          </cell>
          <cell r="D8392" t="str">
            <v>OTHER PRODUCTS</v>
          </cell>
        </row>
        <row r="8393">
          <cell r="A8393" t="str">
            <v>21598 (BLANK PLATE SINGLE)</v>
          </cell>
          <cell r="B8393" t="str">
            <v>21598(BLANK PLATE SINGLE)</v>
          </cell>
          <cell r="C8393" t="str">
            <v>OTHER PRODUCTS</v>
          </cell>
          <cell r="D8393" t="str">
            <v>OTHER PRODUCTS</v>
          </cell>
        </row>
        <row r="8394">
          <cell r="A8394" t="str">
            <v>Bolts &amp; Nuts (Bolt &amp; Nuts)</v>
          </cell>
          <cell r="B8394" t="str">
            <v>Bolts &amp; Nuts(Bolt &amp; Nuts)</v>
          </cell>
          <cell r="C8394" t="str">
            <v>OTHER PRODUCTS</v>
          </cell>
          <cell r="D8394" t="str">
            <v>OTHER PRODUCTS</v>
          </cell>
        </row>
        <row r="8395">
          <cell r="A8395" t="str">
            <v>1011091 (CABLE 3.5 CORE 300SQMM AL AR)</v>
          </cell>
          <cell r="B8395" t="str">
            <v>1011091(CABLE 3.5 CORE 300SQMM AL AR)</v>
          </cell>
          <cell r="C8395" t="str">
            <v>OTHER PRODUCTS</v>
          </cell>
          <cell r="D8395" t="str">
            <v>OTHER PRODUCTS</v>
          </cell>
        </row>
        <row r="8396">
          <cell r="A8396" t="str">
            <v>CABLE END VIOLET  0.25SQMM L 8.2MM</v>
          </cell>
          <cell r="B8396" t="str">
            <v>CABLE END VIOLET 0.25SQMM L 8.2MM</v>
          </cell>
          <cell r="C8396" t="str">
            <v>OTHER PRODUCTS</v>
          </cell>
          <cell r="D8396" t="str">
            <v>OTHER PRODUCTS</v>
          </cell>
        </row>
        <row r="8397">
          <cell r="A8397" t="str">
            <v>CALLING BELL (CALLING BELL- DING DONG)</v>
          </cell>
          <cell r="B8397" t="str">
            <v>CALLING BELL(CALLING BELL- DING DONG)</v>
          </cell>
          <cell r="C8397" t="str">
            <v>OTHER PRODUCTS</v>
          </cell>
          <cell r="D8397" t="str">
            <v>OTHER PRODUCTS</v>
          </cell>
        </row>
        <row r="8398">
          <cell r="A8398" t="str">
            <v>FP100A (Change Over FP 100A)</v>
          </cell>
          <cell r="B8398" t="str">
            <v>FP100A(Change Over FP 100A)</v>
          </cell>
          <cell r="C8398" t="str">
            <v>OTHER PRODUCTS</v>
          </cell>
          <cell r="D8398" t="str">
            <v>OTHER PRODUCTS</v>
          </cell>
        </row>
        <row r="8399">
          <cell r="A8399" t="str">
            <v>JOB WORK (CLAMP AND MOUNTING CLIP FIXING)</v>
          </cell>
          <cell r="B8399" t="str">
            <v>JOB WORK(CLAMP AND MOUNTING CLIP FIXING)</v>
          </cell>
          <cell r="C8399" t="str">
            <v>OTHER PRODUCTS</v>
          </cell>
          <cell r="D8399" t="str">
            <v>OTHER PRODUCTS</v>
          </cell>
        </row>
        <row r="8400">
          <cell r="A8400" t="str">
            <v>COMMISSION &amp; BROKERAGE</v>
          </cell>
          <cell r="B8400" t="str">
            <v>COMMISSION &amp; BROKERAGE</v>
          </cell>
          <cell r="C8400" t="str">
            <v>OTHER PRODUCTS</v>
          </cell>
          <cell r="D8400" t="str">
            <v>OTHER PRODUCTS</v>
          </cell>
        </row>
        <row r="8401">
          <cell r="A8401" t="str">
            <v>Compact (Compact E- Stop PB with Enclosure)</v>
          </cell>
          <cell r="B8401" t="str">
            <v>Compact(Compact E- Stop PB with Enclosure)</v>
          </cell>
          <cell r="C8401" t="str">
            <v>OTHER PRODUCTS</v>
          </cell>
          <cell r="D8401" t="str">
            <v>OTHER PRODUCTS</v>
          </cell>
        </row>
        <row r="8402">
          <cell r="A8402" t="str">
            <v>Control Transformer</v>
          </cell>
          <cell r="B8402" t="str">
            <v>Control Transformer</v>
          </cell>
          <cell r="C8402" t="str">
            <v>OTHER PRODUCTS</v>
          </cell>
          <cell r="D8402" t="str">
            <v>OTHER PRODUCTS</v>
          </cell>
        </row>
        <row r="8403">
          <cell r="A8403" t="str">
            <v>Copper Flat (Copper Flat 25x3 mm)</v>
          </cell>
          <cell r="B8403" t="str">
            <v>Copper Flat(Copper Flat 25x3 mm)</v>
          </cell>
          <cell r="C8403" t="str">
            <v>OTHER PRODUCTS</v>
          </cell>
          <cell r="D8403" t="str">
            <v>OTHER PRODUCTS</v>
          </cell>
        </row>
        <row r="8404">
          <cell r="A8404" t="str">
            <v>COPPER PLATE (COPPER PLATE 1X1 FT)</v>
          </cell>
          <cell r="B8404" t="str">
            <v>COPPER PLATE(COPPER PLATE 1X1 FT)</v>
          </cell>
          <cell r="C8404" t="str">
            <v>OTHER PRODUCTS</v>
          </cell>
          <cell r="D8404" t="str">
            <v>OTHER PRODUCTS</v>
          </cell>
        </row>
        <row r="8405">
          <cell r="A8405" t="str">
            <v>COPPER STRIP (COPPER STRIP 25X6)</v>
          </cell>
          <cell r="B8405" t="str">
            <v>COPPER STRIP(COPPER STRIP 25X6)</v>
          </cell>
          <cell r="C8405" t="str">
            <v>OTHER PRODUCTS</v>
          </cell>
          <cell r="D8405" t="str">
            <v>OTHER PRODUCTS</v>
          </cell>
        </row>
        <row r="8406">
          <cell r="A8406" t="str">
            <v>IGP1621LT8-16 (CROMPTON 2X20W BOX TYPE FITTING 1 NO + 20W TUBE LIGHT DE LT8 2 NOS)</v>
          </cell>
          <cell r="B8406" t="str">
            <v>IGP1621LT8-16(CROMPTON 2X20W BOX TYPE FITTING 1 NO + 20W TUBE LIGHT DE LT8 2 NOS)</v>
          </cell>
          <cell r="C8406" t="str">
            <v>OTHER PRODUCTS</v>
          </cell>
          <cell r="D8406" t="str">
            <v>OTHER PRODUCTS</v>
          </cell>
        </row>
        <row r="8407">
          <cell r="A8407" t="str">
            <v>LBLA1-10-CDL (Crompton Bollard 560mm LED)</v>
          </cell>
          <cell r="B8407" t="str">
            <v>LBLA1-10-CDL(Crompton Bollard 560mm LED)</v>
          </cell>
          <cell r="C8407" t="str">
            <v>OTHER PRODUCTS</v>
          </cell>
          <cell r="D8407" t="str">
            <v>OTHER PRODUCTS</v>
          </cell>
        </row>
        <row r="8408">
          <cell r="A8408" t="str">
            <v>CEILING FAN 1200MM HS (CROMPTON CEILING FAN 1200MM HS)</v>
          </cell>
          <cell r="B8408" t="str">
            <v>CEILING FAN 1200MM HS(CROMPTON CEILING FAN 1200MM HS)</v>
          </cell>
          <cell r="C8408" t="str">
            <v>OTHER PRODUCTS</v>
          </cell>
          <cell r="D8408" t="str">
            <v>OTHER PRODUCTS</v>
          </cell>
        </row>
        <row r="8409">
          <cell r="A8409" t="str">
            <v>EXTN1LT8-16/20 (Crompton Flame Proof LED Fitting)</v>
          </cell>
          <cell r="B8409" t="str">
            <v>EXTN1LT8-16/20(Crompton Flame Proof LED Fitting)</v>
          </cell>
          <cell r="C8409" t="str">
            <v>OTHER PRODUCTS</v>
          </cell>
          <cell r="D8409" t="str">
            <v>OTHER PRODUCTS</v>
          </cell>
        </row>
        <row r="8410">
          <cell r="A8410" t="str">
            <v>IGP161LT816 (CROMPTON INDUS BOX TYPE FITTING 1 NO + 20W TUBE LIGHT DE LT 8 2 NOS)</v>
          </cell>
          <cell r="B8410" t="str">
            <v>IGP161LT816(CROMPTON INDUS BOX TYPE FITTING 1 NO + 20W TUBE LIGHT DE LT 8 2 NOS)</v>
          </cell>
          <cell r="C8410" t="str">
            <v>OTHER PRODUCTS</v>
          </cell>
          <cell r="D8410" t="str">
            <v>OTHER PRODUCTS</v>
          </cell>
        </row>
        <row r="8411">
          <cell r="A8411" t="str">
            <v>LT8-20-865-2 (Crompton LED Tube Light 20 Watts)</v>
          </cell>
          <cell r="B8411" t="str">
            <v>LT8-20-865-2(Crompton LED Tube Light 20 Watts)</v>
          </cell>
          <cell r="C8411" t="str">
            <v>OTHER PRODUCTS</v>
          </cell>
          <cell r="D8411" t="str">
            <v>OTHER PRODUCTS</v>
          </cell>
        </row>
        <row r="8412">
          <cell r="A8412" t="str">
            <v>LI300435-A2 (Crompton LHB11 120W HIGH BAY FITTING)</v>
          </cell>
          <cell r="B8412" t="str">
            <v>LI300435-A2(Crompton LHB11 120W HIGH BAY FITTING)</v>
          </cell>
          <cell r="C8412" t="str">
            <v>OTHER PRODUCTS</v>
          </cell>
          <cell r="D8412" t="str">
            <v>OTHER PRODUCTS</v>
          </cell>
        </row>
        <row r="8413">
          <cell r="A8413" t="str">
            <v>CIP-311-40-57-SL-CP-NSG (CROMPTON WELL GLASS LUM 42W)</v>
          </cell>
          <cell r="B8413" t="str">
            <v>CIP-311-40-57-SL-CP-NSG(CROMPTON WELL GLASS LUM 42W)</v>
          </cell>
          <cell r="C8413" t="str">
            <v>OTHER PRODUCTS</v>
          </cell>
          <cell r="D8413" t="str">
            <v>OTHER PRODUCTS</v>
          </cell>
        </row>
        <row r="8414">
          <cell r="A8414" t="str">
            <v>115886 (CU/ FRLS INSU/ SHT HV INDL 1100V CABLE (MS) 4CX4)</v>
          </cell>
          <cell r="B8414" t="str">
            <v>115886(CU/ FRLS INSU/ SHT HV INDL 1100V CABLE (MS) 4CX4)</v>
          </cell>
          <cell r="C8414" t="str">
            <v>OTHER PRODUCTS</v>
          </cell>
          <cell r="D8414" t="str">
            <v>OTHER PRODUCTS</v>
          </cell>
        </row>
        <row r="8415">
          <cell r="A8415" t="str">
            <v>117175 (CU/PVC_x000D_
INSU/SHT.HV INDL.1100V CABLE (MS)_x000D_
3CX0.75_x000D_
Cat Ref : LDIS09CYUAY1003C.75SC001S)</v>
          </cell>
          <cell r="B8415" t="str">
            <v>117175(CU/PVC_x000D_
INSU/SHT.HV INDL.1100V CABLE(MS)_x000D_
3CX0.75_x000D_
Cat Ref : LDIS09CYUAY1003C.75SC001S)</v>
          </cell>
          <cell r="C8415" t="str">
            <v>OTHER PRODUCTS</v>
          </cell>
          <cell r="D8415" t="str">
            <v>OTHER PRODUCTS</v>
          </cell>
        </row>
        <row r="8416">
          <cell r="A8416" t="str">
            <v>117180 (CU/PVC_x000D_
INSU/SHT.HV INDL.1100V CABLE (MS)_x000D_
3CX6_x000D_
Cat Ref :_x000D_
LDIS09CYUAY1003C006SC001S)</v>
          </cell>
          <cell r="B8416" t="str">
            <v>117180(CU/PVC_x000D_
INSU/SHT.HV INDL.1100V CABLE(MS)_x000D_
3CX6_x000D_
Cat Ref :_x000D_
LDIS09CYUAY1003C006SC001S)</v>
          </cell>
          <cell r="C8416" t="str">
            <v>OTHER PRODUCTS</v>
          </cell>
          <cell r="D8416" t="str">
            <v>OTHER PRODUCTS</v>
          </cell>
        </row>
        <row r="8417">
          <cell r="A8417" t="str">
            <v>117199 (CU/PVC_x000D_
INSU/SHT.HV INDL.1100V CABLE (MS)_x000D_
4CX2.5_x000D_
Cat Ref : LDIS09CYUAY1004C2.5SC001S)</v>
          </cell>
          <cell r="B8417" t="str">
            <v>117199(CU/PVC_x000D__x000D_
INSU/SHT.HV INDL.1100V CABLE (MS)_x000D__x000D_
4CX2.5_x000D__x000D_
Cat Ref : LDIS09CYUAY1004C2.5SC001S)</v>
          </cell>
          <cell r="C8417" t="str">
            <v>OTHER PRODUCTS</v>
          </cell>
          <cell r="D8417" t="str">
            <v>OTHER PRODUCTS</v>
          </cell>
        </row>
        <row r="8418">
          <cell r="A8418" t="str">
            <v>117013 (CU/PVC Ins/Unsh HV Indl 1100V Cable MS 1Cx0.5BLK)</v>
          </cell>
          <cell r="B8418" t="str">
            <v>117013(CU/PVC Ins/Unsh HV Indl 1100V Cable MS 1Cx0.5BLK)</v>
          </cell>
          <cell r="C8418" t="str">
            <v>OTHER PRODUCTS</v>
          </cell>
          <cell r="D8418" t="str">
            <v>OTHER PRODUCTS</v>
          </cell>
        </row>
        <row r="8419">
          <cell r="A8419" t="str">
            <v>117010 (CU/PVC Ins/UNSH HV Indl.1100V Cable (MS) 1Cx0.5 RED)</v>
          </cell>
          <cell r="B8419" t="str">
            <v>117010(CU/PVC Ins/UNSH HV Indl.1100V Cable(MS) 1Cx0.5 RED)</v>
          </cell>
          <cell r="C8419" t="str">
            <v>OTHER PRODUCTS</v>
          </cell>
          <cell r="D8419" t="str">
            <v>OTHER PRODUCTS</v>
          </cell>
        </row>
        <row r="8420">
          <cell r="A8420" t="str">
            <v>1171791 (CU/PVC INSU/SHT.HV INDL.1100V CABLE(MS) 3CX4)</v>
          </cell>
          <cell r="B8420" t="str">
            <v>1171791(CU/PVC INSU/SHT.HV INDL.1100V CABLE(MS) 3CX4)</v>
          </cell>
          <cell r="C8420" t="str">
            <v>OTHER PRODUCTS</v>
          </cell>
          <cell r="D8420" t="str">
            <v>OTHER PRODUCTS</v>
          </cell>
        </row>
        <row r="8421">
          <cell r="A8421" t="str">
            <v>117209 (CU/PVC INSU/SHT.HV INDL.1100V CABLE (MS) 4CX120)</v>
          </cell>
          <cell r="B8421" t="str">
            <v>117209(CU/PVC INSU/SHT.HV INDL.1100V CABLE (MS) 4CX120)</v>
          </cell>
          <cell r="C8421" t="str">
            <v>OTHER PRODUCTS</v>
          </cell>
          <cell r="D8421" t="str">
            <v>OTHER PRODUCTS</v>
          </cell>
        </row>
        <row r="8422">
          <cell r="A8422" t="str">
            <v>117203 (CU/PVC INSU/SHT.HV INDL. 1100V CABLE (MS) 4CX16)</v>
          </cell>
          <cell r="B8422" t="str">
            <v>117203(CU/PVC INSU/SHT.HV INDL. 1100V CABLE(MS) 4CX16)</v>
          </cell>
          <cell r="C8422" t="str">
            <v>OTHER PRODUCTS</v>
          </cell>
          <cell r="D8422" t="str">
            <v>OTHER PRODUCTS</v>
          </cell>
        </row>
        <row r="8423">
          <cell r="A8423" t="str">
            <v>117204 (CU/PVC INSU/SHT.HV INDL. 1100V CABLE (MS) 4CX25)</v>
          </cell>
          <cell r="B8423" t="str">
            <v>117204(CU/PVC INSU/SHT.HV INDL. 1100V CABLE(MS) 4CX25)</v>
          </cell>
          <cell r="C8423" t="str">
            <v>OTHER PRODUCTS</v>
          </cell>
          <cell r="D8423" t="str">
            <v>OTHER PRODUCTS</v>
          </cell>
        </row>
        <row r="8424">
          <cell r="A8424" t="str">
            <v>117205 (CU/PVC INSU/SHT.HV INDL. 1100V CABLE (MS) 4CX35)</v>
          </cell>
          <cell r="B8424" t="str">
            <v>117205(CU/PVC INSU/SHT.HV INDL. 1100V CABLE(MS) 4CX35)</v>
          </cell>
          <cell r="C8424" t="str">
            <v>OTHER PRODUCTS</v>
          </cell>
          <cell r="D8424" t="str">
            <v>OTHER PRODUCTS</v>
          </cell>
        </row>
        <row r="8425">
          <cell r="A8425" t="str">
            <v>117217 (CU/PVC INSU/SHT.HV INDL. 1100V CABLE (MS) 5CX10)</v>
          </cell>
          <cell r="B8425" t="str">
            <v>117217(CU/PVC INSU/SHT.HV INDL. 1100V CABLE(MS) 5CX10)</v>
          </cell>
          <cell r="C8425" t="str">
            <v>OTHER PRODUCTS</v>
          </cell>
          <cell r="D8425" t="str">
            <v>OTHER PRODUCTS</v>
          </cell>
        </row>
        <row r="8426">
          <cell r="A8426" t="str">
            <v>117218 (CU/PVC INSU/SHT.HV INDL. 1100V CABLE (MS) 5CX16)</v>
          </cell>
          <cell r="B8426" t="str">
            <v>117218(CU/PVC INSU/SHT.HV INDL. 1100V CABLE(MS) 5CX16)</v>
          </cell>
          <cell r="C8426" t="str">
            <v>OTHER PRODUCTS</v>
          </cell>
          <cell r="D8426" t="str">
            <v>OTHER PRODUCTS</v>
          </cell>
        </row>
        <row r="8427">
          <cell r="A8427" t="str">
            <v>117214 (CU/PVC INSU/SHT.HV INDL. 1100V CABLE (MS) 5CX2.5)</v>
          </cell>
          <cell r="B8427" t="str">
            <v>117214(CU/PVC INSU/SHT.HV INDL. 1100V CABLE(MS) 5CX2.5)</v>
          </cell>
          <cell r="C8427" t="str">
            <v>OTHER PRODUCTS</v>
          </cell>
          <cell r="D8427" t="str">
            <v>OTHER PRODUCTS</v>
          </cell>
        </row>
        <row r="8428">
          <cell r="A8428" t="str">
            <v>117215 (CU/PVC INSU/SHT.HV INDL. 1100V CABLE (MS) 5CX4)</v>
          </cell>
          <cell r="B8428" t="str">
            <v>117215(CU/PVC INSU/SHT.HV INDL. 1100V CABLE(MS) 5CX4)</v>
          </cell>
          <cell r="C8428" t="str">
            <v>OTHER PRODUCTS</v>
          </cell>
          <cell r="D8428" t="str">
            <v>OTHER PRODUCTS</v>
          </cell>
        </row>
        <row r="8429">
          <cell r="A8429" t="str">
            <v>117083 (CU/PVC INSU/UNSH HV INDL.1100V CABLE(MS)1CX10BK)</v>
          </cell>
          <cell r="B8429" t="str">
            <v>117083(CU/PVC INSU/UNSH HV INDL.1100V CABLE(MS)1CX10BK)</v>
          </cell>
          <cell r="C8429" t="str">
            <v>OTHER PRODUCTS</v>
          </cell>
          <cell r="D8429" t="str">
            <v>OTHER PRODUCTS</v>
          </cell>
        </row>
        <row r="8430">
          <cell r="A8430" t="str">
            <v>117082 (CU/PVC INSU/UNSH HV INDL.1100V CABLE(MS)1CX10BLU)</v>
          </cell>
          <cell r="B8430" t="str">
            <v>117082(CU/PVC INSU/UNSH HV INDL.1100V CABLE(MS)1CX10BLU)</v>
          </cell>
          <cell r="C8430" t="str">
            <v>OTHER PRODUCTS</v>
          </cell>
          <cell r="D8430" t="str">
            <v>OTHER PRODUCTS</v>
          </cell>
        </row>
        <row r="8431">
          <cell r="A8431" t="str">
            <v>117080 (CU/PVC INSU/UNSH HV INDL.1100V CABLE(MS)1CX10RD)</v>
          </cell>
          <cell r="B8431" t="str">
            <v>117080(CU/PVC INSU/UNSH HV INDL.1100V CABLE(MS)1CX10RD)</v>
          </cell>
          <cell r="C8431" t="str">
            <v>OTHER PRODUCTS</v>
          </cell>
          <cell r="D8431" t="str">
            <v>OTHER PRODUCTS</v>
          </cell>
        </row>
        <row r="8432">
          <cell r="A8432" t="str">
            <v>117081 (CU/PVC INSU/UNSH HV INDL.1100V CABLE(MS)1CX10YEL)</v>
          </cell>
          <cell r="B8432" t="str">
            <v>117081(CU/PVC INSU/UNSH HV INDL.1100V CABLE(MS)1CX10YEL)</v>
          </cell>
          <cell r="C8432" t="str">
            <v>OTHER PRODUCTS</v>
          </cell>
          <cell r="D8432" t="str">
            <v>OTHER PRODUCTS</v>
          </cell>
        </row>
        <row r="8433">
          <cell r="A8433" t="str">
            <v>117093 (CU/PVC INSU/UNSH HV INDL 1100V CABLES(MS) 1CX16 GRN)</v>
          </cell>
          <cell r="B8433" t="str">
            <v>117093(CU/PVC INSU/UNSH HV INDL 1100V CABLES(MS) 1CX16 GRN)</v>
          </cell>
          <cell r="C8433" t="str">
            <v>OTHER PRODUCTS</v>
          </cell>
          <cell r="D8433" t="str">
            <v>OTHER PRODUCTS</v>
          </cell>
        </row>
        <row r="8434">
          <cell r="A8434" t="str">
            <v>LV540306 (CVS400F TM400D 3P3D Circuit Breaker)</v>
          </cell>
          <cell r="B8434" t="str">
            <v>LV540306(CVS400F TM400D 3P3D Circuit Breaker)</v>
          </cell>
          <cell r="C8434" t="str">
            <v>OTHER PRODUCTS</v>
          </cell>
          <cell r="D8434" t="str">
            <v>OTHER PRODUCTS</v>
          </cell>
        </row>
        <row r="8435">
          <cell r="A8435" t="str">
            <v>Delelte</v>
          </cell>
          <cell r="B8435" t="str">
            <v>Delelte</v>
          </cell>
          <cell r="C8435" t="str">
            <v>OTHER PRODUCTS</v>
          </cell>
          <cell r="D8435" t="str">
            <v>OTHER PRODUCTS</v>
          </cell>
        </row>
        <row r="8436">
          <cell r="A8436" t="str">
            <v>NCB-C6UREDR-305 (D LINK CABLE CAT6 305 MTR RED)</v>
          </cell>
          <cell r="B8436" t="str">
            <v>NCB-C6UREDR-305(D LINK CABLE CAT6 305 MTR RED)</v>
          </cell>
          <cell r="C8436" t="str">
            <v>OTHER PRODUCTS</v>
          </cell>
          <cell r="D8436" t="str">
            <v>OTHER PRODUCTS</v>
          </cell>
        </row>
        <row r="8437">
          <cell r="A8437" t="str">
            <v>NCB-C6UREDR-305 Old (D LINK CABLE CAT6 305 MTR RED Old)</v>
          </cell>
          <cell r="B8437" t="str">
            <v>NCB-C6UREDR-305 Old(D LINK CABLE CAT6 305 MTR RED Old)</v>
          </cell>
          <cell r="C8437" t="str">
            <v>OTHER PRODUCTS</v>
          </cell>
          <cell r="D8437" t="str">
            <v>OTHER PRODUCTS</v>
          </cell>
        </row>
        <row r="8438">
          <cell r="A8438" t="str">
            <v>HS-19 (Dowells CUS-19)</v>
          </cell>
          <cell r="B8438" t="str">
            <v>HS-19(Dowells CUS-19)</v>
          </cell>
          <cell r="C8438" t="str">
            <v>OTHER PRODUCTS</v>
          </cell>
          <cell r="D8438" t="str">
            <v>OTHER PRODUCTS</v>
          </cell>
        </row>
        <row r="8439">
          <cell r="A8439" t="str">
            <v>Omega Backfill Compound (Earthing Compound 15kg)</v>
          </cell>
          <cell r="B8439" t="str">
            <v>Omega Backfill Compound(Earthing Compound 15kg)</v>
          </cell>
          <cell r="C8439" t="str">
            <v>OTHER PRODUCTS</v>
          </cell>
          <cell r="D8439" t="str">
            <v>OTHER PRODUCTS</v>
          </cell>
        </row>
        <row r="8440">
          <cell r="A8440" t="str">
            <v>FULL SET (EARTHING FULL SET)</v>
          </cell>
          <cell r="B8440" t="str">
            <v>FULL SET(EARTHING FULL SET)</v>
          </cell>
          <cell r="C8440" t="str">
            <v>OTHER PRODUCTS</v>
          </cell>
          <cell r="D8440" t="str">
            <v>OTHER PRODUCTS</v>
          </cell>
        </row>
        <row r="8441">
          <cell r="A8441" t="str">
            <v>Omega Earthing Set 2 Mtr (Earthing set.
17.2 mm Dia/2Mtr length/250Mic/ Suitable clamp/ 20kgs Omega Moisture Boosting Compound.)</v>
          </cell>
          <cell r="B8441" t="str">
            <v>Omega Earthing Set 2 Mtr(Earthing set.
17.2 mm Dia/2Mtr length/250Mic/ Suitable clamp/ 20kgs Omega Moisture Boosting Compound.)</v>
          </cell>
          <cell r="C8441" t="str">
            <v>OTHER PRODUCTS</v>
          </cell>
          <cell r="D8441" t="str">
            <v>OTHER PRODUCTS</v>
          </cell>
        </row>
        <row r="8442">
          <cell r="A8442" t="str">
            <v>Omega Earthing Set 1.2 mtr (Earthing Solution 1.2 Rod &amp; 10 kG Bag of Omega moisture boosting Backfill Compound and Clamp)</v>
          </cell>
          <cell r="B8442" t="str">
            <v>Omega Earthing Set 1.2 mtr(Earthing Solution 1.2 Rod &amp; 10 kG Bag of Omega moisture boosting Backfill Compound and Clamp)</v>
          </cell>
          <cell r="C8442" t="str">
            <v>OTHER PRODUCTS</v>
          </cell>
          <cell r="D8442" t="str">
            <v>OTHER PRODUCTS</v>
          </cell>
        </row>
        <row r="8443">
          <cell r="A8443" t="str">
            <v>Omega 1 Mtr Set (Earthing Solution 1.m Rod &amp; 5 Kg Bag of Omega moisture boosting Backfill Compound and with Hardware)</v>
          </cell>
          <cell r="B8443" t="str">
            <v>Omega 1 Mtr Set(Earthing Solution 1.m Rod &amp; 5 Kg Bag of Omega moisture boosting Backfill Compound and with Hardware)</v>
          </cell>
          <cell r="C8443" t="str">
            <v>OTHER PRODUCTS</v>
          </cell>
          <cell r="D8443" t="str">
            <v>OTHER PRODUCTS</v>
          </cell>
        </row>
        <row r="8444">
          <cell r="A8444" t="str">
            <v>Tubler Lugs (EHI 50-20 BLUE Insulted Lugs)</v>
          </cell>
          <cell r="B8444" t="str">
            <v>Tubler Lugs(EHI 50-20 BLUE Insulted Lugs)</v>
          </cell>
          <cell r="C8444" t="str">
            <v>OTHER PRODUCTS</v>
          </cell>
          <cell r="D8444" t="str">
            <v>OTHER PRODUCTS</v>
          </cell>
        </row>
        <row r="8445">
          <cell r="A8445" t="str">
            <v>Y7-31891_x000D_
 (ETR4-69-A_x000D_
)</v>
          </cell>
          <cell r="B8445" t="str">
            <v>Y7-31891_x000D__x000D_
(ETR4-69-A_x000D__x000D_
)</v>
          </cell>
          <cell r="C8445" t="str">
            <v>OTHER PRODUCTS</v>
          </cell>
          <cell r="D8445" t="str">
            <v>OTHER PRODUCTS</v>
          </cell>
        </row>
        <row r="8446">
          <cell r="A8446" t="str">
            <v>ECRF-236 (Exd AL (LM-6) Clean Room Light Fitting To SUIT 72W)</v>
          </cell>
          <cell r="B8446" t="str">
            <v>ECRF-236(Exd AL(LM-6) Clean Room Light Fitting To SUIT 72W)</v>
          </cell>
          <cell r="C8446" t="str">
            <v>OTHER PRODUCTS</v>
          </cell>
          <cell r="D8446" t="str">
            <v>OTHER PRODUCTS</v>
          </cell>
        </row>
        <row r="8447">
          <cell r="A8447" t="str">
            <v>EXFLO-240 (Exd AL(LM-6) Luminaire Fluorescent 2x36W FTL)</v>
          </cell>
          <cell r="B8447" t="str">
            <v>EXFLO-240(Exd AL(LM-6) Luminaire Fluorescent 2x36W FTL)</v>
          </cell>
          <cell r="C8447" t="str">
            <v>OTHER PRODUCTS</v>
          </cell>
          <cell r="D8447" t="str">
            <v>OTHER PRODUCTS</v>
          </cell>
        </row>
        <row r="8448">
          <cell r="A8448" t="str">
            <v>EXTN FITTING (EXTN 2X20W FITTING)</v>
          </cell>
          <cell r="B8448" t="str">
            <v>EXTN FITTING(EXTN 2X20W FITTING)</v>
          </cell>
          <cell r="C8448" t="str">
            <v>OTHER PRODUCTS</v>
          </cell>
          <cell r="D8448" t="str">
            <v>OTHER PRODUCTS</v>
          </cell>
        </row>
        <row r="8449">
          <cell r="A8449" t="str">
            <v>L681141 (Fan Regulator)</v>
          </cell>
          <cell r="B8449" t="str">
            <v>L681141(Fan Regulator)</v>
          </cell>
          <cell r="C8449" t="str">
            <v>OTHER PRODUCTS</v>
          </cell>
          <cell r="D8449" t="str">
            <v>OTHER PRODUCTS</v>
          </cell>
        </row>
        <row r="8450">
          <cell r="A8450" t="str">
            <v>Bolts for Pole (Foundation bolts for Street light poles)</v>
          </cell>
          <cell r="B8450" t="str">
            <v>Bolts for Pole(Foundation bolts for Street light poles)</v>
          </cell>
          <cell r="C8450" t="str">
            <v>OTHER PRODUCTS</v>
          </cell>
          <cell r="D8450" t="str">
            <v>OTHER PRODUCTS</v>
          </cell>
        </row>
        <row r="8451">
          <cell r="A8451" t="str">
            <v>C14G 16A Fuse (Fuse 16A 14x51 690V)</v>
          </cell>
          <cell r="B8451" t="str">
            <v>C14G 16A Fuse(Fuse 16A 14x51 690V)</v>
          </cell>
          <cell r="C8451" t="str">
            <v>OTHER PRODUCTS</v>
          </cell>
          <cell r="D8451" t="str">
            <v>OTHER PRODUCTS</v>
          </cell>
        </row>
        <row r="8452">
          <cell r="A8452" t="str">
            <v>GI Bend (GI Bend 40mm for Street Light)</v>
          </cell>
          <cell r="B8452" t="str">
            <v>GI Bend(GI Bend 40mm for Street Light)</v>
          </cell>
          <cell r="C8452" t="str">
            <v>OTHER PRODUCTS</v>
          </cell>
          <cell r="D8452" t="str">
            <v>OTHER PRODUCTS</v>
          </cell>
        </row>
        <row r="8453">
          <cell r="A8453" t="str">
            <v>C Channel (GI C Channel)</v>
          </cell>
          <cell r="B8453" t="str">
            <v>C Channel(GI C Channel)</v>
          </cell>
          <cell r="C8453" t="str">
            <v>OTHER PRODUCTS</v>
          </cell>
          <cell r="D8453" t="str">
            <v>OTHER PRODUCTS</v>
          </cell>
        </row>
        <row r="8454">
          <cell r="A8454" t="str">
            <v>CLAMP 100mm (GI CLAMP 100mm)</v>
          </cell>
          <cell r="B8454" t="str">
            <v>CLAMP 100mm(GI CLAMP 100mm)</v>
          </cell>
          <cell r="C8454" t="str">
            <v>OTHER PRODUCTS</v>
          </cell>
          <cell r="D8454" t="str">
            <v>OTHER PRODUCTS</v>
          </cell>
        </row>
        <row r="8455">
          <cell r="A8455" t="str">
            <v>300X50X1.6mm (GI Ladder Type Cable Tray)</v>
          </cell>
          <cell r="B8455" t="str">
            <v>300X50X1.6mm(GI Ladder Type Cable Tray)</v>
          </cell>
          <cell r="C8455" t="str">
            <v>OTHER PRODUCTS</v>
          </cell>
          <cell r="D8455" t="str">
            <v>OTHER PRODUCTS</v>
          </cell>
        </row>
        <row r="8456">
          <cell r="A8456" t="str">
            <v>Grent Cable Tray (GI Ladder Type Cable Tray 150x50x1.6mm)</v>
          </cell>
          <cell r="B8456" t="str">
            <v>Grent Cable Tray(GI Ladder Type Cable Tray 150x50x1.6mm)</v>
          </cell>
          <cell r="C8456" t="str">
            <v>OTHER PRODUCTS</v>
          </cell>
          <cell r="D8456" t="str">
            <v>OTHER PRODUCTS</v>
          </cell>
        </row>
        <row r="8457">
          <cell r="A8457" t="str">
            <v>100X50X1.6mm (GI Perforated Cable Tray with Cover)</v>
          </cell>
          <cell r="B8457" t="str">
            <v>100X50X1.6mm(GI Perforated Cable Tray with Cover)</v>
          </cell>
          <cell r="C8457" t="str">
            <v>OTHER PRODUCTS</v>
          </cell>
          <cell r="D8457" t="str">
            <v>OTHER PRODUCTS</v>
          </cell>
        </row>
        <row r="8458">
          <cell r="A8458" t="str">
            <v>Grent Cable Tray Without Cover (GI Perforated Cable Tray Without Cover 150x50x1.6mm)</v>
          </cell>
          <cell r="B8458" t="str">
            <v>Grent Cable Tray Without Cover(GI Perforated Cable Tray Without Cover 150x50x1.6mm)</v>
          </cell>
          <cell r="C8458" t="str">
            <v>OTHER PRODUCTS</v>
          </cell>
          <cell r="D8458" t="str">
            <v>OTHER PRODUCTS</v>
          </cell>
        </row>
        <row r="8459">
          <cell r="A8459" t="str">
            <v>GI Race Way with Cover (GI Race Way with Cover 100X50X1.6mm)</v>
          </cell>
          <cell r="B8459" t="str">
            <v>GI Race Way with Cover(GI Race Way with Cover 100X50X1.6mm)</v>
          </cell>
          <cell r="C8459" t="str">
            <v>OTHER PRODUCTS</v>
          </cell>
          <cell r="D8459" t="str">
            <v>OTHER PRODUCTS</v>
          </cell>
        </row>
        <row r="8460">
          <cell r="A8460" t="str">
            <v>GI STRIP (GI STRIP 25X3)</v>
          </cell>
          <cell r="B8460" t="str">
            <v>GI STRIP(GI STRIP 25X3)</v>
          </cell>
          <cell r="C8460" t="str">
            <v>OTHER PRODUCTS</v>
          </cell>
          <cell r="D8460" t="str">
            <v>OTHER PRODUCTS</v>
          </cell>
        </row>
        <row r="8461">
          <cell r="A8461" t="str">
            <v>10A SPN (H 10A SPN MCB C)</v>
          </cell>
          <cell r="B8461" t="str">
            <v>10A SPN(H 10A SPN MCB C)</v>
          </cell>
          <cell r="C8461" t="str">
            <v>OTHER PRODUCTS</v>
          </cell>
          <cell r="D8461" t="str">
            <v>OTHER PRODUCTS</v>
          </cell>
        </row>
        <row r="8462">
          <cell r="A8462" t="str">
            <v>16A SPN (H 16A SPN 'C' MCB)</v>
          </cell>
          <cell r="B8462" t="str">
            <v>16A SPN(H 16A SPN 'C' MCB)</v>
          </cell>
          <cell r="C8462" t="str">
            <v>OTHER PRODUCTS</v>
          </cell>
          <cell r="D8462" t="str">
            <v>OTHER PRODUCTS</v>
          </cell>
        </row>
        <row r="8463">
          <cell r="A8463" t="str">
            <v>H 25A SPN (H 25A SPN MCB C CURVE)</v>
          </cell>
          <cell r="B8463" t="str">
            <v>H 25A SPN(H 25A SPN MCB C CURVE)</v>
          </cell>
          <cell r="C8463" t="str">
            <v>OTHER PRODUCTS</v>
          </cell>
          <cell r="D8463" t="str">
            <v>OTHER PRODUCTS</v>
          </cell>
        </row>
        <row r="8464">
          <cell r="A8464" t="str">
            <v>Handle for High Mast</v>
          </cell>
          <cell r="B8464" t="str">
            <v>Handle for High Mast</v>
          </cell>
          <cell r="C8464" t="str">
            <v>OTHER PRODUCTS</v>
          </cell>
          <cell r="D8464" t="str">
            <v>OTHER PRODUCTS</v>
          </cell>
        </row>
        <row r="8465">
          <cell r="A8465" t="str">
            <v>117043 (HV INDL.1100V CABLE(MS) 1CX1.5_x000D_
BLK)</v>
          </cell>
          <cell r="B8465" t="str">
            <v>117043(HV INDL.1100V CABLE(MS) 1CX1.5_x000D_
BLK)</v>
          </cell>
          <cell r="C8465" t="str">
            <v>OTHER PRODUCTS</v>
          </cell>
          <cell r="D8465" t="str">
            <v>OTHER PRODUCTS</v>
          </cell>
        </row>
        <row r="8466">
          <cell r="A8466" t="str">
            <v>117042 (HV INDL.1100V CABLE(MS) 1CX1.5_x000D_
BLU)</v>
          </cell>
          <cell r="B8466" t="str">
            <v>117042(HV INDL.1100V CABLE(MS) 1CX1.5_x000D_
BLU)</v>
          </cell>
          <cell r="C8466" t="str">
            <v>OTHER PRODUCTS</v>
          </cell>
          <cell r="D8466" t="str">
            <v>OTHER PRODUCTS</v>
          </cell>
        </row>
        <row r="8467">
          <cell r="A8467" t="str">
            <v>117045 (HV INDL.1100V CABLE(MS) 1CX1.5_x000D_
GRN)</v>
          </cell>
          <cell r="B8467" t="str">
            <v>117045(HV INDL.1100V CABLE(MS) 1CX1.5_x000D_
GRN)</v>
          </cell>
          <cell r="C8467" t="str">
            <v>OTHER PRODUCTS</v>
          </cell>
          <cell r="D8467" t="str">
            <v>OTHER PRODUCTS</v>
          </cell>
        </row>
        <row r="8468">
          <cell r="A8468" t="str">
            <v>117040 (HV INDL.1100V CABLE(MS) 1CX1.5_x000D_
RED)</v>
          </cell>
          <cell r="B8468" t="str">
            <v>117040(HV INDL.1100V CABLE(MS) 1CX1.5_x000D_
RED)</v>
          </cell>
          <cell r="C8468" t="str">
            <v>OTHER PRODUCTS</v>
          </cell>
          <cell r="D8468" t="str">
            <v>OTHER PRODUCTS</v>
          </cell>
        </row>
        <row r="8469">
          <cell r="A8469" t="str">
            <v>117041 (HV INDL.1100V CABLE(MS) 1CX1.5_x000D_
YEL)</v>
          </cell>
          <cell r="B8469" t="str">
            <v>117041(HV INDL.1100V CABLE(MS) 1CX1.5_x000D_
YEL)</v>
          </cell>
          <cell r="C8469" t="str">
            <v>OTHER PRODUCTS</v>
          </cell>
          <cell r="D8469" t="str">
            <v>OTHER PRODUCTS</v>
          </cell>
        </row>
        <row r="8470">
          <cell r="A8470" t="str">
            <v>117163 (INSU/SHT.HV INDL.1100V CABLE (MS)_x000D_
2CX2.5)</v>
          </cell>
          <cell r="B8470" t="str">
            <v>117163(INSU/SHT.HV INDL.1100V CABLE(MS)_x000D_
2CX2.5)</v>
          </cell>
          <cell r="C8470" t="str">
            <v>OTHER PRODUCTS</v>
          </cell>
          <cell r="D8470" t="str">
            <v>OTHER PRODUCTS</v>
          </cell>
        </row>
        <row r="8471">
          <cell r="A8471" t="str">
            <v>117202 (INSU/SHT.HV INDL.1100V CABLE (MS)_x000D_
4CX10)</v>
          </cell>
          <cell r="B8471" t="str">
            <v>117202(INSU/SHT.HV INDL.1100V CABLE(MS)_x000D_
4CX10)</v>
          </cell>
          <cell r="C8471" t="str">
            <v>OTHER PRODUCTS</v>
          </cell>
          <cell r="D8471" t="str">
            <v>OTHER PRODUCTS</v>
          </cell>
        </row>
        <row r="8472">
          <cell r="A8472" t="str">
            <v>IQ-NS1V1-55 (IQ-NS1V1-55 LED)</v>
          </cell>
          <cell r="B8472" t="str">
            <v>IQ-NS1V1-55(IQ-NS1V1-55 LED)</v>
          </cell>
          <cell r="C8472" t="str">
            <v>OTHER PRODUCTS</v>
          </cell>
          <cell r="D8472" t="str">
            <v>OTHER PRODUCTS</v>
          </cell>
        </row>
        <row r="8473">
          <cell r="A8473" t="str">
            <v>IS 345 SENSOR (IS 345 MX HIGHBAY COM 1 AP)</v>
          </cell>
          <cell r="B8473" t="str">
            <v>IS 345 SENSOR(IS 345 MX HIGHBAY COM 1 AP)</v>
          </cell>
          <cell r="C8473" t="str">
            <v>OTHER PRODUCTS</v>
          </cell>
          <cell r="D8473" t="str">
            <v>OTHER PRODUCTS</v>
          </cell>
        </row>
        <row r="8474">
          <cell r="A8474" t="str">
            <v>GI JOINT PLATES (JOINT PLATES GI)</v>
          </cell>
          <cell r="B8474" t="str">
            <v>GI JOINT PLATES(JOINT PLATES GI)</v>
          </cell>
          <cell r="C8474" t="str">
            <v>OTHER PRODUCTS</v>
          </cell>
          <cell r="D8474" t="str">
            <v>OTHER PRODUCTS</v>
          </cell>
        </row>
        <row r="8475">
          <cell r="A8475" t="str">
            <v>KI 1.5x2cL TCuXAFARD (Kei 1.5x2c Cu XLPE Ar FAS Red Cable)</v>
          </cell>
          <cell r="B8475" t="str">
            <v>KI 1.5x2cL TCuXAFARD(Kei 1.5x2c Cu XLPE Ar FAS Red Cable)</v>
          </cell>
          <cell r="C8475" t="str">
            <v>OTHER PRODUCTS</v>
          </cell>
          <cell r="D8475" t="str">
            <v>OTHER PRODUCTS</v>
          </cell>
        </row>
        <row r="8476">
          <cell r="A8476" t="str">
            <v>lantern carriage for high mast</v>
          </cell>
          <cell r="B8476" t="str">
            <v>lantern carriage for high mast</v>
          </cell>
          <cell r="C8476" t="str">
            <v>OTHER PRODUCTS</v>
          </cell>
          <cell r="D8476" t="str">
            <v>OTHER PRODUCTS</v>
          </cell>
        </row>
        <row r="8477">
          <cell r="A8477" t="str">
            <v>LED BULKHEAD (Led Bulkhead 20W CG)</v>
          </cell>
          <cell r="B8477" t="str">
            <v>LED BULKHEAD(Led Bulkhead 20W CG)</v>
          </cell>
          <cell r="C8477" t="str">
            <v>OTHER PRODUCTS</v>
          </cell>
          <cell r="D8477" t="str">
            <v>OTHER PRODUCTS</v>
          </cell>
        </row>
        <row r="8478">
          <cell r="A8478" t="str">
            <v>WHLHBY100 WH (LED HIGHBAY LGT IND 100W)</v>
          </cell>
          <cell r="B8478" t="str">
            <v>WHLHBY100 WH(LED HIGHBAY LGT IND 100W)</v>
          </cell>
          <cell r="C8478" t="str">
            <v>OTHER PRODUCTS</v>
          </cell>
          <cell r="D8478" t="str">
            <v>OTHER PRODUCTS</v>
          </cell>
        </row>
        <row r="8479">
          <cell r="A8479" t="str">
            <v>LED PRIDE (Led Pride Essential 20w Batten 4FT)</v>
          </cell>
          <cell r="B8479" t="str">
            <v>LED PRIDE(Led Pride Essential 20w Batten 4FT)</v>
          </cell>
          <cell r="C8479" t="str">
            <v>OTHER PRODUCTS</v>
          </cell>
          <cell r="D8479" t="str">
            <v>OTHER PRODUCTS</v>
          </cell>
        </row>
        <row r="8480">
          <cell r="A8480" t="str">
            <v>LHESAMP7IN1W005 (LED WALL LIGHT 5W 6500K)</v>
          </cell>
          <cell r="B8480" t="str">
            <v>LHESAMP7IN1W005(LED WALL LIGHT 5W 6500K)</v>
          </cell>
          <cell r="C8480" t="str">
            <v>OTHER PRODUCTS</v>
          </cell>
          <cell r="D8480" t="str">
            <v>OTHER PRODUCTS</v>
          </cell>
        </row>
        <row r="8481">
          <cell r="A8481" t="str">
            <v>PCD 520 (M25x1000 Template PCD 520)</v>
          </cell>
          <cell r="B8481" t="str">
            <v>PCD 520(M25x1000 Template PCD 520)</v>
          </cell>
          <cell r="C8481" t="str">
            <v>OTHER PRODUCTS</v>
          </cell>
          <cell r="D8481" t="str">
            <v>OTHER PRODUCTS</v>
          </cell>
        </row>
        <row r="8482">
          <cell r="A8482" t="str">
            <v>3L/RBS (MACHINE LAMPS)</v>
          </cell>
          <cell r="B8482" t="str">
            <v>3L/RBS(MACHINE LAMPS)</v>
          </cell>
          <cell r="C8482" t="str">
            <v>OTHER PRODUCTS</v>
          </cell>
          <cell r="D8482" t="str">
            <v>OTHER PRODUCTS</v>
          </cell>
        </row>
        <row r="8483">
          <cell r="A8483" t="str">
            <v>SCREW (MACHINE SCREW)</v>
          </cell>
          <cell r="B8483" t="str">
            <v>SCREW(MACHINE SCREW)</v>
          </cell>
          <cell r="C8483" t="str">
            <v>OTHER PRODUCTS</v>
          </cell>
          <cell r="D8483" t="str">
            <v>OTHER PRODUCTS</v>
          </cell>
        </row>
        <row r="8484">
          <cell r="A8484" t="str">
            <v>14005501 (MHS STR X 1.1KV (HSLA-5/4C 240SQ. MM KIT))</v>
          </cell>
          <cell r="B8484" t="str">
            <v>14005501(MHS STR X 1.1KV (HSLA-5/4C 240SQ. MM KIT))</v>
          </cell>
          <cell r="C8484" t="str">
            <v>OTHER PRODUCTS</v>
          </cell>
          <cell r="D8484" t="str">
            <v>OTHER PRODUCTS</v>
          </cell>
        </row>
        <row r="8485">
          <cell r="A8485" t="str">
            <v>BUWH4160326 (Multistrand SC 2.1 1x1)</v>
          </cell>
          <cell r="B8485" t="str">
            <v>BUWH4160326(Multistrand SC 2.1 1x1)</v>
          </cell>
          <cell r="C8485" t="str">
            <v>OTHER PRODUCTS</v>
          </cell>
          <cell r="D8485" t="str">
            <v>OTHER PRODUCTS</v>
          </cell>
        </row>
        <row r="8486">
          <cell r="A8486" t="str">
            <v>BUWH4160426 (Multistrand SC 2.1 1x1.5)</v>
          </cell>
          <cell r="B8486" t="str">
            <v>BUWH4160426(Multistrand SC 2.1 1x1.5)</v>
          </cell>
          <cell r="C8486" t="str">
            <v>OTHER PRODUCTS</v>
          </cell>
          <cell r="D8486" t="str">
            <v>OTHER PRODUCTS</v>
          </cell>
        </row>
        <row r="8487">
          <cell r="A8487" t="str">
            <v>21180 (NEON INDICATOR)</v>
          </cell>
          <cell r="B8487" t="str">
            <v>21180(NEON INDICATOR)</v>
          </cell>
          <cell r="C8487" t="str">
            <v>OTHER PRODUCTS</v>
          </cell>
          <cell r="D8487" t="str">
            <v>OTHER PRODUCTS</v>
          </cell>
        </row>
        <row r="8488">
          <cell r="A8488" t="str">
            <v>VZ113i (Neutral Link - 19 Connection)</v>
          </cell>
          <cell r="B8488" t="str">
            <v>VZ113i(Neutral Link - 19 Connection)</v>
          </cell>
          <cell r="C8488" t="str">
            <v>OTHER PRODUCTS</v>
          </cell>
          <cell r="D8488" t="str">
            <v>OTHER PRODUCTS</v>
          </cell>
        </row>
        <row r="8489">
          <cell r="A8489" t="str">
            <v>4G161125624 (Olflex classic 110 Sy)</v>
          </cell>
          <cell r="B8489" t="str">
            <v>4G161125624(Olflex classic 110 Sy)</v>
          </cell>
          <cell r="C8489" t="str">
            <v>OTHER PRODUCTS</v>
          </cell>
          <cell r="D8489" t="str">
            <v>OTHER PRODUCTS</v>
          </cell>
        </row>
        <row r="8490">
          <cell r="A8490" t="str">
            <v>olflex classic 115 4G1.5 sqmm</v>
          </cell>
          <cell r="B8490" t="str">
            <v>olflex classic 115 4G1.5 sqmm</v>
          </cell>
          <cell r="C8490" t="str">
            <v>OTHER PRODUCTS</v>
          </cell>
          <cell r="D8490" t="str">
            <v>OTHER PRODUCTS</v>
          </cell>
        </row>
        <row r="8491">
          <cell r="A8491" t="str">
            <v>Oliflex 11013G1.5</v>
          </cell>
          <cell r="B8491" t="str">
            <v>Oliflex 11013G1.5</v>
          </cell>
          <cell r="C8491" t="str">
            <v>OTHER PRODUCTS</v>
          </cell>
          <cell r="D8491" t="str">
            <v>OTHER PRODUCTS</v>
          </cell>
        </row>
        <row r="8492">
          <cell r="A8492" t="str">
            <v>TV CABLE 90 (One Pair Telephone Cable (90Mtrs))</v>
          </cell>
          <cell r="B8492" t="str">
            <v>TV CABLE 90(One Pair Telephone Cable (90Mtrs))</v>
          </cell>
          <cell r="C8492" t="str">
            <v>OTHER PRODUCTS</v>
          </cell>
          <cell r="D8492" t="str">
            <v>OTHER PRODUCTS</v>
          </cell>
        </row>
        <row r="8493">
          <cell r="A8493" t="str">
            <v>COVER (OVER SIZE COVER)</v>
          </cell>
          <cell r="B8493" t="str">
            <v>COVER(OVER SIZE COVER)</v>
          </cell>
          <cell r="C8493" t="str">
            <v>OTHER PRODUCTS</v>
          </cell>
          <cell r="D8493" t="str">
            <v>OTHER PRODUCTS</v>
          </cell>
        </row>
        <row r="8494">
          <cell r="A8494" t="str">
            <v xml:space="preserve">p3-63/i4/svb-sw/hi11Y7-207345_x000D_
</v>
          </cell>
          <cell r="B8494" t="str">
            <v xml:space="preserve">p3-63/i4/svb-sw/hi11Y7-207345_x000D_
</v>
          </cell>
          <cell r="C8494" t="str">
            <v>OTHER PRODUCTS</v>
          </cell>
          <cell r="D8494" t="str">
            <v>OTHER PRODUCTS</v>
          </cell>
        </row>
        <row r="8495">
          <cell r="A8495" t="str">
            <v>800A (Panel)</v>
          </cell>
          <cell r="B8495" t="str">
            <v>800A(Panel)</v>
          </cell>
          <cell r="C8495" t="str">
            <v>OTHER PRODUCTS</v>
          </cell>
          <cell r="D8495" t="str">
            <v>OTHER PRODUCTS</v>
          </cell>
        </row>
        <row r="8496">
          <cell r="A8496" t="str">
            <v>PC4Cx25 (PC 4Cx25sqmm COP Armd Indl 1100V Cable Polycab)</v>
          </cell>
          <cell r="B8496" t="str">
            <v>PC4Cx25(PC 4Cx25sqmm COP Armd Indl 1100V Cable Polycab)</v>
          </cell>
          <cell r="C8496" t="str">
            <v>OTHER PRODUCTS</v>
          </cell>
          <cell r="D8496" t="str">
            <v>OTHER PRODUCTS</v>
          </cell>
        </row>
        <row r="8497">
          <cell r="A8497" t="str">
            <v>PF3Cx1.5 (PF3CX1.5SQMM C/F PVC INDL CABLE-POLYCAB)</v>
          </cell>
          <cell r="B8497" t="str">
            <v>PF3Cx1.5(PF3CX1.5SQMM C/F PVC INDL CABLE-POLYCAB)</v>
          </cell>
          <cell r="C8497" t="str">
            <v>OTHER PRODUCTS</v>
          </cell>
          <cell r="D8497" t="str">
            <v>OTHER PRODUCTS</v>
          </cell>
        </row>
        <row r="8498">
          <cell r="A8498" t="str">
            <v>PF3Cx2.5 (PF3CX2.5SQMM C/F PVC INDL CABLE-POLYCAB)</v>
          </cell>
          <cell r="B8498" t="str">
            <v>PF3Cx2.5(PF3CX2.5SQMM C/F PVC INDL CABLE-POLYCAB)</v>
          </cell>
          <cell r="C8498" t="str">
            <v>OTHER PRODUCTS</v>
          </cell>
          <cell r="D8498" t="str">
            <v>OTHER PRODUCTS</v>
          </cell>
        </row>
        <row r="8499">
          <cell r="A8499" t="str">
            <v>PF4Cx10 (PF 4Cx10sqmm C/F PVC Indul Cable Polycab)</v>
          </cell>
          <cell r="B8499" t="str">
            <v>PF4Cx10(PF 4Cx10sqmm C/F PVC Indul Cable Polycab)</v>
          </cell>
          <cell r="C8499" t="str">
            <v>OTHER PRODUCTS</v>
          </cell>
          <cell r="D8499" t="str">
            <v>OTHER PRODUCTS</v>
          </cell>
        </row>
        <row r="8500">
          <cell r="A8500" t="str">
            <v>PF4Cx4 (PF4CX4SQMM C/F PVC INDL CABLE-POLYCAB)</v>
          </cell>
          <cell r="B8500" t="str">
            <v>PF4Cx4(PF4CX4SQMM C/F PVC INDL CABLE-POLYCAB)</v>
          </cell>
          <cell r="C8500" t="str">
            <v>OTHER PRODUCTS</v>
          </cell>
          <cell r="D8500" t="str">
            <v>OTHER PRODUCTS</v>
          </cell>
        </row>
        <row r="8501">
          <cell r="A8501" t="str">
            <v>PF4Cx50 (PF4CX50SQMM C/F PVC INDL CABLE-POLYCAB)</v>
          </cell>
          <cell r="B8501" t="str">
            <v>PF4Cx50(PF4CX50SQMM C/F PVC INDL CABLE-POLYCAB)</v>
          </cell>
          <cell r="C8501" t="str">
            <v>OTHER PRODUCTS</v>
          </cell>
          <cell r="D8501" t="str">
            <v>OTHER PRODUCTS</v>
          </cell>
        </row>
        <row r="8502">
          <cell r="A8502" t="str">
            <v>LHLDCLXNUL7Z010 (PHOTON ULTRA TUBELIGHT 10W 865 1M2-HAVELLS)</v>
          </cell>
          <cell r="B8502" t="str">
            <v>LHLDCLXNUL7Z010(PHOTON ULTRA TUBELIGHT 10W 865 1M2-HAVELLS)</v>
          </cell>
          <cell r="C8502" t="str">
            <v>OTHER PRODUCTS</v>
          </cell>
          <cell r="D8502" t="str">
            <v>OTHER PRODUCTS</v>
          </cell>
        </row>
        <row r="8503">
          <cell r="A8503" t="str">
            <v>PKS (PKS STAINLESS STEEL MARKING PACK OF 7)</v>
          </cell>
          <cell r="B8503" t="str">
            <v>PKS(PKS STAINLESS STEEL MARKING PACK OF 7)</v>
          </cell>
          <cell r="C8503" t="str">
            <v>OTHER PRODUCTS</v>
          </cell>
          <cell r="D8503" t="str">
            <v>OTHER PRODUCTS</v>
          </cell>
        </row>
        <row r="8504">
          <cell r="A8504" t="str">
            <v>Chamber Cvr (Plastic Chamber Cover)</v>
          </cell>
          <cell r="B8504" t="str">
            <v>Chamber Cvr(Plastic Chamber Cover)</v>
          </cell>
          <cell r="C8504" t="str">
            <v>OTHER PRODUCTS</v>
          </cell>
          <cell r="D8504" t="str">
            <v>OTHER PRODUCTS</v>
          </cell>
        </row>
        <row r="8505">
          <cell r="A8505" t="str">
            <v>PLUG TOP (PLUG TOP 16A)</v>
          </cell>
          <cell r="B8505" t="str">
            <v>PLUG TOP(PLUG TOP 16A)</v>
          </cell>
          <cell r="C8505" t="str">
            <v>OTHER PRODUCTS</v>
          </cell>
          <cell r="D8505" t="str">
            <v>OTHER PRODUCTS</v>
          </cell>
        </row>
        <row r="8506">
          <cell r="A8506" t="str">
            <v>2.5sqmm X 3Core (Polycab make 2.5sqmm X 3Core  XLPE insulation Multistrand conductor copper armored FRLS cable)</v>
          </cell>
          <cell r="B8506" t="str">
            <v>2.5sqmm X 3Core(Polycab make 2.5sqmm X 3Core XLPE insulation Multistrand conductor copper armored FRLS cable)</v>
          </cell>
          <cell r="C8506" t="str">
            <v>OTHER PRODUCTS</v>
          </cell>
          <cell r="D8506" t="str">
            <v>OTHER PRODUCTS</v>
          </cell>
        </row>
        <row r="8507">
          <cell r="A8507" t="str">
            <v>POP SCREW (POP SCREW 1")</v>
          </cell>
          <cell r="B8507" t="str">
            <v>POP SCREW(POP SCREW 1")</v>
          </cell>
          <cell r="C8507" t="str">
            <v>OTHER PRODUCTS</v>
          </cell>
          <cell r="D8507" t="str">
            <v>OTHER PRODUCTS</v>
          </cell>
        </row>
        <row r="8508">
          <cell r="A8508" t="str">
            <v>POP SCREW L (POP SCREW 1.5")</v>
          </cell>
          <cell r="B8508" t="str">
            <v>POP SCREW L(POP SCREW 1.5")</v>
          </cell>
          <cell r="C8508" t="str">
            <v>OTHER PRODUCTS</v>
          </cell>
          <cell r="D8508" t="str">
            <v>OTHER PRODUCTS</v>
          </cell>
        </row>
        <row r="8509">
          <cell r="A8509" t="str">
            <v>SCREW 2" (POP SCREW 2")</v>
          </cell>
          <cell r="B8509" t="str">
            <v>SCREW 2"(POP SCREW 2")</v>
          </cell>
          <cell r="C8509" t="str">
            <v>OTHER PRODUCTS</v>
          </cell>
          <cell r="D8509" t="str">
            <v>OTHER PRODUCTS</v>
          </cell>
        </row>
        <row r="8510">
          <cell r="A8510" t="str">
            <v>POP SC (POP SCREW 2.5")</v>
          </cell>
          <cell r="B8510" t="str">
            <v>POP SC(POP SCREW 2.5")</v>
          </cell>
          <cell r="C8510" t="str">
            <v>OTHER PRODUCTS</v>
          </cell>
          <cell r="D8510" t="str">
            <v>OTHER PRODUCTS</v>
          </cell>
        </row>
        <row r="8511">
          <cell r="A8511" t="str">
            <v>POP SCREW D (POP SCREW - DZ)</v>
          </cell>
          <cell r="B8511" t="str">
            <v>POP SCREW D(POP SCREW - DZ)</v>
          </cell>
          <cell r="C8511" t="str">
            <v>OTHER PRODUCTS</v>
          </cell>
          <cell r="D8511" t="str">
            <v>OTHER PRODUCTS</v>
          </cell>
        </row>
        <row r="8512">
          <cell r="A8512" t="str">
            <v>Powder  Coting (Powder Coting for Havells Lights)</v>
          </cell>
          <cell r="B8512" t="str">
            <v>Powder Coting(Powder Coting for Havells Lights)</v>
          </cell>
          <cell r="C8512" t="str">
            <v>OTHER PRODUCTS</v>
          </cell>
          <cell r="D8512" t="str">
            <v>OTHER PRODUCTS</v>
          </cell>
        </row>
        <row r="8513">
          <cell r="A8513" t="str">
            <v>N7820-IN1853650 (Pressure Switch-Eaton Moeller)</v>
          </cell>
          <cell r="B8513" t="str">
            <v>N7820-IN1853650(Pressure Switch-Eaton Moeller)</v>
          </cell>
          <cell r="C8513" t="str">
            <v>OTHER PRODUCTS</v>
          </cell>
          <cell r="D8513" t="str">
            <v>OTHER PRODUCTS</v>
          </cell>
        </row>
        <row r="8514">
          <cell r="A8514" t="str">
            <v>Resetting Charges (Pressure Switch Resetting Charges)</v>
          </cell>
          <cell r="B8514" t="str">
            <v>Resetting Charges(Pressure Switch Resetting Charges)</v>
          </cell>
          <cell r="C8514" t="str">
            <v>OTHER PRODUCTS</v>
          </cell>
          <cell r="D8514" t="str">
            <v>OTHER PRODUCTS</v>
          </cell>
        </row>
        <row r="8515">
          <cell r="A8515" t="str">
            <v>WAGO 790-208 (Rail Mount Terminal Block 790-208)</v>
          </cell>
          <cell r="B8515" t="str">
            <v>WAGO 790-208(Rail Mount Terminal Block 790-208)</v>
          </cell>
          <cell r="C8515" t="str">
            <v>OTHER PRODUCTS</v>
          </cell>
          <cell r="D8515" t="str">
            <v>OTHER PRODUCTS</v>
          </cell>
        </row>
        <row r="8516">
          <cell r="A8516" t="str">
            <v>WAGO 790-216 (Rail Mount Terminal Block 790-216)</v>
          </cell>
          <cell r="B8516" t="str">
            <v>WAGO 790-216(Rail Mount Terminal Block 790-216)</v>
          </cell>
          <cell r="C8516" t="str">
            <v>OTHER PRODUCTS</v>
          </cell>
          <cell r="D8516" t="str">
            <v>OTHER PRODUCTS</v>
          </cell>
        </row>
        <row r="8517">
          <cell r="A8517" t="str">
            <v>20857 (RJ 11 TELE JACK)</v>
          </cell>
          <cell r="B8517" t="str">
            <v>20857(RJ 11 TELE JACK)</v>
          </cell>
          <cell r="C8517" t="str">
            <v>OTHER PRODUCTS</v>
          </cell>
          <cell r="D8517" t="str">
            <v>OTHER PRODUCTS</v>
          </cell>
        </row>
        <row r="8518">
          <cell r="A8518" t="str">
            <v>L681130 (RJ11 Tel Socket)</v>
          </cell>
          <cell r="B8518" t="str">
            <v>L681130(RJ11 Tel Socket)</v>
          </cell>
          <cell r="C8518" t="str">
            <v>OTHER PRODUCTS</v>
          </cell>
          <cell r="D8518" t="str">
            <v>OTHER PRODUCTS</v>
          </cell>
        </row>
        <row r="8519">
          <cell r="A8519" t="str">
            <v>35763 (RJ45 SOCKET CAT6)</v>
          </cell>
          <cell r="B8519" t="str">
            <v>35763(RJ45 SOCKET CAT6)</v>
          </cell>
          <cell r="C8519" t="str">
            <v>OTHER PRODUCTS</v>
          </cell>
          <cell r="D8519" t="str">
            <v>OTHER PRODUCTS</v>
          </cell>
        </row>
        <row r="8520">
          <cell r="A8520" t="str">
            <v>NOVA-4T (SENSINOVA-NOVA-4T)</v>
          </cell>
          <cell r="B8520" t="str">
            <v>NOVA-4T(SENSINOVA-NOVA-4T)</v>
          </cell>
          <cell r="C8520" t="str">
            <v>OTHER PRODUCTS</v>
          </cell>
          <cell r="D8520" t="str">
            <v>OTHER PRODUCTS</v>
          </cell>
        </row>
        <row r="8521">
          <cell r="A8521" t="str">
            <v>SF PG11 (SF PG11 SPIRAL CONDUIT Grey)</v>
          </cell>
          <cell r="B8521" t="str">
            <v>SF PG11(SF PG11 SPIRAL CONDUIT Grey)</v>
          </cell>
          <cell r="C8521" t="str">
            <v>OTHER PRODUCTS</v>
          </cell>
          <cell r="D8521" t="str">
            <v>OTHER PRODUCTS</v>
          </cell>
        </row>
        <row r="8522">
          <cell r="A8522" t="str">
            <v>SF PG13.5 (SF PG13.5 SPIRAL CONDUIT Grey)</v>
          </cell>
          <cell r="B8522" t="str">
            <v>SF PG13.5(SF PG13.5 SPIRAL CONDUIT Grey)</v>
          </cell>
          <cell r="C8522" t="str">
            <v>OTHER PRODUCTS</v>
          </cell>
          <cell r="D8522" t="str">
            <v>OTHER PRODUCTS</v>
          </cell>
        </row>
        <row r="8523">
          <cell r="A8523" t="str">
            <v>SF PG9 (SF PG9 SPIRAL CONDUIT Grey)</v>
          </cell>
          <cell r="B8523" t="str">
            <v>SF PG9(SF PG9 SPIRAL CONDUIT Grey)</v>
          </cell>
          <cell r="C8523" t="str">
            <v>OTHER PRODUCTS</v>
          </cell>
          <cell r="D8523" t="str">
            <v>OTHER PRODUCTS</v>
          </cell>
        </row>
        <row r="8524">
          <cell r="A8524" t="str">
            <v>SINGLE CABLE END 0.75 SQMM Light Blue</v>
          </cell>
          <cell r="B8524" t="str">
            <v>SINGLE CABLE END 0.75 SQMM Light Blue</v>
          </cell>
          <cell r="C8524" t="str">
            <v>OTHER PRODUCTS</v>
          </cell>
          <cell r="D8524" t="str">
            <v>OTHER PRODUCTS</v>
          </cell>
        </row>
        <row r="8525">
          <cell r="A8525" t="str">
            <v>SINGLE CABLE END 2.5 SQMM Gray</v>
          </cell>
          <cell r="B8525" t="str">
            <v>SINGLE CABLE END 2.5 SQMM Gray</v>
          </cell>
          <cell r="C8525" t="str">
            <v>OTHER PRODUCTS</v>
          </cell>
          <cell r="D8525" t="str">
            <v>OTHER PRODUCTS</v>
          </cell>
        </row>
        <row r="8526">
          <cell r="A8526" t="str">
            <v>SINGLE CABLE END 6SQMM   GREEN</v>
          </cell>
          <cell r="B8526" t="str">
            <v>SINGLE CABLE END 6SQMM GREEN</v>
          </cell>
          <cell r="C8526" t="str">
            <v>OTHER PRODUCTS</v>
          </cell>
          <cell r="D8526" t="str">
            <v>OTHER PRODUCTS</v>
          </cell>
        </row>
        <row r="8527">
          <cell r="A8527" t="str">
            <v>SINGLE CABLE END, DZ5CE025</v>
          </cell>
          <cell r="B8527" t="str">
            <v>SINGLE CABLE END, DZ5CE025</v>
          </cell>
          <cell r="C8527" t="str">
            <v>OTHER PRODUCTS</v>
          </cell>
          <cell r="D8527" t="str">
            <v>OTHER PRODUCTS</v>
          </cell>
        </row>
        <row r="8528">
          <cell r="A8528" t="str">
            <v>SINGLE CABLE END, DZ5CE040,</v>
          </cell>
          <cell r="B8528" t="str">
            <v>SINGLE CABLE END, DZ5CE040,</v>
          </cell>
          <cell r="C8528" t="str">
            <v>OTHER PRODUCTS</v>
          </cell>
          <cell r="D8528" t="str">
            <v>OTHER PRODUCTS</v>
          </cell>
        </row>
        <row r="8529">
          <cell r="A8529" t="str">
            <v>SINGLE CABLE ENDS 4 SQMM ORANGE</v>
          </cell>
          <cell r="B8529" t="str">
            <v>SINGLE CABLE ENDS 4 SQMM ORANGE</v>
          </cell>
          <cell r="C8529" t="str">
            <v>OTHER PRODUCTS</v>
          </cell>
          <cell r="D8529" t="str">
            <v>OTHER PRODUCTS</v>
          </cell>
        </row>
        <row r="8530">
          <cell r="A8530" t="str">
            <v>SINGLE CORE,80 SQMM BLACK</v>
          </cell>
          <cell r="B8530" t="str">
            <v>SINGLE CORE,80 SQMM BLACK</v>
          </cell>
          <cell r="C8530" t="str">
            <v>OTHER PRODUCTS</v>
          </cell>
          <cell r="D8530" t="str">
            <v>OTHER PRODUCTS</v>
          </cell>
        </row>
        <row r="8531">
          <cell r="A8531" t="str">
            <v>SSSSLX0131 (SOLAR AIO 40W 60WP 12.8V 24Ah)</v>
          </cell>
          <cell r="B8531" t="str">
            <v>SSSSLX0131(SOLAR AIO 40W 60WP 12.8V 24Ah)</v>
          </cell>
          <cell r="C8531" t="str">
            <v>OTHER PRODUCTS</v>
          </cell>
          <cell r="D8531" t="str">
            <v>OTHER PRODUCTS</v>
          </cell>
        </row>
        <row r="8532">
          <cell r="A8532" t="str">
            <v>21496 (STEP REGULATOR DURA)</v>
          </cell>
          <cell r="B8532" t="str">
            <v>21496(STEP REGULATOR DURA)</v>
          </cell>
          <cell r="C8532" t="str">
            <v>OTHER PRODUCTS</v>
          </cell>
          <cell r="D8532" t="str">
            <v>OTHER PRODUCTS</v>
          </cell>
        </row>
        <row r="8533">
          <cell r="A8533" t="str">
            <v xml:space="preserve">T0-4-15682/i1/SVBY7-207161_x000D_
</v>
          </cell>
          <cell r="B8533" t="str">
            <v xml:space="preserve">T0-4-15682/i1/SVBY7-207161_x000D_
</v>
          </cell>
          <cell r="C8533" t="str">
            <v>OTHER PRODUCTS</v>
          </cell>
          <cell r="D8533" t="str">
            <v>OTHER PRODUCTS</v>
          </cell>
        </row>
        <row r="8534">
          <cell r="A8534" t="str">
            <v>T8 HOLDERS</v>
          </cell>
          <cell r="B8534" t="str">
            <v>T8 HOLDERS</v>
          </cell>
          <cell r="C8534" t="str">
            <v>OTHER PRODUCTS</v>
          </cell>
          <cell r="D8534" t="str">
            <v>OTHER PRODUCTS</v>
          </cell>
        </row>
        <row r="8535">
          <cell r="A8535" t="str">
            <v>ROLE (TAPE ROLE)</v>
          </cell>
          <cell r="B8535" t="str">
            <v>ROLE(TAPE ROLE)</v>
          </cell>
          <cell r="C8535" t="str">
            <v>OTHER PRODUCTS</v>
          </cell>
          <cell r="D8535" t="str">
            <v>OTHER PRODUCTS</v>
          </cell>
        </row>
        <row r="8536">
          <cell r="A8536" t="str">
            <v>2 PAIR 0.5MM (TELEPHONE CABLES 2 PAIR 0.5MM)</v>
          </cell>
          <cell r="B8536" t="str">
            <v>2 PAIR 0.5MM(TELEPHONE CABLES 2 PAIR 0.5MM)</v>
          </cell>
          <cell r="C8536" t="str">
            <v>OTHER PRODUCTS</v>
          </cell>
          <cell r="D8536" t="str">
            <v>OTHER PRODUCTS</v>
          </cell>
        </row>
        <row r="8537">
          <cell r="A8537" t="str">
            <v>Template for Pole (Templates 250x250)</v>
          </cell>
          <cell r="B8537" t="str">
            <v>Template for Pole(Templates 250x250)</v>
          </cell>
          <cell r="C8537" t="str">
            <v>OTHER PRODUCTS</v>
          </cell>
          <cell r="D8537" t="str">
            <v>OTHER PRODUCTS</v>
          </cell>
        </row>
        <row r="8538">
          <cell r="A8538" t="str">
            <v>KSS MCV-100 (TIE MARKER/ CONNECTOR)</v>
          </cell>
          <cell r="B8538" t="str">
            <v>KSS MCV-100(TIE MARKER/ CONNECTOR)</v>
          </cell>
          <cell r="C8538" t="str">
            <v>OTHER PRODUCTS</v>
          </cell>
          <cell r="D8538" t="str">
            <v>OTHER PRODUCTS</v>
          </cell>
        </row>
        <row r="8539">
          <cell r="A8539" t="str">
            <v>FINOLEX (TV CABLE COPPER)</v>
          </cell>
          <cell r="B8539" t="str">
            <v>FINOLEX(TV CABLE COPPER)</v>
          </cell>
          <cell r="C8539" t="str">
            <v>OTHER PRODUCTS</v>
          </cell>
          <cell r="D8539" t="str">
            <v>OTHER PRODUCTS</v>
          </cell>
        </row>
        <row r="8540">
          <cell r="A8540" t="str">
            <v>Tv Wire 100 (TV WIRE (100 Mtrs))</v>
          </cell>
          <cell r="B8540" t="str">
            <v>Tv Wire 100(TV WIRE (100 Mtrs))</v>
          </cell>
          <cell r="C8540" t="str">
            <v>OTHER PRODUCTS</v>
          </cell>
          <cell r="D8540" t="str">
            <v>OTHER PRODUCTS</v>
          </cell>
        </row>
        <row r="8541">
          <cell r="A8541" t="str">
            <v>WAGO 280-308 (WAGO 2.5 Sqm Front Entry End Plate)</v>
          </cell>
          <cell r="B8541" t="str">
            <v>WAGO 280-308(WAGO 2.5 Sqm Front Entry End Plate)</v>
          </cell>
          <cell r="C8541" t="str">
            <v>OTHER PRODUCTS</v>
          </cell>
          <cell r="D8541" t="str">
            <v>OTHER PRODUCTS</v>
          </cell>
        </row>
        <row r="8542">
          <cell r="A8542" t="str">
            <v>WAGO 280-901 (WAGO 2.5 Sqm Front Entry TB)</v>
          </cell>
          <cell r="B8542" t="str">
            <v>WAGO 280-901(WAGO 2.5 Sqm Front Entry TB)</v>
          </cell>
          <cell r="C8542" t="str">
            <v>OTHER PRODUCTS</v>
          </cell>
          <cell r="D8542" t="str">
            <v>OTHER PRODUCTS</v>
          </cell>
        </row>
        <row r="8543">
          <cell r="A8543" t="str">
            <v>WAGO 280-402 (WAGO 2.5 Sqmm Shorting Link)</v>
          </cell>
          <cell r="B8543" t="str">
            <v>WAGO 280-402(WAGO 2.5 Sqmm Shorting Link)</v>
          </cell>
          <cell r="C8543" t="str">
            <v>OTHER PRODUCTS</v>
          </cell>
          <cell r="D8543" t="str">
            <v>OTHER PRODUCTS</v>
          </cell>
        </row>
        <row r="8544">
          <cell r="A8544" t="str">
            <v>WAGO 249-116 (WAGO End Stopper 6 mm Gray)</v>
          </cell>
          <cell r="B8544" t="str">
            <v>WAGO 249-116(WAGO End Stopper 6 mm Gray)</v>
          </cell>
          <cell r="C8544" t="str">
            <v>OTHER PRODUCTS</v>
          </cell>
          <cell r="D8544" t="str">
            <v>OTHER PRODUCTS</v>
          </cell>
        </row>
        <row r="8545">
          <cell r="A8545" t="str">
            <v>winch for high mast</v>
          </cell>
          <cell r="B8545" t="str">
            <v>winch for high mast</v>
          </cell>
          <cell r="C8545" t="str">
            <v>OTHER PRODUCTS</v>
          </cell>
          <cell r="D8545" t="str">
            <v>OTHER PRODUCTS</v>
          </cell>
        </row>
        <row r="8546">
          <cell r="A8546" t="str">
            <v>Wiring+Panel Board (Wiring Cable 3 core 2.5sqmm 20 mtrs + Panel Board(includes Analogue Timer))</v>
          </cell>
          <cell r="B8546" t="str">
            <v>Wiring+Panel Board(Wiring Cable 3 core 2.5sqmm 20 mtrs + Panel Board(includes Analogue Timer))</v>
          </cell>
          <cell r="C8546" t="str">
            <v>OTHER PRODUCTS</v>
          </cell>
          <cell r="D8546" t="str">
            <v>OTHER PRODUCTS</v>
          </cell>
        </row>
        <row r="8547">
          <cell r="A8547" t="str">
            <v>CHAKKE (WOOD CHAKKE)</v>
          </cell>
          <cell r="B8547" t="str">
            <v>CHAKKE(WOOD CHAKKE)</v>
          </cell>
          <cell r="C8547" t="str">
            <v>OTHER PRODUCTS</v>
          </cell>
          <cell r="D8547" t="str">
            <v>OTHER PRODUCTS</v>
          </cell>
        </row>
        <row r="8548">
          <cell r="A8548" t="str">
            <v>M20 (HEX HIP-68-M20)</v>
          </cell>
          <cell r="B8548" t="str">
            <v>M20(HEX HIP-68-M20)</v>
          </cell>
          <cell r="C8548" t="str">
            <v>OTHER PRODUCTS</v>
          </cell>
          <cell r="D8548" t="str">
            <v>OTHER PRODUCTS</v>
          </cell>
        </row>
        <row r="8549">
          <cell r="A8549" t="str">
            <v>M32 (HEX HIP-68-M32)</v>
          </cell>
          <cell r="B8549" t="str">
            <v>M32(HEX HIP-68-M32)</v>
          </cell>
          <cell r="C8549" t="str">
            <v>OTHER PRODUCTS</v>
          </cell>
          <cell r="D8549" t="str">
            <v>OTHER PRODUCTS</v>
          </cell>
        </row>
        <row r="8550">
          <cell r="A8550" t="str">
            <v>HFC 100 (Non-Releasable Coloured Nylon Cable Ties Length of 100mm and Width of 2.5mm Natural and Black Colour B/100 (1Pack - #100Nos))</v>
          </cell>
          <cell r="B8550" t="str">
            <v>HFC 100(Non-Releasable Coloured Nylon Cable Ties Length of 100mm and Width of 2.5mm Natural and Black Colour B/100 (1Pack - #100Nos))</v>
          </cell>
          <cell r="C8550" t="str">
            <v>PARTEX</v>
          </cell>
          <cell r="D8550" t="str">
            <v>PARTEX</v>
          </cell>
        </row>
        <row r="8551">
          <cell r="A8551" t="str">
            <v>PM-10033AN+ PP+04600DN4 (PM Markers with Printing)</v>
          </cell>
          <cell r="B8551" t="str">
            <v>PM-10033AN+ PP+04600DN4(PM Markers with Printing)</v>
          </cell>
          <cell r="C8551" t="str">
            <v>PARTEX</v>
          </cell>
          <cell r="D8551" t="str">
            <v>PARTEX</v>
          </cell>
        </row>
        <row r="8552">
          <cell r="A8552" t="str">
            <v>LPDBMGP7NZ1W018 (18 WATS COOL WHITE SQ SLIM LIGHT)</v>
          </cell>
          <cell r="B8552" t="str">
            <v>LPDBMGP7NZ1W018(18 WATS COOL WHITE SQ SLIM LIGHT)</v>
          </cell>
          <cell r="C8552" t="str">
            <v>PROMPTEC</v>
          </cell>
          <cell r="D8552" t="str">
            <v>PROMPTEC</v>
          </cell>
        </row>
        <row r="8553">
          <cell r="A8553" t="str">
            <v>LHEWDRP7PK1W034 (230/34W 2x2 LED Venus Neo Panel Light CW)</v>
          </cell>
          <cell r="B8553" t="str">
            <v>LHEWDRP7PK1W034(230/34W 2x2 LED Venus Neo Panel Light CW)</v>
          </cell>
          <cell r="C8553" t="str">
            <v>PROMPTEC</v>
          </cell>
          <cell r="D8553" t="str">
            <v>PROMPTEC</v>
          </cell>
        </row>
        <row r="8554">
          <cell r="A8554" t="str">
            <v>2X2 36w Slim Panel Light</v>
          </cell>
          <cell r="B8554" t="str">
            <v>2X2 36w Slim Panel Light</v>
          </cell>
          <cell r="C8554" t="str">
            <v>PROMPTEC</v>
          </cell>
          <cell r="D8554" t="str">
            <v>PROMPTEC</v>
          </cell>
        </row>
        <row r="8555">
          <cell r="A8555" t="str">
            <v>LPLDEEXE5K73020 (4FT T8 RETRO FIT TUBE LIGHT CW)</v>
          </cell>
          <cell r="B8555" t="str">
            <v>LPLDEEXE5K73020(4FT T8 RETRO FIT TUBE LIGHT CW)</v>
          </cell>
          <cell r="C8555" t="str">
            <v>PROMPTEC</v>
          </cell>
          <cell r="D8555" t="str">
            <v>PROMPTEC</v>
          </cell>
        </row>
        <row r="8556">
          <cell r="A8556" t="str">
            <v>Clean Bay 150W CW</v>
          </cell>
          <cell r="B8556" t="str">
            <v>Clean Bay 150W CW</v>
          </cell>
          <cell r="C8556" t="str">
            <v>PROMPTEC</v>
          </cell>
          <cell r="D8556" t="str">
            <v>PROMPTEC</v>
          </cell>
        </row>
        <row r="8557">
          <cell r="A8557" t="str">
            <v>Clean Bay LED 750 CW</v>
          </cell>
          <cell r="B8557" t="str">
            <v>Clean Bay LED 750 CW</v>
          </cell>
          <cell r="C8557" t="str">
            <v>PROMPTEC</v>
          </cell>
          <cell r="D8557" t="str">
            <v>PROMPTEC</v>
          </cell>
        </row>
        <row r="8558">
          <cell r="A8558" t="str">
            <v>LPELBAUGPG6L075 (Clean bay LED bay light CW 75w)</v>
          </cell>
          <cell r="B8558" t="str">
            <v>LPELBAUGPG6L075(Clean bay LED bay light CW 75w)</v>
          </cell>
          <cell r="C8558" t="str">
            <v>PROMPTEC</v>
          </cell>
          <cell r="D8558" t="str">
            <v>PROMPTEC</v>
          </cell>
        </row>
        <row r="8559">
          <cell r="A8559" t="str">
            <v>LPDLBBU7PA1E120 (CLEANBAY LED HIGH BAY LIGHT 120W CW)</v>
          </cell>
          <cell r="B8559" t="str">
            <v>LPDLBBU7PA1E120(CLEANBAY LED HIGH BAY LIGHT 120W CW)</v>
          </cell>
          <cell r="C8559" t="str">
            <v>PROMPTEC</v>
          </cell>
          <cell r="D8559" t="str">
            <v>PROMPTEC</v>
          </cell>
        </row>
        <row r="8560">
          <cell r="A8560" t="str">
            <v>LPDAAUP7NZ1W012 (CORMA LED Slim Panel 12W CW Surface Mount Square)</v>
          </cell>
          <cell r="B8560" t="str">
            <v>LPDAAUP7NZ1W012(CORMA LED Slim Panel 12W CW Surface Mount Square)</v>
          </cell>
          <cell r="C8560" t="str">
            <v>PROMPTEC</v>
          </cell>
          <cell r="D8560" t="str">
            <v>PROMPTEC</v>
          </cell>
        </row>
        <row r="8561">
          <cell r="A8561" t="str">
            <v>LPDAATP7NZ1W012 (CROMA LED Slim Panel 12W CW Surface Mount Round)</v>
          </cell>
          <cell r="B8561" t="str">
            <v>LPDAATP7NZ1W012(CROMA LED Slim Panel 12W CW Surface Mount Round)</v>
          </cell>
          <cell r="C8561" t="str">
            <v>PROMPTEC</v>
          </cell>
          <cell r="D8561" t="str">
            <v>PROMPTEC</v>
          </cell>
        </row>
        <row r="8562">
          <cell r="A8562" t="str">
            <v>Croma LED Slim Panel FC SQ 12W CW</v>
          </cell>
          <cell r="B8562" t="str">
            <v>Croma LED Slim Panel FC SQ 12W CW</v>
          </cell>
          <cell r="C8562" t="str">
            <v>PROMPTEC</v>
          </cell>
          <cell r="D8562" t="str">
            <v>PROMPTEC</v>
          </cell>
        </row>
        <row r="8563">
          <cell r="A8563" t="str">
            <v>Croma LED Slim Panel FC SQ 18W CW</v>
          </cell>
          <cell r="B8563" t="str">
            <v>Croma LED Slim Panel FC SQ 18W CW</v>
          </cell>
          <cell r="C8563" t="str">
            <v>PROMPTEC</v>
          </cell>
          <cell r="D8563" t="str">
            <v>PROMPTEC</v>
          </cell>
        </row>
        <row r="8564">
          <cell r="A8564" t="str">
            <v>LPDAAUP7NZ1W018 (CROMA LED SLIM PANEL SM SQ 18W CW)</v>
          </cell>
          <cell r="B8564" t="str">
            <v>LPDAAUP7NZ1W018(CROMA LED SLIM PANEL SM SQ 18W CW)</v>
          </cell>
          <cell r="C8564" t="str">
            <v>PROMPTEC</v>
          </cell>
          <cell r="D8564" t="str">
            <v>PROMPTEC</v>
          </cell>
        </row>
        <row r="8565">
          <cell r="A8565" t="str">
            <v>Hilugs LED Street Light 50W CW</v>
          </cell>
          <cell r="B8565" t="str">
            <v>Hilugs LED Street Light 50W CW</v>
          </cell>
          <cell r="C8565" t="str">
            <v>PROMPTEC</v>
          </cell>
          <cell r="D8565" t="str">
            <v>PROMPTEC</v>
          </cell>
        </row>
        <row r="8566">
          <cell r="A8566" t="str">
            <v>Hilugs Steet Light 70W CW</v>
          </cell>
          <cell r="B8566" t="str">
            <v>Hilugs Steet Light 70W CW</v>
          </cell>
          <cell r="C8566" t="str">
            <v>PROMPTEC</v>
          </cell>
          <cell r="D8566" t="str">
            <v>PROMPTEC</v>
          </cell>
        </row>
        <row r="8567">
          <cell r="A8567" t="str">
            <v>LPDTCMUCPN6J050 (Hi-Lux Led Street light)</v>
          </cell>
          <cell r="B8567" t="str">
            <v>LPDTCMUCPN6J050(Hi-Lux Led Street light)</v>
          </cell>
          <cell r="C8567" t="str">
            <v>PROMPTEC</v>
          </cell>
          <cell r="D8567" t="str">
            <v>PROMPTEC</v>
          </cell>
        </row>
        <row r="8568">
          <cell r="A8568" t="str">
            <v>LPDTFDUCPN6J070 (HI-LUX LED STREET LIGHT 70W)</v>
          </cell>
          <cell r="B8568" t="str">
            <v>LPDTFDUCPN6J070(HI-LUX LED STREET LIGHT 70W)</v>
          </cell>
          <cell r="C8568" t="str">
            <v>PROMPTEC</v>
          </cell>
          <cell r="D8568" t="str">
            <v>PROMPTEC</v>
          </cell>
        </row>
        <row r="8569">
          <cell r="A8569" t="str">
            <v>LPETBUU7PA7J070 (HILUX NEWGEN LED SL 70W CW IP66)</v>
          </cell>
          <cell r="B8569" t="str">
            <v>LPETBUU7PA7J070(HILUX NEWGEN LED SL 70W CW IP66)</v>
          </cell>
          <cell r="C8569" t="str">
            <v>PROMPTEC</v>
          </cell>
          <cell r="D8569" t="str">
            <v>PROMPTEC</v>
          </cell>
        </row>
        <row r="8570">
          <cell r="A8570" t="str">
            <v>LPEPDIU7PA7J100 (INDUSTRO LED LIGHT CW 100W IP66)</v>
          </cell>
          <cell r="B8570" t="str">
            <v>LPEPDIU7PA7J100(INDUSTRO LED LIGHT CW 100W IP66)</v>
          </cell>
          <cell r="C8570" t="str">
            <v>PROMPTEC</v>
          </cell>
          <cell r="D8570" t="str">
            <v>PROMPTEC</v>
          </cell>
        </row>
        <row r="8571">
          <cell r="A8571" t="str">
            <v>LPEPDIU7PA7J050 (INDUSTRO LED LIGHT CW 50W IP65)</v>
          </cell>
          <cell r="B8571" t="str">
            <v>LPEPDIU7PA7J050(INDUSTRO LED LIGHT CW 50W IP65)</v>
          </cell>
          <cell r="C8571" t="str">
            <v>PROMPTEC</v>
          </cell>
          <cell r="D8571" t="str">
            <v>PROMPTEC</v>
          </cell>
        </row>
        <row r="8572">
          <cell r="A8572" t="str">
            <v>ALT0561 (LED FOOT LIGHT 2W)</v>
          </cell>
          <cell r="B8572" t="str">
            <v>ALT0561(LED FOOT LIGHT 2W)</v>
          </cell>
          <cell r="C8572" t="str">
            <v>PROMPTEC</v>
          </cell>
          <cell r="D8572" t="str">
            <v>PROMPTEC</v>
          </cell>
        </row>
        <row r="8573">
          <cell r="A8573" t="str">
            <v>ALT-26SF (LED FOOT LIGHT 3W)</v>
          </cell>
          <cell r="B8573" t="str">
            <v>ALT-26SF(LED FOOT LIGHT 3W)</v>
          </cell>
          <cell r="C8573" t="str">
            <v>PROMPTEC</v>
          </cell>
          <cell r="D8573" t="str">
            <v>PROMPTEC</v>
          </cell>
        </row>
        <row r="8574">
          <cell r="A8574" t="str">
            <v>LPLDEUXE5K73020 (Lexus T5 LED BATTEN Tube 4FT 20W CW)</v>
          </cell>
          <cell r="B8574" t="str">
            <v>LPLDEUXE5K73020(Lexus T5 LED BATTEN Tube 4FT 20W CW)</v>
          </cell>
          <cell r="C8574" t="str">
            <v>PROMPTEC</v>
          </cell>
          <cell r="D8574" t="str">
            <v>PROMPTEC</v>
          </cell>
        </row>
        <row r="8575">
          <cell r="A8575" t="str">
            <v>Lugon FL CW 50 W Flood Light</v>
          </cell>
          <cell r="B8575" t="str">
            <v>Lugon FL CW 50 W Flood Light</v>
          </cell>
          <cell r="C8575" t="str">
            <v>PROMPTEC</v>
          </cell>
          <cell r="D8575" t="str">
            <v>PROMPTEC</v>
          </cell>
        </row>
        <row r="8576">
          <cell r="A8576" t="str">
            <v>LPEPDGU7PC6J050 (LUXON LED FLOOD LIGHT 50W CW)</v>
          </cell>
          <cell r="B8576" t="str">
            <v>LPEPDGU7PC6J050(LUXON LED FLOOD LIGHT 50W CW)</v>
          </cell>
          <cell r="C8576" t="str">
            <v>PROMPTEC</v>
          </cell>
          <cell r="D8576" t="str">
            <v>PROMPTEC</v>
          </cell>
        </row>
        <row r="8577">
          <cell r="A8577" t="str">
            <v>LPELBAU7PG6L150 (PROMPTEC 150W)</v>
          </cell>
          <cell r="B8577" t="str">
            <v>LPELBAU7PG6L150(PROMPTEC 150W)</v>
          </cell>
          <cell r="C8577" t="str">
            <v>PROMPTEC</v>
          </cell>
          <cell r="D8577" t="str">
            <v>PROMPTEC</v>
          </cell>
        </row>
        <row r="8578">
          <cell r="A8578" t="str">
            <v>(cancelled )</v>
          </cell>
          <cell r="B8578" t="str">
            <v>(cancelled )</v>
          </cell>
          <cell r="C8578" t="str">
            <v>OTHER PRODUCTS</v>
          </cell>
          <cell r="D8578" t="str">
            <v>OTHER PRODUCTS</v>
          </cell>
        </row>
        <row r="8579">
          <cell r="A8579" t="str">
            <v>Freight Charges-Sales</v>
          </cell>
          <cell r="B8579" t="str">
            <v>Freight Charges-Sales</v>
          </cell>
          <cell r="C8579" t="str">
            <v>LAPP</v>
          </cell>
          <cell r="D8579" t="str">
            <v>Lapp-Against Customer PO</v>
          </cell>
        </row>
        <row r="8580">
          <cell r="A8580" t="str">
            <v>Other Charges</v>
          </cell>
          <cell r="B8580" t="str">
            <v>Other Charges</v>
          </cell>
          <cell r="C8580" t="str">
            <v>OTHER PRODUCTS</v>
          </cell>
          <cell r="D8580" t="str">
            <v>OTHER PRODUCTS</v>
          </cell>
        </row>
        <row r="8581">
          <cell r="A8581" t="str">
            <v>4522922S (X07V-K 2CHELIX 1X2,5 DBUWH)</v>
          </cell>
          <cell r="B8581" t="str">
            <v>4522922S(X07V-K 2CHELIX 1X2,5 DBUWH)</v>
          </cell>
          <cell r="C8581" t="str">
            <v>LAPP</v>
          </cell>
          <cell r="D8581" t="str">
            <v>Lapp-Against Customer PO</v>
          </cell>
        </row>
        <row r="8582">
          <cell r="A8582" t="str">
            <v>4512923S (X05V-K 2CHELIX 1X1 DBUWH)</v>
          </cell>
          <cell r="B8582" t="str">
            <v>4512923S(X05V-K 2CHELIX 1X1 DBUWH)</v>
          </cell>
          <cell r="C8582" t="str">
            <v>LAPP</v>
          </cell>
          <cell r="D8582" t="str">
            <v>Lapp-Against Customer PO</v>
          </cell>
        </row>
        <row r="8583">
          <cell r="A8583" t="str">
            <v>00354303 (ÖLFLEX® CLASSIC 100 CY 450/750V 4G120)</v>
          </cell>
          <cell r="B8583" t="str">
            <v>00354303(ÖLFLEX® CLASSIC 100 CY 450/750V 4G120)</v>
          </cell>
          <cell r="C8583" t="str">
            <v>LAPP</v>
          </cell>
          <cell r="D8583" t="str">
            <v>Lapp-Against Customer PO</v>
          </cell>
        </row>
        <row r="8584">
          <cell r="A8584" t="str">
            <v>0034712_x000D_
 ("UNITRONIC LIYCY 12X0,75"_x000D_
)</v>
          </cell>
          <cell r="B8584" t="str">
            <v>0034712_x000D_
("UNITRONIC LIYCY 12X0,75"_x000D_
)</v>
          </cell>
          <cell r="C8584" t="str">
            <v>LAPP</v>
          </cell>
          <cell r="D8584" t="str">
            <v>Lapp-Against Customer PO</v>
          </cell>
        </row>
        <row r="8585">
          <cell r="A8585" t="str">
            <v>2243 (Industrial Power Plug Cable Mount 16A 500V IP44, 3P+N+E, Red)</v>
          </cell>
          <cell r="B8585" t="str">
            <v>2243(Industrial Power Plug Cable Mount 16A 500V IP44, 3P+N+E, Red)</v>
          </cell>
          <cell r="C8585" t="str">
            <v>MENNEKES</v>
          </cell>
          <cell r="D8585" t="str">
            <v>MENNEKES</v>
          </cell>
        </row>
        <row r="8586">
          <cell r="A8586" t="str">
            <v>1600309 (NSGAFÖU 1,8/3kV 1X70)</v>
          </cell>
          <cell r="B8586" t="str">
            <v>1600309(NSGAFÖU 1,8/3kV 1X70)</v>
          </cell>
          <cell r="C8586" t="str">
            <v>LAPP</v>
          </cell>
          <cell r="D8586" t="str">
            <v>Lapp-Against Customer PO</v>
          </cell>
        </row>
        <row r="8587">
          <cell r="A8587" t="str">
            <v>1119862 (ÖLFLEX® CLASSIC 110 12X1)</v>
          </cell>
          <cell r="B8587" t="str">
            <v>1119862(ÖLFLEX® CLASSIC 110 12X1)</v>
          </cell>
          <cell r="C8587" t="str">
            <v>LAPP</v>
          </cell>
          <cell r="D8587" t="str">
            <v>Lapp-Against Customer PO</v>
          </cell>
        </row>
        <row r="8588">
          <cell r="A8588" t="str">
            <v>380863415 (ÖLFLEX® 100 I FR-LSH 4 G 25 GY)</v>
          </cell>
          <cell r="B8588" t="str">
            <v>380863415(ÖLFLEX® 100 I FR-LSH 4 G 25 GY)</v>
          </cell>
          <cell r="C8588" t="str">
            <v>LAPP</v>
          </cell>
          <cell r="D8588" t="str">
            <v>Lapp-Against Customer PO</v>
          </cell>
        </row>
        <row r="8589">
          <cell r="A8589" t="str">
            <v>61803840 (SILVYN® COMPACT 90° NPT 1/2 NPB)</v>
          </cell>
          <cell r="B8589" t="str">
            <v>61803840(SILVYN® COMPACT 90° NPT 1/2 NPB)</v>
          </cell>
          <cell r="C8589" t="str">
            <v>LAPP</v>
          </cell>
          <cell r="D8589" t="str">
            <v>Lapp-Against Customer PO</v>
          </cell>
        </row>
        <row r="8590">
          <cell r="A8590" t="str">
            <v>61803853 (SILVYN® COMPACT 45° M25x1,5 NPB)</v>
          </cell>
          <cell r="B8590" t="str">
            <v>61803853(SILVYN® COMPACT 45° M25x1,5 NPB)</v>
          </cell>
          <cell r="C8590" t="str">
            <v>LAPP</v>
          </cell>
          <cell r="D8590" t="str">
            <v>Lapp-Against Customer PO</v>
          </cell>
        </row>
        <row r="8591">
          <cell r="A8591" t="str">
            <v>61803841 (SILVYN® COMPACT 90° NPT 3/4 NPB)</v>
          </cell>
          <cell r="B8591" t="str">
            <v>61803841(SILVYN® COMPACT 90° NPT 3/4 NPB)</v>
          </cell>
          <cell r="C8591" t="str">
            <v>LAPP</v>
          </cell>
          <cell r="D8591" t="str">
            <v>Lapp-Against Customer PO</v>
          </cell>
        </row>
        <row r="8592">
          <cell r="A8592" t="str">
            <v>61803803 (SILVYN® COMPACT M25X1,5 NPB)</v>
          </cell>
          <cell r="B8592" t="str">
            <v>61803803(SILVYN® COMPACT M25X1,5 NPB)</v>
          </cell>
          <cell r="C8592" t="str">
            <v>LAPP</v>
          </cell>
          <cell r="D8592" t="str">
            <v>Lapp-Against Customer PO</v>
          </cell>
        </row>
        <row r="8593">
          <cell r="A8593" t="str">
            <v>61803802 (SILVYN® COMPACT M20X1,5/2 NPB)</v>
          </cell>
          <cell r="B8593" t="str">
            <v>61803802(SILVYN® COMPACT M20X1,5/2 NPB)</v>
          </cell>
          <cell r="C8593" t="str">
            <v>LAPP</v>
          </cell>
          <cell r="D8593" t="str">
            <v>Lapp-Against Customer PO</v>
          </cell>
        </row>
        <row r="8594">
          <cell r="A8594" t="str">
            <v>61803809 (SILVYN® COMPACT 90° M20X1,5/1 NPB)</v>
          </cell>
          <cell r="B8594" t="str">
            <v>61803809(SILVYN® COMPACT 90° M20X1,5/1 NPB)</v>
          </cell>
          <cell r="C8594" t="str">
            <v>LAPP</v>
          </cell>
          <cell r="D8594" t="str">
            <v>Lapp-Against Customer PO</v>
          </cell>
        </row>
        <row r="8595">
          <cell r="A8595" t="str">
            <v>61803833 (SILVYN® COMPACT NPT 1/2 NPB)</v>
          </cell>
          <cell r="B8595" t="str">
            <v>61803833(SILVYN® COMPACT NPT 1/2 NPB)</v>
          </cell>
          <cell r="C8595" t="str">
            <v>LAPP</v>
          </cell>
          <cell r="D8595" t="str">
            <v>Lapp-Against Customer PO</v>
          </cell>
        </row>
        <row r="8596">
          <cell r="A8596" t="str">
            <v>52103540 (SKINDICHT SM NPT 1/2'')</v>
          </cell>
          <cell r="B8596" t="str">
            <v>52103540(SKINDICHT SM NPT 1/2'')</v>
          </cell>
          <cell r="C8596" t="str">
            <v>LAPP</v>
          </cell>
          <cell r="D8596" t="str">
            <v>Lapp-Against Customer PO</v>
          </cell>
        </row>
        <row r="8597">
          <cell r="A8597" t="str">
            <v>61803834 (SILVYN® COMPACT NPT 3/4 NPB)</v>
          </cell>
          <cell r="B8597" t="str">
            <v>61803834(SILVYN® COMPACT NPT 3/4 NPB)</v>
          </cell>
          <cell r="C8597" t="str">
            <v>LAPP</v>
          </cell>
          <cell r="D8597" t="str">
            <v>Lapp-Against Customer PO</v>
          </cell>
        </row>
        <row r="8598">
          <cell r="A8598" t="str">
            <v>52103550 (SKINDICHT SM NPT 3/4'')</v>
          </cell>
          <cell r="B8598" t="str">
            <v>52103550(SKINDICHT SM NPT 3/4'')</v>
          </cell>
          <cell r="C8598" t="str">
            <v>LAPP</v>
          </cell>
          <cell r="D8598" t="str">
            <v>Lapp-Against Customer PO</v>
          </cell>
        </row>
        <row r="8599">
          <cell r="A8599" t="str">
            <v>61803852 (SILVYN® COMPACT 45° M20x1,5/2 NPB)</v>
          </cell>
          <cell r="B8599" t="str">
            <v>61803852(SILVYN® COMPACT 45° M20x1,5/2 NPB)</v>
          </cell>
          <cell r="C8599" t="str">
            <v>LAPP</v>
          </cell>
          <cell r="D8599" t="str">
            <v>Lapp-Against Customer PO</v>
          </cell>
        </row>
        <row r="8600">
          <cell r="A8600" t="str">
            <v>301804S (UNITRONIC® 300 S 18/4C)</v>
          </cell>
          <cell r="B8600" t="str">
            <v>301804S(UNITRONIC® 300 S 18/4C)</v>
          </cell>
          <cell r="C8600" t="str">
            <v>LAPP</v>
          </cell>
          <cell r="D8600" t="str">
            <v>Lapp-Against Customer PO</v>
          </cell>
        </row>
        <row r="8601">
          <cell r="A8601" t="str">
            <v>Y7-222413 (PKZM4-63)</v>
          </cell>
          <cell r="B8601" t="str">
            <v>Y7-222413(PKZM4-63)</v>
          </cell>
          <cell r="C8601" t="str">
            <v>EATON</v>
          </cell>
          <cell r="D8601" t="str">
            <v>Eaton-Planned Stock Specific Customer</v>
          </cell>
        </row>
        <row r="8602">
          <cell r="A8602" t="str">
            <v>8010053090 (ÖLFLEX® INFRA 1X1 WH)</v>
          </cell>
          <cell r="B8602" t="str">
            <v>8010053090(ÖLFLEX® INFRA 1X1 WH)</v>
          </cell>
          <cell r="C8602" t="str">
            <v>LAPP</v>
          </cell>
          <cell r="D8602" t="str">
            <v>Lapp-Planned Stock General</v>
          </cell>
        </row>
        <row r="8603">
          <cell r="A8603" t="str">
            <v>8220063180 (ÖLFLEX®</v>
          </cell>
          <cell r="B8603" t="str">
            <v>8220063180(ÖLFLEX® INFRA FRLSH 1X4 GY 180)</v>
          </cell>
          <cell r="C8603" t="str">
            <v>LAPP</v>
          </cell>
          <cell r="D8603" t="str">
            <v>Lapp-Planned Stock General</v>
          </cell>
        </row>
        <row r="8604">
          <cell r="A8604" t="str">
            <v>1124 SM (1124 SM Socket NB 63A 5Pin IP44)</v>
          </cell>
          <cell r="B8604" t="str">
            <v>1124 SM(1124 SM Socket NB 63A 5Pin IP44)</v>
          </cell>
          <cell r="C8604" t="str">
            <v>MENNEKES</v>
          </cell>
          <cell r="D8604" t="str">
            <v>MENNEKES</v>
          </cell>
        </row>
        <row r="8605">
          <cell r="A8605" t="str">
            <v>87793+203948 (5.0/6.0)(MCS11-SOND910-G++PMIN(5.0)/PMAX(6.0))</v>
          </cell>
          <cell r="B8605" t="str">
            <v>87793+203948(5.0/6.0)(MCS11-SOND910-G++PMIN(5.0)/PMAX(6.0))</v>
          </cell>
          <cell r="C8605" t="str">
            <v>EATON</v>
          </cell>
          <cell r="D8605" t="str">
            <v>Eaton-Planned Stock General</v>
          </cell>
        </row>
        <row r="8606">
          <cell r="A8606" t="str">
            <v>87793+203948 (2.7/3.0)(MCS11-SOND910-G++PMIN(2.7)/PMAX(3.0))</v>
          </cell>
          <cell r="B8606" t="str">
            <v>87793+203948(2.7/3.0)(MCS11-SOND910-G++PMIN(2.7)/PMAX(3.0))</v>
          </cell>
          <cell r="C8606" t="str">
            <v>EATON</v>
          </cell>
          <cell r="D8606" t="str">
            <v>Eaton-Planned Stock General</v>
          </cell>
        </row>
        <row r="8607">
          <cell r="A8607" t="str">
            <v>87793+203948 (0.5/1.5)(MCS11-SOND910-G++PMIN(0.5)/PMAX(1.5))</v>
          </cell>
          <cell r="B8607" t="str">
            <v>87793+203948(0.5/1.5)(MCS11-SOND910-G++PMIN(0.5)/PMAX(1.5))</v>
          </cell>
          <cell r="C8607" t="str">
            <v>EATON</v>
          </cell>
          <cell r="D8607" t="str">
            <v>Eaton-Planned Stock General</v>
          </cell>
        </row>
        <row r="8608">
          <cell r="A8608" t="str">
            <v>Y7-236077 (PKNM-10/IN/C/003-M)</v>
          </cell>
          <cell r="B8608" t="str">
            <v>Y7-236077(PKNM-10/IN/C/003-M)</v>
          </cell>
          <cell r="C8608" t="str">
            <v>EATON</v>
          </cell>
          <cell r="D8608" t="str">
            <v>Eaton-Planned Stock General</v>
          </cell>
        </row>
        <row r="8609">
          <cell r="A8609" t="str">
            <v>266875 (Z-SD/230)</v>
          </cell>
          <cell r="B8609" t="str">
            <v>266875(Z-SD/230)</v>
          </cell>
          <cell r="C8609" t="str">
            <v>EATON</v>
          </cell>
          <cell r="D8609" t="str">
            <v>Eaton-Planned Stock General</v>
          </cell>
        </row>
        <row r="8610">
          <cell r="A8610" t="str">
            <v>Y7-248433 (Z-AHK)</v>
          </cell>
          <cell r="B8610" t="str">
            <v>Y7-248433(Z-AHK)</v>
          </cell>
          <cell r="C8610" t="str">
            <v>EATON</v>
          </cell>
          <cell r="D8610" t="str">
            <v>Eaton-Planned Stock General</v>
          </cell>
        </row>
        <row r="8611">
          <cell r="A8611" t="str">
            <v>191761 (DILMS7-23(24VDC))</v>
          </cell>
          <cell r="B8611" t="str">
            <v>191761(DILMS7-23(24VDC))</v>
          </cell>
          <cell r="C8611" t="str">
            <v>EATON</v>
          </cell>
          <cell r="D8611" t="str">
            <v>Eaton-Planned Stock General</v>
          </cell>
        </row>
        <row r="8612">
          <cell r="A8612" t="str">
            <v>Y7-216873 (M22S-WRK3)</v>
          </cell>
          <cell r="B8612" t="str">
            <v>Y7-216873(M22S-WRK3)</v>
          </cell>
          <cell r="C8612" t="str">
            <v>EATON</v>
          </cell>
          <cell r="D8612" t="str">
            <v>Eaton-Planned Stock General</v>
          </cell>
        </row>
        <row r="8613">
          <cell r="A8613" t="str">
            <v>2170205 (UNITRONIC® BUS LD 3x2x0,22)</v>
          </cell>
          <cell r="B8613" t="str">
            <v>2170205(UNITRONIC® BUS LD 3x2x0,22)</v>
          </cell>
          <cell r="C8613" t="str">
            <v>LAPP</v>
          </cell>
          <cell r="D8613" t="str">
            <v>Lapp-Planned Stock Specific Customer</v>
          </cell>
        </row>
        <row r="8614">
          <cell r="A8614" t="str">
            <v>21590 (21590 Neptune Make 63A 5Pin Plug)</v>
          </cell>
          <cell r="B8614" t="str">
            <v>21590(21590 Neptune Make 63A 5Pin Plug)</v>
          </cell>
          <cell r="C8614" t="str">
            <v>OTHER PRODUCTS</v>
          </cell>
          <cell r="D8614" t="str">
            <v>OTHER PRODUCTS</v>
          </cell>
        </row>
        <row r="8615">
          <cell r="A8615" t="str">
            <v>1124 SM (1124 SM Socket NB 63A 5Pin IP44)</v>
          </cell>
          <cell r="B8615" t="str">
            <v>1124 SM(1124 SM Socket NB 63A 5Pin IP44)</v>
          </cell>
          <cell r="C8615" t="str">
            <v>OTHER PRODUCTS</v>
          </cell>
          <cell r="D8615" t="str">
            <v>OTHER PRODUCTS</v>
          </cell>
        </row>
        <row r="8616">
          <cell r="A8616" t="str">
            <v>Y7-102092 (FAZ-C25/1-NA)</v>
          </cell>
          <cell r="B8616" t="str">
            <v>Y7-102092(FAZ-C25/1-NA)</v>
          </cell>
          <cell r="C8616" t="str">
            <v>EATON</v>
          </cell>
          <cell r="D8616" t="str">
            <v>Eaton-Planned Stock General</v>
          </cell>
        </row>
        <row r="8617">
          <cell r="A8617" t="str">
            <v>2027503 (ÖLFLEX® CRANE 2ST 8G1.5)</v>
          </cell>
          <cell r="B8617" t="str">
            <v>2027503(ÖLFLEX® CRANE 2ST 8G1.5)</v>
          </cell>
          <cell r="C8617" t="str">
            <v>LAPP</v>
          </cell>
          <cell r="D8617" t="str">
            <v>Lapp-Planned Stock Specific Customer</v>
          </cell>
        </row>
        <row r="8618">
          <cell r="A8618" t="str">
            <v>0026661 (ÖLFLEX® FD 90 CY 1X70)</v>
          </cell>
          <cell r="B8618" t="str">
            <v>0026661(ÖLFLEX® FD 90 CY 1X70)</v>
          </cell>
          <cell r="C8618" t="str">
            <v>LAPP</v>
          </cell>
          <cell r="D8618" t="str">
            <v>Lapp-Planned Stock Specific Customer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60"/>
  <sheetViews>
    <sheetView tabSelected="1" topLeftCell="A1425" workbookViewId="0">
      <selection activeCell="A1430" sqref="A1430"/>
    </sheetView>
  </sheetViews>
  <sheetFormatPr defaultRowHeight="13.5" customHeight="1" x14ac:dyDescent="0.25"/>
  <cols>
    <col min="1" max="1" width="8.375" bestFit="1" customWidth="1"/>
    <col min="2" max="2" width="25" bestFit="1" customWidth="1"/>
    <col min="3" max="3" width="50.875" bestFit="1" customWidth="1"/>
    <col min="4" max="4" width="68.75" style="4" bestFit="1" customWidth="1"/>
    <col min="5" max="5" width="17.375" bestFit="1" customWidth="1"/>
    <col min="6" max="6" width="30.75" bestFit="1" customWidth="1"/>
    <col min="7" max="7" width="9.5" bestFit="1" customWidth="1"/>
    <col min="8" max="8" width="9.375" bestFit="1" customWidth="1"/>
    <col min="9" max="9" width="7.375" bestFit="1" customWidth="1"/>
    <col min="10" max="10" width="10" bestFit="1" customWidth="1"/>
    <col min="11" max="11" width="9.125" bestFit="1" customWidth="1"/>
    <col min="12" max="12" width="8.75" bestFit="1" customWidth="1"/>
    <col min="13" max="13" width="12.25" bestFit="1" customWidth="1"/>
    <col min="14" max="14" width="10" style="7" bestFit="1" customWidth="1"/>
    <col min="15" max="15" width="19" style="7" customWidth="1"/>
    <col min="16" max="16" width="29.25" bestFit="1" customWidth="1"/>
    <col min="17" max="17" width="12" bestFit="1" customWidth="1"/>
    <col min="18" max="18" width="33" bestFit="1" customWidth="1"/>
  </cols>
  <sheetData>
    <row r="1" spans="1:18" ht="13.5" customHeight="1" x14ac:dyDescent="0.25">
      <c r="A1" t="s">
        <v>0</v>
      </c>
      <c r="B1" t="s">
        <v>1</v>
      </c>
      <c r="C1" t="s">
        <v>2</v>
      </c>
      <c r="D1" s="4" t="s">
        <v>3</v>
      </c>
      <c r="E1" t="s">
        <v>4</v>
      </c>
      <c r="F1" t="s">
        <v>5</v>
      </c>
      <c r="G1" t="s">
        <v>6</v>
      </c>
      <c r="H1" t="s">
        <v>7</v>
      </c>
      <c r="I1" t="s">
        <v>8</v>
      </c>
      <c r="J1" t="s">
        <v>9</v>
      </c>
      <c r="K1" t="s">
        <v>10</v>
      </c>
      <c r="L1" t="s">
        <v>11</v>
      </c>
      <c r="M1" t="s">
        <v>1070</v>
      </c>
      <c r="N1" s="7" t="s">
        <v>12</v>
      </c>
      <c r="O1" s="7" t="s">
        <v>1071</v>
      </c>
      <c r="P1" t="s">
        <v>1067</v>
      </c>
      <c r="Q1" t="s">
        <v>1068</v>
      </c>
      <c r="R1" t="s">
        <v>1069</v>
      </c>
    </row>
    <row r="2" spans="1:18" ht="13.5" customHeight="1" x14ac:dyDescent="0.25">
      <c r="A2" s="9">
        <v>45476</v>
      </c>
      <c r="B2" s="10" t="s">
        <v>1613</v>
      </c>
      <c r="C2" s="11" t="s">
        <v>1614</v>
      </c>
      <c r="D2" s="10" t="s">
        <v>1615</v>
      </c>
      <c r="E2" s="26" t="s">
        <v>1616</v>
      </c>
      <c r="F2" s="12" t="s">
        <v>1617</v>
      </c>
      <c r="G2" s="13">
        <v>3000</v>
      </c>
      <c r="H2" s="14">
        <v>100</v>
      </c>
      <c r="I2" s="15">
        <v>97.34</v>
      </c>
      <c r="J2" s="16"/>
      <c r="K2" s="17">
        <v>9734</v>
      </c>
      <c r="L2" s="18">
        <v>45476</v>
      </c>
      <c r="M2" s="6" t="str">
        <f>IF(L2&lt;DATE(2026,4,30),"Due order","Schedule order")</f>
        <v>Due order</v>
      </c>
      <c r="N2" s="8">
        <f ca="1">L2-TODAY()</f>
        <v>-679</v>
      </c>
      <c r="O2" s="8" t="str">
        <f ca="1">IF(N2&lt;-365,"More than 1 Year old",IF(N2&lt;-180," More than 180 days old",IF(N2&lt;-90,"More than 90 day old",IF(N2&lt;0,"With in 90 days","Lattest or shedule order"))))</f>
        <v>More than 1 Year old</v>
      </c>
      <c r="P2" t="str">
        <f>VLOOKUP(C2,[1]Customer_Master!$A:$B,2,0)</f>
        <v>Group 1-Giridhar-Peenya</v>
      </c>
      <c r="Q2" t="str">
        <f>VLOOKUP(D2,[2]Template!$A:$D,3,0)</f>
        <v>LAPP</v>
      </c>
      <c r="R2" t="str">
        <f>VLOOKUP(D2,[2]Template!$A:$D,4,0)</f>
        <v>Lapp-Ace Group</v>
      </c>
    </row>
    <row r="3" spans="1:18" ht="13.5" customHeight="1" x14ac:dyDescent="0.25">
      <c r="A3" s="9">
        <v>45555</v>
      </c>
      <c r="B3" s="10" t="s">
        <v>1618</v>
      </c>
      <c r="C3" s="11" t="s">
        <v>1414</v>
      </c>
      <c r="D3" s="10" t="s">
        <v>648</v>
      </c>
      <c r="E3" s="26" t="s">
        <v>1619</v>
      </c>
      <c r="F3" s="12" t="s">
        <v>649</v>
      </c>
      <c r="G3" s="13">
        <v>4000</v>
      </c>
      <c r="H3" s="14">
        <v>400</v>
      </c>
      <c r="I3" s="15">
        <v>10.95</v>
      </c>
      <c r="J3" s="16"/>
      <c r="K3" s="17">
        <v>4380</v>
      </c>
      <c r="L3" s="18">
        <v>45555</v>
      </c>
      <c r="M3" s="6" t="str">
        <f t="shared" ref="M3:M66" si="0">IF(L3&lt;DATE(2026,4,30),"Due order","Schedule order")</f>
        <v>Due order</v>
      </c>
      <c r="N3" s="8">
        <f t="shared" ref="N3:N66" ca="1" si="1">L3-TODAY()</f>
        <v>-600</v>
      </c>
      <c r="O3" s="8" t="str">
        <f t="shared" ref="O3:O66" ca="1" si="2">IF(N3&lt;-365,"More than 1 Year old",IF(N3&lt;-180," More than 180 days old",IF(N3&lt;-90,"More than 90 day old",IF(N3&lt;0,"With in 90 days","Lattest or shedule order"))))</f>
        <v>More than 1 Year old</v>
      </c>
      <c r="P3" t="str">
        <f>VLOOKUP(C3,[1]Customer_Master!$A:$B,2,0)</f>
        <v>Group 1-Giridhar-Peenya</v>
      </c>
      <c r="Q3" t="str">
        <f>VLOOKUP(D3,[2]Template!$A:$D,3,0)</f>
        <v>LAPP</v>
      </c>
      <c r="R3" t="str">
        <f>VLOOKUP(D3,[2]Template!$A:$D,4,0)</f>
        <v>Lapp-Planned Stock General</v>
      </c>
    </row>
    <row r="4" spans="1:18" ht="13.5" customHeight="1" x14ac:dyDescent="0.25">
      <c r="A4" s="9">
        <v>45555</v>
      </c>
      <c r="B4" s="10" t="s">
        <v>1618</v>
      </c>
      <c r="C4" s="11" t="s">
        <v>1414</v>
      </c>
      <c r="D4" s="10" t="s">
        <v>404</v>
      </c>
      <c r="E4" s="26" t="s">
        <v>1620</v>
      </c>
      <c r="F4" s="12" t="s">
        <v>33</v>
      </c>
      <c r="G4" s="13">
        <v>500</v>
      </c>
      <c r="H4" s="14">
        <v>100</v>
      </c>
      <c r="I4" s="15">
        <v>195.15</v>
      </c>
      <c r="J4" s="16"/>
      <c r="K4" s="17">
        <v>19515</v>
      </c>
      <c r="L4" s="18">
        <v>45555</v>
      </c>
      <c r="M4" s="6" t="str">
        <f t="shared" si="0"/>
        <v>Due order</v>
      </c>
      <c r="N4" s="8">
        <f t="shared" ca="1" si="1"/>
        <v>-600</v>
      </c>
      <c r="O4" s="8" t="str">
        <f t="shared" ca="1" si="2"/>
        <v>More than 1 Year old</v>
      </c>
      <c r="P4" t="str">
        <f>VLOOKUP(C4,[1]Customer_Master!$A:$B,2,0)</f>
        <v>Group 1-Giridhar-Peenya</v>
      </c>
      <c r="Q4" t="str">
        <f>VLOOKUP(D4,[2]Template!$A:$D,3,0)</f>
        <v>LAPP</v>
      </c>
      <c r="R4" t="str">
        <f>VLOOKUP(D4,[2]Template!$A:$D,4,0)</f>
        <v>Lapp-Ace Group</v>
      </c>
    </row>
    <row r="5" spans="1:18" ht="13.5" customHeight="1" x14ac:dyDescent="0.25">
      <c r="A5" s="9">
        <v>45555</v>
      </c>
      <c r="B5" s="10" t="s">
        <v>1618</v>
      </c>
      <c r="C5" s="11" t="s">
        <v>1414</v>
      </c>
      <c r="D5" s="10" t="s">
        <v>316</v>
      </c>
      <c r="E5" s="26" t="s">
        <v>1621</v>
      </c>
      <c r="F5" s="12" t="s">
        <v>32</v>
      </c>
      <c r="G5" s="13">
        <v>600</v>
      </c>
      <c r="H5" s="14">
        <v>100</v>
      </c>
      <c r="I5" s="15">
        <v>91.46</v>
      </c>
      <c r="J5" s="16"/>
      <c r="K5" s="17">
        <v>9146</v>
      </c>
      <c r="L5" s="18">
        <v>45555</v>
      </c>
      <c r="M5" s="6" t="str">
        <f t="shared" si="0"/>
        <v>Due order</v>
      </c>
      <c r="N5" s="8">
        <f t="shared" ca="1" si="1"/>
        <v>-600</v>
      </c>
      <c r="O5" s="8" t="str">
        <f t="shared" ca="1" si="2"/>
        <v>More than 1 Year old</v>
      </c>
      <c r="P5" t="str">
        <f>VLOOKUP(C5,[1]Customer_Master!$A:$B,2,0)</f>
        <v>Group 1-Giridhar-Peenya</v>
      </c>
      <c r="Q5" t="str">
        <f>VLOOKUP(D5,[2]Template!$A:$D,3,0)</f>
        <v>LAPP</v>
      </c>
      <c r="R5" t="str">
        <f>VLOOKUP(D5,[2]Template!$A:$D,4,0)</f>
        <v>Lapp-Ace Group</v>
      </c>
    </row>
    <row r="6" spans="1:18" ht="13.5" customHeight="1" x14ac:dyDescent="0.25">
      <c r="A6" s="9">
        <v>45555</v>
      </c>
      <c r="B6" s="10" t="s">
        <v>1618</v>
      </c>
      <c r="C6" s="11" t="s">
        <v>1414</v>
      </c>
      <c r="D6" s="10" t="s">
        <v>654</v>
      </c>
      <c r="E6" s="26" t="s">
        <v>1622</v>
      </c>
      <c r="F6" s="12" t="s">
        <v>655</v>
      </c>
      <c r="G6" s="13">
        <v>11000</v>
      </c>
      <c r="H6" s="14">
        <v>1000</v>
      </c>
      <c r="I6" s="15">
        <v>28.51</v>
      </c>
      <c r="J6" s="16"/>
      <c r="K6" s="17">
        <v>28510</v>
      </c>
      <c r="L6" s="18">
        <v>45555</v>
      </c>
      <c r="M6" s="6" t="str">
        <f t="shared" si="0"/>
        <v>Due order</v>
      </c>
      <c r="N6" s="8">
        <f t="shared" ca="1" si="1"/>
        <v>-600</v>
      </c>
      <c r="O6" s="8" t="str">
        <f t="shared" ca="1" si="2"/>
        <v>More than 1 Year old</v>
      </c>
      <c r="P6" t="str">
        <f>VLOOKUP(C6,[1]Customer_Master!$A:$B,2,0)</f>
        <v>Group 1-Giridhar-Peenya</v>
      </c>
      <c r="Q6" t="str">
        <f>VLOOKUP(D6,[2]Template!$A:$D,3,0)</f>
        <v>LAPP</v>
      </c>
      <c r="R6" t="str">
        <f>VLOOKUP(D6,[2]Template!$A:$D,4,0)</f>
        <v>Lapp-Ace Group</v>
      </c>
    </row>
    <row r="7" spans="1:18" ht="13.5" customHeight="1" x14ac:dyDescent="0.25">
      <c r="A7" s="9">
        <v>45555</v>
      </c>
      <c r="B7" s="10" t="s">
        <v>1618</v>
      </c>
      <c r="C7" s="11" t="s">
        <v>1414</v>
      </c>
      <c r="D7" s="10" t="s">
        <v>333</v>
      </c>
      <c r="E7" s="26" t="s">
        <v>1623</v>
      </c>
      <c r="F7" s="12" t="s">
        <v>120</v>
      </c>
      <c r="G7" s="13">
        <v>1200</v>
      </c>
      <c r="H7" s="14">
        <v>300</v>
      </c>
      <c r="I7" s="15">
        <v>41.4</v>
      </c>
      <c r="J7" s="16"/>
      <c r="K7" s="17">
        <v>12420</v>
      </c>
      <c r="L7" s="18">
        <v>45555</v>
      </c>
      <c r="M7" s="6" t="str">
        <f t="shared" si="0"/>
        <v>Due order</v>
      </c>
      <c r="N7" s="8">
        <f t="shared" ca="1" si="1"/>
        <v>-600</v>
      </c>
      <c r="O7" s="8" t="str">
        <f t="shared" ca="1" si="2"/>
        <v>More than 1 Year old</v>
      </c>
      <c r="P7" t="str">
        <f>VLOOKUP(C7,[1]Customer_Master!$A:$B,2,0)</f>
        <v>Group 1-Giridhar-Peenya</v>
      </c>
      <c r="Q7" t="str">
        <f>VLOOKUP(D7,[2]Template!$A:$D,3,0)</f>
        <v>LAPP</v>
      </c>
      <c r="R7" t="str">
        <f>VLOOKUP(D7,[2]Template!$A:$D,4,0)</f>
        <v>Lapp-Ace Group</v>
      </c>
    </row>
    <row r="8" spans="1:18" ht="13.5" customHeight="1" x14ac:dyDescent="0.25">
      <c r="A8" s="9">
        <v>45566</v>
      </c>
      <c r="B8" s="10" t="s">
        <v>618</v>
      </c>
      <c r="C8" s="11" t="s">
        <v>13</v>
      </c>
      <c r="D8" s="10" t="s">
        <v>619</v>
      </c>
      <c r="E8" s="26" t="s">
        <v>620</v>
      </c>
      <c r="F8" s="12" t="s">
        <v>621</v>
      </c>
      <c r="G8" s="19">
        <v>50</v>
      </c>
      <c r="H8" s="20">
        <v>50</v>
      </c>
      <c r="I8" s="15">
        <v>4958</v>
      </c>
      <c r="J8" s="16"/>
      <c r="K8" s="17">
        <v>247900</v>
      </c>
      <c r="L8" s="18">
        <v>46437</v>
      </c>
      <c r="M8" s="6" t="str">
        <f t="shared" si="0"/>
        <v>Schedule order</v>
      </c>
      <c r="N8" s="8">
        <f t="shared" ca="1" si="1"/>
        <v>282</v>
      </c>
      <c r="O8" s="8" t="str">
        <f t="shared" ca="1" si="2"/>
        <v>Lattest or shedule order</v>
      </c>
      <c r="P8" t="str">
        <f>VLOOKUP(C8,[1]Customer_Master!$A:$B,2,0)</f>
        <v>Group-2 (Veeresh- Bomsdr+Hosur)</v>
      </c>
      <c r="Q8" t="str">
        <f>VLOOKUP(D8,[2]Template!$A:$D,3,0)</f>
        <v>EATON</v>
      </c>
      <c r="R8" t="str">
        <f>VLOOKUP(D8,[2]Template!$A:$D,4,0)</f>
        <v>Eaton-Faiveley-Non E70</v>
      </c>
    </row>
    <row r="9" spans="1:18" ht="13.5" customHeight="1" x14ac:dyDescent="0.25">
      <c r="A9" s="9">
        <v>45630</v>
      </c>
      <c r="B9" s="10" t="s">
        <v>14</v>
      </c>
      <c r="C9" s="11" t="s">
        <v>13</v>
      </c>
      <c r="D9" s="10" t="s">
        <v>296</v>
      </c>
      <c r="E9" s="12" t="s">
        <v>1072</v>
      </c>
      <c r="F9" s="12" t="s">
        <v>15</v>
      </c>
      <c r="G9" s="19">
        <v>102</v>
      </c>
      <c r="H9" s="20">
        <v>26</v>
      </c>
      <c r="I9" s="15">
        <v>4958</v>
      </c>
      <c r="J9" s="16"/>
      <c r="K9" s="17">
        <v>128908</v>
      </c>
      <c r="L9" s="18">
        <v>46092</v>
      </c>
      <c r="M9" s="6" t="str">
        <f t="shared" si="0"/>
        <v>Due order</v>
      </c>
      <c r="N9" s="8">
        <f t="shared" ca="1" si="1"/>
        <v>-63</v>
      </c>
      <c r="O9" s="8" t="str">
        <f t="shared" ca="1" si="2"/>
        <v>With in 90 days</v>
      </c>
      <c r="P9" t="str">
        <f>VLOOKUP(C9,[1]Customer_Master!$A:$B,2,0)</f>
        <v>Group-2 (Veeresh- Bomsdr+Hosur)</v>
      </c>
      <c r="Q9" t="str">
        <f>VLOOKUP(D9,[2]Template!$A:$D,3,0)</f>
        <v>EATON</v>
      </c>
      <c r="R9" t="str">
        <f>VLOOKUP(D9,[2]Template!$A:$D,4,0)</f>
        <v>Eaton-Faiveley-Non E70</v>
      </c>
    </row>
    <row r="10" spans="1:18" ht="13.5" customHeight="1" x14ac:dyDescent="0.25">
      <c r="A10" s="9">
        <v>45659</v>
      </c>
      <c r="B10" s="10" t="s">
        <v>16</v>
      </c>
      <c r="C10" s="11" t="s">
        <v>13</v>
      </c>
      <c r="D10" s="10" t="s">
        <v>297</v>
      </c>
      <c r="E10" s="26" t="s">
        <v>17</v>
      </c>
      <c r="F10" s="12" t="s">
        <v>18</v>
      </c>
      <c r="G10" s="19">
        <v>67</v>
      </c>
      <c r="H10" s="20">
        <v>67</v>
      </c>
      <c r="I10" s="15">
        <v>4807</v>
      </c>
      <c r="J10" s="16"/>
      <c r="K10" s="17">
        <v>322069</v>
      </c>
      <c r="L10" s="18">
        <v>46255</v>
      </c>
      <c r="M10" s="6" t="str">
        <f t="shared" si="0"/>
        <v>Schedule order</v>
      </c>
      <c r="N10" s="8">
        <f t="shared" ca="1" si="1"/>
        <v>100</v>
      </c>
      <c r="O10" s="8" t="str">
        <f t="shared" ca="1" si="2"/>
        <v>Lattest or shedule order</v>
      </c>
      <c r="P10" t="str">
        <f>VLOOKUP(C10,[1]Customer_Master!$A:$B,2,0)</f>
        <v>Group-2 (Veeresh- Bomsdr+Hosur)</v>
      </c>
      <c r="Q10" t="str">
        <f>VLOOKUP(D10,[2]Template!$A:$D,3,0)</f>
        <v>EATON</v>
      </c>
      <c r="R10" t="str">
        <f>VLOOKUP(D10,[2]Template!$A:$D,4,0)</f>
        <v>Eaton-Faiveley-Non E70</v>
      </c>
    </row>
    <row r="11" spans="1:18" ht="13.5" customHeight="1" x14ac:dyDescent="0.25">
      <c r="A11" s="9">
        <v>45665</v>
      </c>
      <c r="B11" s="10" t="s">
        <v>19</v>
      </c>
      <c r="C11" s="11" t="s">
        <v>13</v>
      </c>
      <c r="D11" s="10" t="s">
        <v>296</v>
      </c>
      <c r="E11" s="12" t="s">
        <v>1072</v>
      </c>
      <c r="F11" s="12" t="s">
        <v>15</v>
      </c>
      <c r="G11" s="19">
        <v>67</v>
      </c>
      <c r="H11" s="20">
        <v>67</v>
      </c>
      <c r="I11" s="15">
        <v>4958</v>
      </c>
      <c r="J11" s="16"/>
      <c r="K11" s="17">
        <v>332186</v>
      </c>
      <c r="L11" s="18">
        <v>46092</v>
      </c>
      <c r="M11" s="6" t="str">
        <f t="shared" si="0"/>
        <v>Due order</v>
      </c>
      <c r="N11" s="8">
        <f t="shared" ca="1" si="1"/>
        <v>-63</v>
      </c>
      <c r="O11" s="8" t="str">
        <f t="shared" ca="1" si="2"/>
        <v>With in 90 days</v>
      </c>
      <c r="P11" t="str">
        <f>VLOOKUP(C11,[1]Customer_Master!$A:$B,2,0)</f>
        <v>Group-2 (Veeresh- Bomsdr+Hosur)</v>
      </c>
      <c r="Q11" t="str">
        <f>VLOOKUP(D11,[2]Template!$A:$D,3,0)</f>
        <v>EATON</v>
      </c>
      <c r="R11" t="str">
        <f>VLOOKUP(D11,[2]Template!$A:$D,4,0)</f>
        <v>Eaton-Faiveley-Non E70</v>
      </c>
    </row>
    <row r="12" spans="1:18" ht="13.5" customHeight="1" x14ac:dyDescent="0.25">
      <c r="A12" s="9">
        <v>45665</v>
      </c>
      <c r="B12" s="10" t="s">
        <v>19</v>
      </c>
      <c r="C12" s="11" t="s">
        <v>13</v>
      </c>
      <c r="D12" s="10" t="s">
        <v>298</v>
      </c>
      <c r="E12" s="26" t="s">
        <v>22</v>
      </c>
      <c r="F12" s="12" t="s">
        <v>23</v>
      </c>
      <c r="G12" s="19">
        <v>25</v>
      </c>
      <c r="H12" s="20">
        <v>25</v>
      </c>
      <c r="I12" s="15">
        <v>3502</v>
      </c>
      <c r="J12" s="16"/>
      <c r="K12" s="17">
        <v>87550</v>
      </c>
      <c r="L12" s="18">
        <v>46098</v>
      </c>
      <c r="M12" s="6" t="str">
        <f t="shared" si="0"/>
        <v>Due order</v>
      </c>
      <c r="N12" s="8">
        <f t="shared" ca="1" si="1"/>
        <v>-57</v>
      </c>
      <c r="O12" s="8" t="str">
        <f t="shared" ca="1" si="2"/>
        <v>With in 90 days</v>
      </c>
      <c r="P12" t="str">
        <f>VLOOKUP(C12,[1]Customer_Master!$A:$B,2,0)</f>
        <v>Group-2 (Veeresh- Bomsdr+Hosur)</v>
      </c>
      <c r="Q12" t="str">
        <f>VLOOKUP(D12,[2]Template!$A:$D,3,0)</f>
        <v>EATON</v>
      </c>
      <c r="R12" t="str">
        <f>VLOOKUP(D12,[2]Template!$A:$D,4,0)</f>
        <v>Eaton-Faiveley-Non E70</v>
      </c>
    </row>
    <row r="13" spans="1:18" ht="13.5" customHeight="1" x14ac:dyDescent="0.25">
      <c r="A13" s="9">
        <v>45716</v>
      </c>
      <c r="B13" s="10" t="s">
        <v>24</v>
      </c>
      <c r="C13" s="11" t="s">
        <v>13</v>
      </c>
      <c r="D13" s="10" t="s">
        <v>300</v>
      </c>
      <c r="E13" s="26" t="s">
        <v>25</v>
      </c>
      <c r="F13" s="12" t="s">
        <v>26</v>
      </c>
      <c r="G13" s="19">
        <v>100</v>
      </c>
      <c r="H13" s="20">
        <v>100</v>
      </c>
      <c r="I13" s="15">
        <v>4958</v>
      </c>
      <c r="J13" s="16"/>
      <c r="K13" s="17">
        <v>495800</v>
      </c>
      <c r="L13" s="18">
        <v>46016</v>
      </c>
      <c r="M13" s="6" t="str">
        <f t="shared" si="0"/>
        <v>Due order</v>
      </c>
      <c r="N13" s="8">
        <f t="shared" ca="1" si="1"/>
        <v>-139</v>
      </c>
      <c r="O13" s="8" t="str">
        <f t="shared" ca="1" si="2"/>
        <v>More than 90 day old</v>
      </c>
      <c r="P13" t="str">
        <f>VLOOKUP(C13,[1]Customer_Master!$A:$B,2,0)</f>
        <v>Group-2 (Veeresh- Bomsdr+Hosur)</v>
      </c>
      <c r="Q13" t="str">
        <f>VLOOKUP(D13,[2]Template!$A:$D,3,0)</f>
        <v>EATON</v>
      </c>
      <c r="R13" t="str">
        <f>VLOOKUP(D13,[2]Template!$A:$D,4,0)</f>
        <v>Eaton-Faiveley-Non E70</v>
      </c>
    </row>
    <row r="14" spans="1:18" ht="13.5" customHeight="1" x14ac:dyDescent="0.25">
      <c r="A14" s="9">
        <v>45762</v>
      </c>
      <c r="B14" s="10" t="s">
        <v>35</v>
      </c>
      <c r="C14" s="11" t="s">
        <v>13</v>
      </c>
      <c r="D14" s="10" t="s">
        <v>306</v>
      </c>
      <c r="E14" s="26" t="s">
        <v>42</v>
      </c>
      <c r="F14" s="12" t="s">
        <v>43</v>
      </c>
      <c r="G14" s="19">
        <v>14</v>
      </c>
      <c r="H14" s="20">
        <v>14</v>
      </c>
      <c r="I14" s="15">
        <v>5555</v>
      </c>
      <c r="J14" s="16"/>
      <c r="K14" s="17">
        <v>77770</v>
      </c>
      <c r="L14" s="18">
        <v>46265</v>
      </c>
      <c r="M14" s="6" t="str">
        <f t="shared" si="0"/>
        <v>Schedule order</v>
      </c>
      <c r="N14" s="8">
        <f t="shared" ca="1" si="1"/>
        <v>110</v>
      </c>
      <c r="O14" s="8" t="str">
        <f t="shared" ca="1" si="2"/>
        <v>Lattest or shedule order</v>
      </c>
      <c r="P14" t="str">
        <f>VLOOKUP(C14,[1]Customer_Master!$A:$B,2,0)</f>
        <v>Group-2 (Veeresh- Bomsdr+Hosur)</v>
      </c>
      <c r="Q14" t="str">
        <f>VLOOKUP(D14,[2]Template!$A:$D,3,0)</f>
        <v>EATON</v>
      </c>
      <c r="R14" t="str">
        <f>VLOOKUP(D14,[2]Template!$A:$D,4,0)</f>
        <v>Eaton-Faiveley-Non E70</v>
      </c>
    </row>
    <row r="15" spans="1:18" ht="13.5" customHeight="1" x14ac:dyDescent="0.25">
      <c r="A15" s="9">
        <v>45762</v>
      </c>
      <c r="B15" s="10" t="s">
        <v>48</v>
      </c>
      <c r="C15" s="11" t="s">
        <v>13</v>
      </c>
      <c r="D15" s="10" t="s">
        <v>297</v>
      </c>
      <c r="E15" s="26" t="s">
        <v>17</v>
      </c>
      <c r="F15" s="12" t="s">
        <v>18</v>
      </c>
      <c r="G15" s="19">
        <v>40</v>
      </c>
      <c r="H15" s="20">
        <v>40</v>
      </c>
      <c r="I15" s="15">
        <v>4807</v>
      </c>
      <c r="J15" s="16"/>
      <c r="K15" s="17">
        <v>192280</v>
      </c>
      <c r="L15" s="18">
        <v>46281</v>
      </c>
      <c r="M15" s="6" t="str">
        <f t="shared" si="0"/>
        <v>Schedule order</v>
      </c>
      <c r="N15" s="8">
        <f t="shared" ca="1" si="1"/>
        <v>126</v>
      </c>
      <c r="O15" s="8" t="str">
        <f t="shared" ca="1" si="2"/>
        <v>Lattest or shedule order</v>
      </c>
      <c r="P15" t="str">
        <f>VLOOKUP(C15,[1]Customer_Master!$A:$B,2,0)</f>
        <v>Group-2 (Veeresh- Bomsdr+Hosur)</v>
      </c>
      <c r="Q15" t="str">
        <f>VLOOKUP(D15,[2]Template!$A:$D,3,0)</f>
        <v>EATON</v>
      </c>
      <c r="R15" t="str">
        <f>VLOOKUP(D15,[2]Template!$A:$D,4,0)</f>
        <v>Eaton-Faiveley-Non E70</v>
      </c>
    </row>
    <row r="16" spans="1:18" ht="13.5" customHeight="1" x14ac:dyDescent="0.25">
      <c r="A16" s="9">
        <v>45784</v>
      </c>
      <c r="B16" s="10" t="s">
        <v>240</v>
      </c>
      <c r="C16" s="11" t="s">
        <v>241</v>
      </c>
      <c r="D16" s="27" t="s">
        <v>311</v>
      </c>
      <c r="E16" s="12" t="s">
        <v>1072</v>
      </c>
      <c r="F16" s="12" t="s">
        <v>66</v>
      </c>
      <c r="G16" s="19">
        <v>150</v>
      </c>
      <c r="H16" s="20">
        <v>65</v>
      </c>
      <c r="I16" s="15">
        <v>21.2</v>
      </c>
      <c r="J16" s="16"/>
      <c r="K16" s="17">
        <v>1378</v>
      </c>
      <c r="L16" s="18">
        <v>45884</v>
      </c>
      <c r="M16" s="6" t="str">
        <f t="shared" si="0"/>
        <v>Due order</v>
      </c>
      <c r="N16" s="8">
        <f t="shared" ca="1" si="1"/>
        <v>-271</v>
      </c>
      <c r="O16" s="8" t="str">
        <f t="shared" ca="1" si="2"/>
        <v xml:space="preserve"> More than 180 days old</v>
      </c>
      <c r="P16" t="str">
        <f>VLOOKUP(C16,[1]Customer_Master!$A:$B,2,0)</f>
        <v>Group - 5 (Ananthapadmanabha)</v>
      </c>
      <c r="Q16" t="str">
        <f>VLOOKUP(D16,[2]Template!$A:$D,3,0)</f>
        <v>LAPP</v>
      </c>
      <c r="R16" t="str">
        <f>VLOOKUP(D16,[2]Template!$A:$D,4,0)</f>
        <v>Lapp-Against Customer PO</v>
      </c>
    </row>
    <row r="17" spans="1:18" ht="13.5" customHeight="1" x14ac:dyDescent="0.25">
      <c r="A17" s="9">
        <v>45826</v>
      </c>
      <c r="B17" s="10" t="s">
        <v>55</v>
      </c>
      <c r="C17" s="11" t="s">
        <v>13</v>
      </c>
      <c r="D17" s="10" t="s">
        <v>312</v>
      </c>
      <c r="E17" s="26" t="s">
        <v>56</v>
      </c>
      <c r="F17" s="12" t="s">
        <v>57</v>
      </c>
      <c r="G17" s="19">
        <v>22</v>
      </c>
      <c r="H17" s="20">
        <v>22</v>
      </c>
      <c r="I17" s="15">
        <v>5555</v>
      </c>
      <c r="J17" s="16"/>
      <c r="K17" s="17">
        <v>122210</v>
      </c>
      <c r="L17" s="18">
        <v>46265</v>
      </c>
      <c r="M17" s="6" t="str">
        <f t="shared" si="0"/>
        <v>Schedule order</v>
      </c>
      <c r="N17" s="8">
        <f t="shared" ca="1" si="1"/>
        <v>110</v>
      </c>
      <c r="O17" s="8" t="str">
        <f t="shared" ca="1" si="2"/>
        <v>Lattest or shedule order</v>
      </c>
      <c r="P17" t="str">
        <f>VLOOKUP(C17,[1]Customer_Master!$A:$B,2,0)</f>
        <v>Group-2 (Veeresh- Bomsdr+Hosur)</v>
      </c>
      <c r="Q17" t="str">
        <f>VLOOKUP(D17,[2]Template!$A:$D,3,0)</f>
        <v>EATON</v>
      </c>
      <c r="R17" t="str">
        <f>VLOOKUP(D17,[2]Template!$A:$D,4,0)</f>
        <v>Eaton-Faiveley-Non E70</v>
      </c>
    </row>
    <row r="18" spans="1:18" ht="13.5" customHeight="1" x14ac:dyDescent="0.25">
      <c r="A18" s="9">
        <v>45897</v>
      </c>
      <c r="B18" s="10" t="s">
        <v>85</v>
      </c>
      <c r="C18" s="11" t="s">
        <v>13</v>
      </c>
      <c r="D18" s="10" t="s">
        <v>323</v>
      </c>
      <c r="E18" s="12" t="s">
        <v>1072</v>
      </c>
      <c r="F18" s="12" t="s">
        <v>86</v>
      </c>
      <c r="G18" s="19">
        <v>5</v>
      </c>
      <c r="H18" s="20">
        <v>5</v>
      </c>
      <c r="I18" s="15">
        <v>4958</v>
      </c>
      <c r="J18" s="16"/>
      <c r="K18" s="17">
        <v>24790</v>
      </c>
      <c r="L18" s="18">
        <v>46049</v>
      </c>
      <c r="M18" s="6" t="str">
        <f t="shared" si="0"/>
        <v>Due order</v>
      </c>
      <c r="N18" s="8">
        <f t="shared" ca="1" si="1"/>
        <v>-106</v>
      </c>
      <c r="O18" s="8" t="str">
        <f t="shared" ca="1" si="2"/>
        <v>More than 90 day old</v>
      </c>
      <c r="P18" t="str">
        <f>VLOOKUP(C18,[1]Customer_Master!$A:$B,2,0)</f>
        <v>Group-2 (Veeresh- Bomsdr+Hosur)</v>
      </c>
      <c r="Q18" t="str">
        <f>VLOOKUP(D18,[2]Template!$A:$D,3,0)</f>
        <v>EATON</v>
      </c>
      <c r="R18" t="str">
        <f>VLOOKUP(D18,[2]Template!$A:$D,4,0)</f>
        <v>Eaton-Faiveley-Non E70</v>
      </c>
    </row>
    <row r="19" spans="1:18" ht="13.5" customHeight="1" x14ac:dyDescent="0.25">
      <c r="A19" s="9">
        <v>45919</v>
      </c>
      <c r="B19" s="10" t="s">
        <v>97</v>
      </c>
      <c r="C19" s="11" t="s">
        <v>13</v>
      </c>
      <c r="D19" s="27" t="s">
        <v>308</v>
      </c>
      <c r="E19" s="26" t="s">
        <v>46</v>
      </c>
      <c r="F19" s="26" t="s">
        <v>47</v>
      </c>
      <c r="G19" s="19">
        <v>150</v>
      </c>
      <c r="H19" s="20">
        <v>60</v>
      </c>
      <c r="I19" s="15">
        <v>3165</v>
      </c>
      <c r="J19" s="16"/>
      <c r="K19" s="17">
        <v>189900</v>
      </c>
      <c r="L19" s="18">
        <v>46092</v>
      </c>
      <c r="M19" s="6" t="str">
        <f t="shared" si="0"/>
        <v>Due order</v>
      </c>
      <c r="N19" s="8">
        <f t="shared" ca="1" si="1"/>
        <v>-63</v>
      </c>
      <c r="O19" s="8" t="str">
        <f t="shared" ca="1" si="2"/>
        <v>With in 90 days</v>
      </c>
      <c r="P19" t="str">
        <f>VLOOKUP(C19,[1]Customer_Master!$A:$B,2,0)</f>
        <v>Group-2 (Veeresh- Bomsdr+Hosur)</v>
      </c>
      <c r="Q19" t="str">
        <f>VLOOKUP(D19,[2]Template!$A:$D,3,0)</f>
        <v>EATON</v>
      </c>
      <c r="R19" t="str">
        <f>VLOOKUP(D19,[2]Template!$A:$D,4,0)</f>
        <v>Eaton-Faiveley-E70</v>
      </c>
    </row>
    <row r="20" spans="1:18" ht="13.5" customHeight="1" x14ac:dyDescent="0.25">
      <c r="A20" s="9">
        <v>45919</v>
      </c>
      <c r="B20" s="10" t="s">
        <v>97</v>
      </c>
      <c r="C20" s="11" t="s">
        <v>13</v>
      </c>
      <c r="D20" s="10" t="s">
        <v>303</v>
      </c>
      <c r="E20" s="26" t="s">
        <v>36</v>
      </c>
      <c r="F20" s="12" t="s">
        <v>37</v>
      </c>
      <c r="G20" s="19">
        <v>50</v>
      </c>
      <c r="H20" s="20">
        <v>20</v>
      </c>
      <c r="I20" s="15">
        <v>2803</v>
      </c>
      <c r="J20" s="16"/>
      <c r="K20" s="17">
        <v>56060</v>
      </c>
      <c r="L20" s="18">
        <v>46092</v>
      </c>
      <c r="M20" s="6" t="str">
        <f t="shared" si="0"/>
        <v>Due order</v>
      </c>
      <c r="N20" s="8">
        <f t="shared" ca="1" si="1"/>
        <v>-63</v>
      </c>
      <c r="O20" s="8" t="str">
        <f t="shared" ca="1" si="2"/>
        <v>With in 90 days</v>
      </c>
      <c r="P20" t="str">
        <f>VLOOKUP(C20,[1]Customer_Master!$A:$B,2,0)</f>
        <v>Group-2 (Veeresh- Bomsdr+Hosur)</v>
      </c>
      <c r="Q20" t="str">
        <f>VLOOKUP(D20,[2]Template!$A:$D,3,0)</f>
        <v>EATON</v>
      </c>
      <c r="R20" t="str">
        <f>VLOOKUP(D20,[2]Template!$A:$D,4,0)</f>
        <v>Eaton-Faiveley-E70</v>
      </c>
    </row>
    <row r="21" spans="1:18" ht="13.5" customHeight="1" x14ac:dyDescent="0.25">
      <c r="A21" s="9">
        <v>45926</v>
      </c>
      <c r="B21" s="10" t="s">
        <v>99</v>
      </c>
      <c r="C21" s="11" t="s">
        <v>13</v>
      </c>
      <c r="D21" s="27" t="s">
        <v>308</v>
      </c>
      <c r="E21" s="26" t="s">
        <v>46</v>
      </c>
      <c r="F21" s="26" t="s">
        <v>47</v>
      </c>
      <c r="G21" s="19">
        <v>103</v>
      </c>
      <c r="H21" s="20">
        <v>9</v>
      </c>
      <c r="I21" s="15">
        <v>3165</v>
      </c>
      <c r="J21" s="16"/>
      <c r="K21" s="17">
        <v>28485</v>
      </c>
      <c r="L21" s="18">
        <v>46092</v>
      </c>
      <c r="M21" s="6" t="str">
        <f t="shared" si="0"/>
        <v>Due order</v>
      </c>
      <c r="N21" s="8">
        <f t="shared" ca="1" si="1"/>
        <v>-63</v>
      </c>
      <c r="O21" s="8" t="str">
        <f t="shared" ca="1" si="2"/>
        <v>With in 90 days</v>
      </c>
      <c r="P21" t="str">
        <f>VLOOKUP(C21,[1]Customer_Master!$A:$B,2,0)</f>
        <v>Group-2 (Veeresh- Bomsdr+Hosur)</v>
      </c>
      <c r="Q21" t="str">
        <f>VLOOKUP(D21,[2]Template!$A:$D,3,0)</f>
        <v>EATON</v>
      </c>
      <c r="R21" t="str">
        <f>VLOOKUP(D21,[2]Template!$A:$D,4,0)</f>
        <v>Eaton-Faiveley-E70</v>
      </c>
    </row>
    <row r="22" spans="1:18" ht="13.5" customHeight="1" x14ac:dyDescent="0.25">
      <c r="A22" s="9">
        <v>45953</v>
      </c>
      <c r="B22" s="10" t="s">
        <v>131</v>
      </c>
      <c r="C22" s="11" t="s">
        <v>62</v>
      </c>
      <c r="D22" s="27" t="s">
        <v>347</v>
      </c>
      <c r="E22" s="12" t="s">
        <v>1072</v>
      </c>
      <c r="F22" s="26" t="s">
        <v>89</v>
      </c>
      <c r="G22" s="13">
        <v>4000</v>
      </c>
      <c r="H22" s="14">
        <v>2000</v>
      </c>
      <c r="I22" s="15">
        <v>104</v>
      </c>
      <c r="J22" s="16"/>
      <c r="K22" s="17">
        <v>208000</v>
      </c>
      <c r="L22" s="18">
        <v>46053</v>
      </c>
      <c r="M22" s="6" t="str">
        <f t="shared" si="0"/>
        <v>Due order</v>
      </c>
      <c r="N22" s="8">
        <f t="shared" ca="1" si="1"/>
        <v>-102</v>
      </c>
      <c r="O22" s="8" t="str">
        <f t="shared" ca="1" si="2"/>
        <v>More than 90 day old</v>
      </c>
      <c r="P22" t="str">
        <f>VLOOKUP(C22,[1]Customer_Master!$A:$B,2,0)</f>
        <v>Group 1-Giridhar-Peenya</v>
      </c>
      <c r="Q22" t="str">
        <f>VLOOKUP(D22,[2]Template!$A:$D,3,0)</f>
        <v>LAPP</v>
      </c>
      <c r="R22" t="str">
        <f>VLOOKUP(D22,[2]Template!$A:$D,4,0)</f>
        <v>Lapp-TD Power</v>
      </c>
    </row>
    <row r="23" spans="1:18" ht="13.5" customHeight="1" x14ac:dyDescent="0.25">
      <c r="A23" s="9">
        <v>45972</v>
      </c>
      <c r="B23" s="10" t="s">
        <v>147</v>
      </c>
      <c r="C23" s="11" t="s">
        <v>31</v>
      </c>
      <c r="D23" s="27" t="s">
        <v>347</v>
      </c>
      <c r="E23" s="12" t="s">
        <v>1072</v>
      </c>
      <c r="F23" s="26" t="s">
        <v>89</v>
      </c>
      <c r="G23" s="13">
        <v>1500</v>
      </c>
      <c r="H23" s="14">
        <v>1500</v>
      </c>
      <c r="I23" s="15">
        <v>104</v>
      </c>
      <c r="J23" s="16"/>
      <c r="K23" s="17">
        <v>156000</v>
      </c>
      <c r="L23" s="18">
        <v>46053</v>
      </c>
      <c r="M23" s="6" t="str">
        <f t="shared" si="0"/>
        <v>Due order</v>
      </c>
      <c r="N23" s="8">
        <f t="shared" ca="1" si="1"/>
        <v>-102</v>
      </c>
      <c r="O23" s="8" t="str">
        <f t="shared" ca="1" si="2"/>
        <v>More than 90 day old</v>
      </c>
      <c r="P23" t="str">
        <f>VLOOKUP(C23,[1]Customer_Master!$A:$B,2,0)</f>
        <v>Group 1-Giridhar-Peenya</v>
      </c>
      <c r="Q23" t="str">
        <f>VLOOKUP(D23,[2]Template!$A:$D,3,0)</f>
        <v>LAPP</v>
      </c>
      <c r="R23" t="str">
        <f>VLOOKUP(D23,[2]Template!$A:$D,4,0)</f>
        <v>Lapp-TD Power</v>
      </c>
    </row>
    <row r="24" spans="1:18" ht="13.5" customHeight="1" x14ac:dyDescent="0.25">
      <c r="A24" s="9">
        <v>45972</v>
      </c>
      <c r="B24" s="10" t="s">
        <v>147</v>
      </c>
      <c r="C24" s="11" t="s">
        <v>31</v>
      </c>
      <c r="D24" s="10" t="s">
        <v>335</v>
      </c>
      <c r="E24" s="12" t="s">
        <v>1072</v>
      </c>
      <c r="F24" s="12" t="s">
        <v>122</v>
      </c>
      <c r="G24" s="13">
        <v>1200</v>
      </c>
      <c r="H24" s="14">
        <v>1200</v>
      </c>
      <c r="I24" s="15">
        <v>25.12</v>
      </c>
      <c r="J24" s="16"/>
      <c r="K24" s="17">
        <v>30144</v>
      </c>
      <c r="L24" s="18">
        <v>46053</v>
      </c>
      <c r="M24" s="6" t="str">
        <f t="shared" si="0"/>
        <v>Due order</v>
      </c>
      <c r="N24" s="8">
        <f t="shared" ca="1" si="1"/>
        <v>-102</v>
      </c>
      <c r="O24" s="8" t="str">
        <f t="shared" ca="1" si="2"/>
        <v>More than 90 day old</v>
      </c>
      <c r="P24" t="str">
        <f>VLOOKUP(C24,[1]Customer_Master!$A:$B,2,0)</f>
        <v>Group 1-Giridhar-Peenya</v>
      </c>
      <c r="Q24" t="str">
        <f>VLOOKUP(D24,[2]Template!$A:$D,3,0)</f>
        <v>LAPP</v>
      </c>
      <c r="R24" t="str">
        <f>VLOOKUP(D24,[2]Template!$A:$D,4,0)</f>
        <v>Lapp-Planned Stock General</v>
      </c>
    </row>
    <row r="25" spans="1:18" ht="13.5" customHeight="1" x14ac:dyDescent="0.25">
      <c r="A25" s="9">
        <v>45976</v>
      </c>
      <c r="B25" s="10" t="s">
        <v>157</v>
      </c>
      <c r="C25" s="11" t="s">
        <v>139</v>
      </c>
      <c r="D25" s="10" t="s">
        <v>370</v>
      </c>
      <c r="E25" s="12" t="s">
        <v>1072</v>
      </c>
      <c r="F25" s="12" t="s">
        <v>158</v>
      </c>
      <c r="G25" s="13">
        <v>5000</v>
      </c>
      <c r="H25" s="14">
        <v>5000</v>
      </c>
      <c r="I25" s="15">
        <v>87.27</v>
      </c>
      <c r="J25" s="16"/>
      <c r="K25" s="17">
        <v>436350</v>
      </c>
      <c r="L25" s="18">
        <v>46011</v>
      </c>
      <c r="M25" s="6" t="str">
        <f t="shared" si="0"/>
        <v>Due order</v>
      </c>
      <c r="N25" s="8">
        <f t="shared" ca="1" si="1"/>
        <v>-144</v>
      </c>
      <c r="O25" s="8" t="str">
        <f t="shared" ca="1" si="2"/>
        <v>More than 90 day old</v>
      </c>
      <c r="P25" t="str">
        <f>VLOOKUP(C25,[1]Customer_Master!$A:$B,2,0)</f>
        <v>Group 1-Giridhar-Peenya</v>
      </c>
      <c r="Q25" t="str">
        <f>VLOOKUP(D25,[2]Template!$A:$D,3,0)</f>
        <v>LAPP</v>
      </c>
      <c r="R25" t="str">
        <f>VLOOKUP(D25,[2]Template!$A:$D,4,0)</f>
        <v>Lapp-Against Customer PO</v>
      </c>
    </row>
    <row r="26" spans="1:18" ht="13.5" customHeight="1" x14ac:dyDescent="0.25">
      <c r="A26" s="9">
        <v>45976</v>
      </c>
      <c r="B26" s="10" t="s">
        <v>157</v>
      </c>
      <c r="C26" s="11" t="s">
        <v>139</v>
      </c>
      <c r="D26" s="10" t="s">
        <v>371</v>
      </c>
      <c r="E26" s="12" t="s">
        <v>1072</v>
      </c>
      <c r="F26" s="12" t="s">
        <v>159</v>
      </c>
      <c r="G26" s="13">
        <v>3000</v>
      </c>
      <c r="H26" s="14">
        <v>3000</v>
      </c>
      <c r="I26" s="15">
        <v>115.15</v>
      </c>
      <c r="J26" s="16"/>
      <c r="K26" s="17">
        <v>345450</v>
      </c>
      <c r="L26" s="18">
        <v>46011</v>
      </c>
      <c r="M26" s="6" t="str">
        <f t="shared" si="0"/>
        <v>Due order</v>
      </c>
      <c r="N26" s="8">
        <f t="shared" ca="1" si="1"/>
        <v>-144</v>
      </c>
      <c r="O26" s="8" t="str">
        <f t="shared" ca="1" si="2"/>
        <v>More than 90 day old</v>
      </c>
      <c r="P26" t="str">
        <f>VLOOKUP(C26,[1]Customer_Master!$A:$B,2,0)</f>
        <v>Group 1-Giridhar-Peenya</v>
      </c>
      <c r="Q26" t="str">
        <f>VLOOKUP(D26,[2]Template!$A:$D,3,0)</f>
        <v>LAPP</v>
      </c>
      <c r="R26" t="str">
        <f>VLOOKUP(D26,[2]Template!$A:$D,4,0)</f>
        <v>Lapp-Against Customer PO</v>
      </c>
    </row>
    <row r="27" spans="1:18" ht="13.5" customHeight="1" x14ac:dyDescent="0.25">
      <c r="A27" s="9">
        <v>45976</v>
      </c>
      <c r="B27" s="10" t="s">
        <v>157</v>
      </c>
      <c r="C27" s="11" t="s">
        <v>139</v>
      </c>
      <c r="D27" s="10" t="s">
        <v>372</v>
      </c>
      <c r="E27" s="12" t="s">
        <v>1072</v>
      </c>
      <c r="F27" s="12" t="s">
        <v>160</v>
      </c>
      <c r="G27" s="13">
        <v>300</v>
      </c>
      <c r="H27" s="14">
        <v>300</v>
      </c>
      <c r="I27" s="15">
        <v>144.44999999999999</v>
      </c>
      <c r="J27" s="16"/>
      <c r="K27" s="17">
        <v>43335</v>
      </c>
      <c r="L27" s="18">
        <v>46011</v>
      </c>
      <c r="M27" s="6" t="str">
        <f t="shared" si="0"/>
        <v>Due order</v>
      </c>
      <c r="N27" s="8">
        <f t="shared" ca="1" si="1"/>
        <v>-144</v>
      </c>
      <c r="O27" s="8" t="str">
        <f t="shared" ca="1" si="2"/>
        <v>More than 90 day old</v>
      </c>
      <c r="P27" t="str">
        <f>VLOOKUP(C27,[1]Customer_Master!$A:$B,2,0)</f>
        <v>Group 1-Giridhar-Peenya</v>
      </c>
      <c r="Q27" t="str">
        <f>VLOOKUP(D27,[2]Template!$A:$D,3,0)</f>
        <v>LAPP</v>
      </c>
      <c r="R27" t="str">
        <f>VLOOKUP(D27,[2]Template!$A:$D,4,0)</f>
        <v>Lapp-Against Customer PO</v>
      </c>
    </row>
    <row r="28" spans="1:18" ht="13.5" customHeight="1" x14ac:dyDescent="0.25">
      <c r="A28" s="9">
        <v>45976</v>
      </c>
      <c r="B28" s="10" t="s">
        <v>157</v>
      </c>
      <c r="C28" s="11" t="s">
        <v>139</v>
      </c>
      <c r="D28" s="10" t="s">
        <v>373</v>
      </c>
      <c r="E28" s="12" t="s">
        <v>1072</v>
      </c>
      <c r="F28" s="12" t="s">
        <v>161</v>
      </c>
      <c r="G28" s="13">
        <v>4500</v>
      </c>
      <c r="H28" s="14">
        <v>4500</v>
      </c>
      <c r="I28" s="15">
        <v>88.86</v>
      </c>
      <c r="J28" s="16"/>
      <c r="K28" s="17">
        <v>399870</v>
      </c>
      <c r="L28" s="18">
        <v>46011</v>
      </c>
      <c r="M28" s="6" t="str">
        <f t="shared" si="0"/>
        <v>Due order</v>
      </c>
      <c r="N28" s="8">
        <f t="shared" ca="1" si="1"/>
        <v>-144</v>
      </c>
      <c r="O28" s="8" t="str">
        <f t="shared" ca="1" si="2"/>
        <v>More than 90 day old</v>
      </c>
      <c r="P28" t="str">
        <f>VLOOKUP(C28,[1]Customer_Master!$A:$B,2,0)</f>
        <v>Group 1-Giridhar-Peenya</v>
      </c>
      <c r="Q28" t="str">
        <f>VLOOKUP(D28,[2]Template!$A:$D,3,0)</f>
        <v>LAPP</v>
      </c>
      <c r="R28" t="str">
        <f>VLOOKUP(D28,[2]Template!$A:$D,4,0)</f>
        <v>Lapp-Against Customer PO</v>
      </c>
    </row>
    <row r="29" spans="1:18" ht="13.5" customHeight="1" x14ac:dyDescent="0.25">
      <c r="A29" s="9">
        <v>45976</v>
      </c>
      <c r="B29" s="10" t="s">
        <v>157</v>
      </c>
      <c r="C29" s="11" t="s">
        <v>139</v>
      </c>
      <c r="D29" s="10" t="s">
        <v>374</v>
      </c>
      <c r="E29" s="12" t="s">
        <v>1072</v>
      </c>
      <c r="F29" s="12" t="s">
        <v>162</v>
      </c>
      <c r="G29" s="13">
        <v>700</v>
      </c>
      <c r="H29" s="14">
        <v>700</v>
      </c>
      <c r="I29" s="15">
        <v>86.96</v>
      </c>
      <c r="J29" s="16"/>
      <c r="K29" s="17">
        <v>60872</v>
      </c>
      <c r="L29" s="18">
        <v>46011</v>
      </c>
      <c r="M29" s="6" t="str">
        <f t="shared" si="0"/>
        <v>Due order</v>
      </c>
      <c r="N29" s="8">
        <f t="shared" ca="1" si="1"/>
        <v>-144</v>
      </c>
      <c r="O29" s="8" t="str">
        <f t="shared" ca="1" si="2"/>
        <v>More than 90 day old</v>
      </c>
      <c r="P29" t="str">
        <f>VLOOKUP(C29,[1]Customer_Master!$A:$B,2,0)</f>
        <v>Group 1-Giridhar-Peenya</v>
      </c>
      <c r="Q29" t="str">
        <f>VLOOKUP(D29,[2]Template!$A:$D,3,0)</f>
        <v>LAPP</v>
      </c>
      <c r="R29" t="str">
        <f>VLOOKUP(D29,[2]Template!$A:$D,4,0)</f>
        <v>Lapp-Against Customer PO</v>
      </c>
    </row>
    <row r="30" spans="1:18" ht="13.5" customHeight="1" x14ac:dyDescent="0.25">
      <c r="A30" s="9">
        <v>45976</v>
      </c>
      <c r="B30" s="10" t="s">
        <v>157</v>
      </c>
      <c r="C30" s="11" t="s">
        <v>139</v>
      </c>
      <c r="D30" s="10" t="s">
        <v>375</v>
      </c>
      <c r="E30" s="12" t="s">
        <v>1072</v>
      </c>
      <c r="F30" s="12" t="s">
        <v>163</v>
      </c>
      <c r="G30" s="13">
        <v>200</v>
      </c>
      <c r="H30" s="14">
        <v>200</v>
      </c>
      <c r="I30" s="15">
        <v>126.62</v>
      </c>
      <c r="J30" s="16"/>
      <c r="K30" s="17">
        <v>25324</v>
      </c>
      <c r="L30" s="18">
        <v>46011</v>
      </c>
      <c r="M30" s="6" t="str">
        <f t="shared" si="0"/>
        <v>Due order</v>
      </c>
      <c r="N30" s="8">
        <f t="shared" ca="1" si="1"/>
        <v>-144</v>
      </c>
      <c r="O30" s="8" t="str">
        <f t="shared" ca="1" si="2"/>
        <v>More than 90 day old</v>
      </c>
      <c r="P30" t="str">
        <f>VLOOKUP(C30,[1]Customer_Master!$A:$B,2,0)</f>
        <v>Group 1-Giridhar-Peenya</v>
      </c>
      <c r="Q30" t="str">
        <f>VLOOKUP(D30,[2]Template!$A:$D,3,0)</f>
        <v>LAPP</v>
      </c>
      <c r="R30" t="str">
        <f>VLOOKUP(D30,[2]Template!$A:$D,4,0)</f>
        <v>Lapp-Against Customer PO</v>
      </c>
    </row>
    <row r="31" spans="1:18" ht="13.5" customHeight="1" x14ac:dyDescent="0.25">
      <c r="A31" s="9">
        <v>45976</v>
      </c>
      <c r="B31" s="10" t="s">
        <v>157</v>
      </c>
      <c r="C31" s="11" t="s">
        <v>139</v>
      </c>
      <c r="D31" s="10" t="s">
        <v>376</v>
      </c>
      <c r="E31" s="12" t="s">
        <v>1072</v>
      </c>
      <c r="F31" s="12" t="s">
        <v>164</v>
      </c>
      <c r="G31" s="13">
        <v>500</v>
      </c>
      <c r="H31" s="14">
        <v>500</v>
      </c>
      <c r="I31" s="15">
        <v>204.51</v>
      </c>
      <c r="J31" s="16"/>
      <c r="K31" s="17">
        <v>102255</v>
      </c>
      <c r="L31" s="18">
        <v>46011</v>
      </c>
      <c r="M31" s="6" t="str">
        <f t="shared" si="0"/>
        <v>Due order</v>
      </c>
      <c r="N31" s="8">
        <f t="shared" ca="1" si="1"/>
        <v>-144</v>
      </c>
      <c r="O31" s="8" t="str">
        <f t="shared" ca="1" si="2"/>
        <v>More than 90 day old</v>
      </c>
      <c r="P31" t="str">
        <f>VLOOKUP(C31,[1]Customer_Master!$A:$B,2,0)</f>
        <v>Group 1-Giridhar-Peenya</v>
      </c>
      <c r="Q31" t="str">
        <f>VLOOKUP(D31,[2]Template!$A:$D,3,0)</f>
        <v>LAPP</v>
      </c>
      <c r="R31" t="str">
        <f>VLOOKUP(D31,[2]Template!$A:$D,4,0)</f>
        <v>Lapp-Against Customer PO</v>
      </c>
    </row>
    <row r="32" spans="1:18" ht="13.5" customHeight="1" x14ac:dyDescent="0.25">
      <c r="A32" s="9">
        <v>45976</v>
      </c>
      <c r="B32" s="10" t="s">
        <v>157</v>
      </c>
      <c r="C32" s="11" t="s">
        <v>139</v>
      </c>
      <c r="D32" s="10" t="s">
        <v>377</v>
      </c>
      <c r="E32" s="12" t="s">
        <v>1072</v>
      </c>
      <c r="F32" s="12" t="s">
        <v>165</v>
      </c>
      <c r="G32" s="13">
        <v>200</v>
      </c>
      <c r="H32" s="14">
        <v>200</v>
      </c>
      <c r="I32" s="15">
        <v>277.32</v>
      </c>
      <c r="J32" s="16"/>
      <c r="K32" s="17">
        <v>55464</v>
      </c>
      <c r="L32" s="18">
        <v>46011</v>
      </c>
      <c r="M32" s="6" t="str">
        <f t="shared" si="0"/>
        <v>Due order</v>
      </c>
      <c r="N32" s="8">
        <f t="shared" ca="1" si="1"/>
        <v>-144</v>
      </c>
      <c r="O32" s="8" t="str">
        <f t="shared" ca="1" si="2"/>
        <v>More than 90 day old</v>
      </c>
      <c r="P32" t="str">
        <f>VLOOKUP(C32,[1]Customer_Master!$A:$B,2,0)</f>
        <v>Group 1-Giridhar-Peenya</v>
      </c>
      <c r="Q32" t="str">
        <f>VLOOKUP(D32,[2]Template!$A:$D,3,0)</f>
        <v>LAPP</v>
      </c>
      <c r="R32" t="str">
        <f>VLOOKUP(D32,[2]Template!$A:$D,4,0)</f>
        <v>Lapp-Against Customer PO</v>
      </c>
    </row>
    <row r="33" spans="1:18" ht="13.5" customHeight="1" x14ac:dyDescent="0.25">
      <c r="A33" s="9">
        <v>45976</v>
      </c>
      <c r="B33" s="10" t="s">
        <v>157</v>
      </c>
      <c r="C33" s="11" t="s">
        <v>139</v>
      </c>
      <c r="D33" s="10" t="s">
        <v>378</v>
      </c>
      <c r="E33" s="12" t="s">
        <v>1072</v>
      </c>
      <c r="F33" s="12" t="s">
        <v>166</v>
      </c>
      <c r="G33" s="13">
        <v>400</v>
      </c>
      <c r="H33" s="14">
        <v>400</v>
      </c>
      <c r="I33" s="15">
        <v>428.12</v>
      </c>
      <c r="J33" s="16"/>
      <c r="K33" s="17">
        <v>171248</v>
      </c>
      <c r="L33" s="18">
        <v>46011</v>
      </c>
      <c r="M33" s="6" t="str">
        <f t="shared" si="0"/>
        <v>Due order</v>
      </c>
      <c r="N33" s="8">
        <f t="shared" ca="1" si="1"/>
        <v>-144</v>
      </c>
      <c r="O33" s="8" t="str">
        <f t="shared" ca="1" si="2"/>
        <v>More than 90 day old</v>
      </c>
      <c r="P33" t="str">
        <f>VLOOKUP(C33,[1]Customer_Master!$A:$B,2,0)</f>
        <v>Group 1-Giridhar-Peenya</v>
      </c>
      <c r="Q33" t="str">
        <f>VLOOKUP(D33,[2]Template!$A:$D,3,0)</f>
        <v>LAPP</v>
      </c>
      <c r="R33" t="str">
        <f>VLOOKUP(D33,[2]Template!$A:$D,4,0)</f>
        <v>Lapp-Against Customer PO</v>
      </c>
    </row>
    <row r="34" spans="1:18" ht="13.5" customHeight="1" x14ac:dyDescent="0.25">
      <c r="A34" s="9">
        <v>45976</v>
      </c>
      <c r="B34" s="10" t="s">
        <v>157</v>
      </c>
      <c r="C34" s="11" t="s">
        <v>139</v>
      </c>
      <c r="D34" s="10" t="s">
        <v>379</v>
      </c>
      <c r="E34" s="12" t="s">
        <v>1072</v>
      </c>
      <c r="F34" s="12" t="s">
        <v>167</v>
      </c>
      <c r="G34" s="13">
        <v>300</v>
      </c>
      <c r="H34" s="14">
        <v>300</v>
      </c>
      <c r="I34" s="15">
        <v>239.82</v>
      </c>
      <c r="J34" s="16"/>
      <c r="K34" s="17">
        <v>71946</v>
      </c>
      <c r="L34" s="18">
        <v>46011</v>
      </c>
      <c r="M34" s="6" t="str">
        <f t="shared" si="0"/>
        <v>Due order</v>
      </c>
      <c r="N34" s="8">
        <f t="shared" ca="1" si="1"/>
        <v>-144</v>
      </c>
      <c r="O34" s="8" t="str">
        <f t="shared" ca="1" si="2"/>
        <v>More than 90 day old</v>
      </c>
      <c r="P34" t="str">
        <f>VLOOKUP(C34,[1]Customer_Master!$A:$B,2,0)</f>
        <v>Group 1-Giridhar-Peenya</v>
      </c>
      <c r="Q34" t="str">
        <f>VLOOKUP(D34,[2]Template!$A:$D,3,0)</f>
        <v>LAPP</v>
      </c>
      <c r="R34" t="str">
        <f>VLOOKUP(D34,[2]Template!$A:$D,4,0)</f>
        <v>Lapp-Against Customer PO</v>
      </c>
    </row>
    <row r="35" spans="1:18" ht="13.5" customHeight="1" x14ac:dyDescent="0.25">
      <c r="A35" s="9">
        <v>45976</v>
      </c>
      <c r="B35" s="10" t="s">
        <v>157</v>
      </c>
      <c r="C35" s="11" t="s">
        <v>139</v>
      </c>
      <c r="D35" s="10" t="s">
        <v>380</v>
      </c>
      <c r="E35" s="12" t="s">
        <v>1072</v>
      </c>
      <c r="F35" s="12" t="s">
        <v>168</v>
      </c>
      <c r="G35" s="13">
        <v>500</v>
      </c>
      <c r="H35" s="14">
        <v>500</v>
      </c>
      <c r="I35" s="15">
        <v>412.36</v>
      </c>
      <c r="J35" s="16"/>
      <c r="K35" s="17">
        <v>206180</v>
      </c>
      <c r="L35" s="18">
        <v>46011</v>
      </c>
      <c r="M35" s="6" t="str">
        <f t="shared" si="0"/>
        <v>Due order</v>
      </c>
      <c r="N35" s="8">
        <f t="shared" ca="1" si="1"/>
        <v>-144</v>
      </c>
      <c r="O35" s="8" t="str">
        <f t="shared" ca="1" si="2"/>
        <v>More than 90 day old</v>
      </c>
      <c r="P35" t="str">
        <f>VLOOKUP(C35,[1]Customer_Master!$A:$B,2,0)</f>
        <v>Group 1-Giridhar-Peenya</v>
      </c>
      <c r="Q35" t="str">
        <f>VLOOKUP(D35,[2]Template!$A:$D,3,0)</f>
        <v>LAPP</v>
      </c>
      <c r="R35" t="str">
        <f>VLOOKUP(D35,[2]Template!$A:$D,4,0)</f>
        <v>Lapp-Against Customer PO</v>
      </c>
    </row>
    <row r="36" spans="1:18" ht="13.5" customHeight="1" x14ac:dyDescent="0.25">
      <c r="A36" s="9">
        <v>45976</v>
      </c>
      <c r="B36" s="10" t="s">
        <v>157</v>
      </c>
      <c r="C36" s="11" t="s">
        <v>139</v>
      </c>
      <c r="D36" s="10" t="s">
        <v>381</v>
      </c>
      <c r="E36" s="12" t="s">
        <v>1072</v>
      </c>
      <c r="F36" s="12" t="s">
        <v>169</v>
      </c>
      <c r="G36" s="13">
        <v>300</v>
      </c>
      <c r="H36" s="14">
        <v>300</v>
      </c>
      <c r="I36" s="15">
        <v>509.78</v>
      </c>
      <c r="J36" s="16"/>
      <c r="K36" s="17">
        <v>152934</v>
      </c>
      <c r="L36" s="18">
        <v>46011</v>
      </c>
      <c r="M36" s="6" t="str">
        <f t="shared" si="0"/>
        <v>Due order</v>
      </c>
      <c r="N36" s="8">
        <f t="shared" ca="1" si="1"/>
        <v>-144</v>
      </c>
      <c r="O36" s="8" t="str">
        <f t="shared" ca="1" si="2"/>
        <v>More than 90 day old</v>
      </c>
      <c r="P36" t="str">
        <f>VLOOKUP(C36,[1]Customer_Master!$A:$B,2,0)</f>
        <v>Group 1-Giridhar-Peenya</v>
      </c>
      <c r="Q36" t="str">
        <f>VLOOKUP(D36,[2]Template!$A:$D,3,0)</f>
        <v>LAPP</v>
      </c>
      <c r="R36" t="str">
        <f>VLOOKUP(D36,[2]Template!$A:$D,4,0)</f>
        <v>Lapp-Against Customer PO</v>
      </c>
    </row>
    <row r="37" spans="1:18" ht="13.5" customHeight="1" x14ac:dyDescent="0.25">
      <c r="A37" s="9">
        <v>45976</v>
      </c>
      <c r="B37" s="10" t="s">
        <v>157</v>
      </c>
      <c r="C37" s="11" t="s">
        <v>139</v>
      </c>
      <c r="D37" s="10" t="s">
        <v>382</v>
      </c>
      <c r="E37" s="12" t="s">
        <v>1072</v>
      </c>
      <c r="F37" s="12" t="s">
        <v>170</v>
      </c>
      <c r="G37" s="13">
        <v>300</v>
      </c>
      <c r="H37" s="14">
        <v>300</v>
      </c>
      <c r="I37" s="15">
        <v>968.71</v>
      </c>
      <c r="J37" s="16"/>
      <c r="K37" s="17">
        <v>290613</v>
      </c>
      <c r="L37" s="18">
        <v>46011</v>
      </c>
      <c r="M37" s="6" t="str">
        <f t="shared" si="0"/>
        <v>Due order</v>
      </c>
      <c r="N37" s="8">
        <f t="shared" ca="1" si="1"/>
        <v>-144</v>
      </c>
      <c r="O37" s="8" t="str">
        <f t="shared" ca="1" si="2"/>
        <v>More than 90 day old</v>
      </c>
      <c r="P37" t="str">
        <f>VLOOKUP(C37,[1]Customer_Master!$A:$B,2,0)</f>
        <v>Group 1-Giridhar-Peenya</v>
      </c>
      <c r="Q37" t="str">
        <f>VLOOKUP(D37,[2]Template!$A:$D,3,0)</f>
        <v>LAPP</v>
      </c>
      <c r="R37" t="str">
        <f>VLOOKUP(D37,[2]Template!$A:$D,4,0)</f>
        <v>Lapp-Against Customer PO</v>
      </c>
    </row>
    <row r="38" spans="1:18" ht="13.5" customHeight="1" x14ac:dyDescent="0.25">
      <c r="A38" s="9">
        <v>45976</v>
      </c>
      <c r="B38" s="10" t="s">
        <v>157</v>
      </c>
      <c r="C38" s="11" t="s">
        <v>139</v>
      </c>
      <c r="D38" s="10" t="s">
        <v>383</v>
      </c>
      <c r="E38" s="12" t="s">
        <v>1072</v>
      </c>
      <c r="F38" s="12" t="s">
        <v>171</v>
      </c>
      <c r="G38" s="13">
        <v>1000</v>
      </c>
      <c r="H38" s="14">
        <v>1000</v>
      </c>
      <c r="I38" s="15">
        <v>134.74</v>
      </c>
      <c r="J38" s="16"/>
      <c r="K38" s="17">
        <v>134740</v>
      </c>
      <c r="L38" s="18">
        <v>46011</v>
      </c>
      <c r="M38" s="6" t="str">
        <f t="shared" si="0"/>
        <v>Due order</v>
      </c>
      <c r="N38" s="8">
        <f t="shared" ca="1" si="1"/>
        <v>-144</v>
      </c>
      <c r="O38" s="8" t="str">
        <f t="shared" ca="1" si="2"/>
        <v>More than 90 day old</v>
      </c>
      <c r="P38" t="str">
        <f>VLOOKUP(C38,[1]Customer_Master!$A:$B,2,0)</f>
        <v>Group 1-Giridhar-Peenya</v>
      </c>
      <c r="Q38" t="str">
        <f>VLOOKUP(D38,[2]Template!$A:$D,3,0)</f>
        <v>LAPP</v>
      </c>
      <c r="R38" t="str">
        <f>VLOOKUP(D38,[2]Template!$A:$D,4,0)</f>
        <v>Lapp-Against Customer PO</v>
      </c>
    </row>
    <row r="39" spans="1:18" ht="13.5" customHeight="1" x14ac:dyDescent="0.25">
      <c r="A39" s="9">
        <v>45976</v>
      </c>
      <c r="B39" s="10" t="s">
        <v>157</v>
      </c>
      <c r="C39" s="11" t="s">
        <v>139</v>
      </c>
      <c r="D39" s="10" t="s">
        <v>384</v>
      </c>
      <c r="E39" s="12" t="s">
        <v>1072</v>
      </c>
      <c r="F39" s="12" t="s">
        <v>172</v>
      </c>
      <c r="G39" s="13">
        <v>300</v>
      </c>
      <c r="H39" s="14">
        <v>300</v>
      </c>
      <c r="I39" s="15">
        <v>112.1</v>
      </c>
      <c r="J39" s="16"/>
      <c r="K39" s="17">
        <v>33630</v>
      </c>
      <c r="L39" s="18">
        <v>46011</v>
      </c>
      <c r="M39" s="6" t="str">
        <f t="shared" si="0"/>
        <v>Due order</v>
      </c>
      <c r="N39" s="8">
        <f t="shared" ca="1" si="1"/>
        <v>-144</v>
      </c>
      <c r="O39" s="8" t="str">
        <f t="shared" ca="1" si="2"/>
        <v>More than 90 day old</v>
      </c>
      <c r="P39" t="str">
        <f>VLOOKUP(C39,[1]Customer_Master!$A:$B,2,0)</f>
        <v>Group 1-Giridhar-Peenya</v>
      </c>
      <c r="Q39" t="str">
        <f>VLOOKUP(D39,[2]Template!$A:$D,3,0)</f>
        <v>LAPP</v>
      </c>
      <c r="R39" t="str">
        <f>VLOOKUP(D39,[2]Template!$A:$D,4,0)</f>
        <v>Lapp-Against Customer PO</v>
      </c>
    </row>
    <row r="40" spans="1:18" ht="13.5" customHeight="1" x14ac:dyDescent="0.25">
      <c r="A40" s="9">
        <v>45976</v>
      </c>
      <c r="B40" s="10" t="s">
        <v>157</v>
      </c>
      <c r="C40" s="11" t="s">
        <v>139</v>
      </c>
      <c r="D40" s="10" t="s">
        <v>385</v>
      </c>
      <c r="E40" s="12" t="s">
        <v>1072</v>
      </c>
      <c r="F40" s="12" t="s">
        <v>173</v>
      </c>
      <c r="G40" s="13">
        <v>3000</v>
      </c>
      <c r="H40" s="14">
        <v>3000</v>
      </c>
      <c r="I40" s="15">
        <v>76.209999999999994</v>
      </c>
      <c r="J40" s="16"/>
      <c r="K40" s="17">
        <v>228630</v>
      </c>
      <c r="L40" s="18">
        <v>46011</v>
      </c>
      <c r="M40" s="6" t="str">
        <f t="shared" si="0"/>
        <v>Due order</v>
      </c>
      <c r="N40" s="8">
        <f t="shared" ca="1" si="1"/>
        <v>-144</v>
      </c>
      <c r="O40" s="8" t="str">
        <f t="shared" ca="1" si="2"/>
        <v>More than 90 day old</v>
      </c>
      <c r="P40" t="str">
        <f>VLOOKUP(C40,[1]Customer_Master!$A:$B,2,0)</f>
        <v>Group 1-Giridhar-Peenya</v>
      </c>
      <c r="Q40" t="str">
        <f>VLOOKUP(D40,[2]Template!$A:$D,3,0)</f>
        <v>LAPP</v>
      </c>
      <c r="R40" t="str">
        <f>VLOOKUP(D40,[2]Template!$A:$D,4,0)</f>
        <v>Lapp-Against Customer PO</v>
      </c>
    </row>
    <row r="41" spans="1:18" ht="13.5" customHeight="1" x14ac:dyDescent="0.25">
      <c r="A41" s="9">
        <v>45976</v>
      </c>
      <c r="B41" s="10" t="s">
        <v>174</v>
      </c>
      <c r="C41" s="11" t="s">
        <v>139</v>
      </c>
      <c r="D41" s="10" t="s">
        <v>371</v>
      </c>
      <c r="E41" s="12" t="s">
        <v>1072</v>
      </c>
      <c r="F41" s="12" t="s">
        <v>159</v>
      </c>
      <c r="G41" s="13">
        <v>2500</v>
      </c>
      <c r="H41" s="14">
        <v>2500</v>
      </c>
      <c r="I41" s="15">
        <v>115.15</v>
      </c>
      <c r="J41" s="16"/>
      <c r="K41" s="17">
        <v>287875</v>
      </c>
      <c r="L41" s="18">
        <v>46021</v>
      </c>
      <c r="M41" s="6" t="str">
        <f t="shared" si="0"/>
        <v>Due order</v>
      </c>
      <c r="N41" s="8">
        <f t="shared" ca="1" si="1"/>
        <v>-134</v>
      </c>
      <c r="O41" s="8" t="str">
        <f t="shared" ca="1" si="2"/>
        <v>More than 90 day old</v>
      </c>
      <c r="P41" t="str">
        <f>VLOOKUP(C41,[1]Customer_Master!$A:$B,2,0)</f>
        <v>Group 1-Giridhar-Peenya</v>
      </c>
      <c r="Q41" t="str">
        <f>VLOOKUP(D41,[2]Template!$A:$D,3,0)</f>
        <v>LAPP</v>
      </c>
      <c r="R41" t="str">
        <f>VLOOKUP(D41,[2]Template!$A:$D,4,0)</f>
        <v>Lapp-Against Customer PO</v>
      </c>
    </row>
    <row r="42" spans="1:18" ht="13.5" customHeight="1" x14ac:dyDescent="0.25">
      <c r="A42" s="9">
        <v>45980</v>
      </c>
      <c r="B42" s="10" t="s">
        <v>177</v>
      </c>
      <c r="C42" s="11" t="s">
        <v>62</v>
      </c>
      <c r="D42" s="27" t="s">
        <v>387</v>
      </c>
      <c r="E42" s="12" t="s">
        <v>1072</v>
      </c>
      <c r="F42" s="26" t="s">
        <v>152</v>
      </c>
      <c r="G42" s="13">
        <v>1200</v>
      </c>
      <c r="H42" s="14">
        <v>500</v>
      </c>
      <c r="I42" s="15">
        <v>130</v>
      </c>
      <c r="J42" s="16"/>
      <c r="K42" s="17">
        <v>65000</v>
      </c>
      <c r="L42" s="18">
        <v>46053</v>
      </c>
      <c r="M42" s="6" t="str">
        <f t="shared" si="0"/>
        <v>Due order</v>
      </c>
      <c r="N42" s="8">
        <f t="shared" ca="1" si="1"/>
        <v>-102</v>
      </c>
      <c r="O42" s="8" t="str">
        <f t="shared" ca="1" si="2"/>
        <v>More than 90 day old</v>
      </c>
      <c r="P42" t="str">
        <f>VLOOKUP(C42,[1]Customer_Master!$A:$B,2,0)</f>
        <v>Group 1-Giridhar-Peenya</v>
      </c>
      <c r="Q42" t="str">
        <f>VLOOKUP(D42,[2]Template!$A:$D,3,0)</f>
        <v>LAPP</v>
      </c>
      <c r="R42" t="str">
        <f>VLOOKUP(D42,[2]Template!$A:$D,4,0)</f>
        <v>Lapp-TD Power</v>
      </c>
    </row>
    <row r="43" spans="1:18" ht="13.5" customHeight="1" x14ac:dyDescent="0.25">
      <c r="A43" s="9">
        <v>45985</v>
      </c>
      <c r="B43" s="10" t="s">
        <v>185</v>
      </c>
      <c r="C43" s="11" t="s">
        <v>31</v>
      </c>
      <c r="D43" s="27" t="s">
        <v>320</v>
      </c>
      <c r="E43" s="12" t="s">
        <v>1072</v>
      </c>
      <c r="F43" s="26" t="s">
        <v>73</v>
      </c>
      <c r="G43" s="13">
        <v>1400</v>
      </c>
      <c r="H43" s="14">
        <v>200</v>
      </c>
      <c r="I43" s="15">
        <v>79.099999999999994</v>
      </c>
      <c r="J43" s="16"/>
      <c r="K43" s="17">
        <v>15820</v>
      </c>
      <c r="L43" s="18">
        <v>46112</v>
      </c>
      <c r="M43" s="6" t="str">
        <f t="shared" si="0"/>
        <v>Due order</v>
      </c>
      <c r="N43" s="8">
        <f t="shared" ca="1" si="1"/>
        <v>-43</v>
      </c>
      <c r="O43" s="8" t="str">
        <f t="shared" ca="1" si="2"/>
        <v>With in 90 days</v>
      </c>
      <c r="P43" t="str">
        <f>VLOOKUP(C43,[1]Customer_Master!$A:$B,2,0)</f>
        <v>Group 1-Giridhar-Peenya</v>
      </c>
      <c r="Q43" t="str">
        <f>VLOOKUP(D43,[2]Template!$A:$D,3,0)</f>
        <v>LAPP</v>
      </c>
      <c r="R43" t="str">
        <f>VLOOKUP(D43,[2]Template!$A:$D,4,0)</f>
        <v>Lapp-TD Power</v>
      </c>
    </row>
    <row r="44" spans="1:18" ht="13.5" customHeight="1" x14ac:dyDescent="0.25">
      <c r="A44" s="9">
        <v>45985</v>
      </c>
      <c r="B44" s="10" t="s">
        <v>185</v>
      </c>
      <c r="C44" s="11" t="s">
        <v>31</v>
      </c>
      <c r="D44" s="27" t="s">
        <v>387</v>
      </c>
      <c r="E44" s="12" t="s">
        <v>1072</v>
      </c>
      <c r="F44" s="26" t="s">
        <v>152</v>
      </c>
      <c r="G44" s="13">
        <v>100</v>
      </c>
      <c r="H44" s="14">
        <v>100</v>
      </c>
      <c r="I44" s="15">
        <v>130</v>
      </c>
      <c r="J44" s="16"/>
      <c r="K44" s="17">
        <v>13000</v>
      </c>
      <c r="L44" s="18">
        <v>46112</v>
      </c>
      <c r="M44" s="6" t="str">
        <f t="shared" si="0"/>
        <v>Due order</v>
      </c>
      <c r="N44" s="8">
        <f t="shared" ca="1" si="1"/>
        <v>-43</v>
      </c>
      <c r="O44" s="8" t="str">
        <f t="shared" ca="1" si="2"/>
        <v>With in 90 days</v>
      </c>
      <c r="P44" t="str">
        <f>VLOOKUP(C44,[1]Customer_Master!$A:$B,2,0)</f>
        <v>Group 1-Giridhar-Peenya</v>
      </c>
      <c r="Q44" t="str">
        <f>VLOOKUP(D44,[2]Template!$A:$D,3,0)</f>
        <v>LAPP</v>
      </c>
      <c r="R44" t="str">
        <f>VLOOKUP(D44,[2]Template!$A:$D,4,0)</f>
        <v>Lapp-TD Power</v>
      </c>
    </row>
    <row r="45" spans="1:18" ht="13.5" customHeight="1" x14ac:dyDescent="0.25">
      <c r="A45" s="9">
        <v>45987</v>
      </c>
      <c r="B45" s="10" t="s">
        <v>188</v>
      </c>
      <c r="C45" s="11" t="s">
        <v>13</v>
      </c>
      <c r="D45" s="27" t="s">
        <v>395</v>
      </c>
      <c r="E45" s="26" t="s">
        <v>189</v>
      </c>
      <c r="F45" s="12" t="s">
        <v>190</v>
      </c>
      <c r="G45" s="19">
        <v>60</v>
      </c>
      <c r="H45" s="20">
        <v>30</v>
      </c>
      <c r="I45" s="15">
        <v>3502</v>
      </c>
      <c r="J45" s="16"/>
      <c r="K45" s="17">
        <v>105060</v>
      </c>
      <c r="L45" s="18">
        <v>46092</v>
      </c>
      <c r="M45" s="6" t="str">
        <f t="shared" si="0"/>
        <v>Due order</v>
      </c>
      <c r="N45" s="8">
        <f t="shared" ca="1" si="1"/>
        <v>-63</v>
      </c>
      <c r="O45" s="8" t="str">
        <f t="shared" ca="1" si="2"/>
        <v>With in 90 days</v>
      </c>
      <c r="P45" t="str">
        <f>VLOOKUP(C45,[1]Customer_Master!$A:$B,2,0)</f>
        <v>Group-2 (Veeresh- Bomsdr+Hosur)</v>
      </c>
      <c r="Q45" t="str">
        <f>VLOOKUP(D45,[2]Template!$A:$D,3,0)</f>
        <v>EATON</v>
      </c>
      <c r="R45" t="str">
        <f>VLOOKUP(D45,[2]Template!$A:$D,4,0)</f>
        <v>Eaton-Faiveley-Non E70</v>
      </c>
    </row>
    <row r="46" spans="1:18" ht="13.5" customHeight="1" x14ac:dyDescent="0.25">
      <c r="A46" s="9">
        <v>45987</v>
      </c>
      <c r="B46" s="10" t="s">
        <v>191</v>
      </c>
      <c r="C46" s="11" t="s">
        <v>13</v>
      </c>
      <c r="D46" s="10" t="s">
        <v>396</v>
      </c>
      <c r="E46" s="12" t="s">
        <v>192</v>
      </c>
      <c r="F46" s="12" t="s">
        <v>193</v>
      </c>
      <c r="G46" s="19">
        <v>75</v>
      </c>
      <c r="H46" s="20">
        <v>43</v>
      </c>
      <c r="I46" s="15">
        <v>2803</v>
      </c>
      <c r="J46" s="16"/>
      <c r="K46" s="17">
        <v>120529</v>
      </c>
      <c r="L46" s="18">
        <v>46104</v>
      </c>
      <c r="M46" s="6" t="str">
        <f t="shared" si="0"/>
        <v>Due order</v>
      </c>
      <c r="N46" s="8">
        <f t="shared" ca="1" si="1"/>
        <v>-51</v>
      </c>
      <c r="O46" s="8" t="str">
        <f t="shared" ca="1" si="2"/>
        <v>With in 90 days</v>
      </c>
      <c r="P46" t="str">
        <f>VLOOKUP(C46,[1]Customer_Master!$A:$B,2,0)</f>
        <v>Group-2 (Veeresh- Bomsdr+Hosur)</v>
      </c>
      <c r="Q46" t="str">
        <f>VLOOKUP(D46,[2]Template!$A:$D,3,0)</f>
        <v>EATON</v>
      </c>
      <c r="R46" t="str">
        <f>VLOOKUP(D46,[2]Template!$A:$D,4,0)</f>
        <v>Eaton-Faiveley-Non E70</v>
      </c>
    </row>
    <row r="47" spans="1:18" ht="13.5" customHeight="1" x14ac:dyDescent="0.25">
      <c r="A47" s="9">
        <v>45992</v>
      </c>
      <c r="B47" s="10" t="s">
        <v>199</v>
      </c>
      <c r="C47" s="11" t="s">
        <v>13</v>
      </c>
      <c r="D47" s="10" t="s">
        <v>386</v>
      </c>
      <c r="E47" s="26" t="s">
        <v>175</v>
      </c>
      <c r="F47" s="12" t="s">
        <v>176</v>
      </c>
      <c r="G47" s="19">
        <v>20</v>
      </c>
      <c r="H47" s="20">
        <v>13</v>
      </c>
      <c r="I47" s="15">
        <v>9023</v>
      </c>
      <c r="J47" s="16"/>
      <c r="K47" s="17">
        <v>117299</v>
      </c>
      <c r="L47" s="18">
        <v>46160</v>
      </c>
      <c r="M47" s="6" t="str">
        <f t="shared" si="0"/>
        <v>Schedule order</v>
      </c>
      <c r="N47" s="8">
        <f t="shared" ca="1" si="1"/>
        <v>5</v>
      </c>
      <c r="O47" s="8" t="str">
        <f t="shared" ca="1" si="2"/>
        <v>Lattest or shedule order</v>
      </c>
      <c r="P47" t="str">
        <f>VLOOKUP(C47,[1]Customer_Master!$A:$B,2,0)</f>
        <v>Group-2 (Veeresh- Bomsdr+Hosur)</v>
      </c>
      <c r="Q47" t="str">
        <f>VLOOKUP(D47,[2]Template!$A:$D,3,0)</f>
        <v>EATON</v>
      </c>
      <c r="R47" t="str">
        <f>VLOOKUP(D47,[2]Template!$A:$D,4,0)</f>
        <v>Eaton-Faiveley-Non E70</v>
      </c>
    </row>
    <row r="48" spans="1:18" ht="13.5" customHeight="1" x14ac:dyDescent="0.25">
      <c r="A48" s="9">
        <v>45992</v>
      </c>
      <c r="B48" s="10" t="s">
        <v>200</v>
      </c>
      <c r="C48" s="11" t="s">
        <v>13</v>
      </c>
      <c r="D48" s="10" t="s">
        <v>303</v>
      </c>
      <c r="E48" s="26" t="s">
        <v>36</v>
      </c>
      <c r="F48" s="12" t="s">
        <v>37</v>
      </c>
      <c r="G48" s="19">
        <v>200</v>
      </c>
      <c r="H48" s="20">
        <v>200</v>
      </c>
      <c r="I48" s="15">
        <v>2803</v>
      </c>
      <c r="J48" s="16"/>
      <c r="K48" s="17">
        <v>560600</v>
      </c>
      <c r="L48" s="18">
        <v>46083</v>
      </c>
      <c r="M48" s="6" t="str">
        <f t="shared" si="0"/>
        <v>Due order</v>
      </c>
      <c r="N48" s="8">
        <f t="shared" ca="1" si="1"/>
        <v>-72</v>
      </c>
      <c r="O48" s="8" t="str">
        <f t="shared" ca="1" si="2"/>
        <v>With in 90 days</v>
      </c>
      <c r="P48" t="str">
        <f>VLOOKUP(C48,[1]Customer_Master!$A:$B,2,0)</f>
        <v>Group-2 (Veeresh- Bomsdr+Hosur)</v>
      </c>
      <c r="Q48" t="str">
        <f>VLOOKUP(D48,[2]Template!$A:$D,3,0)</f>
        <v>EATON</v>
      </c>
      <c r="R48" t="str">
        <f>VLOOKUP(D48,[2]Template!$A:$D,4,0)</f>
        <v>Eaton-Faiveley-E70</v>
      </c>
    </row>
    <row r="49" spans="1:18" ht="13.5" customHeight="1" x14ac:dyDescent="0.25">
      <c r="A49" s="9">
        <v>45992</v>
      </c>
      <c r="B49" s="10" t="s">
        <v>201</v>
      </c>
      <c r="C49" s="11" t="s">
        <v>13</v>
      </c>
      <c r="D49" s="10" t="s">
        <v>307</v>
      </c>
      <c r="E49" s="26" t="s">
        <v>44</v>
      </c>
      <c r="F49" s="12" t="s">
        <v>45</v>
      </c>
      <c r="G49" s="19">
        <v>300</v>
      </c>
      <c r="H49" s="20">
        <v>157</v>
      </c>
      <c r="I49" s="15">
        <v>2803</v>
      </c>
      <c r="J49" s="16"/>
      <c r="K49" s="17">
        <v>440071</v>
      </c>
      <c r="L49" s="18">
        <v>46083</v>
      </c>
      <c r="M49" s="6" t="str">
        <f t="shared" si="0"/>
        <v>Due order</v>
      </c>
      <c r="N49" s="8">
        <f t="shared" ca="1" si="1"/>
        <v>-72</v>
      </c>
      <c r="O49" s="8" t="str">
        <f t="shared" ca="1" si="2"/>
        <v>With in 90 days</v>
      </c>
      <c r="P49" t="str">
        <f>VLOOKUP(C49,[1]Customer_Master!$A:$B,2,0)</f>
        <v>Group-2 (Veeresh- Bomsdr+Hosur)</v>
      </c>
      <c r="Q49" t="str">
        <f>VLOOKUP(D49,[2]Template!$A:$D,3,0)</f>
        <v>EATON</v>
      </c>
      <c r="R49" t="str">
        <f>VLOOKUP(D49,[2]Template!$A:$D,4,0)</f>
        <v>Eaton-Faiveley-E70</v>
      </c>
    </row>
    <row r="50" spans="1:18" ht="13.5" customHeight="1" x14ac:dyDescent="0.25">
      <c r="A50" s="9">
        <v>45992</v>
      </c>
      <c r="B50" s="10" t="s">
        <v>201</v>
      </c>
      <c r="C50" s="11" t="s">
        <v>13</v>
      </c>
      <c r="D50" s="10" t="s">
        <v>305</v>
      </c>
      <c r="E50" s="26" t="s">
        <v>40</v>
      </c>
      <c r="F50" s="12" t="s">
        <v>41</v>
      </c>
      <c r="G50" s="19">
        <v>200</v>
      </c>
      <c r="H50" s="20">
        <v>120</v>
      </c>
      <c r="I50" s="15">
        <v>2803</v>
      </c>
      <c r="J50" s="16"/>
      <c r="K50" s="17">
        <v>336360</v>
      </c>
      <c r="L50" s="18">
        <v>46083</v>
      </c>
      <c r="M50" s="6" t="str">
        <f t="shared" si="0"/>
        <v>Due order</v>
      </c>
      <c r="N50" s="8">
        <f t="shared" ca="1" si="1"/>
        <v>-72</v>
      </c>
      <c r="O50" s="8" t="str">
        <f t="shared" ca="1" si="2"/>
        <v>With in 90 days</v>
      </c>
      <c r="P50" t="str">
        <f>VLOOKUP(C50,[1]Customer_Master!$A:$B,2,0)</f>
        <v>Group-2 (Veeresh- Bomsdr+Hosur)</v>
      </c>
      <c r="Q50" t="str">
        <f>VLOOKUP(D50,[2]Template!$A:$D,3,0)</f>
        <v>EATON</v>
      </c>
      <c r="R50" t="str">
        <f>VLOOKUP(D50,[2]Template!$A:$D,4,0)</f>
        <v>Eaton-Faiveley-E70</v>
      </c>
    </row>
    <row r="51" spans="1:18" ht="13.5" customHeight="1" x14ac:dyDescent="0.25">
      <c r="A51" s="9">
        <v>45996</v>
      </c>
      <c r="B51" s="10" t="s">
        <v>204</v>
      </c>
      <c r="C51" s="11" t="s">
        <v>62</v>
      </c>
      <c r="D51" s="27" t="s">
        <v>401</v>
      </c>
      <c r="E51" s="12" t="s">
        <v>1072</v>
      </c>
      <c r="F51" s="12" t="s">
        <v>205</v>
      </c>
      <c r="G51" s="13">
        <v>1800</v>
      </c>
      <c r="H51" s="14">
        <v>300</v>
      </c>
      <c r="I51" s="15">
        <v>420</v>
      </c>
      <c r="J51" s="16"/>
      <c r="K51" s="17">
        <v>126000</v>
      </c>
      <c r="L51" s="18">
        <v>46023</v>
      </c>
      <c r="M51" s="6" t="str">
        <f t="shared" si="0"/>
        <v>Due order</v>
      </c>
      <c r="N51" s="8">
        <f t="shared" ca="1" si="1"/>
        <v>-132</v>
      </c>
      <c r="O51" s="8" t="str">
        <f t="shared" ca="1" si="2"/>
        <v>More than 90 day old</v>
      </c>
      <c r="P51" t="str">
        <f>VLOOKUP(C51,[1]Customer_Master!$A:$B,2,0)</f>
        <v>Group 1-Giridhar-Peenya</v>
      </c>
      <c r="Q51" t="str">
        <f>VLOOKUP(D51,[2]Template!$A:$D,3,0)</f>
        <v>LAPP</v>
      </c>
      <c r="R51" t="str">
        <f>VLOOKUP(D51,[2]Template!$A:$D,4,0)</f>
        <v>Lapp-TD Power</v>
      </c>
    </row>
    <row r="52" spans="1:18" ht="13.5" customHeight="1" x14ac:dyDescent="0.25">
      <c r="A52" s="9">
        <v>45996</v>
      </c>
      <c r="B52" s="10" t="s">
        <v>204</v>
      </c>
      <c r="C52" s="11" t="s">
        <v>62</v>
      </c>
      <c r="D52" s="27" t="s">
        <v>402</v>
      </c>
      <c r="E52" s="12" t="s">
        <v>1072</v>
      </c>
      <c r="F52" s="26" t="s">
        <v>132</v>
      </c>
      <c r="G52" s="13">
        <v>6000</v>
      </c>
      <c r="H52" s="14">
        <v>3100</v>
      </c>
      <c r="I52" s="15">
        <v>115.15</v>
      </c>
      <c r="J52" s="16"/>
      <c r="K52" s="17">
        <v>356965</v>
      </c>
      <c r="L52" s="18">
        <v>46113</v>
      </c>
      <c r="M52" s="6" t="str">
        <f t="shared" si="0"/>
        <v>Due order</v>
      </c>
      <c r="N52" s="8">
        <f t="shared" ca="1" si="1"/>
        <v>-42</v>
      </c>
      <c r="O52" s="8" t="str">
        <f t="shared" ca="1" si="2"/>
        <v>With in 90 days</v>
      </c>
      <c r="P52" t="str">
        <f>VLOOKUP(C52,[1]Customer_Master!$A:$B,2,0)</f>
        <v>Group 1-Giridhar-Peenya</v>
      </c>
      <c r="Q52" t="str">
        <f>VLOOKUP(D52,[2]Template!$A:$D,3,0)</f>
        <v>LAPP</v>
      </c>
      <c r="R52" t="str">
        <f>VLOOKUP(D52,[2]Template!$A:$D,4,0)</f>
        <v>Lapp-TD Power</v>
      </c>
    </row>
    <row r="53" spans="1:18" ht="13.5" customHeight="1" x14ac:dyDescent="0.25">
      <c r="A53" s="9">
        <v>45996</v>
      </c>
      <c r="B53" s="10" t="s">
        <v>204</v>
      </c>
      <c r="C53" s="11" t="s">
        <v>62</v>
      </c>
      <c r="D53" s="10" t="s">
        <v>388</v>
      </c>
      <c r="E53" s="12" t="s">
        <v>1072</v>
      </c>
      <c r="F53" s="12" t="s">
        <v>153</v>
      </c>
      <c r="G53" s="13">
        <v>1000</v>
      </c>
      <c r="H53" s="14">
        <v>1000</v>
      </c>
      <c r="I53" s="15">
        <v>2035.58</v>
      </c>
      <c r="J53" s="16"/>
      <c r="K53" s="17">
        <v>2035580</v>
      </c>
      <c r="L53" s="18">
        <v>46023</v>
      </c>
      <c r="M53" s="6" t="str">
        <f t="shared" si="0"/>
        <v>Due order</v>
      </c>
      <c r="N53" s="8">
        <f t="shared" ca="1" si="1"/>
        <v>-132</v>
      </c>
      <c r="O53" s="8" t="str">
        <f t="shared" ca="1" si="2"/>
        <v>More than 90 day old</v>
      </c>
      <c r="P53" t="str">
        <f>VLOOKUP(C53,[1]Customer_Master!$A:$B,2,0)</f>
        <v>Group 1-Giridhar-Peenya</v>
      </c>
      <c r="Q53" t="str">
        <f>VLOOKUP(D53,[2]Template!$A:$D,3,0)</f>
        <v>LAPP</v>
      </c>
      <c r="R53" t="str">
        <f>VLOOKUP(D53,[2]Template!$A:$D,4,0)</f>
        <v>Lapp-TD Power</v>
      </c>
    </row>
    <row r="54" spans="1:18" ht="13.5" customHeight="1" x14ac:dyDescent="0.25">
      <c r="A54" s="9">
        <v>45996</v>
      </c>
      <c r="B54" s="10" t="s">
        <v>204</v>
      </c>
      <c r="C54" s="11" t="s">
        <v>62</v>
      </c>
      <c r="D54" s="10" t="s">
        <v>388</v>
      </c>
      <c r="E54" s="12" t="s">
        <v>1072</v>
      </c>
      <c r="F54" s="12" t="s">
        <v>153</v>
      </c>
      <c r="G54" s="13">
        <v>800</v>
      </c>
      <c r="H54" s="14">
        <v>800</v>
      </c>
      <c r="I54" s="15">
        <v>2035.58</v>
      </c>
      <c r="J54" s="16"/>
      <c r="K54" s="17">
        <v>1628464</v>
      </c>
      <c r="L54" s="18">
        <v>46113</v>
      </c>
      <c r="M54" s="6" t="str">
        <f t="shared" si="0"/>
        <v>Due order</v>
      </c>
      <c r="N54" s="8">
        <f t="shared" ca="1" si="1"/>
        <v>-42</v>
      </c>
      <c r="O54" s="8" t="str">
        <f t="shared" ca="1" si="2"/>
        <v>With in 90 days</v>
      </c>
      <c r="P54" t="str">
        <f>VLOOKUP(C54,[1]Customer_Master!$A:$B,2,0)</f>
        <v>Group 1-Giridhar-Peenya</v>
      </c>
      <c r="Q54" t="str">
        <f>VLOOKUP(D54,[2]Template!$A:$D,3,0)</f>
        <v>LAPP</v>
      </c>
      <c r="R54" t="str">
        <f>VLOOKUP(D54,[2]Template!$A:$D,4,0)</f>
        <v>Lapp-TD Power</v>
      </c>
    </row>
    <row r="55" spans="1:18" ht="13.5" customHeight="1" x14ac:dyDescent="0.25">
      <c r="A55" s="9">
        <v>45996</v>
      </c>
      <c r="B55" s="10" t="s">
        <v>206</v>
      </c>
      <c r="C55" s="11" t="s">
        <v>62</v>
      </c>
      <c r="D55" s="10" t="s">
        <v>335</v>
      </c>
      <c r="E55" s="12" t="s">
        <v>1072</v>
      </c>
      <c r="F55" s="12" t="s">
        <v>122</v>
      </c>
      <c r="G55" s="13">
        <v>1500</v>
      </c>
      <c r="H55" s="14">
        <v>500</v>
      </c>
      <c r="I55" s="15">
        <v>34.450000000000003</v>
      </c>
      <c r="J55" s="16"/>
      <c r="K55" s="17">
        <v>17225</v>
      </c>
      <c r="L55" s="18">
        <v>46143</v>
      </c>
      <c r="M55" s="6" t="str">
        <f t="shared" si="0"/>
        <v>Schedule order</v>
      </c>
      <c r="N55" s="8">
        <f t="shared" ca="1" si="1"/>
        <v>-12</v>
      </c>
      <c r="O55" s="8" t="str">
        <f t="shared" ca="1" si="2"/>
        <v>With in 90 days</v>
      </c>
      <c r="P55" t="str">
        <f>VLOOKUP(C55,[1]Customer_Master!$A:$B,2,0)</f>
        <v>Group 1-Giridhar-Peenya</v>
      </c>
      <c r="Q55" t="str">
        <f>VLOOKUP(D55,[2]Template!$A:$D,3,0)</f>
        <v>LAPP</v>
      </c>
      <c r="R55" t="str">
        <f>VLOOKUP(D55,[2]Template!$A:$D,4,0)</f>
        <v>Lapp-Planned Stock General</v>
      </c>
    </row>
    <row r="56" spans="1:18" ht="13.5" customHeight="1" x14ac:dyDescent="0.25">
      <c r="A56" s="9">
        <v>45996</v>
      </c>
      <c r="B56" s="10" t="s">
        <v>206</v>
      </c>
      <c r="C56" s="11" t="s">
        <v>62</v>
      </c>
      <c r="D56" s="10" t="s">
        <v>334</v>
      </c>
      <c r="E56" s="12" t="s">
        <v>1072</v>
      </c>
      <c r="F56" s="12" t="s">
        <v>87</v>
      </c>
      <c r="G56" s="13">
        <v>1700</v>
      </c>
      <c r="H56" s="14">
        <v>1700</v>
      </c>
      <c r="I56" s="15">
        <v>34.450000000000003</v>
      </c>
      <c r="J56" s="16"/>
      <c r="K56" s="17">
        <v>58565</v>
      </c>
      <c r="L56" s="18">
        <v>46143</v>
      </c>
      <c r="M56" s="6" t="str">
        <f t="shared" si="0"/>
        <v>Schedule order</v>
      </c>
      <c r="N56" s="8">
        <f t="shared" ca="1" si="1"/>
        <v>-12</v>
      </c>
      <c r="O56" s="8" t="str">
        <f t="shared" ca="1" si="2"/>
        <v>With in 90 days</v>
      </c>
      <c r="P56" t="str">
        <f>VLOOKUP(C56,[1]Customer_Master!$A:$B,2,0)</f>
        <v>Group 1-Giridhar-Peenya</v>
      </c>
      <c r="Q56" t="str">
        <f>VLOOKUP(D56,[2]Template!$A:$D,3,0)</f>
        <v>LAPP</v>
      </c>
      <c r="R56" t="str">
        <f>VLOOKUP(D56,[2]Template!$A:$D,4,0)</f>
        <v>Lapp-Planned Stock General</v>
      </c>
    </row>
    <row r="57" spans="1:18" ht="13.5" customHeight="1" x14ac:dyDescent="0.25">
      <c r="A57" s="9">
        <v>45996</v>
      </c>
      <c r="B57" s="10" t="s">
        <v>206</v>
      </c>
      <c r="C57" s="11" t="s">
        <v>62</v>
      </c>
      <c r="D57" s="27" t="s">
        <v>348</v>
      </c>
      <c r="E57" s="12" t="s">
        <v>1072</v>
      </c>
      <c r="F57" s="26" t="s">
        <v>63</v>
      </c>
      <c r="G57" s="13">
        <v>200</v>
      </c>
      <c r="H57" s="14">
        <v>200</v>
      </c>
      <c r="I57" s="15">
        <v>201.91</v>
      </c>
      <c r="J57" s="16"/>
      <c r="K57" s="17">
        <v>40382</v>
      </c>
      <c r="L57" s="18">
        <v>46143</v>
      </c>
      <c r="M57" s="6" t="str">
        <f t="shared" si="0"/>
        <v>Schedule order</v>
      </c>
      <c r="N57" s="8">
        <f t="shared" ca="1" si="1"/>
        <v>-12</v>
      </c>
      <c r="O57" s="8" t="str">
        <f t="shared" ca="1" si="2"/>
        <v>With in 90 days</v>
      </c>
      <c r="P57" t="str">
        <f>VLOOKUP(C57,[1]Customer_Master!$A:$B,2,0)</f>
        <v>Group 1-Giridhar-Peenya</v>
      </c>
      <c r="Q57" t="str">
        <f>VLOOKUP(D57,[2]Template!$A:$D,3,0)</f>
        <v>LAPP</v>
      </c>
      <c r="R57" t="str">
        <f>VLOOKUP(D57,[2]Template!$A:$D,4,0)</f>
        <v>Lapp-TD Power</v>
      </c>
    </row>
    <row r="58" spans="1:18" ht="13.5" customHeight="1" x14ac:dyDescent="0.25">
      <c r="A58" s="9">
        <v>45996</v>
      </c>
      <c r="B58" s="10" t="s">
        <v>206</v>
      </c>
      <c r="C58" s="11" t="s">
        <v>62</v>
      </c>
      <c r="D58" s="10" t="s">
        <v>361</v>
      </c>
      <c r="E58" s="12" t="s">
        <v>1072</v>
      </c>
      <c r="F58" s="12" t="s">
        <v>69</v>
      </c>
      <c r="G58" s="13">
        <v>200</v>
      </c>
      <c r="H58" s="14">
        <v>200</v>
      </c>
      <c r="I58" s="15">
        <v>219</v>
      </c>
      <c r="J58" s="16"/>
      <c r="K58" s="17">
        <v>43800</v>
      </c>
      <c r="L58" s="18">
        <v>46143</v>
      </c>
      <c r="M58" s="6" t="str">
        <f t="shared" si="0"/>
        <v>Schedule order</v>
      </c>
      <c r="N58" s="8">
        <f t="shared" ca="1" si="1"/>
        <v>-12</v>
      </c>
      <c r="O58" s="8" t="str">
        <f t="shared" ca="1" si="2"/>
        <v>With in 90 days</v>
      </c>
      <c r="P58" t="str">
        <f>VLOOKUP(C58,[1]Customer_Master!$A:$B,2,0)</f>
        <v>Group 1-Giridhar-Peenya</v>
      </c>
      <c r="Q58" t="str">
        <f>VLOOKUP(D58,[2]Template!$A:$D,3,0)</f>
        <v>LAPP</v>
      </c>
      <c r="R58" t="str">
        <f>VLOOKUP(D58,[2]Template!$A:$D,4,0)</f>
        <v>Lapp-Ace Group</v>
      </c>
    </row>
    <row r="59" spans="1:18" ht="13.5" customHeight="1" x14ac:dyDescent="0.25">
      <c r="A59" s="9">
        <v>46000</v>
      </c>
      <c r="B59" s="10" t="s">
        <v>208</v>
      </c>
      <c r="C59" s="11" t="s">
        <v>13</v>
      </c>
      <c r="D59" s="27" t="s">
        <v>308</v>
      </c>
      <c r="E59" s="26" t="s">
        <v>46</v>
      </c>
      <c r="F59" s="26" t="s">
        <v>47</v>
      </c>
      <c r="G59" s="19">
        <v>283</v>
      </c>
      <c r="H59" s="20">
        <v>105</v>
      </c>
      <c r="I59" s="15">
        <v>3165</v>
      </c>
      <c r="J59" s="16"/>
      <c r="K59" s="17">
        <v>332325</v>
      </c>
      <c r="L59" s="18">
        <v>46185</v>
      </c>
      <c r="M59" s="6" t="str">
        <f t="shared" si="0"/>
        <v>Schedule order</v>
      </c>
      <c r="N59" s="8">
        <f t="shared" ca="1" si="1"/>
        <v>30</v>
      </c>
      <c r="O59" s="8" t="str">
        <f t="shared" ca="1" si="2"/>
        <v>Lattest or shedule order</v>
      </c>
      <c r="P59" t="str">
        <f>VLOOKUP(C59,[1]Customer_Master!$A:$B,2,0)</f>
        <v>Group-2 (Veeresh- Bomsdr+Hosur)</v>
      </c>
      <c r="Q59" t="str">
        <f>VLOOKUP(D59,[2]Template!$A:$D,3,0)</f>
        <v>EATON</v>
      </c>
      <c r="R59" t="str">
        <f>VLOOKUP(D59,[2]Template!$A:$D,4,0)</f>
        <v>Eaton-Faiveley-E70</v>
      </c>
    </row>
    <row r="60" spans="1:18" ht="13.5" customHeight="1" x14ac:dyDescent="0.25">
      <c r="A60" s="9">
        <v>46001</v>
      </c>
      <c r="B60" s="10" t="s">
        <v>210</v>
      </c>
      <c r="C60" s="11" t="s">
        <v>76</v>
      </c>
      <c r="D60" s="10" t="s">
        <v>1073</v>
      </c>
      <c r="E60" s="12" t="s">
        <v>1072</v>
      </c>
      <c r="F60" s="12" t="s">
        <v>1074</v>
      </c>
      <c r="G60" s="19">
        <v>45</v>
      </c>
      <c r="H60" s="20">
        <v>6</v>
      </c>
      <c r="I60" s="15">
        <v>187</v>
      </c>
      <c r="J60" s="16"/>
      <c r="K60" s="17">
        <v>1122</v>
      </c>
      <c r="L60" s="18">
        <v>46147</v>
      </c>
      <c r="M60" s="6" t="str">
        <f t="shared" si="0"/>
        <v>Schedule order</v>
      </c>
      <c r="N60" s="8">
        <f t="shared" ca="1" si="1"/>
        <v>-8</v>
      </c>
      <c r="O60" s="8" t="str">
        <f t="shared" ca="1" si="2"/>
        <v>With in 90 days</v>
      </c>
      <c r="P60" t="str">
        <f>VLOOKUP(C60,[1]Customer_Master!$A:$B,2,0)</f>
        <v>Group 1-Giridhar-Peenya</v>
      </c>
      <c r="Q60" t="str">
        <f>VLOOKUP(D60,[2]Template!$A:$D,3,0)</f>
        <v>EATON</v>
      </c>
      <c r="R60" t="str">
        <f>VLOOKUP(D60,[2]Template!$A:$D,4,0)</f>
        <v>Eaton-Biesse</v>
      </c>
    </row>
    <row r="61" spans="1:18" ht="13.5" customHeight="1" x14ac:dyDescent="0.25">
      <c r="A61" s="9">
        <v>46006</v>
      </c>
      <c r="B61" s="10" t="s">
        <v>211</v>
      </c>
      <c r="C61" s="11" t="s">
        <v>13</v>
      </c>
      <c r="D61" s="10" t="s">
        <v>309</v>
      </c>
      <c r="E61" s="26" t="s">
        <v>49</v>
      </c>
      <c r="F61" s="12" t="s">
        <v>50</v>
      </c>
      <c r="G61" s="19">
        <v>600</v>
      </c>
      <c r="H61" s="20">
        <v>506</v>
      </c>
      <c r="I61" s="15">
        <v>2803</v>
      </c>
      <c r="J61" s="16"/>
      <c r="K61" s="17">
        <v>1418318</v>
      </c>
      <c r="L61" s="18">
        <v>46174</v>
      </c>
      <c r="M61" s="6" t="str">
        <f t="shared" si="0"/>
        <v>Schedule order</v>
      </c>
      <c r="N61" s="8">
        <f t="shared" ca="1" si="1"/>
        <v>19</v>
      </c>
      <c r="O61" s="8" t="str">
        <f t="shared" ca="1" si="2"/>
        <v>Lattest or shedule order</v>
      </c>
      <c r="P61" t="str">
        <f>VLOOKUP(C61,[1]Customer_Master!$A:$B,2,0)</f>
        <v>Group-2 (Veeresh- Bomsdr+Hosur)</v>
      </c>
      <c r="Q61" t="str">
        <f>VLOOKUP(D61,[2]Template!$A:$D,3,0)</f>
        <v>EATON</v>
      </c>
      <c r="R61" t="str">
        <f>VLOOKUP(D61,[2]Template!$A:$D,4,0)</f>
        <v>Eaton-Faiveley-E70</v>
      </c>
    </row>
    <row r="62" spans="1:18" ht="13.5" customHeight="1" x14ac:dyDescent="0.25">
      <c r="A62" s="9">
        <v>46006</v>
      </c>
      <c r="B62" s="10" t="s">
        <v>212</v>
      </c>
      <c r="C62" s="11" t="s">
        <v>13</v>
      </c>
      <c r="D62" s="10" t="s">
        <v>310</v>
      </c>
      <c r="E62" s="26" t="s">
        <v>51</v>
      </c>
      <c r="F62" s="12" t="s">
        <v>52</v>
      </c>
      <c r="G62" s="19">
        <v>900</v>
      </c>
      <c r="H62" s="20">
        <v>622</v>
      </c>
      <c r="I62" s="15">
        <v>2803</v>
      </c>
      <c r="J62" s="16"/>
      <c r="K62" s="17">
        <v>1743466</v>
      </c>
      <c r="L62" s="18">
        <v>46174</v>
      </c>
      <c r="M62" s="6" t="str">
        <f t="shared" si="0"/>
        <v>Schedule order</v>
      </c>
      <c r="N62" s="8">
        <f t="shared" ca="1" si="1"/>
        <v>19</v>
      </c>
      <c r="O62" s="8" t="str">
        <f t="shared" ca="1" si="2"/>
        <v>Lattest or shedule order</v>
      </c>
      <c r="P62" t="str">
        <f>VLOOKUP(C62,[1]Customer_Master!$A:$B,2,0)</f>
        <v>Group-2 (Veeresh- Bomsdr+Hosur)</v>
      </c>
      <c r="Q62" t="str">
        <f>VLOOKUP(D62,[2]Template!$A:$D,3,0)</f>
        <v>EATON</v>
      </c>
      <c r="R62" t="str">
        <f>VLOOKUP(D62,[2]Template!$A:$D,4,0)</f>
        <v>Eaton-Faiveley-E70</v>
      </c>
    </row>
    <row r="63" spans="1:18" ht="13.5" customHeight="1" x14ac:dyDescent="0.25">
      <c r="A63" s="9">
        <v>46006</v>
      </c>
      <c r="B63" s="10" t="s">
        <v>213</v>
      </c>
      <c r="C63" s="11" t="s">
        <v>13</v>
      </c>
      <c r="D63" s="10" t="s">
        <v>303</v>
      </c>
      <c r="E63" s="26" t="s">
        <v>36</v>
      </c>
      <c r="F63" s="12" t="s">
        <v>37</v>
      </c>
      <c r="G63" s="19">
        <v>350</v>
      </c>
      <c r="H63" s="20">
        <v>350</v>
      </c>
      <c r="I63" s="15">
        <v>2803</v>
      </c>
      <c r="J63" s="16"/>
      <c r="K63" s="17">
        <v>981050</v>
      </c>
      <c r="L63" s="18">
        <v>46174</v>
      </c>
      <c r="M63" s="6" t="str">
        <f t="shared" si="0"/>
        <v>Schedule order</v>
      </c>
      <c r="N63" s="8">
        <f t="shared" ca="1" si="1"/>
        <v>19</v>
      </c>
      <c r="O63" s="8" t="str">
        <f t="shared" ca="1" si="2"/>
        <v>Lattest or shedule order</v>
      </c>
      <c r="P63" t="str">
        <f>VLOOKUP(C63,[1]Customer_Master!$A:$B,2,0)</f>
        <v>Group-2 (Veeresh- Bomsdr+Hosur)</v>
      </c>
      <c r="Q63" t="str">
        <f>VLOOKUP(D63,[2]Template!$A:$D,3,0)</f>
        <v>EATON</v>
      </c>
      <c r="R63" t="str">
        <f>VLOOKUP(D63,[2]Template!$A:$D,4,0)</f>
        <v>Eaton-Faiveley-E70</v>
      </c>
    </row>
    <row r="64" spans="1:18" ht="13.5" customHeight="1" x14ac:dyDescent="0.25">
      <c r="A64" s="9">
        <v>46006</v>
      </c>
      <c r="B64" s="10" t="s">
        <v>213</v>
      </c>
      <c r="C64" s="11" t="s">
        <v>13</v>
      </c>
      <c r="D64" s="10" t="s">
        <v>302</v>
      </c>
      <c r="E64" s="26" t="s">
        <v>29</v>
      </c>
      <c r="F64" s="12" t="s">
        <v>30</v>
      </c>
      <c r="G64" s="19">
        <v>437</v>
      </c>
      <c r="H64" s="20">
        <v>437</v>
      </c>
      <c r="I64" s="15">
        <v>2803</v>
      </c>
      <c r="J64" s="16"/>
      <c r="K64" s="17">
        <v>1224911</v>
      </c>
      <c r="L64" s="18">
        <v>46006</v>
      </c>
      <c r="M64" s="6" t="str">
        <f t="shared" si="0"/>
        <v>Due order</v>
      </c>
      <c r="N64" s="8">
        <f t="shared" ca="1" si="1"/>
        <v>-149</v>
      </c>
      <c r="O64" s="8" t="str">
        <f t="shared" ca="1" si="2"/>
        <v>More than 90 day old</v>
      </c>
      <c r="P64" t="str">
        <f>VLOOKUP(C64,[1]Customer_Master!$A:$B,2,0)</f>
        <v>Group-2 (Veeresh- Bomsdr+Hosur)</v>
      </c>
      <c r="Q64" t="str">
        <f>VLOOKUP(D64,[2]Template!$A:$D,3,0)</f>
        <v>EATON</v>
      </c>
      <c r="R64" t="str">
        <f>VLOOKUP(D64,[2]Template!$A:$D,4,0)</f>
        <v>Eaton-Faiveley-E70</v>
      </c>
    </row>
    <row r="65" spans="1:18" ht="13.5" customHeight="1" x14ac:dyDescent="0.25">
      <c r="A65" s="9">
        <v>46006</v>
      </c>
      <c r="B65" s="10" t="s">
        <v>214</v>
      </c>
      <c r="C65" s="11" t="s">
        <v>13</v>
      </c>
      <c r="D65" s="10" t="s">
        <v>301</v>
      </c>
      <c r="E65" s="26" t="s">
        <v>27</v>
      </c>
      <c r="F65" s="12" t="s">
        <v>28</v>
      </c>
      <c r="G65" s="19">
        <v>400</v>
      </c>
      <c r="H65" s="20">
        <v>292</v>
      </c>
      <c r="I65" s="15">
        <v>2803</v>
      </c>
      <c r="J65" s="16"/>
      <c r="K65" s="17">
        <v>818476</v>
      </c>
      <c r="L65" s="18">
        <v>46174</v>
      </c>
      <c r="M65" s="6" t="str">
        <f t="shared" si="0"/>
        <v>Schedule order</v>
      </c>
      <c r="N65" s="8">
        <f t="shared" ca="1" si="1"/>
        <v>19</v>
      </c>
      <c r="O65" s="8" t="str">
        <f t="shared" ca="1" si="2"/>
        <v>Lattest or shedule order</v>
      </c>
      <c r="P65" t="str">
        <f>VLOOKUP(C65,[1]Customer_Master!$A:$B,2,0)</f>
        <v>Group-2 (Veeresh- Bomsdr+Hosur)</v>
      </c>
      <c r="Q65" t="str">
        <f>VLOOKUP(D65,[2]Template!$A:$D,3,0)</f>
        <v>EATON</v>
      </c>
      <c r="R65" t="str">
        <f>VLOOKUP(D65,[2]Template!$A:$D,4,0)</f>
        <v>Eaton-Faiveley-E70</v>
      </c>
    </row>
    <row r="66" spans="1:18" ht="13.5" customHeight="1" x14ac:dyDescent="0.25">
      <c r="A66" s="9">
        <v>46006</v>
      </c>
      <c r="B66" s="10" t="s">
        <v>215</v>
      </c>
      <c r="C66" s="11" t="s">
        <v>13</v>
      </c>
      <c r="D66" s="10" t="s">
        <v>307</v>
      </c>
      <c r="E66" s="26" t="s">
        <v>44</v>
      </c>
      <c r="F66" s="12" t="s">
        <v>45</v>
      </c>
      <c r="G66" s="19">
        <v>900</v>
      </c>
      <c r="H66" s="20">
        <v>900</v>
      </c>
      <c r="I66" s="15">
        <v>2803</v>
      </c>
      <c r="J66" s="16"/>
      <c r="K66" s="17">
        <v>2522700</v>
      </c>
      <c r="L66" s="18">
        <v>46174</v>
      </c>
      <c r="M66" s="6" t="str">
        <f t="shared" si="0"/>
        <v>Schedule order</v>
      </c>
      <c r="N66" s="8">
        <f t="shared" ca="1" si="1"/>
        <v>19</v>
      </c>
      <c r="O66" s="8" t="str">
        <f t="shared" ca="1" si="2"/>
        <v>Lattest or shedule order</v>
      </c>
      <c r="P66" t="str">
        <f>VLOOKUP(C66,[1]Customer_Master!$A:$B,2,0)</f>
        <v>Group-2 (Veeresh- Bomsdr+Hosur)</v>
      </c>
      <c r="Q66" t="str">
        <f>VLOOKUP(D66,[2]Template!$A:$D,3,0)</f>
        <v>EATON</v>
      </c>
      <c r="R66" t="str">
        <f>VLOOKUP(D66,[2]Template!$A:$D,4,0)</f>
        <v>Eaton-Faiveley-E70</v>
      </c>
    </row>
    <row r="67" spans="1:18" ht="13.5" customHeight="1" x14ac:dyDescent="0.25">
      <c r="A67" s="9">
        <v>46006</v>
      </c>
      <c r="B67" s="10" t="s">
        <v>216</v>
      </c>
      <c r="C67" s="11" t="s">
        <v>13</v>
      </c>
      <c r="D67" s="10" t="s">
        <v>304</v>
      </c>
      <c r="E67" s="26" t="s">
        <v>38</v>
      </c>
      <c r="F67" s="12" t="s">
        <v>39</v>
      </c>
      <c r="G67" s="19">
        <v>500</v>
      </c>
      <c r="H67" s="20">
        <v>225</v>
      </c>
      <c r="I67" s="15">
        <v>2803</v>
      </c>
      <c r="J67" s="16"/>
      <c r="K67" s="17">
        <v>630675</v>
      </c>
      <c r="L67" s="18">
        <v>46174</v>
      </c>
      <c r="M67" s="6" t="str">
        <f t="shared" ref="M67:M130" si="3">IF(L67&lt;DATE(2026,4,30),"Due order","Schedule order")</f>
        <v>Schedule order</v>
      </c>
      <c r="N67" s="8">
        <f t="shared" ref="N67:N130" ca="1" si="4">L67-TODAY()</f>
        <v>19</v>
      </c>
      <c r="O67" s="8" t="str">
        <f t="shared" ref="O67:O130" ca="1" si="5">IF(N67&lt;-365,"More than 1 Year old",IF(N67&lt;-180," More than 180 days old",IF(N67&lt;-90,"More than 90 day old",IF(N67&lt;0,"With in 90 days","Lattest or shedule order"))))</f>
        <v>Lattest or shedule order</v>
      </c>
      <c r="P67" t="str">
        <f>VLOOKUP(C67,[1]Customer_Master!$A:$B,2,0)</f>
        <v>Group-2 (Veeresh- Bomsdr+Hosur)</v>
      </c>
      <c r="Q67" t="str">
        <f>VLOOKUP(D67,[2]Template!$A:$D,3,0)</f>
        <v>EATON</v>
      </c>
      <c r="R67" t="str">
        <f>VLOOKUP(D67,[2]Template!$A:$D,4,0)</f>
        <v>Eaton-Faiveley-E70</v>
      </c>
    </row>
    <row r="68" spans="1:18" ht="13.5" customHeight="1" x14ac:dyDescent="0.25">
      <c r="A68" s="9">
        <v>46006</v>
      </c>
      <c r="B68" s="10" t="s">
        <v>217</v>
      </c>
      <c r="C68" s="11" t="s">
        <v>13</v>
      </c>
      <c r="D68" s="10" t="s">
        <v>305</v>
      </c>
      <c r="E68" s="26" t="s">
        <v>40</v>
      </c>
      <c r="F68" s="12" t="s">
        <v>41</v>
      </c>
      <c r="G68" s="19">
        <v>400</v>
      </c>
      <c r="H68" s="20">
        <v>400</v>
      </c>
      <c r="I68" s="15">
        <v>2803</v>
      </c>
      <c r="J68" s="16"/>
      <c r="K68" s="17">
        <v>1121200</v>
      </c>
      <c r="L68" s="18">
        <v>46174</v>
      </c>
      <c r="M68" s="6" t="str">
        <f t="shared" si="3"/>
        <v>Schedule order</v>
      </c>
      <c r="N68" s="8">
        <f t="shared" ca="1" si="4"/>
        <v>19</v>
      </c>
      <c r="O68" s="8" t="str">
        <f t="shared" ca="1" si="5"/>
        <v>Lattest or shedule order</v>
      </c>
      <c r="P68" t="str">
        <f>VLOOKUP(C68,[1]Customer_Master!$A:$B,2,0)</f>
        <v>Group-2 (Veeresh- Bomsdr+Hosur)</v>
      </c>
      <c r="Q68" t="str">
        <f>VLOOKUP(D68,[2]Template!$A:$D,3,0)</f>
        <v>EATON</v>
      </c>
      <c r="R68" t="str">
        <f>VLOOKUP(D68,[2]Template!$A:$D,4,0)</f>
        <v>Eaton-Faiveley-E70</v>
      </c>
    </row>
    <row r="69" spans="1:18" ht="13.5" customHeight="1" x14ac:dyDescent="0.25">
      <c r="A69" s="9">
        <v>46006</v>
      </c>
      <c r="B69" s="10" t="s">
        <v>218</v>
      </c>
      <c r="C69" s="11" t="s">
        <v>13</v>
      </c>
      <c r="D69" s="27" t="s">
        <v>308</v>
      </c>
      <c r="E69" s="26" t="s">
        <v>46</v>
      </c>
      <c r="F69" s="26" t="s">
        <v>47</v>
      </c>
      <c r="G69" s="19">
        <v>400</v>
      </c>
      <c r="H69" s="20">
        <v>400</v>
      </c>
      <c r="I69" s="15">
        <v>3165</v>
      </c>
      <c r="J69" s="16"/>
      <c r="K69" s="17">
        <v>1266000</v>
      </c>
      <c r="L69" s="18">
        <v>46191</v>
      </c>
      <c r="M69" s="6" t="str">
        <f t="shared" si="3"/>
        <v>Schedule order</v>
      </c>
      <c r="N69" s="8">
        <f t="shared" ca="1" si="4"/>
        <v>36</v>
      </c>
      <c r="O69" s="8" t="str">
        <f t="shared" ca="1" si="5"/>
        <v>Lattest or shedule order</v>
      </c>
      <c r="P69" t="str">
        <f>VLOOKUP(C69,[1]Customer_Master!$A:$B,2,0)</f>
        <v>Group-2 (Veeresh- Bomsdr+Hosur)</v>
      </c>
      <c r="Q69" t="str">
        <f>VLOOKUP(D69,[2]Template!$A:$D,3,0)</f>
        <v>EATON</v>
      </c>
      <c r="R69" t="str">
        <f>VLOOKUP(D69,[2]Template!$A:$D,4,0)</f>
        <v>Eaton-Faiveley-E70</v>
      </c>
    </row>
    <row r="70" spans="1:18" ht="13.5" customHeight="1" x14ac:dyDescent="0.25">
      <c r="A70" s="9">
        <v>46006</v>
      </c>
      <c r="B70" s="10" t="s">
        <v>219</v>
      </c>
      <c r="C70" s="11" t="s">
        <v>13</v>
      </c>
      <c r="D70" s="27" t="s">
        <v>308</v>
      </c>
      <c r="E70" s="26" t="s">
        <v>46</v>
      </c>
      <c r="F70" s="26" t="s">
        <v>47</v>
      </c>
      <c r="G70" s="19">
        <v>400</v>
      </c>
      <c r="H70" s="20">
        <v>400</v>
      </c>
      <c r="I70" s="15">
        <v>3165</v>
      </c>
      <c r="J70" s="16"/>
      <c r="K70" s="17">
        <v>1266000</v>
      </c>
      <c r="L70" s="18">
        <v>46191</v>
      </c>
      <c r="M70" s="6" t="str">
        <f t="shared" si="3"/>
        <v>Schedule order</v>
      </c>
      <c r="N70" s="8">
        <f t="shared" ca="1" si="4"/>
        <v>36</v>
      </c>
      <c r="O70" s="8" t="str">
        <f t="shared" ca="1" si="5"/>
        <v>Lattest or shedule order</v>
      </c>
      <c r="P70" t="str">
        <f>VLOOKUP(C70,[1]Customer_Master!$A:$B,2,0)</f>
        <v>Group-2 (Veeresh- Bomsdr+Hosur)</v>
      </c>
      <c r="Q70" t="str">
        <f>VLOOKUP(D70,[2]Template!$A:$D,3,0)</f>
        <v>EATON</v>
      </c>
      <c r="R70" t="str">
        <f>VLOOKUP(D70,[2]Template!$A:$D,4,0)</f>
        <v>Eaton-Faiveley-E70</v>
      </c>
    </row>
    <row r="71" spans="1:18" ht="13.5" customHeight="1" x14ac:dyDescent="0.25">
      <c r="A71" s="9">
        <v>46006</v>
      </c>
      <c r="B71" s="10" t="s">
        <v>220</v>
      </c>
      <c r="C71" s="11" t="s">
        <v>13</v>
      </c>
      <c r="D71" s="27" t="s">
        <v>308</v>
      </c>
      <c r="E71" s="26" t="s">
        <v>46</v>
      </c>
      <c r="F71" s="26" t="s">
        <v>47</v>
      </c>
      <c r="G71" s="19">
        <v>400</v>
      </c>
      <c r="H71" s="20">
        <v>400</v>
      </c>
      <c r="I71" s="15">
        <v>3165</v>
      </c>
      <c r="J71" s="16"/>
      <c r="K71" s="17">
        <v>1266000</v>
      </c>
      <c r="L71" s="18">
        <v>46191</v>
      </c>
      <c r="M71" s="6" t="str">
        <f t="shared" si="3"/>
        <v>Schedule order</v>
      </c>
      <c r="N71" s="8">
        <f t="shared" ca="1" si="4"/>
        <v>36</v>
      </c>
      <c r="O71" s="8" t="str">
        <f t="shared" ca="1" si="5"/>
        <v>Lattest or shedule order</v>
      </c>
      <c r="P71" t="str">
        <f>VLOOKUP(C71,[1]Customer_Master!$A:$B,2,0)</f>
        <v>Group-2 (Veeresh- Bomsdr+Hosur)</v>
      </c>
      <c r="Q71" t="str">
        <f>VLOOKUP(D71,[2]Template!$A:$D,3,0)</f>
        <v>EATON</v>
      </c>
      <c r="R71" t="str">
        <f>VLOOKUP(D71,[2]Template!$A:$D,4,0)</f>
        <v>Eaton-Faiveley-E70</v>
      </c>
    </row>
    <row r="72" spans="1:18" ht="13.5" customHeight="1" x14ac:dyDescent="0.25">
      <c r="A72" s="9">
        <v>46006</v>
      </c>
      <c r="B72" s="10" t="s">
        <v>221</v>
      </c>
      <c r="C72" s="11" t="s">
        <v>13</v>
      </c>
      <c r="D72" s="27" t="s">
        <v>308</v>
      </c>
      <c r="E72" s="26" t="s">
        <v>46</v>
      </c>
      <c r="F72" s="26" t="s">
        <v>47</v>
      </c>
      <c r="G72" s="19">
        <v>400</v>
      </c>
      <c r="H72" s="20">
        <v>400</v>
      </c>
      <c r="I72" s="15">
        <v>3165</v>
      </c>
      <c r="J72" s="16"/>
      <c r="K72" s="17">
        <v>1266000</v>
      </c>
      <c r="L72" s="18">
        <v>46191</v>
      </c>
      <c r="M72" s="6" t="str">
        <f t="shared" si="3"/>
        <v>Schedule order</v>
      </c>
      <c r="N72" s="8">
        <f t="shared" ca="1" si="4"/>
        <v>36</v>
      </c>
      <c r="O72" s="8" t="str">
        <f t="shared" ca="1" si="5"/>
        <v>Lattest or shedule order</v>
      </c>
      <c r="P72" t="str">
        <f>VLOOKUP(C72,[1]Customer_Master!$A:$B,2,0)</f>
        <v>Group-2 (Veeresh- Bomsdr+Hosur)</v>
      </c>
      <c r="Q72" t="str">
        <f>VLOOKUP(D72,[2]Template!$A:$D,3,0)</f>
        <v>EATON</v>
      </c>
      <c r="R72" t="str">
        <f>VLOOKUP(D72,[2]Template!$A:$D,4,0)</f>
        <v>Eaton-Faiveley-E70</v>
      </c>
    </row>
    <row r="73" spans="1:18" ht="13.5" customHeight="1" x14ac:dyDescent="0.25">
      <c r="A73" s="9">
        <v>46006</v>
      </c>
      <c r="B73" s="10" t="s">
        <v>222</v>
      </c>
      <c r="C73" s="11" t="s">
        <v>13</v>
      </c>
      <c r="D73" s="27" t="s">
        <v>395</v>
      </c>
      <c r="E73" s="26" t="s">
        <v>189</v>
      </c>
      <c r="F73" s="12" t="s">
        <v>190</v>
      </c>
      <c r="G73" s="19">
        <v>50</v>
      </c>
      <c r="H73" s="20">
        <v>50</v>
      </c>
      <c r="I73" s="15">
        <v>3502</v>
      </c>
      <c r="J73" s="16"/>
      <c r="K73" s="17">
        <v>175100</v>
      </c>
      <c r="L73" s="18">
        <v>46118</v>
      </c>
      <c r="M73" s="6" t="str">
        <f t="shared" si="3"/>
        <v>Due order</v>
      </c>
      <c r="N73" s="8">
        <f t="shared" ca="1" si="4"/>
        <v>-37</v>
      </c>
      <c r="O73" s="8" t="str">
        <f t="shared" ca="1" si="5"/>
        <v>With in 90 days</v>
      </c>
      <c r="P73" t="str">
        <f>VLOOKUP(C73,[1]Customer_Master!$A:$B,2,0)</f>
        <v>Group-2 (Veeresh- Bomsdr+Hosur)</v>
      </c>
      <c r="Q73" t="str">
        <f>VLOOKUP(D73,[2]Template!$A:$D,3,0)</f>
        <v>EATON</v>
      </c>
      <c r="R73" t="str">
        <f>VLOOKUP(D73,[2]Template!$A:$D,4,0)</f>
        <v>Eaton-Faiveley-Non E70</v>
      </c>
    </row>
    <row r="74" spans="1:18" ht="13.5" customHeight="1" x14ac:dyDescent="0.25">
      <c r="A74" s="9">
        <v>46009</v>
      </c>
      <c r="B74" s="10" t="s">
        <v>224</v>
      </c>
      <c r="C74" s="11" t="s">
        <v>31</v>
      </c>
      <c r="D74" s="10" t="s">
        <v>1383</v>
      </c>
      <c r="E74" s="12" t="s">
        <v>1072</v>
      </c>
      <c r="F74" s="12" t="s">
        <v>1384</v>
      </c>
      <c r="G74" s="13">
        <v>600</v>
      </c>
      <c r="H74" s="14">
        <v>600</v>
      </c>
      <c r="I74" s="15">
        <v>422.82</v>
      </c>
      <c r="J74" s="16"/>
      <c r="K74" s="17">
        <v>253692</v>
      </c>
      <c r="L74" s="18">
        <v>46153</v>
      </c>
      <c r="M74" s="6" t="str">
        <f t="shared" si="3"/>
        <v>Schedule order</v>
      </c>
      <c r="N74" s="8">
        <f t="shared" ca="1" si="4"/>
        <v>-2</v>
      </c>
      <c r="O74" s="8" t="str">
        <f t="shared" ca="1" si="5"/>
        <v>With in 90 days</v>
      </c>
      <c r="P74" t="str">
        <f>VLOOKUP(C74,[1]Customer_Master!$A:$B,2,0)</f>
        <v>Group 1-Giridhar-Peenya</v>
      </c>
      <c r="Q74" t="str">
        <f>VLOOKUP(D74,[2]Template!$A:$D,3,0)</f>
        <v>LAPP</v>
      </c>
      <c r="R74" t="str">
        <f>VLOOKUP(D74,[2]Template!$A:$D,4,0)</f>
        <v>Lapp-TD Power</v>
      </c>
    </row>
    <row r="75" spans="1:18" ht="13.5" customHeight="1" x14ac:dyDescent="0.25">
      <c r="A75" s="9">
        <v>46009</v>
      </c>
      <c r="B75" s="10" t="s">
        <v>224</v>
      </c>
      <c r="C75" s="11" t="s">
        <v>31</v>
      </c>
      <c r="D75" s="27" t="s">
        <v>408</v>
      </c>
      <c r="E75" s="12" t="s">
        <v>1072</v>
      </c>
      <c r="F75" s="26" t="s">
        <v>150</v>
      </c>
      <c r="G75" s="13">
        <v>300</v>
      </c>
      <c r="H75" s="14">
        <v>300</v>
      </c>
      <c r="I75" s="15">
        <v>367.31</v>
      </c>
      <c r="J75" s="16"/>
      <c r="K75" s="17">
        <v>110193</v>
      </c>
      <c r="L75" s="18">
        <v>46153</v>
      </c>
      <c r="M75" s="6" t="str">
        <f t="shared" si="3"/>
        <v>Schedule order</v>
      </c>
      <c r="N75" s="8">
        <f t="shared" ca="1" si="4"/>
        <v>-2</v>
      </c>
      <c r="O75" s="8" t="str">
        <f t="shared" ca="1" si="5"/>
        <v>With in 90 days</v>
      </c>
      <c r="P75" t="str">
        <f>VLOOKUP(C75,[1]Customer_Master!$A:$B,2,0)</f>
        <v>Group 1-Giridhar-Peenya</v>
      </c>
      <c r="Q75" t="str">
        <f>VLOOKUP(D75,[2]Template!$A:$D,3,0)</f>
        <v>LAPP</v>
      </c>
      <c r="R75" t="str">
        <f>VLOOKUP(D75,[2]Template!$A:$D,4,0)</f>
        <v>Lapp-TD Power</v>
      </c>
    </row>
    <row r="76" spans="1:18" ht="13.5" customHeight="1" x14ac:dyDescent="0.25">
      <c r="A76" s="9">
        <v>46009</v>
      </c>
      <c r="B76" s="10" t="s">
        <v>224</v>
      </c>
      <c r="C76" s="11" t="s">
        <v>31</v>
      </c>
      <c r="D76" s="27" t="s">
        <v>393</v>
      </c>
      <c r="E76" s="12" t="s">
        <v>1072</v>
      </c>
      <c r="F76" s="26" t="s">
        <v>151</v>
      </c>
      <c r="G76" s="13">
        <v>600</v>
      </c>
      <c r="H76" s="14">
        <v>600</v>
      </c>
      <c r="I76" s="15">
        <v>64.36</v>
      </c>
      <c r="J76" s="16"/>
      <c r="K76" s="17">
        <v>38616</v>
      </c>
      <c r="L76" s="18">
        <v>46153</v>
      </c>
      <c r="M76" s="6" t="str">
        <f t="shared" si="3"/>
        <v>Schedule order</v>
      </c>
      <c r="N76" s="8">
        <f t="shared" ca="1" si="4"/>
        <v>-2</v>
      </c>
      <c r="O76" s="8" t="str">
        <f t="shared" ca="1" si="5"/>
        <v>With in 90 days</v>
      </c>
      <c r="P76" t="str">
        <f>VLOOKUP(C76,[1]Customer_Master!$A:$B,2,0)</f>
        <v>Group 1-Giridhar-Peenya</v>
      </c>
      <c r="Q76" t="str">
        <f>VLOOKUP(D76,[2]Template!$A:$D,3,0)</f>
        <v>LAPP</v>
      </c>
      <c r="R76" t="str">
        <f>VLOOKUP(D76,[2]Template!$A:$D,4,0)</f>
        <v>Lapp-TD Power</v>
      </c>
    </row>
    <row r="77" spans="1:18" ht="13.5" customHeight="1" x14ac:dyDescent="0.25">
      <c r="A77" s="9">
        <v>46009</v>
      </c>
      <c r="B77" s="10" t="s">
        <v>224</v>
      </c>
      <c r="C77" s="11" t="s">
        <v>31</v>
      </c>
      <c r="D77" s="27" t="s">
        <v>387</v>
      </c>
      <c r="E77" s="12" t="s">
        <v>1072</v>
      </c>
      <c r="F77" s="26" t="s">
        <v>152</v>
      </c>
      <c r="G77" s="13">
        <v>300</v>
      </c>
      <c r="H77" s="14">
        <v>300</v>
      </c>
      <c r="I77" s="15">
        <v>141.56</v>
      </c>
      <c r="J77" s="16"/>
      <c r="K77" s="17">
        <v>42468</v>
      </c>
      <c r="L77" s="18">
        <v>46153</v>
      </c>
      <c r="M77" s="6" t="str">
        <f t="shared" si="3"/>
        <v>Schedule order</v>
      </c>
      <c r="N77" s="8">
        <f t="shared" ca="1" si="4"/>
        <v>-2</v>
      </c>
      <c r="O77" s="8" t="str">
        <f t="shared" ca="1" si="5"/>
        <v>With in 90 days</v>
      </c>
      <c r="P77" t="str">
        <f>VLOOKUP(C77,[1]Customer_Master!$A:$B,2,0)</f>
        <v>Group 1-Giridhar-Peenya</v>
      </c>
      <c r="Q77" t="str">
        <f>VLOOKUP(D77,[2]Template!$A:$D,3,0)</f>
        <v>LAPP</v>
      </c>
      <c r="R77" t="str">
        <f>VLOOKUP(D77,[2]Template!$A:$D,4,0)</f>
        <v>Lapp-TD Power</v>
      </c>
    </row>
    <row r="78" spans="1:18" ht="13.5" customHeight="1" x14ac:dyDescent="0.25">
      <c r="A78" s="9">
        <v>46009</v>
      </c>
      <c r="B78" s="10" t="s">
        <v>224</v>
      </c>
      <c r="C78" s="11" t="s">
        <v>31</v>
      </c>
      <c r="D78" s="10" t="s">
        <v>388</v>
      </c>
      <c r="E78" s="12" t="s">
        <v>1072</v>
      </c>
      <c r="F78" s="12" t="s">
        <v>153</v>
      </c>
      <c r="G78" s="13">
        <v>100</v>
      </c>
      <c r="H78" s="14">
        <v>100</v>
      </c>
      <c r="I78" s="15">
        <v>2245.65</v>
      </c>
      <c r="J78" s="16"/>
      <c r="K78" s="17">
        <v>224565</v>
      </c>
      <c r="L78" s="18">
        <v>46153</v>
      </c>
      <c r="M78" s="6" t="str">
        <f t="shared" si="3"/>
        <v>Schedule order</v>
      </c>
      <c r="N78" s="8">
        <f t="shared" ca="1" si="4"/>
        <v>-2</v>
      </c>
      <c r="O78" s="8" t="str">
        <f t="shared" ca="1" si="5"/>
        <v>With in 90 days</v>
      </c>
      <c r="P78" t="str">
        <f>VLOOKUP(C78,[1]Customer_Master!$A:$B,2,0)</f>
        <v>Group 1-Giridhar-Peenya</v>
      </c>
      <c r="Q78" t="str">
        <f>VLOOKUP(D78,[2]Template!$A:$D,3,0)</f>
        <v>LAPP</v>
      </c>
      <c r="R78" t="str">
        <f>VLOOKUP(D78,[2]Template!$A:$D,4,0)</f>
        <v>Lapp-TD Power</v>
      </c>
    </row>
    <row r="79" spans="1:18" ht="13.5" customHeight="1" x14ac:dyDescent="0.25">
      <c r="A79" s="9">
        <v>46009</v>
      </c>
      <c r="B79" s="10" t="s">
        <v>224</v>
      </c>
      <c r="C79" s="11" t="s">
        <v>31</v>
      </c>
      <c r="D79" s="27" t="s">
        <v>321</v>
      </c>
      <c r="E79" s="12" t="s">
        <v>1072</v>
      </c>
      <c r="F79" s="12" t="s">
        <v>74</v>
      </c>
      <c r="G79" s="13">
        <v>600</v>
      </c>
      <c r="H79" s="14">
        <v>600</v>
      </c>
      <c r="I79" s="15">
        <v>301.32</v>
      </c>
      <c r="J79" s="16"/>
      <c r="K79" s="17">
        <v>180792</v>
      </c>
      <c r="L79" s="18">
        <v>46153</v>
      </c>
      <c r="M79" s="6" t="str">
        <f t="shared" si="3"/>
        <v>Schedule order</v>
      </c>
      <c r="N79" s="8">
        <f t="shared" ca="1" si="4"/>
        <v>-2</v>
      </c>
      <c r="O79" s="8" t="str">
        <f t="shared" ca="1" si="5"/>
        <v>With in 90 days</v>
      </c>
      <c r="P79" t="str">
        <f>VLOOKUP(C79,[1]Customer_Master!$A:$B,2,0)</f>
        <v>Group 1-Giridhar-Peenya</v>
      </c>
      <c r="Q79" t="str">
        <f>VLOOKUP(D79,[2]Template!$A:$D,3,0)</f>
        <v>LAPP</v>
      </c>
      <c r="R79" t="str">
        <f>VLOOKUP(D79,[2]Template!$A:$D,4,0)</f>
        <v>Lapp-TD Power</v>
      </c>
    </row>
    <row r="80" spans="1:18" ht="13.5" customHeight="1" x14ac:dyDescent="0.25">
      <c r="A80" s="9">
        <v>46009</v>
      </c>
      <c r="B80" s="10" t="s">
        <v>224</v>
      </c>
      <c r="C80" s="11" t="s">
        <v>31</v>
      </c>
      <c r="D80" s="27" t="s">
        <v>394</v>
      </c>
      <c r="E80" s="12" t="s">
        <v>1072</v>
      </c>
      <c r="F80" s="26" t="s">
        <v>154</v>
      </c>
      <c r="G80" s="13">
        <v>200</v>
      </c>
      <c r="H80" s="14">
        <v>200</v>
      </c>
      <c r="I80" s="15">
        <v>95.91</v>
      </c>
      <c r="J80" s="16"/>
      <c r="K80" s="17">
        <v>19182</v>
      </c>
      <c r="L80" s="18">
        <v>46153</v>
      </c>
      <c r="M80" s="6" t="str">
        <f t="shared" si="3"/>
        <v>Schedule order</v>
      </c>
      <c r="N80" s="8">
        <f t="shared" ca="1" si="4"/>
        <v>-2</v>
      </c>
      <c r="O80" s="8" t="str">
        <f t="shared" ca="1" si="5"/>
        <v>With in 90 days</v>
      </c>
      <c r="P80" t="str">
        <f>VLOOKUP(C80,[1]Customer_Master!$A:$B,2,0)</f>
        <v>Group 1-Giridhar-Peenya</v>
      </c>
      <c r="Q80" t="str">
        <f>VLOOKUP(D80,[2]Template!$A:$D,3,0)</f>
        <v>LAPP</v>
      </c>
      <c r="R80" t="str">
        <f>VLOOKUP(D80,[2]Template!$A:$D,4,0)</f>
        <v>Lapp-TD Power</v>
      </c>
    </row>
    <row r="81" spans="1:18" ht="13.5" customHeight="1" x14ac:dyDescent="0.25">
      <c r="A81" s="9">
        <v>46009</v>
      </c>
      <c r="B81" s="10" t="s">
        <v>224</v>
      </c>
      <c r="C81" s="11" t="s">
        <v>31</v>
      </c>
      <c r="D81" s="10" t="s">
        <v>409</v>
      </c>
      <c r="E81" s="12" t="s">
        <v>1072</v>
      </c>
      <c r="F81" s="12" t="s">
        <v>155</v>
      </c>
      <c r="G81" s="19">
        <v>600</v>
      </c>
      <c r="H81" s="20">
        <v>600</v>
      </c>
      <c r="I81" s="15">
        <v>459.52</v>
      </c>
      <c r="J81" s="16"/>
      <c r="K81" s="17">
        <v>275712</v>
      </c>
      <c r="L81" s="18">
        <v>46153</v>
      </c>
      <c r="M81" s="6" t="str">
        <f t="shared" si="3"/>
        <v>Schedule order</v>
      </c>
      <c r="N81" s="8">
        <f t="shared" ca="1" si="4"/>
        <v>-2</v>
      </c>
      <c r="O81" s="8" t="str">
        <f t="shared" ca="1" si="5"/>
        <v>With in 90 days</v>
      </c>
      <c r="P81" t="str">
        <f>VLOOKUP(C81,[1]Customer_Master!$A:$B,2,0)</f>
        <v>Group 1-Giridhar-Peenya</v>
      </c>
      <c r="Q81" t="str">
        <f>VLOOKUP(D81,[2]Template!$A:$D,3,0)</f>
        <v>LAPP</v>
      </c>
      <c r="R81" t="str">
        <f>VLOOKUP(D81,[2]Template!$A:$D,4,0)</f>
        <v>Lapp-TD Power</v>
      </c>
    </row>
    <row r="82" spans="1:18" ht="13.5" customHeight="1" x14ac:dyDescent="0.25">
      <c r="A82" s="9">
        <v>46009</v>
      </c>
      <c r="B82" s="10" t="s">
        <v>224</v>
      </c>
      <c r="C82" s="11" t="s">
        <v>31</v>
      </c>
      <c r="D82" s="27" t="s">
        <v>320</v>
      </c>
      <c r="E82" s="12" t="s">
        <v>1072</v>
      </c>
      <c r="F82" s="26" t="s">
        <v>73</v>
      </c>
      <c r="G82" s="13">
        <v>800</v>
      </c>
      <c r="H82" s="14">
        <v>800</v>
      </c>
      <c r="I82" s="15">
        <v>76.88</v>
      </c>
      <c r="J82" s="16"/>
      <c r="K82" s="17">
        <v>61504</v>
      </c>
      <c r="L82" s="18">
        <v>46063</v>
      </c>
      <c r="M82" s="6" t="str">
        <f t="shared" si="3"/>
        <v>Due order</v>
      </c>
      <c r="N82" s="8">
        <f t="shared" ca="1" si="4"/>
        <v>-92</v>
      </c>
      <c r="O82" s="8" t="str">
        <f t="shared" ca="1" si="5"/>
        <v>More than 90 day old</v>
      </c>
      <c r="P82" t="str">
        <f>VLOOKUP(C82,[1]Customer_Master!$A:$B,2,0)</f>
        <v>Group 1-Giridhar-Peenya</v>
      </c>
      <c r="Q82" t="str">
        <f>VLOOKUP(D82,[2]Template!$A:$D,3,0)</f>
        <v>LAPP</v>
      </c>
      <c r="R82" t="str">
        <f>VLOOKUP(D82,[2]Template!$A:$D,4,0)</f>
        <v>Lapp-TD Power</v>
      </c>
    </row>
    <row r="83" spans="1:18" ht="13.5" customHeight="1" x14ac:dyDescent="0.25">
      <c r="A83" s="9">
        <v>46009</v>
      </c>
      <c r="B83" s="10" t="s">
        <v>225</v>
      </c>
      <c r="C83" s="11" t="s">
        <v>62</v>
      </c>
      <c r="D83" s="10" t="s">
        <v>403</v>
      </c>
      <c r="E83" s="12" t="s">
        <v>1072</v>
      </c>
      <c r="F83" s="12" t="s">
        <v>148</v>
      </c>
      <c r="G83" s="13">
        <v>600</v>
      </c>
      <c r="H83" s="14">
        <v>300</v>
      </c>
      <c r="I83" s="15">
        <v>15.28</v>
      </c>
      <c r="J83" s="16"/>
      <c r="K83" s="17">
        <v>4584</v>
      </c>
      <c r="L83" s="18">
        <v>46164</v>
      </c>
      <c r="M83" s="6" t="str">
        <f t="shared" si="3"/>
        <v>Schedule order</v>
      </c>
      <c r="N83" s="8">
        <f t="shared" ca="1" si="4"/>
        <v>9</v>
      </c>
      <c r="O83" s="8" t="str">
        <f t="shared" ca="1" si="5"/>
        <v>Lattest or shedule order</v>
      </c>
      <c r="P83" t="str">
        <f>VLOOKUP(C83,[1]Customer_Master!$A:$B,2,0)</f>
        <v>Group 1-Giridhar-Peenya</v>
      </c>
      <c r="Q83" t="str">
        <f>VLOOKUP(D83,[2]Template!$A:$D,3,0)</f>
        <v>LAPP</v>
      </c>
      <c r="R83" t="str">
        <f>VLOOKUP(D83,[2]Template!$A:$D,4,0)</f>
        <v>Lapp-Planned Stock General</v>
      </c>
    </row>
    <row r="84" spans="1:18" ht="13.5" customHeight="1" x14ac:dyDescent="0.25">
      <c r="A84" s="9">
        <v>46009</v>
      </c>
      <c r="B84" s="10" t="s">
        <v>225</v>
      </c>
      <c r="C84" s="11" t="s">
        <v>62</v>
      </c>
      <c r="D84" s="10" t="s">
        <v>334</v>
      </c>
      <c r="E84" s="12" t="s">
        <v>1072</v>
      </c>
      <c r="F84" s="12" t="s">
        <v>87</v>
      </c>
      <c r="G84" s="13">
        <v>1700</v>
      </c>
      <c r="H84" s="14">
        <v>1700</v>
      </c>
      <c r="I84" s="15">
        <v>34.450000000000003</v>
      </c>
      <c r="J84" s="16"/>
      <c r="K84" s="17">
        <v>58565</v>
      </c>
      <c r="L84" s="18">
        <v>46164</v>
      </c>
      <c r="M84" s="6" t="str">
        <f t="shared" si="3"/>
        <v>Schedule order</v>
      </c>
      <c r="N84" s="8">
        <f t="shared" ca="1" si="4"/>
        <v>9</v>
      </c>
      <c r="O84" s="8" t="str">
        <f t="shared" ca="1" si="5"/>
        <v>Lattest or shedule order</v>
      </c>
      <c r="P84" t="str">
        <f>VLOOKUP(C84,[1]Customer_Master!$A:$B,2,0)</f>
        <v>Group 1-Giridhar-Peenya</v>
      </c>
      <c r="Q84" t="str">
        <f>VLOOKUP(D84,[2]Template!$A:$D,3,0)</f>
        <v>LAPP</v>
      </c>
      <c r="R84" t="str">
        <f>VLOOKUP(D84,[2]Template!$A:$D,4,0)</f>
        <v>Lapp-Planned Stock General</v>
      </c>
    </row>
    <row r="85" spans="1:18" ht="13.5" customHeight="1" x14ac:dyDescent="0.25">
      <c r="A85" s="9">
        <v>46009</v>
      </c>
      <c r="B85" s="10" t="s">
        <v>225</v>
      </c>
      <c r="C85" s="11" t="s">
        <v>62</v>
      </c>
      <c r="D85" s="27" t="s">
        <v>348</v>
      </c>
      <c r="E85" s="12" t="s">
        <v>1072</v>
      </c>
      <c r="F85" s="26" t="s">
        <v>63</v>
      </c>
      <c r="G85" s="13">
        <v>200</v>
      </c>
      <c r="H85" s="14">
        <v>200</v>
      </c>
      <c r="I85" s="15">
        <v>201.91</v>
      </c>
      <c r="J85" s="16"/>
      <c r="K85" s="17">
        <v>40382</v>
      </c>
      <c r="L85" s="18">
        <v>46164</v>
      </c>
      <c r="M85" s="6" t="str">
        <f t="shared" si="3"/>
        <v>Schedule order</v>
      </c>
      <c r="N85" s="8">
        <f t="shared" ca="1" si="4"/>
        <v>9</v>
      </c>
      <c r="O85" s="8" t="str">
        <f t="shared" ca="1" si="5"/>
        <v>Lattest or shedule order</v>
      </c>
      <c r="P85" t="str">
        <f>VLOOKUP(C85,[1]Customer_Master!$A:$B,2,0)</f>
        <v>Group 1-Giridhar-Peenya</v>
      </c>
      <c r="Q85" t="str">
        <f>VLOOKUP(D85,[2]Template!$A:$D,3,0)</f>
        <v>LAPP</v>
      </c>
      <c r="R85" t="str">
        <f>VLOOKUP(D85,[2]Template!$A:$D,4,0)</f>
        <v>Lapp-TD Power</v>
      </c>
    </row>
    <row r="86" spans="1:18" ht="13.5" customHeight="1" x14ac:dyDescent="0.25">
      <c r="A86" s="9">
        <v>46009</v>
      </c>
      <c r="B86" s="10" t="s">
        <v>225</v>
      </c>
      <c r="C86" s="11" t="s">
        <v>62</v>
      </c>
      <c r="D86" s="27" t="s">
        <v>347</v>
      </c>
      <c r="E86" s="12" t="s">
        <v>1072</v>
      </c>
      <c r="F86" s="26" t="s">
        <v>89</v>
      </c>
      <c r="G86" s="13">
        <v>800</v>
      </c>
      <c r="H86" s="14">
        <v>800</v>
      </c>
      <c r="I86" s="15">
        <v>101.09</v>
      </c>
      <c r="J86" s="16"/>
      <c r="K86" s="17">
        <v>80872</v>
      </c>
      <c r="L86" s="18">
        <v>46164</v>
      </c>
      <c r="M86" s="6" t="str">
        <f t="shared" si="3"/>
        <v>Schedule order</v>
      </c>
      <c r="N86" s="8">
        <f t="shared" ca="1" si="4"/>
        <v>9</v>
      </c>
      <c r="O86" s="8" t="str">
        <f t="shared" ca="1" si="5"/>
        <v>Lattest or shedule order</v>
      </c>
      <c r="P86" t="str">
        <f>VLOOKUP(C86,[1]Customer_Master!$A:$B,2,0)</f>
        <v>Group 1-Giridhar-Peenya</v>
      </c>
      <c r="Q86" t="str">
        <f>VLOOKUP(D86,[2]Template!$A:$D,3,0)</f>
        <v>LAPP</v>
      </c>
      <c r="R86" t="str">
        <f>VLOOKUP(D86,[2]Template!$A:$D,4,0)</f>
        <v>Lapp-TD Power</v>
      </c>
    </row>
    <row r="87" spans="1:18" ht="13.5" customHeight="1" x14ac:dyDescent="0.25">
      <c r="A87" s="9">
        <v>46009</v>
      </c>
      <c r="B87" s="10" t="s">
        <v>225</v>
      </c>
      <c r="C87" s="11" t="s">
        <v>62</v>
      </c>
      <c r="D87" s="27" t="s">
        <v>402</v>
      </c>
      <c r="E87" s="12" t="s">
        <v>1072</v>
      </c>
      <c r="F87" s="26" t="s">
        <v>132</v>
      </c>
      <c r="G87" s="13">
        <v>100</v>
      </c>
      <c r="H87" s="14">
        <v>100</v>
      </c>
      <c r="I87" s="15">
        <v>141.57</v>
      </c>
      <c r="J87" s="16"/>
      <c r="K87" s="17">
        <v>14157</v>
      </c>
      <c r="L87" s="18">
        <v>46164</v>
      </c>
      <c r="M87" s="6" t="str">
        <f t="shared" si="3"/>
        <v>Schedule order</v>
      </c>
      <c r="N87" s="8">
        <f t="shared" ca="1" si="4"/>
        <v>9</v>
      </c>
      <c r="O87" s="8" t="str">
        <f t="shared" ca="1" si="5"/>
        <v>Lattest or shedule order</v>
      </c>
      <c r="P87" t="str">
        <f>VLOOKUP(C87,[1]Customer_Master!$A:$B,2,0)</f>
        <v>Group 1-Giridhar-Peenya</v>
      </c>
      <c r="Q87" t="str">
        <f>VLOOKUP(D87,[2]Template!$A:$D,3,0)</f>
        <v>LAPP</v>
      </c>
      <c r="R87" t="str">
        <f>VLOOKUP(D87,[2]Template!$A:$D,4,0)</f>
        <v>Lapp-TD Power</v>
      </c>
    </row>
    <row r="88" spans="1:18" ht="13.5" customHeight="1" x14ac:dyDescent="0.25">
      <c r="A88" s="9">
        <v>46009</v>
      </c>
      <c r="B88" s="10" t="s">
        <v>225</v>
      </c>
      <c r="C88" s="11" t="s">
        <v>62</v>
      </c>
      <c r="D88" s="10" t="s">
        <v>335</v>
      </c>
      <c r="E88" s="12" t="s">
        <v>1072</v>
      </c>
      <c r="F88" s="12" t="s">
        <v>122</v>
      </c>
      <c r="G88" s="13">
        <v>700</v>
      </c>
      <c r="H88" s="14">
        <v>700</v>
      </c>
      <c r="I88" s="15">
        <v>34.450000000000003</v>
      </c>
      <c r="J88" s="16"/>
      <c r="K88" s="17">
        <v>24115</v>
      </c>
      <c r="L88" s="18">
        <v>46164</v>
      </c>
      <c r="M88" s="6" t="str">
        <f t="shared" si="3"/>
        <v>Schedule order</v>
      </c>
      <c r="N88" s="8">
        <f t="shared" ca="1" si="4"/>
        <v>9</v>
      </c>
      <c r="O88" s="8" t="str">
        <f t="shared" ca="1" si="5"/>
        <v>Lattest or shedule order</v>
      </c>
      <c r="P88" t="str">
        <f>VLOOKUP(C88,[1]Customer_Master!$A:$B,2,0)</f>
        <v>Group 1-Giridhar-Peenya</v>
      </c>
      <c r="Q88" t="str">
        <f>VLOOKUP(D88,[2]Template!$A:$D,3,0)</f>
        <v>LAPP</v>
      </c>
      <c r="R88" t="str">
        <f>VLOOKUP(D88,[2]Template!$A:$D,4,0)</f>
        <v>Lapp-Planned Stock General</v>
      </c>
    </row>
    <row r="89" spans="1:18" ht="13.5" customHeight="1" x14ac:dyDescent="0.25">
      <c r="A89" s="9">
        <v>46009</v>
      </c>
      <c r="B89" s="10" t="s">
        <v>225</v>
      </c>
      <c r="C89" s="11" t="s">
        <v>62</v>
      </c>
      <c r="D89" s="10" t="s">
        <v>361</v>
      </c>
      <c r="E89" s="12" t="s">
        <v>1072</v>
      </c>
      <c r="F89" s="12" t="s">
        <v>69</v>
      </c>
      <c r="G89" s="13">
        <v>100</v>
      </c>
      <c r="H89" s="14">
        <v>100</v>
      </c>
      <c r="I89" s="15">
        <v>219</v>
      </c>
      <c r="J89" s="16"/>
      <c r="K89" s="17">
        <v>21900</v>
      </c>
      <c r="L89" s="18">
        <v>46164</v>
      </c>
      <c r="M89" s="6" t="str">
        <f t="shared" si="3"/>
        <v>Schedule order</v>
      </c>
      <c r="N89" s="8">
        <f t="shared" ca="1" si="4"/>
        <v>9</v>
      </c>
      <c r="O89" s="8" t="str">
        <f t="shared" ca="1" si="5"/>
        <v>Lattest or shedule order</v>
      </c>
      <c r="P89" t="str">
        <f>VLOOKUP(C89,[1]Customer_Master!$A:$B,2,0)</f>
        <v>Group 1-Giridhar-Peenya</v>
      </c>
      <c r="Q89" t="str">
        <f>VLOOKUP(D89,[2]Template!$A:$D,3,0)</f>
        <v>LAPP</v>
      </c>
      <c r="R89" t="str">
        <f>VLOOKUP(D89,[2]Template!$A:$D,4,0)</f>
        <v>Lapp-Ace Group</v>
      </c>
    </row>
    <row r="90" spans="1:18" ht="13.5" customHeight="1" x14ac:dyDescent="0.25">
      <c r="A90" s="9">
        <v>46009</v>
      </c>
      <c r="B90" s="10" t="s">
        <v>225</v>
      </c>
      <c r="C90" s="11" t="s">
        <v>62</v>
      </c>
      <c r="D90" s="10" t="s">
        <v>410</v>
      </c>
      <c r="E90" s="12" t="s">
        <v>1072</v>
      </c>
      <c r="F90" s="12" t="s">
        <v>226</v>
      </c>
      <c r="G90" s="13">
        <v>500</v>
      </c>
      <c r="H90" s="14">
        <v>500</v>
      </c>
      <c r="I90" s="15">
        <v>80.709999999999994</v>
      </c>
      <c r="J90" s="16"/>
      <c r="K90" s="17">
        <v>40355</v>
      </c>
      <c r="L90" s="18">
        <v>46164</v>
      </c>
      <c r="M90" s="6" t="str">
        <f t="shared" si="3"/>
        <v>Schedule order</v>
      </c>
      <c r="N90" s="8">
        <f t="shared" ca="1" si="4"/>
        <v>9</v>
      </c>
      <c r="O90" s="8" t="str">
        <f t="shared" ca="1" si="5"/>
        <v>Lattest or shedule order</v>
      </c>
      <c r="P90" t="str">
        <f>VLOOKUP(C90,[1]Customer_Master!$A:$B,2,0)</f>
        <v>Group 1-Giridhar-Peenya</v>
      </c>
      <c r="Q90" t="str">
        <f>VLOOKUP(D90,[2]Template!$A:$D,3,0)</f>
        <v>LAPP</v>
      </c>
      <c r="R90" t="str">
        <f>VLOOKUP(D90,[2]Template!$A:$D,4,0)</f>
        <v>Lapp-Non Moving Stocks</v>
      </c>
    </row>
    <row r="91" spans="1:18" ht="13.5" customHeight="1" x14ac:dyDescent="0.25">
      <c r="A91" s="9">
        <v>46009</v>
      </c>
      <c r="B91" s="10" t="s">
        <v>227</v>
      </c>
      <c r="C91" s="11" t="s">
        <v>62</v>
      </c>
      <c r="D91" s="27" t="s">
        <v>402</v>
      </c>
      <c r="E91" s="12" t="s">
        <v>1072</v>
      </c>
      <c r="F91" s="26" t="s">
        <v>132</v>
      </c>
      <c r="G91" s="13">
        <v>1500</v>
      </c>
      <c r="H91" s="14">
        <v>1500</v>
      </c>
      <c r="I91" s="15">
        <v>141.57</v>
      </c>
      <c r="J91" s="16"/>
      <c r="K91" s="17">
        <v>212355</v>
      </c>
      <c r="L91" s="18">
        <v>46204</v>
      </c>
      <c r="M91" s="6" t="str">
        <f t="shared" si="3"/>
        <v>Schedule order</v>
      </c>
      <c r="N91" s="8">
        <f t="shared" ca="1" si="4"/>
        <v>49</v>
      </c>
      <c r="O91" s="8" t="str">
        <f t="shared" ca="1" si="5"/>
        <v>Lattest or shedule order</v>
      </c>
      <c r="P91" t="str">
        <f>VLOOKUP(C91,[1]Customer_Master!$A:$B,2,0)</f>
        <v>Group 1-Giridhar-Peenya</v>
      </c>
      <c r="Q91" t="str">
        <f>VLOOKUP(D91,[2]Template!$A:$D,3,0)</f>
        <v>LAPP</v>
      </c>
      <c r="R91" t="str">
        <f>VLOOKUP(D91,[2]Template!$A:$D,4,0)</f>
        <v>Lapp-TD Power</v>
      </c>
    </row>
    <row r="92" spans="1:18" ht="13.5" customHeight="1" x14ac:dyDescent="0.25">
      <c r="A92" s="9">
        <v>46009</v>
      </c>
      <c r="B92" s="10" t="s">
        <v>227</v>
      </c>
      <c r="C92" s="11" t="s">
        <v>62</v>
      </c>
      <c r="D92" s="27" t="s">
        <v>387</v>
      </c>
      <c r="E92" s="12" t="s">
        <v>1072</v>
      </c>
      <c r="F92" s="26" t="s">
        <v>152</v>
      </c>
      <c r="G92" s="13">
        <v>100</v>
      </c>
      <c r="H92" s="14">
        <v>100</v>
      </c>
      <c r="I92" s="15">
        <v>141.56</v>
      </c>
      <c r="J92" s="16"/>
      <c r="K92" s="17">
        <v>14156</v>
      </c>
      <c r="L92" s="18">
        <v>46204</v>
      </c>
      <c r="M92" s="6" t="str">
        <f t="shared" si="3"/>
        <v>Schedule order</v>
      </c>
      <c r="N92" s="8">
        <f t="shared" ca="1" si="4"/>
        <v>49</v>
      </c>
      <c r="O92" s="8" t="str">
        <f t="shared" ca="1" si="5"/>
        <v>Lattest or shedule order</v>
      </c>
      <c r="P92" t="str">
        <f>VLOOKUP(C92,[1]Customer_Master!$A:$B,2,0)</f>
        <v>Group 1-Giridhar-Peenya</v>
      </c>
      <c r="Q92" t="str">
        <f>VLOOKUP(D92,[2]Template!$A:$D,3,0)</f>
        <v>LAPP</v>
      </c>
      <c r="R92" t="str">
        <f>VLOOKUP(D92,[2]Template!$A:$D,4,0)</f>
        <v>Lapp-TD Power</v>
      </c>
    </row>
    <row r="93" spans="1:18" ht="13.5" customHeight="1" x14ac:dyDescent="0.25">
      <c r="A93" s="9">
        <v>46009</v>
      </c>
      <c r="B93" s="10" t="s">
        <v>227</v>
      </c>
      <c r="C93" s="11" t="s">
        <v>62</v>
      </c>
      <c r="D93" s="10" t="s">
        <v>388</v>
      </c>
      <c r="E93" s="12" t="s">
        <v>1072</v>
      </c>
      <c r="F93" s="12" t="s">
        <v>153</v>
      </c>
      <c r="G93" s="13">
        <v>100</v>
      </c>
      <c r="H93" s="14">
        <v>100</v>
      </c>
      <c r="I93" s="15">
        <v>2245.65</v>
      </c>
      <c r="J93" s="16"/>
      <c r="K93" s="17">
        <v>224565</v>
      </c>
      <c r="L93" s="18">
        <v>46204</v>
      </c>
      <c r="M93" s="6" t="str">
        <f t="shared" si="3"/>
        <v>Schedule order</v>
      </c>
      <c r="N93" s="8">
        <f t="shared" ca="1" si="4"/>
        <v>49</v>
      </c>
      <c r="O93" s="8" t="str">
        <f t="shared" ca="1" si="5"/>
        <v>Lattest or shedule order</v>
      </c>
      <c r="P93" t="str">
        <f>VLOOKUP(C93,[1]Customer_Master!$A:$B,2,0)</f>
        <v>Group 1-Giridhar-Peenya</v>
      </c>
      <c r="Q93" t="str">
        <f>VLOOKUP(D93,[2]Template!$A:$D,3,0)</f>
        <v>LAPP</v>
      </c>
      <c r="R93" t="str">
        <f>VLOOKUP(D93,[2]Template!$A:$D,4,0)</f>
        <v>Lapp-TD Power</v>
      </c>
    </row>
    <row r="94" spans="1:18" ht="13.5" customHeight="1" x14ac:dyDescent="0.25">
      <c r="A94" s="9">
        <v>46009</v>
      </c>
      <c r="B94" s="10" t="s">
        <v>227</v>
      </c>
      <c r="C94" s="11" t="s">
        <v>62</v>
      </c>
      <c r="D94" s="27" t="s">
        <v>401</v>
      </c>
      <c r="E94" s="12" t="s">
        <v>1072</v>
      </c>
      <c r="F94" s="12" t="s">
        <v>205</v>
      </c>
      <c r="G94" s="13">
        <v>100</v>
      </c>
      <c r="H94" s="14">
        <v>100</v>
      </c>
      <c r="I94" s="15">
        <v>408.24</v>
      </c>
      <c r="J94" s="16"/>
      <c r="K94" s="17">
        <v>40824</v>
      </c>
      <c r="L94" s="18">
        <v>46204</v>
      </c>
      <c r="M94" s="6" t="str">
        <f t="shared" si="3"/>
        <v>Schedule order</v>
      </c>
      <c r="N94" s="8">
        <f t="shared" ca="1" si="4"/>
        <v>49</v>
      </c>
      <c r="O94" s="8" t="str">
        <f t="shared" ca="1" si="5"/>
        <v>Lattest or shedule order</v>
      </c>
      <c r="P94" t="str">
        <f>VLOOKUP(C94,[1]Customer_Master!$A:$B,2,0)</f>
        <v>Group 1-Giridhar-Peenya</v>
      </c>
      <c r="Q94" t="str">
        <f>VLOOKUP(D94,[2]Template!$A:$D,3,0)</f>
        <v>LAPP</v>
      </c>
      <c r="R94" t="str">
        <f>VLOOKUP(D94,[2]Template!$A:$D,4,0)</f>
        <v>Lapp-TD Power</v>
      </c>
    </row>
    <row r="95" spans="1:18" ht="13.5" customHeight="1" x14ac:dyDescent="0.25">
      <c r="A95" s="9">
        <v>46010</v>
      </c>
      <c r="B95" s="10" t="s">
        <v>228</v>
      </c>
      <c r="C95" s="11" t="s">
        <v>75</v>
      </c>
      <c r="D95" s="10" t="s">
        <v>411</v>
      </c>
      <c r="E95" s="12" t="s">
        <v>1072</v>
      </c>
      <c r="F95" s="12" t="s">
        <v>229</v>
      </c>
      <c r="G95" s="13">
        <v>200</v>
      </c>
      <c r="H95" s="14">
        <v>200</v>
      </c>
      <c r="I95" s="15">
        <v>112.17</v>
      </c>
      <c r="J95" s="16"/>
      <c r="K95" s="17">
        <v>22434</v>
      </c>
      <c r="L95" s="18">
        <v>46035</v>
      </c>
      <c r="M95" s="6" t="str">
        <f t="shared" si="3"/>
        <v>Due order</v>
      </c>
      <c r="N95" s="8">
        <f t="shared" ca="1" si="4"/>
        <v>-120</v>
      </c>
      <c r="O95" s="8" t="str">
        <f t="shared" ca="1" si="5"/>
        <v>More than 90 day old</v>
      </c>
      <c r="P95" t="str">
        <f>VLOOKUP(C95,[1]Customer_Master!$A:$B,2,0)</f>
        <v>Group 1-Giridhar-Peenya</v>
      </c>
      <c r="Q95" t="str">
        <f>VLOOKUP(D95,[2]Template!$A:$D,3,0)</f>
        <v>LAPP</v>
      </c>
      <c r="R95" t="str">
        <f>VLOOKUP(D95,[2]Template!$A:$D,4,0)</f>
        <v>Lapp-Against Customer PO</v>
      </c>
    </row>
    <row r="96" spans="1:18" ht="13.5" customHeight="1" x14ac:dyDescent="0.25">
      <c r="A96" s="9">
        <v>46013</v>
      </c>
      <c r="B96" s="10" t="s">
        <v>230</v>
      </c>
      <c r="C96" s="11" t="s">
        <v>79</v>
      </c>
      <c r="D96" s="10" t="s">
        <v>324</v>
      </c>
      <c r="E96" s="12" t="s">
        <v>1072</v>
      </c>
      <c r="F96" s="12" t="s">
        <v>80</v>
      </c>
      <c r="G96" s="19">
        <v>335</v>
      </c>
      <c r="H96" s="20">
        <v>161</v>
      </c>
      <c r="I96" s="15">
        <v>2803</v>
      </c>
      <c r="J96" s="16"/>
      <c r="K96" s="17">
        <v>451283</v>
      </c>
      <c r="L96" s="18">
        <v>46196</v>
      </c>
      <c r="M96" s="6" t="str">
        <f t="shared" si="3"/>
        <v>Schedule order</v>
      </c>
      <c r="N96" s="8">
        <f t="shared" ca="1" si="4"/>
        <v>41</v>
      </c>
      <c r="O96" s="8" t="str">
        <f t="shared" ca="1" si="5"/>
        <v>Lattest or shedule order</v>
      </c>
      <c r="P96" t="str">
        <f>VLOOKUP(C96,[1]Customer_Master!$A:$B,2,0)</f>
        <v>Group-4 ( Office Account)</v>
      </c>
      <c r="Q96" t="str">
        <f>VLOOKUP(D96,[2]Template!$A:$D,3,0)</f>
        <v>EATON</v>
      </c>
      <c r="R96" t="str">
        <f>VLOOKUP(D96,[2]Template!$A:$D,4,0)</f>
        <v>Eaton-Faiveley-(R)</v>
      </c>
    </row>
    <row r="97" spans="1:18" ht="13.5" customHeight="1" x14ac:dyDescent="0.25">
      <c r="A97" s="9">
        <v>46013</v>
      </c>
      <c r="B97" s="10" t="s">
        <v>230</v>
      </c>
      <c r="C97" s="11" t="s">
        <v>79</v>
      </c>
      <c r="D97" s="10" t="s">
        <v>324</v>
      </c>
      <c r="E97" s="12" t="s">
        <v>1072</v>
      </c>
      <c r="F97" s="12" t="s">
        <v>80</v>
      </c>
      <c r="G97" s="19">
        <v>53</v>
      </c>
      <c r="H97" s="20">
        <v>53</v>
      </c>
      <c r="I97" s="15">
        <v>2803</v>
      </c>
      <c r="J97" s="16"/>
      <c r="K97" s="17">
        <v>148559</v>
      </c>
      <c r="L97" s="18">
        <v>46214</v>
      </c>
      <c r="M97" s="6" t="str">
        <f t="shared" si="3"/>
        <v>Schedule order</v>
      </c>
      <c r="N97" s="8">
        <f t="shared" ca="1" si="4"/>
        <v>59</v>
      </c>
      <c r="O97" s="8" t="str">
        <f t="shared" ca="1" si="5"/>
        <v>Lattest or shedule order</v>
      </c>
      <c r="P97" t="str">
        <f>VLOOKUP(C97,[1]Customer_Master!$A:$B,2,0)</f>
        <v>Group-4 ( Office Account)</v>
      </c>
      <c r="Q97" t="str">
        <f>VLOOKUP(D97,[2]Template!$A:$D,3,0)</f>
        <v>EATON</v>
      </c>
      <c r="R97" t="str">
        <f>VLOOKUP(D97,[2]Template!$A:$D,4,0)</f>
        <v>Eaton-Faiveley-(R)</v>
      </c>
    </row>
    <row r="98" spans="1:18" ht="13.5" customHeight="1" x14ac:dyDescent="0.25">
      <c r="A98" s="9">
        <v>46013</v>
      </c>
      <c r="B98" s="10" t="s">
        <v>230</v>
      </c>
      <c r="C98" s="11" t="s">
        <v>79</v>
      </c>
      <c r="D98" s="10" t="s">
        <v>324</v>
      </c>
      <c r="E98" s="12" t="s">
        <v>1072</v>
      </c>
      <c r="F98" s="12" t="s">
        <v>80</v>
      </c>
      <c r="G98" s="19">
        <v>216</v>
      </c>
      <c r="H98" s="20">
        <v>216</v>
      </c>
      <c r="I98" s="15">
        <v>2803</v>
      </c>
      <c r="J98" s="16"/>
      <c r="K98" s="17">
        <v>605448</v>
      </c>
      <c r="L98" s="18">
        <v>46228</v>
      </c>
      <c r="M98" s="6" t="str">
        <f t="shared" si="3"/>
        <v>Schedule order</v>
      </c>
      <c r="N98" s="8">
        <f t="shared" ca="1" si="4"/>
        <v>73</v>
      </c>
      <c r="O98" s="8" t="str">
        <f t="shared" ca="1" si="5"/>
        <v>Lattest or shedule order</v>
      </c>
      <c r="P98" t="str">
        <f>VLOOKUP(C98,[1]Customer_Master!$A:$B,2,0)</f>
        <v>Group-4 ( Office Account)</v>
      </c>
      <c r="Q98" t="str">
        <f>VLOOKUP(D98,[2]Template!$A:$D,3,0)</f>
        <v>EATON</v>
      </c>
      <c r="R98" t="str">
        <f>VLOOKUP(D98,[2]Template!$A:$D,4,0)</f>
        <v>Eaton-Faiveley-(R)</v>
      </c>
    </row>
    <row r="99" spans="1:18" ht="13.5" customHeight="1" x14ac:dyDescent="0.25">
      <c r="A99" s="9">
        <v>46013</v>
      </c>
      <c r="B99" s="10" t="s">
        <v>230</v>
      </c>
      <c r="C99" s="11" t="s">
        <v>79</v>
      </c>
      <c r="D99" s="10" t="s">
        <v>324</v>
      </c>
      <c r="E99" s="12" t="s">
        <v>1072</v>
      </c>
      <c r="F99" s="12" t="s">
        <v>80</v>
      </c>
      <c r="G99" s="19">
        <v>53</v>
      </c>
      <c r="H99" s="20">
        <v>53</v>
      </c>
      <c r="I99" s="15">
        <v>2803</v>
      </c>
      <c r="J99" s="16"/>
      <c r="K99" s="17">
        <v>148559</v>
      </c>
      <c r="L99" s="18">
        <v>46242</v>
      </c>
      <c r="M99" s="6" t="str">
        <f t="shared" si="3"/>
        <v>Schedule order</v>
      </c>
      <c r="N99" s="8">
        <f t="shared" ca="1" si="4"/>
        <v>87</v>
      </c>
      <c r="O99" s="8" t="str">
        <f t="shared" ca="1" si="5"/>
        <v>Lattest or shedule order</v>
      </c>
      <c r="P99" t="str">
        <f>VLOOKUP(C99,[1]Customer_Master!$A:$B,2,0)</f>
        <v>Group-4 ( Office Account)</v>
      </c>
      <c r="Q99" t="str">
        <f>VLOOKUP(D99,[2]Template!$A:$D,3,0)</f>
        <v>EATON</v>
      </c>
      <c r="R99" t="str">
        <f>VLOOKUP(D99,[2]Template!$A:$D,4,0)</f>
        <v>Eaton-Faiveley-(R)</v>
      </c>
    </row>
    <row r="100" spans="1:18" ht="13.5" customHeight="1" x14ac:dyDescent="0.25">
      <c r="A100" s="9">
        <v>46015</v>
      </c>
      <c r="B100" s="10" t="s">
        <v>231</v>
      </c>
      <c r="C100" s="11" t="s">
        <v>54</v>
      </c>
      <c r="D100" s="10" t="s">
        <v>400</v>
      </c>
      <c r="E100" s="12" t="s">
        <v>1072</v>
      </c>
      <c r="F100" s="12" t="s">
        <v>142</v>
      </c>
      <c r="G100" s="19">
        <v>75</v>
      </c>
      <c r="H100" s="20">
        <v>38</v>
      </c>
      <c r="I100" s="15">
        <v>649.73</v>
      </c>
      <c r="J100" s="16"/>
      <c r="K100" s="17">
        <v>24689.74</v>
      </c>
      <c r="L100" s="18">
        <v>46015</v>
      </c>
      <c r="M100" s="6" t="str">
        <f t="shared" si="3"/>
        <v>Due order</v>
      </c>
      <c r="N100" s="8">
        <f t="shared" ca="1" si="4"/>
        <v>-140</v>
      </c>
      <c r="O100" s="8" t="str">
        <f t="shared" ca="1" si="5"/>
        <v>More than 90 day old</v>
      </c>
      <c r="P100" t="str">
        <f>VLOOKUP(C100,[1]Customer_Master!$A:$B,2,0)</f>
        <v>Group 1-Giridhar-Peenya</v>
      </c>
      <c r="Q100" t="str">
        <f>VLOOKUP(D100,[2]Template!$A:$D,3,0)</f>
        <v>EATON</v>
      </c>
      <c r="R100" t="str">
        <f>VLOOKUP(D100,[2]Template!$A:$D,4,0)</f>
        <v>Eaton-Rinac</v>
      </c>
    </row>
    <row r="101" spans="1:18" ht="13.5" customHeight="1" x14ac:dyDescent="0.25">
      <c r="A101" s="9">
        <v>46015</v>
      </c>
      <c r="B101" s="10" t="s">
        <v>255</v>
      </c>
      <c r="C101" s="11" t="s">
        <v>256</v>
      </c>
      <c r="D101" s="10" t="s">
        <v>413</v>
      </c>
      <c r="E101" s="12" t="s">
        <v>1072</v>
      </c>
      <c r="F101" s="12" t="s">
        <v>233</v>
      </c>
      <c r="G101" s="19">
        <v>500</v>
      </c>
      <c r="H101" s="20">
        <v>300</v>
      </c>
      <c r="I101" s="15">
        <v>815</v>
      </c>
      <c r="J101" s="16"/>
      <c r="K101" s="17">
        <v>244500</v>
      </c>
      <c r="L101" s="18">
        <v>46015</v>
      </c>
      <c r="M101" s="6" t="str">
        <f t="shared" si="3"/>
        <v>Due order</v>
      </c>
      <c r="N101" s="8">
        <f t="shared" ca="1" si="4"/>
        <v>-140</v>
      </c>
      <c r="O101" s="8" t="str">
        <f t="shared" ca="1" si="5"/>
        <v>More than 90 day old</v>
      </c>
      <c r="P101" t="str">
        <f>VLOOKUP(C101,[1]Customer_Master!$A:$B,2,0)</f>
        <v>Group 1-Giridhar-Peenya</v>
      </c>
      <c r="Q101" t="str">
        <f>VLOOKUP(D101,[2]Template!$A:$D,3,0)</f>
        <v>EATON</v>
      </c>
      <c r="R101" t="str">
        <f>VLOOKUP(D101,[2]Template!$A:$D,4,0)</f>
        <v>Eaton-Rinac</v>
      </c>
    </row>
    <row r="102" spans="1:18" ht="13.5" customHeight="1" x14ac:dyDescent="0.25">
      <c r="A102" s="9">
        <v>46015</v>
      </c>
      <c r="B102" s="10" t="s">
        <v>255</v>
      </c>
      <c r="C102" s="11" t="s">
        <v>256</v>
      </c>
      <c r="D102" s="10" t="s">
        <v>414</v>
      </c>
      <c r="E102" s="12" t="s">
        <v>1072</v>
      </c>
      <c r="F102" s="12" t="s">
        <v>234</v>
      </c>
      <c r="G102" s="19">
        <v>500</v>
      </c>
      <c r="H102" s="20">
        <v>300</v>
      </c>
      <c r="I102" s="15">
        <v>235</v>
      </c>
      <c r="J102" s="16"/>
      <c r="K102" s="17">
        <v>70500</v>
      </c>
      <c r="L102" s="18">
        <v>46015</v>
      </c>
      <c r="M102" s="6" t="str">
        <f t="shared" si="3"/>
        <v>Due order</v>
      </c>
      <c r="N102" s="8">
        <f t="shared" ca="1" si="4"/>
        <v>-140</v>
      </c>
      <c r="O102" s="8" t="str">
        <f t="shared" ca="1" si="5"/>
        <v>More than 90 day old</v>
      </c>
      <c r="P102" t="str">
        <f>VLOOKUP(C102,[1]Customer_Master!$A:$B,2,0)</f>
        <v>Group 1-Giridhar-Peenya</v>
      </c>
      <c r="Q102" t="str">
        <f>VLOOKUP(D102,[2]Template!$A:$D,3,0)</f>
        <v>EATON</v>
      </c>
      <c r="R102" t="str">
        <f>VLOOKUP(D102,[2]Template!$A:$D,4,0)</f>
        <v>Eaton-Rinac</v>
      </c>
    </row>
    <row r="103" spans="1:18" ht="13.5" customHeight="1" x14ac:dyDescent="0.25">
      <c r="A103" s="9">
        <v>46022</v>
      </c>
      <c r="B103" s="10" t="s">
        <v>235</v>
      </c>
      <c r="C103" s="11" t="s">
        <v>31</v>
      </c>
      <c r="D103" s="27" t="s">
        <v>393</v>
      </c>
      <c r="E103" s="12" t="s">
        <v>1072</v>
      </c>
      <c r="F103" s="26" t="s">
        <v>151</v>
      </c>
      <c r="G103" s="13">
        <v>1200</v>
      </c>
      <c r="H103" s="14">
        <v>1200</v>
      </c>
      <c r="I103" s="15">
        <v>64.36</v>
      </c>
      <c r="J103" s="16"/>
      <c r="K103" s="17">
        <v>77232</v>
      </c>
      <c r="L103" s="18">
        <v>46112</v>
      </c>
      <c r="M103" s="6" t="str">
        <f t="shared" si="3"/>
        <v>Due order</v>
      </c>
      <c r="N103" s="8">
        <f t="shared" ca="1" si="4"/>
        <v>-43</v>
      </c>
      <c r="O103" s="8" t="str">
        <f t="shared" ca="1" si="5"/>
        <v>With in 90 days</v>
      </c>
      <c r="P103" t="str">
        <f>VLOOKUP(C103,[1]Customer_Master!$A:$B,2,0)</f>
        <v>Group 1-Giridhar-Peenya</v>
      </c>
      <c r="Q103" t="str">
        <f>VLOOKUP(D103,[2]Template!$A:$D,3,0)</f>
        <v>LAPP</v>
      </c>
      <c r="R103" t="str">
        <f>VLOOKUP(D103,[2]Template!$A:$D,4,0)</f>
        <v>Lapp-TD Power</v>
      </c>
    </row>
    <row r="104" spans="1:18" ht="13.5" customHeight="1" x14ac:dyDescent="0.25">
      <c r="A104" s="9">
        <v>46022</v>
      </c>
      <c r="B104" s="10" t="s">
        <v>235</v>
      </c>
      <c r="C104" s="11" t="s">
        <v>31</v>
      </c>
      <c r="D104" s="27" t="s">
        <v>319</v>
      </c>
      <c r="E104" s="12" t="s">
        <v>1072</v>
      </c>
      <c r="F104" s="26" t="s">
        <v>72</v>
      </c>
      <c r="G104" s="13">
        <v>300</v>
      </c>
      <c r="H104" s="14">
        <v>300</v>
      </c>
      <c r="I104" s="15">
        <v>34.979999999999997</v>
      </c>
      <c r="J104" s="16"/>
      <c r="K104" s="17">
        <v>10494</v>
      </c>
      <c r="L104" s="18">
        <v>46112</v>
      </c>
      <c r="M104" s="6" t="str">
        <f t="shared" si="3"/>
        <v>Due order</v>
      </c>
      <c r="N104" s="8">
        <f t="shared" ca="1" si="4"/>
        <v>-43</v>
      </c>
      <c r="O104" s="8" t="str">
        <f t="shared" ca="1" si="5"/>
        <v>With in 90 days</v>
      </c>
      <c r="P104" t="str">
        <f>VLOOKUP(C104,[1]Customer_Master!$A:$B,2,0)</f>
        <v>Group 1-Giridhar-Peenya</v>
      </c>
      <c r="Q104" t="str">
        <f>VLOOKUP(D104,[2]Template!$A:$D,3,0)</f>
        <v>LAPP</v>
      </c>
      <c r="R104" t="str">
        <f>VLOOKUP(D104,[2]Template!$A:$D,4,0)</f>
        <v>Lapp-TD Power</v>
      </c>
    </row>
    <row r="105" spans="1:18" ht="13.5" customHeight="1" x14ac:dyDescent="0.25">
      <c r="A105" s="9">
        <v>46029</v>
      </c>
      <c r="B105" s="10" t="s">
        <v>238</v>
      </c>
      <c r="C105" s="11" t="s">
        <v>54</v>
      </c>
      <c r="D105" s="10" t="s">
        <v>400</v>
      </c>
      <c r="E105" s="12" t="s">
        <v>1072</v>
      </c>
      <c r="F105" s="12" t="s">
        <v>142</v>
      </c>
      <c r="G105" s="19">
        <v>50</v>
      </c>
      <c r="H105" s="20">
        <v>50</v>
      </c>
      <c r="I105" s="15">
        <v>649.73</v>
      </c>
      <c r="J105" s="16"/>
      <c r="K105" s="17">
        <v>32486.5</v>
      </c>
      <c r="L105" s="18">
        <v>46032</v>
      </c>
      <c r="M105" s="6" t="str">
        <f t="shared" si="3"/>
        <v>Due order</v>
      </c>
      <c r="N105" s="8">
        <f t="shared" ca="1" si="4"/>
        <v>-123</v>
      </c>
      <c r="O105" s="8" t="str">
        <f t="shared" ca="1" si="5"/>
        <v>More than 90 day old</v>
      </c>
      <c r="P105" t="str">
        <f>VLOOKUP(C105,[1]Customer_Master!$A:$B,2,0)</f>
        <v>Group 1-Giridhar-Peenya</v>
      </c>
      <c r="Q105" t="str">
        <f>VLOOKUP(D105,[2]Template!$A:$D,3,0)</f>
        <v>EATON</v>
      </c>
      <c r="R105" t="str">
        <f>VLOOKUP(D105,[2]Template!$A:$D,4,0)</f>
        <v>Eaton-Rinac</v>
      </c>
    </row>
    <row r="106" spans="1:18" ht="13.5" customHeight="1" x14ac:dyDescent="0.25">
      <c r="A106" s="9">
        <v>46031</v>
      </c>
      <c r="B106" s="10" t="s">
        <v>245</v>
      </c>
      <c r="C106" s="11" t="s">
        <v>76</v>
      </c>
      <c r="D106" s="10" t="s">
        <v>349</v>
      </c>
      <c r="E106" s="12" t="s">
        <v>1072</v>
      </c>
      <c r="F106" s="12" t="s">
        <v>88</v>
      </c>
      <c r="G106" s="19">
        <v>98</v>
      </c>
      <c r="H106" s="20">
        <v>98</v>
      </c>
      <c r="I106" s="15">
        <v>284</v>
      </c>
      <c r="J106" s="16"/>
      <c r="K106" s="17">
        <v>27832</v>
      </c>
      <c r="L106" s="18">
        <v>46182</v>
      </c>
      <c r="M106" s="6" t="str">
        <f t="shared" si="3"/>
        <v>Schedule order</v>
      </c>
      <c r="N106" s="8">
        <f t="shared" ca="1" si="4"/>
        <v>27</v>
      </c>
      <c r="O106" s="8" t="str">
        <f t="shared" ca="1" si="5"/>
        <v>Lattest or shedule order</v>
      </c>
      <c r="P106" t="str">
        <f>VLOOKUP(C106,[1]Customer_Master!$A:$B,2,0)</f>
        <v>Group 1-Giridhar-Peenya</v>
      </c>
      <c r="Q106" t="str">
        <f>VLOOKUP(D106,[2]Template!$A:$D,3,0)</f>
        <v>EATON</v>
      </c>
      <c r="R106" t="str">
        <f>VLOOKUP(D106,[2]Template!$A:$D,4,0)</f>
        <v>Eaton-Biesse</v>
      </c>
    </row>
    <row r="107" spans="1:18" ht="13.5" customHeight="1" x14ac:dyDescent="0.25">
      <c r="A107" s="9">
        <v>46031</v>
      </c>
      <c r="B107" s="10" t="s">
        <v>245</v>
      </c>
      <c r="C107" s="11" t="s">
        <v>76</v>
      </c>
      <c r="D107" s="10" t="s">
        <v>325</v>
      </c>
      <c r="E107" s="12" t="s">
        <v>1072</v>
      </c>
      <c r="F107" s="12" t="s">
        <v>77</v>
      </c>
      <c r="G107" s="19">
        <v>98</v>
      </c>
      <c r="H107" s="20">
        <v>98</v>
      </c>
      <c r="I107" s="15">
        <v>241</v>
      </c>
      <c r="J107" s="16"/>
      <c r="K107" s="17">
        <v>23618</v>
      </c>
      <c r="L107" s="18">
        <v>46184</v>
      </c>
      <c r="M107" s="6" t="str">
        <f t="shared" si="3"/>
        <v>Schedule order</v>
      </c>
      <c r="N107" s="8">
        <f t="shared" ca="1" si="4"/>
        <v>29</v>
      </c>
      <c r="O107" s="8" t="str">
        <f t="shared" ca="1" si="5"/>
        <v>Lattest or shedule order</v>
      </c>
      <c r="P107" t="str">
        <f>VLOOKUP(C107,[1]Customer_Master!$A:$B,2,0)</f>
        <v>Group 1-Giridhar-Peenya</v>
      </c>
      <c r="Q107" t="str">
        <f>VLOOKUP(D107,[2]Template!$A:$D,3,0)</f>
        <v>EATON</v>
      </c>
      <c r="R107" t="str">
        <f>VLOOKUP(D107,[2]Template!$A:$D,4,0)</f>
        <v>Eaton-Biesse</v>
      </c>
    </row>
    <row r="108" spans="1:18" ht="13.5" customHeight="1" x14ac:dyDescent="0.25">
      <c r="A108" s="9">
        <v>46035</v>
      </c>
      <c r="B108" s="10" t="s">
        <v>247</v>
      </c>
      <c r="C108" s="11" t="s">
        <v>248</v>
      </c>
      <c r="D108" s="10" t="s">
        <v>424</v>
      </c>
      <c r="E108" s="12" t="s">
        <v>1072</v>
      </c>
      <c r="F108" s="12" t="s">
        <v>249</v>
      </c>
      <c r="G108" s="13">
        <v>400</v>
      </c>
      <c r="H108" s="14">
        <v>200</v>
      </c>
      <c r="I108" s="15">
        <v>57.27</v>
      </c>
      <c r="J108" s="16"/>
      <c r="K108" s="17">
        <v>11454</v>
      </c>
      <c r="L108" s="18">
        <v>46035</v>
      </c>
      <c r="M108" s="6" t="str">
        <f t="shared" si="3"/>
        <v>Due order</v>
      </c>
      <c r="N108" s="8">
        <f t="shared" ca="1" si="4"/>
        <v>-120</v>
      </c>
      <c r="O108" s="8" t="str">
        <f t="shared" ca="1" si="5"/>
        <v>More than 90 day old</v>
      </c>
      <c r="P108" t="str">
        <f>VLOOKUP(C108,[1]Customer_Master!$A:$B,2,0)</f>
        <v>Group - 5 (Ananthapadmanabha)</v>
      </c>
      <c r="Q108" t="str">
        <f>VLOOKUP(D108,[2]Template!$A:$D,3,0)</f>
        <v>LAPP</v>
      </c>
      <c r="R108" t="str">
        <f>VLOOKUP(D108,[2]Template!$A:$D,4,0)</f>
        <v>Lapp-Non Moving Stocks</v>
      </c>
    </row>
    <row r="109" spans="1:18" ht="13.5" customHeight="1" x14ac:dyDescent="0.25">
      <c r="A109" s="9">
        <v>46036</v>
      </c>
      <c r="B109" s="10" t="s">
        <v>252</v>
      </c>
      <c r="C109" s="11" t="s">
        <v>13</v>
      </c>
      <c r="D109" s="27" t="s">
        <v>395</v>
      </c>
      <c r="E109" s="26" t="s">
        <v>189</v>
      </c>
      <c r="F109" s="12" t="s">
        <v>190</v>
      </c>
      <c r="G109" s="19">
        <v>150</v>
      </c>
      <c r="H109" s="20">
        <v>150</v>
      </c>
      <c r="I109" s="15">
        <v>3502</v>
      </c>
      <c r="J109" s="16"/>
      <c r="K109" s="17">
        <v>525300</v>
      </c>
      <c r="L109" s="18">
        <v>46146</v>
      </c>
      <c r="M109" s="6" t="str">
        <f t="shared" si="3"/>
        <v>Schedule order</v>
      </c>
      <c r="N109" s="8">
        <f t="shared" ca="1" si="4"/>
        <v>-9</v>
      </c>
      <c r="O109" s="8" t="str">
        <f t="shared" ca="1" si="5"/>
        <v>With in 90 days</v>
      </c>
      <c r="P109" t="str">
        <f>VLOOKUP(C109,[1]Customer_Master!$A:$B,2,0)</f>
        <v>Group-2 (Veeresh- Bomsdr+Hosur)</v>
      </c>
      <c r="Q109" t="str">
        <f>VLOOKUP(D109,[2]Template!$A:$D,3,0)</f>
        <v>EATON</v>
      </c>
      <c r="R109" t="str">
        <f>VLOOKUP(D109,[2]Template!$A:$D,4,0)</f>
        <v>Eaton-Faiveley-Non E70</v>
      </c>
    </row>
    <row r="110" spans="1:18" ht="13.5" customHeight="1" x14ac:dyDescent="0.25">
      <c r="A110" s="9">
        <v>46036</v>
      </c>
      <c r="B110" s="10" t="s">
        <v>253</v>
      </c>
      <c r="C110" s="11" t="s">
        <v>13</v>
      </c>
      <c r="D110" s="27" t="s">
        <v>299</v>
      </c>
      <c r="E110" s="26" t="s">
        <v>20</v>
      </c>
      <c r="F110" s="12" t="s">
        <v>21</v>
      </c>
      <c r="G110" s="19">
        <v>20</v>
      </c>
      <c r="H110" s="20">
        <v>15</v>
      </c>
      <c r="I110" s="15">
        <v>9023</v>
      </c>
      <c r="J110" s="16"/>
      <c r="K110" s="17">
        <v>135345</v>
      </c>
      <c r="L110" s="18">
        <v>46140</v>
      </c>
      <c r="M110" s="6" t="str">
        <f t="shared" si="3"/>
        <v>Due order</v>
      </c>
      <c r="N110" s="8">
        <f t="shared" ca="1" si="4"/>
        <v>-15</v>
      </c>
      <c r="O110" s="8" t="str">
        <f t="shared" ca="1" si="5"/>
        <v>With in 90 days</v>
      </c>
      <c r="P110" t="str">
        <f>VLOOKUP(C110,[1]Customer_Master!$A:$B,2,0)</f>
        <v>Group-2 (Veeresh- Bomsdr+Hosur)</v>
      </c>
      <c r="Q110" t="str">
        <f>VLOOKUP(D110,[2]Template!$A:$D,3,0)</f>
        <v>EATON</v>
      </c>
      <c r="R110" t="str">
        <f>VLOOKUP(D110,[2]Template!$A:$D,4,0)</f>
        <v>Eaton-Faiveley-Non E70</v>
      </c>
    </row>
    <row r="111" spans="1:18" ht="13.5" customHeight="1" x14ac:dyDescent="0.25">
      <c r="A111" s="9">
        <v>46038</v>
      </c>
      <c r="B111" s="10" t="s">
        <v>258</v>
      </c>
      <c r="C111" s="11" t="s">
        <v>139</v>
      </c>
      <c r="D111" s="10" t="s">
        <v>429</v>
      </c>
      <c r="E111" s="12" t="s">
        <v>1072</v>
      </c>
      <c r="F111" s="12" t="s">
        <v>259</v>
      </c>
      <c r="G111" s="13">
        <v>1500</v>
      </c>
      <c r="H111" s="14">
        <v>1500</v>
      </c>
      <c r="I111" s="15">
        <v>95.16</v>
      </c>
      <c r="J111" s="16"/>
      <c r="K111" s="17">
        <v>142740</v>
      </c>
      <c r="L111" s="18">
        <v>46106</v>
      </c>
      <c r="M111" s="6" t="str">
        <f t="shared" si="3"/>
        <v>Due order</v>
      </c>
      <c r="N111" s="8">
        <f t="shared" ca="1" si="4"/>
        <v>-49</v>
      </c>
      <c r="O111" s="8" t="str">
        <f t="shared" ca="1" si="5"/>
        <v>With in 90 days</v>
      </c>
      <c r="P111" t="str">
        <f>VLOOKUP(C111,[1]Customer_Master!$A:$B,2,0)</f>
        <v>Group 1-Giridhar-Peenya</v>
      </c>
      <c r="Q111" t="str">
        <f>VLOOKUP(D111,[2]Template!$A:$D,3,0)</f>
        <v>LAPP</v>
      </c>
      <c r="R111" t="str">
        <f>VLOOKUP(D111,[2]Template!$A:$D,4,0)</f>
        <v>Lapp-Against Customer PO</v>
      </c>
    </row>
    <row r="112" spans="1:18" ht="13.5" customHeight="1" x14ac:dyDescent="0.25">
      <c r="A112" s="9">
        <v>46038</v>
      </c>
      <c r="B112" s="10" t="s">
        <v>258</v>
      </c>
      <c r="C112" s="11" t="s">
        <v>139</v>
      </c>
      <c r="D112" s="10" t="s">
        <v>430</v>
      </c>
      <c r="E112" s="12" t="s">
        <v>1072</v>
      </c>
      <c r="F112" s="12" t="s">
        <v>260</v>
      </c>
      <c r="G112" s="13">
        <v>3000</v>
      </c>
      <c r="H112" s="14">
        <v>3000</v>
      </c>
      <c r="I112" s="15">
        <v>141.07</v>
      </c>
      <c r="J112" s="16"/>
      <c r="K112" s="17">
        <v>423210</v>
      </c>
      <c r="L112" s="18">
        <v>46106</v>
      </c>
      <c r="M112" s="6" t="str">
        <f t="shared" si="3"/>
        <v>Due order</v>
      </c>
      <c r="N112" s="8">
        <f t="shared" ca="1" si="4"/>
        <v>-49</v>
      </c>
      <c r="O112" s="8" t="str">
        <f t="shared" ca="1" si="5"/>
        <v>With in 90 days</v>
      </c>
      <c r="P112" t="str">
        <f>VLOOKUP(C112,[1]Customer_Master!$A:$B,2,0)</f>
        <v>Group 1-Giridhar-Peenya</v>
      </c>
      <c r="Q112" t="str">
        <f>VLOOKUP(D112,[2]Template!$A:$D,3,0)</f>
        <v>LAPP</v>
      </c>
      <c r="R112" t="str">
        <f>VLOOKUP(D112,[2]Template!$A:$D,4,0)</f>
        <v>Lapp-Against Customer PO</v>
      </c>
    </row>
    <row r="113" spans="1:18" ht="13.5" customHeight="1" x14ac:dyDescent="0.25">
      <c r="A113" s="9">
        <v>46038</v>
      </c>
      <c r="B113" s="10" t="s">
        <v>258</v>
      </c>
      <c r="C113" s="11" t="s">
        <v>139</v>
      </c>
      <c r="D113" s="10" t="s">
        <v>431</v>
      </c>
      <c r="E113" s="12" t="s">
        <v>1072</v>
      </c>
      <c r="F113" s="12" t="s">
        <v>261</v>
      </c>
      <c r="G113" s="13">
        <v>2100</v>
      </c>
      <c r="H113" s="14">
        <v>2100</v>
      </c>
      <c r="I113" s="15">
        <v>183.59</v>
      </c>
      <c r="J113" s="16"/>
      <c r="K113" s="17">
        <v>385539</v>
      </c>
      <c r="L113" s="18">
        <v>46106</v>
      </c>
      <c r="M113" s="6" t="str">
        <f t="shared" si="3"/>
        <v>Due order</v>
      </c>
      <c r="N113" s="8">
        <f t="shared" ca="1" si="4"/>
        <v>-49</v>
      </c>
      <c r="O113" s="8" t="str">
        <f t="shared" ca="1" si="5"/>
        <v>With in 90 days</v>
      </c>
      <c r="P113" t="str">
        <f>VLOOKUP(C113,[1]Customer_Master!$A:$B,2,0)</f>
        <v>Group 1-Giridhar-Peenya</v>
      </c>
      <c r="Q113" t="str">
        <f>VLOOKUP(D113,[2]Template!$A:$D,3,0)</f>
        <v>LAPP</v>
      </c>
      <c r="R113" t="str">
        <f>VLOOKUP(D113,[2]Template!$A:$D,4,0)</f>
        <v>Lapp-Against Customer PO</v>
      </c>
    </row>
    <row r="114" spans="1:18" ht="13.5" customHeight="1" x14ac:dyDescent="0.25">
      <c r="A114" s="9">
        <v>46038</v>
      </c>
      <c r="B114" s="10" t="s">
        <v>258</v>
      </c>
      <c r="C114" s="11" t="s">
        <v>139</v>
      </c>
      <c r="D114" s="10" t="s">
        <v>432</v>
      </c>
      <c r="E114" s="12" t="s">
        <v>1072</v>
      </c>
      <c r="F114" s="12" t="s">
        <v>262</v>
      </c>
      <c r="G114" s="13">
        <v>3000</v>
      </c>
      <c r="H114" s="14">
        <v>3000</v>
      </c>
      <c r="I114" s="15">
        <v>258.08</v>
      </c>
      <c r="J114" s="16"/>
      <c r="K114" s="17">
        <v>774240</v>
      </c>
      <c r="L114" s="18">
        <v>46106</v>
      </c>
      <c r="M114" s="6" t="str">
        <f t="shared" si="3"/>
        <v>Due order</v>
      </c>
      <c r="N114" s="8">
        <f t="shared" ca="1" si="4"/>
        <v>-49</v>
      </c>
      <c r="O114" s="8" t="str">
        <f t="shared" ca="1" si="5"/>
        <v>With in 90 days</v>
      </c>
      <c r="P114" t="str">
        <f>VLOOKUP(C114,[1]Customer_Master!$A:$B,2,0)</f>
        <v>Group 1-Giridhar-Peenya</v>
      </c>
      <c r="Q114" t="str">
        <f>VLOOKUP(D114,[2]Template!$A:$D,3,0)</f>
        <v>LAPP</v>
      </c>
      <c r="R114" t="str">
        <f>VLOOKUP(D114,[2]Template!$A:$D,4,0)</f>
        <v>Lapp-Against Customer PO</v>
      </c>
    </row>
    <row r="115" spans="1:18" ht="13.5" customHeight="1" x14ac:dyDescent="0.25">
      <c r="A115" s="9">
        <v>46038</v>
      </c>
      <c r="B115" s="10" t="s">
        <v>258</v>
      </c>
      <c r="C115" s="11" t="s">
        <v>139</v>
      </c>
      <c r="D115" s="10" t="s">
        <v>433</v>
      </c>
      <c r="E115" s="12" t="s">
        <v>1072</v>
      </c>
      <c r="F115" s="12" t="s">
        <v>263</v>
      </c>
      <c r="G115" s="13">
        <v>1700</v>
      </c>
      <c r="H115" s="14">
        <v>1700</v>
      </c>
      <c r="I115" s="15">
        <v>453.8</v>
      </c>
      <c r="J115" s="16"/>
      <c r="K115" s="17">
        <v>771460</v>
      </c>
      <c r="L115" s="18">
        <v>46106</v>
      </c>
      <c r="M115" s="6" t="str">
        <f t="shared" si="3"/>
        <v>Due order</v>
      </c>
      <c r="N115" s="8">
        <f t="shared" ca="1" si="4"/>
        <v>-49</v>
      </c>
      <c r="O115" s="8" t="str">
        <f t="shared" ca="1" si="5"/>
        <v>With in 90 days</v>
      </c>
      <c r="P115" t="str">
        <f>VLOOKUP(C115,[1]Customer_Master!$A:$B,2,0)</f>
        <v>Group 1-Giridhar-Peenya</v>
      </c>
      <c r="Q115" t="str">
        <f>VLOOKUP(D115,[2]Template!$A:$D,3,0)</f>
        <v>LAPP</v>
      </c>
      <c r="R115" t="str">
        <f>VLOOKUP(D115,[2]Template!$A:$D,4,0)</f>
        <v>Lapp-Against Customer PO</v>
      </c>
    </row>
    <row r="116" spans="1:18" ht="13.5" customHeight="1" x14ac:dyDescent="0.25">
      <c r="A116" s="9">
        <v>46038</v>
      </c>
      <c r="B116" s="10" t="s">
        <v>258</v>
      </c>
      <c r="C116" s="11" t="s">
        <v>139</v>
      </c>
      <c r="D116" s="10" t="s">
        <v>434</v>
      </c>
      <c r="E116" s="12" t="s">
        <v>1072</v>
      </c>
      <c r="F116" s="12" t="s">
        <v>264</v>
      </c>
      <c r="G116" s="13">
        <v>750</v>
      </c>
      <c r="H116" s="14">
        <v>750</v>
      </c>
      <c r="I116" s="15">
        <v>67.98</v>
      </c>
      <c r="J116" s="16"/>
      <c r="K116" s="17">
        <v>50985</v>
      </c>
      <c r="L116" s="18">
        <v>46106</v>
      </c>
      <c r="M116" s="6" t="str">
        <f t="shared" si="3"/>
        <v>Due order</v>
      </c>
      <c r="N116" s="8">
        <f t="shared" ca="1" si="4"/>
        <v>-49</v>
      </c>
      <c r="O116" s="8" t="str">
        <f t="shared" ca="1" si="5"/>
        <v>With in 90 days</v>
      </c>
      <c r="P116" t="str">
        <f>VLOOKUP(C116,[1]Customer_Master!$A:$B,2,0)</f>
        <v>Group 1-Giridhar-Peenya</v>
      </c>
      <c r="Q116" t="str">
        <f>VLOOKUP(D116,[2]Template!$A:$D,3,0)</f>
        <v>LAPP</v>
      </c>
      <c r="R116" t="str">
        <f>VLOOKUP(D116,[2]Template!$A:$D,4,0)</f>
        <v>Lapp-Against Customer PO</v>
      </c>
    </row>
    <row r="117" spans="1:18" ht="13.5" customHeight="1" x14ac:dyDescent="0.25">
      <c r="A117" s="9">
        <v>46038</v>
      </c>
      <c r="B117" s="10" t="s">
        <v>258</v>
      </c>
      <c r="C117" s="11" t="s">
        <v>139</v>
      </c>
      <c r="D117" s="10" t="s">
        <v>435</v>
      </c>
      <c r="E117" s="12" t="s">
        <v>1072</v>
      </c>
      <c r="F117" s="12" t="s">
        <v>265</v>
      </c>
      <c r="G117" s="13">
        <v>300</v>
      </c>
      <c r="H117" s="14">
        <v>300</v>
      </c>
      <c r="I117" s="15">
        <v>138.21</v>
      </c>
      <c r="J117" s="16"/>
      <c r="K117" s="17">
        <v>41463</v>
      </c>
      <c r="L117" s="18">
        <v>46106</v>
      </c>
      <c r="M117" s="6" t="str">
        <f t="shared" si="3"/>
        <v>Due order</v>
      </c>
      <c r="N117" s="8">
        <f t="shared" ca="1" si="4"/>
        <v>-49</v>
      </c>
      <c r="O117" s="8" t="str">
        <f t="shared" ca="1" si="5"/>
        <v>With in 90 days</v>
      </c>
      <c r="P117" t="str">
        <f>VLOOKUP(C117,[1]Customer_Master!$A:$B,2,0)</f>
        <v>Group 1-Giridhar-Peenya</v>
      </c>
      <c r="Q117" t="str">
        <f>VLOOKUP(D117,[2]Template!$A:$D,3,0)</f>
        <v>LAPP</v>
      </c>
      <c r="R117" t="str">
        <f>VLOOKUP(D117,[2]Template!$A:$D,4,0)</f>
        <v>Lapp-Against Customer PO</v>
      </c>
    </row>
    <row r="118" spans="1:18" ht="13.5" customHeight="1" x14ac:dyDescent="0.25">
      <c r="A118" s="9">
        <v>46038</v>
      </c>
      <c r="B118" s="10" t="s">
        <v>258</v>
      </c>
      <c r="C118" s="11" t="s">
        <v>139</v>
      </c>
      <c r="D118" s="10" t="s">
        <v>436</v>
      </c>
      <c r="E118" s="12" t="s">
        <v>1072</v>
      </c>
      <c r="F118" s="12" t="s">
        <v>266</v>
      </c>
      <c r="G118" s="13">
        <v>1500</v>
      </c>
      <c r="H118" s="14">
        <v>1500</v>
      </c>
      <c r="I118" s="15">
        <v>320.72000000000003</v>
      </c>
      <c r="J118" s="16"/>
      <c r="K118" s="17">
        <v>481080</v>
      </c>
      <c r="L118" s="18">
        <v>46106</v>
      </c>
      <c r="M118" s="6" t="str">
        <f t="shared" si="3"/>
        <v>Due order</v>
      </c>
      <c r="N118" s="8">
        <f t="shared" ca="1" si="4"/>
        <v>-49</v>
      </c>
      <c r="O118" s="8" t="str">
        <f t="shared" ca="1" si="5"/>
        <v>With in 90 days</v>
      </c>
      <c r="P118" t="str">
        <f>VLOOKUP(C118,[1]Customer_Master!$A:$B,2,0)</f>
        <v>Group 1-Giridhar-Peenya</v>
      </c>
      <c r="Q118" t="str">
        <f>VLOOKUP(D118,[2]Template!$A:$D,3,0)</f>
        <v>LAPP</v>
      </c>
      <c r="R118" t="str">
        <f>VLOOKUP(D118,[2]Template!$A:$D,4,0)</f>
        <v>Lapp-Against Customer PO</v>
      </c>
    </row>
    <row r="119" spans="1:18" ht="13.5" customHeight="1" x14ac:dyDescent="0.25">
      <c r="A119" s="9">
        <v>46038</v>
      </c>
      <c r="B119" s="10" t="s">
        <v>258</v>
      </c>
      <c r="C119" s="11" t="s">
        <v>139</v>
      </c>
      <c r="D119" s="10" t="s">
        <v>437</v>
      </c>
      <c r="E119" s="12" t="s">
        <v>1072</v>
      </c>
      <c r="F119" s="12" t="s">
        <v>267</v>
      </c>
      <c r="G119" s="13">
        <v>400</v>
      </c>
      <c r="H119" s="14">
        <v>400</v>
      </c>
      <c r="I119" s="15">
        <v>89.02</v>
      </c>
      <c r="J119" s="16"/>
      <c r="K119" s="17">
        <v>35608</v>
      </c>
      <c r="L119" s="18">
        <v>46106</v>
      </c>
      <c r="M119" s="6" t="str">
        <f t="shared" si="3"/>
        <v>Due order</v>
      </c>
      <c r="N119" s="8">
        <f t="shared" ca="1" si="4"/>
        <v>-49</v>
      </c>
      <c r="O119" s="8" t="str">
        <f t="shared" ca="1" si="5"/>
        <v>With in 90 days</v>
      </c>
      <c r="P119" t="str">
        <f>VLOOKUP(C119,[1]Customer_Master!$A:$B,2,0)</f>
        <v>Group 1-Giridhar-Peenya</v>
      </c>
      <c r="Q119" t="str">
        <f>VLOOKUP(D119,[2]Template!$A:$D,3,0)</f>
        <v>LAPP</v>
      </c>
      <c r="R119" t="str">
        <f>VLOOKUP(D119,[2]Template!$A:$D,4,0)</f>
        <v>Lapp-Against Customer PO</v>
      </c>
    </row>
    <row r="120" spans="1:18" ht="13.5" customHeight="1" x14ac:dyDescent="0.25">
      <c r="A120" s="9">
        <v>46038</v>
      </c>
      <c r="B120" s="10" t="s">
        <v>258</v>
      </c>
      <c r="C120" s="11" t="s">
        <v>139</v>
      </c>
      <c r="D120" s="10" t="s">
        <v>438</v>
      </c>
      <c r="E120" s="12" t="s">
        <v>1072</v>
      </c>
      <c r="F120" s="12" t="s">
        <v>268</v>
      </c>
      <c r="G120" s="13">
        <v>650</v>
      </c>
      <c r="H120" s="14">
        <v>650</v>
      </c>
      <c r="I120" s="15">
        <v>354.86</v>
      </c>
      <c r="J120" s="16"/>
      <c r="K120" s="17">
        <v>230659</v>
      </c>
      <c r="L120" s="18">
        <v>46106</v>
      </c>
      <c r="M120" s="6" t="str">
        <f t="shared" si="3"/>
        <v>Due order</v>
      </c>
      <c r="N120" s="8">
        <f t="shared" ca="1" si="4"/>
        <v>-49</v>
      </c>
      <c r="O120" s="8" t="str">
        <f t="shared" ca="1" si="5"/>
        <v>With in 90 days</v>
      </c>
      <c r="P120" t="str">
        <f>VLOOKUP(C120,[1]Customer_Master!$A:$B,2,0)</f>
        <v>Group 1-Giridhar-Peenya</v>
      </c>
      <c r="Q120" t="str">
        <f>VLOOKUP(D120,[2]Template!$A:$D,3,0)</f>
        <v>LAPP</v>
      </c>
      <c r="R120" t="str">
        <f>VLOOKUP(D120,[2]Template!$A:$D,4,0)</f>
        <v>Lapp-Against Customer PO</v>
      </c>
    </row>
    <row r="121" spans="1:18" ht="13.5" customHeight="1" x14ac:dyDescent="0.25">
      <c r="A121" s="9">
        <v>46038</v>
      </c>
      <c r="B121" s="10" t="s">
        <v>258</v>
      </c>
      <c r="C121" s="11" t="s">
        <v>139</v>
      </c>
      <c r="D121" s="10" t="s">
        <v>439</v>
      </c>
      <c r="E121" s="12" t="s">
        <v>1072</v>
      </c>
      <c r="F121" s="12" t="s">
        <v>269</v>
      </c>
      <c r="G121" s="13">
        <v>600</v>
      </c>
      <c r="H121" s="14">
        <v>600</v>
      </c>
      <c r="I121" s="15">
        <v>114.3</v>
      </c>
      <c r="J121" s="16"/>
      <c r="K121" s="17">
        <v>68580</v>
      </c>
      <c r="L121" s="18">
        <v>46106</v>
      </c>
      <c r="M121" s="6" t="str">
        <f t="shared" si="3"/>
        <v>Due order</v>
      </c>
      <c r="N121" s="8">
        <f t="shared" ca="1" si="4"/>
        <v>-49</v>
      </c>
      <c r="O121" s="8" t="str">
        <f t="shared" ca="1" si="5"/>
        <v>With in 90 days</v>
      </c>
      <c r="P121" t="str">
        <f>VLOOKUP(C121,[1]Customer_Master!$A:$B,2,0)</f>
        <v>Group 1-Giridhar-Peenya</v>
      </c>
      <c r="Q121" t="str">
        <f>VLOOKUP(D121,[2]Template!$A:$D,3,0)</f>
        <v>LAPP</v>
      </c>
      <c r="R121" t="str">
        <f>VLOOKUP(D121,[2]Template!$A:$D,4,0)</f>
        <v>Lapp-Against Customer PO</v>
      </c>
    </row>
    <row r="122" spans="1:18" ht="13.5" customHeight="1" x14ac:dyDescent="0.25">
      <c r="A122" s="9">
        <v>46038</v>
      </c>
      <c r="B122" s="10" t="s">
        <v>258</v>
      </c>
      <c r="C122" s="11" t="s">
        <v>139</v>
      </c>
      <c r="D122" s="10" t="s">
        <v>440</v>
      </c>
      <c r="E122" s="12" t="s">
        <v>1072</v>
      </c>
      <c r="F122" s="12" t="s">
        <v>270</v>
      </c>
      <c r="G122" s="13">
        <v>2300</v>
      </c>
      <c r="H122" s="14">
        <v>2300</v>
      </c>
      <c r="I122" s="15">
        <v>577.20000000000005</v>
      </c>
      <c r="J122" s="16"/>
      <c r="K122" s="17">
        <v>1327560</v>
      </c>
      <c r="L122" s="18">
        <v>46106</v>
      </c>
      <c r="M122" s="6" t="str">
        <f t="shared" si="3"/>
        <v>Due order</v>
      </c>
      <c r="N122" s="8">
        <f t="shared" ca="1" si="4"/>
        <v>-49</v>
      </c>
      <c r="O122" s="8" t="str">
        <f t="shared" ca="1" si="5"/>
        <v>With in 90 days</v>
      </c>
      <c r="P122" t="str">
        <f>VLOOKUP(C122,[1]Customer_Master!$A:$B,2,0)</f>
        <v>Group 1-Giridhar-Peenya</v>
      </c>
      <c r="Q122" t="str">
        <f>VLOOKUP(D122,[2]Template!$A:$D,3,0)</f>
        <v>LAPP</v>
      </c>
      <c r="R122" t="str">
        <f>VLOOKUP(D122,[2]Template!$A:$D,4,0)</f>
        <v>Lapp-Against Customer PO</v>
      </c>
    </row>
    <row r="123" spans="1:18" ht="13.5" customHeight="1" x14ac:dyDescent="0.25">
      <c r="A123" s="9">
        <v>46038</v>
      </c>
      <c r="B123" s="10" t="s">
        <v>258</v>
      </c>
      <c r="C123" s="11" t="s">
        <v>139</v>
      </c>
      <c r="D123" s="10" t="s">
        <v>441</v>
      </c>
      <c r="E123" s="12" t="s">
        <v>1072</v>
      </c>
      <c r="F123" s="12" t="s">
        <v>271</v>
      </c>
      <c r="G123" s="13">
        <v>750</v>
      </c>
      <c r="H123" s="14">
        <v>750</v>
      </c>
      <c r="I123" s="15">
        <v>837.26</v>
      </c>
      <c r="J123" s="16"/>
      <c r="K123" s="17">
        <v>627945</v>
      </c>
      <c r="L123" s="18">
        <v>46106</v>
      </c>
      <c r="M123" s="6" t="str">
        <f t="shared" si="3"/>
        <v>Due order</v>
      </c>
      <c r="N123" s="8">
        <f t="shared" ca="1" si="4"/>
        <v>-49</v>
      </c>
      <c r="O123" s="8" t="str">
        <f t="shared" ca="1" si="5"/>
        <v>With in 90 days</v>
      </c>
      <c r="P123" t="str">
        <f>VLOOKUP(C123,[1]Customer_Master!$A:$B,2,0)</f>
        <v>Group 1-Giridhar-Peenya</v>
      </c>
      <c r="Q123" t="str">
        <f>VLOOKUP(D123,[2]Template!$A:$D,3,0)</f>
        <v>LAPP</v>
      </c>
      <c r="R123" t="str">
        <f>VLOOKUP(D123,[2]Template!$A:$D,4,0)</f>
        <v>Lapp-Against Customer PO</v>
      </c>
    </row>
    <row r="124" spans="1:18" ht="13.5" customHeight="1" x14ac:dyDescent="0.25">
      <c r="A124" s="9">
        <v>46038</v>
      </c>
      <c r="B124" s="10" t="s">
        <v>258</v>
      </c>
      <c r="C124" s="11" t="s">
        <v>139</v>
      </c>
      <c r="D124" s="10" t="s">
        <v>442</v>
      </c>
      <c r="E124" s="12" t="s">
        <v>1072</v>
      </c>
      <c r="F124" s="12" t="s">
        <v>272</v>
      </c>
      <c r="G124" s="13">
        <v>1700</v>
      </c>
      <c r="H124" s="14">
        <v>1700</v>
      </c>
      <c r="I124" s="15">
        <v>227.86</v>
      </c>
      <c r="J124" s="16"/>
      <c r="K124" s="17">
        <v>387362</v>
      </c>
      <c r="L124" s="18">
        <v>46106</v>
      </c>
      <c r="M124" s="6" t="str">
        <f t="shared" si="3"/>
        <v>Due order</v>
      </c>
      <c r="N124" s="8">
        <f t="shared" ca="1" si="4"/>
        <v>-49</v>
      </c>
      <c r="O124" s="8" t="str">
        <f t="shared" ca="1" si="5"/>
        <v>With in 90 days</v>
      </c>
      <c r="P124" t="str">
        <f>VLOOKUP(C124,[1]Customer_Master!$A:$B,2,0)</f>
        <v>Group 1-Giridhar-Peenya</v>
      </c>
      <c r="Q124" t="str">
        <f>VLOOKUP(D124,[2]Template!$A:$D,3,0)</f>
        <v>LAPP</v>
      </c>
      <c r="R124" t="str">
        <f>VLOOKUP(D124,[2]Template!$A:$D,4,0)</f>
        <v>Lapp-Against Customer PO</v>
      </c>
    </row>
    <row r="125" spans="1:18" ht="13.5" customHeight="1" x14ac:dyDescent="0.25">
      <c r="A125" s="9">
        <v>46038</v>
      </c>
      <c r="B125" s="10" t="s">
        <v>258</v>
      </c>
      <c r="C125" s="11" t="s">
        <v>139</v>
      </c>
      <c r="D125" s="10" t="s">
        <v>443</v>
      </c>
      <c r="E125" s="12" t="s">
        <v>1072</v>
      </c>
      <c r="F125" s="12" t="s">
        <v>273</v>
      </c>
      <c r="G125" s="13">
        <v>1650</v>
      </c>
      <c r="H125" s="14">
        <v>1650</v>
      </c>
      <c r="I125" s="15">
        <v>492.97</v>
      </c>
      <c r="J125" s="16"/>
      <c r="K125" s="17">
        <v>813400.5</v>
      </c>
      <c r="L125" s="18">
        <v>46106</v>
      </c>
      <c r="M125" s="6" t="str">
        <f t="shared" si="3"/>
        <v>Due order</v>
      </c>
      <c r="N125" s="8">
        <f t="shared" ca="1" si="4"/>
        <v>-49</v>
      </c>
      <c r="O125" s="8" t="str">
        <f t="shared" ca="1" si="5"/>
        <v>With in 90 days</v>
      </c>
      <c r="P125" t="str">
        <f>VLOOKUP(C125,[1]Customer_Master!$A:$B,2,0)</f>
        <v>Group 1-Giridhar-Peenya</v>
      </c>
      <c r="Q125" t="str">
        <f>VLOOKUP(D125,[2]Template!$A:$D,3,0)</f>
        <v>LAPP</v>
      </c>
      <c r="R125" t="str">
        <f>VLOOKUP(D125,[2]Template!$A:$D,4,0)</f>
        <v>Lapp-Against Customer PO</v>
      </c>
    </row>
    <row r="126" spans="1:18" ht="13.5" customHeight="1" x14ac:dyDescent="0.25">
      <c r="A126" s="9">
        <v>46038</v>
      </c>
      <c r="B126" s="10" t="s">
        <v>258</v>
      </c>
      <c r="C126" s="11" t="s">
        <v>139</v>
      </c>
      <c r="D126" s="10" t="s">
        <v>444</v>
      </c>
      <c r="E126" s="12" t="s">
        <v>1072</v>
      </c>
      <c r="F126" s="12" t="s">
        <v>274</v>
      </c>
      <c r="G126" s="13">
        <v>7500</v>
      </c>
      <c r="H126" s="14">
        <v>7500</v>
      </c>
      <c r="I126" s="15">
        <v>346.84</v>
      </c>
      <c r="J126" s="16"/>
      <c r="K126" s="17">
        <v>2601300</v>
      </c>
      <c r="L126" s="18">
        <v>46106</v>
      </c>
      <c r="M126" s="6" t="str">
        <f t="shared" si="3"/>
        <v>Due order</v>
      </c>
      <c r="N126" s="8">
        <f t="shared" ca="1" si="4"/>
        <v>-49</v>
      </c>
      <c r="O126" s="8" t="str">
        <f t="shared" ca="1" si="5"/>
        <v>With in 90 days</v>
      </c>
      <c r="P126" t="str">
        <f>VLOOKUP(C126,[1]Customer_Master!$A:$B,2,0)</f>
        <v>Group 1-Giridhar-Peenya</v>
      </c>
      <c r="Q126" t="str">
        <f>VLOOKUP(D126,[2]Template!$A:$D,3,0)</f>
        <v>LAPP</v>
      </c>
      <c r="R126" t="str">
        <f>VLOOKUP(D126,[2]Template!$A:$D,4,0)</f>
        <v>Lapp-Against Customer PO</v>
      </c>
    </row>
    <row r="127" spans="1:18" ht="13.5" customHeight="1" x14ac:dyDescent="0.25">
      <c r="A127" s="9">
        <v>46038</v>
      </c>
      <c r="B127" s="10" t="s">
        <v>258</v>
      </c>
      <c r="C127" s="11" t="s">
        <v>139</v>
      </c>
      <c r="D127" s="10" t="s">
        <v>445</v>
      </c>
      <c r="E127" s="12" t="s">
        <v>1072</v>
      </c>
      <c r="F127" s="12" t="s">
        <v>275</v>
      </c>
      <c r="G127" s="13">
        <v>1100</v>
      </c>
      <c r="H127" s="14">
        <v>1100</v>
      </c>
      <c r="I127" s="15">
        <v>665.79</v>
      </c>
      <c r="J127" s="16"/>
      <c r="K127" s="17">
        <v>732369</v>
      </c>
      <c r="L127" s="18">
        <v>46106</v>
      </c>
      <c r="M127" s="6" t="str">
        <f t="shared" si="3"/>
        <v>Due order</v>
      </c>
      <c r="N127" s="8">
        <f t="shared" ca="1" si="4"/>
        <v>-49</v>
      </c>
      <c r="O127" s="8" t="str">
        <f t="shared" ca="1" si="5"/>
        <v>With in 90 days</v>
      </c>
      <c r="P127" t="str">
        <f>VLOOKUP(C127,[1]Customer_Master!$A:$B,2,0)</f>
        <v>Group 1-Giridhar-Peenya</v>
      </c>
      <c r="Q127" t="str">
        <f>VLOOKUP(D127,[2]Template!$A:$D,3,0)</f>
        <v>LAPP</v>
      </c>
      <c r="R127" t="str">
        <f>VLOOKUP(D127,[2]Template!$A:$D,4,0)</f>
        <v>Lapp-Against Customer PO</v>
      </c>
    </row>
    <row r="128" spans="1:18" ht="13.5" customHeight="1" x14ac:dyDescent="0.25">
      <c r="A128" s="9">
        <v>46042</v>
      </c>
      <c r="B128" s="10" t="s">
        <v>276</v>
      </c>
      <c r="C128" s="11" t="s">
        <v>127</v>
      </c>
      <c r="D128" s="27" t="s">
        <v>447</v>
      </c>
      <c r="E128" s="12" t="s">
        <v>1072</v>
      </c>
      <c r="F128" s="26" t="s">
        <v>277</v>
      </c>
      <c r="G128" s="19">
        <v>100</v>
      </c>
      <c r="H128" s="20">
        <v>100</v>
      </c>
      <c r="I128" s="15">
        <v>56.82</v>
      </c>
      <c r="J128" s="21">
        <v>35</v>
      </c>
      <c r="K128" s="17">
        <v>3693.3</v>
      </c>
      <c r="L128" s="18">
        <v>46042</v>
      </c>
      <c r="M128" s="6" t="str">
        <f t="shared" si="3"/>
        <v>Due order</v>
      </c>
      <c r="N128" s="8">
        <f t="shared" ca="1" si="4"/>
        <v>-113</v>
      </c>
      <c r="O128" s="8" t="str">
        <f t="shared" ca="1" si="5"/>
        <v>More than 90 day old</v>
      </c>
      <c r="P128" t="str">
        <f>VLOOKUP(C128,[1]Customer_Master!$A:$B,2,0)</f>
        <v>Group 1-Giridhar-Peenya</v>
      </c>
      <c r="Q128" t="str">
        <f>VLOOKUP(D128,[2]Template!$A:$D,3,0)</f>
        <v>LAPP</v>
      </c>
      <c r="R128" t="str">
        <f>VLOOKUP(D128,[2]Template!$A:$D,4,0)</f>
        <v>Lapp-Non Moving Stocks</v>
      </c>
    </row>
    <row r="129" spans="1:18" ht="13.5" customHeight="1" x14ac:dyDescent="0.25">
      <c r="A129" s="9">
        <v>46046</v>
      </c>
      <c r="B129" s="10" t="s">
        <v>280</v>
      </c>
      <c r="C129" s="11" t="s">
        <v>139</v>
      </c>
      <c r="D129" s="10" t="s">
        <v>453</v>
      </c>
      <c r="E129" s="12" t="s">
        <v>1072</v>
      </c>
      <c r="F129" s="12" t="s">
        <v>281</v>
      </c>
      <c r="G129" s="13">
        <v>600</v>
      </c>
      <c r="H129" s="14">
        <v>600</v>
      </c>
      <c r="I129" s="15">
        <v>495.15</v>
      </c>
      <c r="J129" s="16"/>
      <c r="K129" s="17">
        <v>297090</v>
      </c>
      <c r="L129" s="18">
        <v>46081</v>
      </c>
      <c r="M129" s="6" t="str">
        <f t="shared" si="3"/>
        <v>Due order</v>
      </c>
      <c r="N129" s="8">
        <f t="shared" ca="1" si="4"/>
        <v>-74</v>
      </c>
      <c r="O129" s="8" t="str">
        <f t="shared" ca="1" si="5"/>
        <v>With in 90 days</v>
      </c>
      <c r="P129" t="str">
        <f>VLOOKUP(C129,[1]Customer_Master!$A:$B,2,0)</f>
        <v>Group 1-Giridhar-Peenya</v>
      </c>
      <c r="Q129" t="str">
        <f>VLOOKUP(D129,[2]Template!$A:$D,3,0)</f>
        <v>LAPP</v>
      </c>
      <c r="R129" t="str">
        <f>VLOOKUP(D129,[2]Template!$A:$D,4,0)</f>
        <v>Lapp-Non Moving Stocks</v>
      </c>
    </row>
    <row r="130" spans="1:18" ht="13.5" customHeight="1" x14ac:dyDescent="0.25">
      <c r="A130" s="9">
        <v>46049</v>
      </c>
      <c r="B130" s="10" t="s">
        <v>282</v>
      </c>
      <c r="C130" s="11" t="s">
        <v>76</v>
      </c>
      <c r="D130" s="10" t="s">
        <v>364</v>
      </c>
      <c r="E130" s="12" t="s">
        <v>1072</v>
      </c>
      <c r="F130" s="12" t="s">
        <v>102</v>
      </c>
      <c r="G130" s="19">
        <v>10</v>
      </c>
      <c r="H130" s="20">
        <v>10</v>
      </c>
      <c r="I130" s="15">
        <v>496</v>
      </c>
      <c r="J130" s="16"/>
      <c r="K130" s="17">
        <v>4960</v>
      </c>
      <c r="L130" s="18">
        <v>46174</v>
      </c>
      <c r="M130" s="6" t="str">
        <f t="shared" si="3"/>
        <v>Schedule order</v>
      </c>
      <c r="N130" s="8">
        <f t="shared" ca="1" si="4"/>
        <v>19</v>
      </c>
      <c r="O130" s="8" t="str">
        <f t="shared" ca="1" si="5"/>
        <v>Lattest or shedule order</v>
      </c>
      <c r="P130" t="str">
        <f>VLOOKUP(C130,[1]Customer_Master!$A:$B,2,0)</f>
        <v>Group 1-Giridhar-Peenya</v>
      </c>
      <c r="Q130" t="str">
        <f>VLOOKUP(D130,[2]Template!$A:$D,3,0)</f>
        <v>EATON</v>
      </c>
      <c r="R130" t="str">
        <f>VLOOKUP(D130,[2]Template!$A:$D,4,0)</f>
        <v>Eaton-Biesse</v>
      </c>
    </row>
    <row r="131" spans="1:18" ht="13.5" customHeight="1" x14ac:dyDescent="0.25">
      <c r="A131" s="9">
        <v>46049</v>
      </c>
      <c r="B131" s="10" t="s">
        <v>282</v>
      </c>
      <c r="C131" s="11" t="s">
        <v>76</v>
      </c>
      <c r="D131" s="10" t="s">
        <v>343</v>
      </c>
      <c r="E131" s="12" t="s">
        <v>1072</v>
      </c>
      <c r="F131" s="12" t="s">
        <v>111</v>
      </c>
      <c r="G131" s="19">
        <v>100</v>
      </c>
      <c r="H131" s="20">
        <v>100</v>
      </c>
      <c r="I131" s="15">
        <v>48</v>
      </c>
      <c r="J131" s="16"/>
      <c r="K131" s="17">
        <v>4800</v>
      </c>
      <c r="L131" s="18">
        <v>46196</v>
      </c>
      <c r="M131" s="6" t="str">
        <f t="shared" ref="M131:M194" si="6">IF(L131&lt;DATE(2026,4,30),"Due order","Schedule order")</f>
        <v>Schedule order</v>
      </c>
      <c r="N131" s="8">
        <f t="shared" ref="N131:N194" ca="1" si="7">L131-TODAY()</f>
        <v>41</v>
      </c>
      <c r="O131" s="8" t="str">
        <f t="shared" ref="O131:O194" ca="1" si="8">IF(N131&lt;-365,"More than 1 Year old",IF(N131&lt;-180," More than 180 days old",IF(N131&lt;-90,"More than 90 day old",IF(N131&lt;0,"With in 90 days","Lattest or shedule order"))))</f>
        <v>Lattest or shedule order</v>
      </c>
      <c r="P131" t="str">
        <f>VLOOKUP(C131,[1]Customer_Master!$A:$B,2,0)</f>
        <v>Group 1-Giridhar-Peenya</v>
      </c>
      <c r="Q131" t="str">
        <f>VLOOKUP(D131,[2]Template!$A:$D,3,0)</f>
        <v>EATON</v>
      </c>
      <c r="R131" t="str">
        <f>VLOOKUP(D131,[2]Template!$A:$D,4,0)</f>
        <v>Eaton-Biesse</v>
      </c>
    </row>
    <row r="132" spans="1:18" ht="13.5" customHeight="1" x14ac:dyDescent="0.25">
      <c r="A132" s="9">
        <v>46049</v>
      </c>
      <c r="B132" s="10" t="s">
        <v>282</v>
      </c>
      <c r="C132" s="11" t="s">
        <v>76</v>
      </c>
      <c r="D132" s="10" t="s">
        <v>327</v>
      </c>
      <c r="E132" s="12" t="s">
        <v>1072</v>
      </c>
      <c r="F132" s="12" t="s">
        <v>81</v>
      </c>
      <c r="G132" s="19">
        <v>20</v>
      </c>
      <c r="H132" s="20">
        <v>20</v>
      </c>
      <c r="I132" s="15">
        <v>1811</v>
      </c>
      <c r="J132" s="16"/>
      <c r="K132" s="17">
        <v>36220</v>
      </c>
      <c r="L132" s="18">
        <v>46199</v>
      </c>
      <c r="M132" s="6" t="str">
        <f t="shared" si="6"/>
        <v>Schedule order</v>
      </c>
      <c r="N132" s="8">
        <f t="shared" ca="1" si="7"/>
        <v>44</v>
      </c>
      <c r="O132" s="8" t="str">
        <f t="shared" ca="1" si="8"/>
        <v>Lattest or shedule order</v>
      </c>
      <c r="P132" t="str">
        <f>VLOOKUP(C132,[1]Customer_Master!$A:$B,2,0)</f>
        <v>Group 1-Giridhar-Peenya</v>
      </c>
      <c r="Q132" t="str">
        <f>VLOOKUP(D132,[2]Template!$A:$D,3,0)</f>
        <v>EATON</v>
      </c>
      <c r="R132" t="str">
        <f>VLOOKUP(D132,[2]Template!$A:$D,4,0)</f>
        <v>Eaton-Biesse</v>
      </c>
    </row>
    <row r="133" spans="1:18" ht="13.5" customHeight="1" x14ac:dyDescent="0.25">
      <c r="A133" s="9">
        <v>46049</v>
      </c>
      <c r="B133" s="10" t="s">
        <v>282</v>
      </c>
      <c r="C133" s="11" t="s">
        <v>76</v>
      </c>
      <c r="D133" s="10" t="s">
        <v>332</v>
      </c>
      <c r="E133" s="12" t="s">
        <v>1072</v>
      </c>
      <c r="F133" s="12" t="s">
        <v>105</v>
      </c>
      <c r="G133" s="19">
        <v>10</v>
      </c>
      <c r="H133" s="20">
        <v>10</v>
      </c>
      <c r="I133" s="15">
        <v>1210</v>
      </c>
      <c r="J133" s="16"/>
      <c r="K133" s="17">
        <v>12100</v>
      </c>
      <c r="L133" s="18">
        <v>46199</v>
      </c>
      <c r="M133" s="6" t="str">
        <f t="shared" si="6"/>
        <v>Schedule order</v>
      </c>
      <c r="N133" s="8">
        <f t="shared" ca="1" si="7"/>
        <v>44</v>
      </c>
      <c r="O133" s="8" t="str">
        <f t="shared" ca="1" si="8"/>
        <v>Lattest or shedule order</v>
      </c>
      <c r="P133" t="str">
        <f>VLOOKUP(C133,[1]Customer_Master!$A:$B,2,0)</f>
        <v>Group 1-Giridhar-Peenya</v>
      </c>
      <c r="Q133" t="str">
        <f>VLOOKUP(D133,[2]Template!$A:$D,3,0)</f>
        <v>EATON</v>
      </c>
      <c r="R133" t="str">
        <f>VLOOKUP(D133,[2]Template!$A:$D,4,0)</f>
        <v>Eaton-Biesse</v>
      </c>
    </row>
    <row r="134" spans="1:18" ht="13.5" customHeight="1" x14ac:dyDescent="0.25">
      <c r="A134" s="9">
        <v>46049</v>
      </c>
      <c r="B134" s="10" t="s">
        <v>282</v>
      </c>
      <c r="C134" s="11" t="s">
        <v>76</v>
      </c>
      <c r="D134" s="10" t="s">
        <v>367</v>
      </c>
      <c r="E134" s="12" t="s">
        <v>1072</v>
      </c>
      <c r="F134" s="12" t="s">
        <v>106</v>
      </c>
      <c r="G134" s="19">
        <v>100</v>
      </c>
      <c r="H134" s="20">
        <v>100</v>
      </c>
      <c r="I134" s="15">
        <v>118</v>
      </c>
      <c r="J134" s="16"/>
      <c r="K134" s="17">
        <v>11800</v>
      </c>
      <c r="L134" s="18">
        <v>46181</v>
      </c>
      <c r="M134" s="6" t="str">
        <f t="shared" si="6"/>
        <v>Schedule order</v>
      </c>
      <c r="N134" s="8">
        <f t="shared" ca="1" si="7"/>
        <v>26</v>
      </c>
      <c r="O134" s="8" t="str">
        <f t="shared" ca="1" si="8"/>
        <v>Lattest or shedule order</v>
      </c>
      <c r="P134" t="str">
        <f>VLOOKUP(C134,[1]Customer_Master!$A:$B,2,0)</f>
        <v>Group 1-Giridhar-Peenya</v>
      </c>
      <c r="Q134" t="str">
        <f>VLOOKUP(D134,[2]Template!$A:$D,3,0)</f>
        <v>EATON</v>
      </c>
      <c r="R134" t="str">
        <f>VLOOKUP(D134,[2]Template!$A:$D,4,0)</f>
        <v>Eaton-Biesse</v>
      </c>
    </row>
    <row r="135" spans="1:18" ht="13.5" customHeight="1" x14ac:dyDescent="0.25">
      <c r="A135" s="9">
        <v>46049</v>
      </c>
      <c r="B135" s="10" t="s">
        <v>282</v>
      </c>
      <c r="C135" s="11" t="s">
        <v>76</v>
      </c>
      <c r="D135" s="10" t="s">
        <v>344</v>
      </c>
      <c r="E135" s="12" t="s">
        <v>1072</v>
      </c>
      <c r="F135" s="12" t="s">
        <v>107</v>
      </c>
      <c r="G135" s="19">
        <v>100</v>
      </c>
      <c r="H135" s="20">
        <v>100</v>
      </c>
      <c r="I135" s="15">
        <v>48</v>
      </c>
      <c r="J135" s="16"/>
      <c r="K135" s="17">
        <v>4800</v>
      </c>
      <c r="L135" s="18">
        <v>46181</v>
      </c>
      <c r="M135" s="6" t="str">
        <f t="shared" si="6"/>
        <v>Schedule order</v>
      </c>
      <c r="N135" s="8">
        <f t="shared" ca="1" si="7"/>
        <v>26</v>
      </c>
      <c r="O135" s="8" t="str">
        <f t="shared" ca="1" si="8"/>
        <v>Lattest or shedule order</v>
      </c>
      <c r="P135" t="str">
        <f>VLOOKUP(C135,[1]Customer_Master!$A:$B,2,0)</f>
        <v>Group 1-Giridhar-Peenya</v>
      </c>
      <c r="Q135" t="str">
        <f>VLOOKUP(D135,[2]Template!$A:$D,3,0)</f>
        <v>EATON</v>
      </c>
      <c r="R135" t="str">
        <f>VLOOKUP(D135,[2]Template!$A:$D,4,0)</f>
        <v>Eaton-Biesse</v>
      </c>
    </row>
    <row r="136" spans="1:18" ht="13.5" customHeight="1" x14ac:dyDescent="0.25">
      <c r="A136" s="9">
        <v>46049</v>
      </c>
      <c r="B136" s="10" t="s">
        <v>282</v>
      </c>
      <c r="C136" s="11" t="s">
        <v>76</v>
      </c>
      <c r="D136" s="10" t="s">
        <v>345</v>
      </c>
      <c r="E136" s="12" t="s">
        <v>1072</v>
      </c>
      <c r="F136" s="12" t="s">
        <v>108</v>
      </c>
      <c r="G136" s="19">
        <v>100</v>
      </c>
      <c r="H136" s="20">
        <v>100</v>
      </c>
      <c r="I136" s="15">
        <v>48</v>
      </c>
      <c r="J136" s="16"/>
      <c r="K136" s="17">
        <v>4800</v>
      </c>
      <c r="L136" s="18">
        <v>46177</v>
      </c>
      <c r="M136" s="6" t="str">
        <f t="shared" si="6"/>
        <v>Schedule order</v>
      </c>
      <c r="N136" s="8">
        <f t="shared" ca="1" si="7"/>
        <v>22</v>
      </c>
      <c r="O136" s="8" t="str">
        <f t="shared" ca="1" si="8"/>
        <v>Lattest or shedule order</v>
      </c>
      <c r="P136" t="str">
        <f>VLOOKUP(C136,[1]Customer_Master!$A:$B,2,0)</f>
        <v>Group 1-Giridhar-Peenya</v>
      </c>
      <c r="Q136" t="str">
        <f>VLOOKUP(D136,[2]Template!$A:$D,3,0)</f>
        <v>EATON</v>
      </c>
      <c r="R136" t="str">
        <f>VLOOKUP(D136,[2]Template!$A:$D,4,0)</f>
        <v>Eaton-Biesse</v>
      </c>
    </row>
    <row r="137" spans="1:18" ht="13.5" customHeight="1" x14ac:dyDescent="0.25">
      <c r="A137" s="9">
        <v>46049</v>
      </c>
      <c r="B137" s="10" t="s">
        <v>282</v>
      </c>
      <c r="C137" s="11" t="s">
        <v>76</v>
      </c>
      <c r="D137" s="10" t="s">
        <v>328</v>
      </c>
      <c r="E137" s="12" t="s">
        <v>1072</v>
      </c>
      <c r="F137" s="12" t="s">
        <v>82</v>
      </c>
      <c r="G137" s="19">
        <v>35</v>
      </c>
      <c r="H137" s="20">
        <v>35</v>
      </c>
      <c r="I137" s="15">
        <v>1764</v>
      </c>
      <c r="J137" s="16"/>
      <c r="K137" s="17">
        <v>61740</v>
      </c>
      <c r="L137" s="18">
        <v>46182</v>
      </c>
      <c r="M137" s="6" t="str">
        <f t="shared" si="6"/>
        <v>Schedule order</v>
      </c>
      <c r="N137" s="8">
        <f t="shared" ca="1" si="7"/>
        <v>27</v>
      </c>
      <c r="O137" s="8" t="str">
        <f t="shared" ca="1" si="8"/>
        <v>Lattest or shedule order</v>
      </c>
      <c r="P137" t="str">
        <f>VLOOKUP(C137,[1]Customer_Master!$A:$B,2,0)</f>
        <v>Group 1-Giridhar-Peenya</v>
      </c>
      <c r="Q137" t="str">
        <f>VLOOKUP(D137,[2]Template!$A:$D,3,0)</f>
        <v>EATON</v>
      </c>
      <c r="R137" t="str">
        <f>VLOOKUP(D137,[2]Template!$A:$D,4,0)</f>
        <v>Eaton-Biesse</v>
      </c>
    </row>
    <row r="138" spans="1:18" ht="13.5" customHeight="1" x14ac:dyDescent="0.25">
      <c r="A138" s="9">
        <v>46049</v>
      </c>
      <c r="B138" s="10" t="s">
        <v>282</v>
      </c>
      <c r="C138" s="11" t="s">
        <v>76</v>
      </c>
      <c r="D138" s="10" t="s">
        <v>329</v>
      </c>
      <c r="E138" s="12" t="s">
        <v>1072</v>
      </c>
      <c r="F138" s="12" t="s">
        <v>109</v>
      </c>
      <c r="G138" s="19">
        <v>20</v>
      </c>
      <c r="H138" s="20">
        <v>20</v>
      </c>
      <c r="I138" s="15">
        <v>372</v>
      </c>
      <c r="J138" s="16"/>
      <c r="K138" s="17">
        <v>7440</v>
      </c>
      <c r="L138" s="18">
        <v>46202</v>
      </c>
      <c r="M138" s="6" t="str">
        <f t="shared" si="6"/>
        <v>Schedule order</v>
      </c>
      <c r="N138" s="8">
        <f t="shared" ca="1" si="7"/>
        <v>47</v>
      </c>
      <c r="O138" s="8" t="str">
        <f t="shared" ca="1" si="8"/>
        <v>Lattest or shedule order</v>
      </c>
      <c r="P138" t="str">
        <f>VLOOKUP(C138,[1]Customer_Master!$A:$B,2,0)</f>
        <v>Group 1-Giridhar-Peenya</v>
      </c>
      <c r="Q138" t="str">
        <f>VLOOKUP(D138,[2]Template!$A:$D,3,0)</f>
        <v>EATON</v>
      </c>
      <c r="R138" t="str">
        <f>VLOOKUP(D138,[2]Template!$A:$D,4,0)</f>
        <v>Eaton-Biesse</v>
      </c>
    </row>
    <row r="139" spans="1:18" ht="13.5" customHeight="1" x14ac:dyDescent="0.25">
      <c r="A139" s="9">
        <v>46049</v>
      </c>
      <c r="B139" s="10" t="s">
        <v>282</v>
      </c>
      <c r="C139" s="11" t="s">
        <v>76</v>
      </c>
      <c r="D139" s="10" t="s">
        <v>330</v>
      </c>
      <c r="E139" s="12" t="s">
        <v>1072</v>
      </c>
      <c r="F139" s="12" t="s">
        <v>110</v>
      </c>
      <c r="G139" s="19">
        <v>100</v>
      </c>
      <c r="H139" s="20">
        <v>100</v>
      </c>
      <c r="I139" s="15">
        <v>48</v>
      </c>
      <c r="J139" s="16"/>
      <c r="K139" s="17">
        <v>4800</v>
      </c>
      <c r="L139" s="18">
        <v>46181</v>
      </c>
      <c r="M139" s="6" t="str">
        <f t="shared" si="6"/>
        <v>Schedule order</v>
      </c>
      <c r="N139" s="8">
        <f t="shared" ca="1" si="7"/>
        <v>26</v>
      </c>
      <c r="O139" s="8" t="str">
        <f t="shared" ca="1" si="8"/>
        <v>Lattest or shedule order</v>
      </c>
      <c r="P139" t="str">
        <f>VLOOKUP(C139,[1]Customer_Master!$A:$B,2,0)</f>
        <v>Group 1-Giridhar-Peenya</v>
      </c>
      <c r="Q139" t="str">
        <f>VLOOKUP(D139,[2]Template!$A:$D,3,0)</f>
        <v>EATON</v>
      </c>
      <c r="R139" t="str">
        <f>VLOOKUP(D139,[2]Template!$A:$D,4,0)</f>
        <v>Eaton-Biesse</v>
      </c>
    </row>
    <row r="140" spans="1:18" ht="13.5" customHeight="1" x14ac:dyDescent="0.25">
      <c r="A140" s="9">
        <v>46050</v>
      </c>
      <c r="B140" s="10" t="s">
        <v>901</v>
      </c>
      <c r="C140" s="11" t="s">
        <v>902</v>
      </c>
      <c r="D140" s="10" t="s">
        <v>448</v>
      </c>
      <c r="E140" s="12" t="s">
        <v>1072</v>
      </c>
      <c r="F140" s="12" t="s">
        <v>183</v>
      </c>
      <c r="G140" s="13">
        <v>50</v>
      </c>
      <c r="H140" s="14">
        <v>50</v>
      </c>
      <c r="I140" s="15">
        <v>89.2</v>
      </c>
      <c r="J140" s="16"/>
      <c r="K140" s="17">
        <v>4460</v>
      </c>
      <c r="L140" s="18">
        <v>46050</v>
      </c>
      <c r="M140" s="6" t="str">
        <f t="shared" si="6"/>
        <v>Due order</v>
      </c>
      <c r="N140" s="8">
        <f t="shared" ca="1" si="7"/>
        <v>-105</v>
      </c>
      <c r="O140" s="8" t="str">
        <f t="shared" ca="1" si="8"/>
        <v>More than 90 day old</v>
      </c>
      <c r="P140" t="str">
        <f>VLOOKUP(C140,[1]Customer_Master!$A:$B,2,0)</f>
        <v>Online Business</v>
      </c>
      <c r="Q140" t="str">
        <f>VLOOKUP(D140,[2]Template!$A:$D,3,0)</f>
        <v>LAPP</v>
      </c>
      <c r="R140" t="str">
        <f>VLOOKUP(D140,[2]Template!$A:$D,4,0)</f>
        <v>Lapp-Planned Stock General</v>
      </c>
    </row>
    <row r="141" spans="1:18" ht="13.5" customHeight="1" x14ac:dyDescent="0.25">
      <c r="A141" s="9">
        <v>46051</v>
      </c>
      <c r="B141" s="10" t="s">
        <v>286</v>
      </c>
      <c r="C141" s="11" t="s">
        <v>31</v>
      </c>
      <c r="D141" s="10" t="s">
        <v>457</v>
      </c>
      <c r="E141" s="12" t="s">
        <v>1072</v>
      </c>
      <c r="F141" s="12" t="s">
        <v>287</v>
      </c>
      <c r="G141" s="13">
        <v>500</v>
      </c>
      <c r="H141" s="14">
        <v>500</v>
      </c>
      <c r="I141" s="15">
        <v>273</v>
      </c>
      <c r="J141" s="16"/>
      <c r="K141" s="17">
        <v>136500</v>
      </c>
      <c r="L141" s="18">
        <v>46150</v>
      </c>
      <c r="M141" s="6" t="str">
        <f t="shared" si="6"/>
        <v>Schedule order</v>
      </c>
      <c r="N141" s="8">
        <f t="shared" ca="1" si="7"/>
        <v>-5</v>
      </c>
      <c r="O141" s="8" t="str">
        <f t="shared" ca="1" si="8"/>
        <v>With in 90 days</v>
      </c>
      <c r="P141" t="str">
        <f>VLOOKUP(C141,[1]Customer_Master!$A:$B,2,0)</f>
        <v>Group 1-Giridhar-Peenya</v>
      </c>
      <c r="Q141" t="str">
        <f>VLOOKUP(D141,[2]Template!$A:$D,3,0)</f>
        <v>LAPP</v>
      </c>
      <c r="R141" t="str">
        <f>VLOOKUP(D141,[2]Template!$A:$D,4,0)</f>
        <v>Lapp-TD Power</v>
      </c>
    </row>
    <row r="142" spans="1:18" ht="13.5" customHeight="1" x14ac:dyDescent="0.25">
      <c r="A142" s="9">
        <v>46051</v>
      </c>
      <c r="B142" s="10" t="s">
        <v>286</v>
      </c>
      <c r="C142" s="11" t="s">
        <v>31</v>
      </c>
      <c r="D142" s="10" t="s">
        <v>407</v>
      </c>
      <c r="E142" s="12" t="s">
        <v>1072</v>
      </c>
      <c r="F142" s="12" t="s">
        <v>149</v>
      </c>
      <c r="G142" s="13">
        <v>500</v>
      </c>
      <c r="H142" s="14">
        <v>400</v>
      </c>
      <c r="I142" s="15">
        <v>39.57</v>
      </c>
      <c r="J142" s="16"/>
      <c r="K142" s="17">
        <v>15828</v>
      </c>
      <c r="L142" s="18">
        <v>46150</v>
      </c>
      <c r="M142" s="6" t="str">
        <f t="shared" si="6"/>
        <v>Schedule order</v>
      </c>
      <c r="N142" s="8">
        <f t="shared" ca="1" si="7"/>
        <v>-5</v>
      </c>
      <c r="O142" s="8" t="str">
        <f t="shared" ca="1" si="8"/>
        <v>With in 90 days</v>
      </c>
      <c r="P142" t="str">
        <f>VLOOKUP(C142,[1]Customer_Master!$A:$B,2,0)</f>
        <v>Group 1-Giridhar-Peenya</v>
      </c>
      <c r="Q142" t="str">
        <f>VLOOKUP(D142,[2]Template!$A:$D,3,0)</f>
        <v>LAPP</v>
      </c>
      <c r="R142" t="str">
        <f>VLOOKUP(D142,[2]Template!$A:$D,4,0)</f>
        <v>Lapp-TD Power</v>
      </c>
    </row>
    <row r="143" spans="1:18" ht="13.5" customHeight="1" x14ac:dyDescent="0.25">
      <c r="A143" s="9">
        <v>46051</v>
      </c>
      <c r="B143" s="10" t="s">
        <v>286</v>
      </c>
      <c r="C143" s="11" t="s">
        <v>31</v>
      </c>
      <c r="D143" s="27" t="s">
        <v>408</v>
      </c>
      <c r="E143" s="12" t="s">
        <v>1072</v>
      </c>
      <c r="F143" s="26" t="s">
        <v>150</v>
      </c>
      <c r="G143" s="13">
        <v>500</v>
      </c>
      <c r="H143" s="14">
        <v>500</v>
      </c>
      <c r="I143" s="15">
        <v>367.31</v>
      </c>
      <c r="J143" s="16"/>
      <c r="K143" s="17">
        <v>183655</v>
      </c>
      <c r="L143" s="18">
        <v>46150</v>
      </c>
      <c r="M143" s="6" t="str">
        <f t="shared" si="6"/>
        <v>Schedule order</v>
      </c>
      <c r="N143" s="8">
        <f t="shared" ca="1" si="7"/>
        <v>-5</v>
      </c>
      <c r="O143" s="8" t="str">
        <f t="shared" ca="1" si="8"/>
        <v>With in 90 days</v>
      </c>
      <c r="P143" t="str">
        <f>VLOOKUP(C143,[1]Customer_Master!$A:$B,2,0)</f>
        <v>Group 1-Giridhar-Peenya</v>
      </c>
      <c r="Q143" t="str">
        <f>VLOOKUP(D143,[2]Template!$A:$D,3,0)</f>
        <v>LAPP</v>
      </c>
      <c r="R143" t="str">
        <f>VLOOKUP(D143,[2]Template!$A:$D,4,0)</f>
        <v>Lapp-TD Power</v>
      </c>
    </row>
    <row r="144" spans="1:18" ht="13.5" customHeight="1" x14ac:dyDescent="0.25">
      <c r="A144" s="9">
        <v>46051</v>
      </c>
      <c r="B144" s="10" t="s">
        <v>286</v>
      </c>
      <c r="C144" s="11" t="s">
        <v>31</v>
      </c>
      <c r="D144" s="27" t="s">
        <v>321</v>
      </c>
      <c r="E144" s="12" t="s">
        <v>1072</v>
      </c>
      <c r="F144" s="12" t="s">
        <v>74</v>
      </c>
      <c r="G144" s="13">
        <v>500</v>
      </c>
      <c r="H144" s="14">
        <v>500</v>
      </c>
      <c r="I144" s="15">
        <v>301.32</v>
      </c>
      <c r="J144" s="16"/>
      <c r="K144" s="17">
        <v>150660</v>
      </c>
      <c r="L144" s="18">
        <v>46150</v>
      </c>
      <c r="M144" s="6" t="str">
        <f t="shared" si="6"/>
        <v>Schedule order</v>
      </c>
      <c r="N144" s="8">
        <f t="shared" ca="1" si="7"/>
        <v>-5</v>
      </c>
      <c r="O144" s="8" t="str">
        <f t="shared" ca="1" si="8"/>
        <v>With in 90 days</v>
      </c>
      <c r="P144" t="str">
        <f>VLOOKUP(C144,[1]Customer_Master!$A:$B,2,0)</f>
        <v>Group 1-Giridhar-Peenya</v>
      </c>
      <c r="Q144" t="str">
        <f>VLOOKUP(D144,[2]Template!$A:$D,3,0)</f>
        <v>LAPP</v>
      </c>
      <c r="R144" t="str">
        <f>VLOOKUP(D144,[2]Template!$A:$D,4,0)</f>
        <v>Lapp-TD Power</v>
      </c>
    </row>
    <row r="145" spans="1:18" ht="13.5" customHeight="1" x14ac:dyDescent="0.25">
      <c r="A145" s="9">
        <v>46051</v>
      </c>
      <c r="B145" s="10" t="s">
        <v>286</v>
      </c>
      <c r="C145" s="11" t="s">
        <v>31</v>
      </c>
      <c r="D145" s="27" t="s">
        <v>458</v>
      </c>
      <c r="E145" s="12" t="s">
        <v>1072</v>
      </c>
      <c r="F145" s="12" t="s">
        <v>181</v>
      </c>
      <c r="G145" s="13">
        <v>500</v>
      </c>
      <c r="H145" s="14">
        <v>500</v>
      </c>
      <c r="I145" s="15">
        <v>54.9</v>
      </c>
      <c r="J145" s="16"/>
      <c r="K145" s="17">
        <v>27450</v>
      </c>
      <c r="L145" s="18">
        <v>46150</v>
      </c>
      <c r="M145" s="6" t="str">
        <f t="shared" si="6"/>
        <v>Schedule order</v>
      </c>
      <c r="N145" s="8">
        <f t="shared" ca="1" si="7"/>
        <v>-5</v>
      </c>
      <c r="O145" s="8" t="str">
        <f t="shared" ca="1" si="8"/>
        <v>With in 90 days</v>
      </c>
      <c r="P145" t="str">
        <f>VLOOKUP(C145,[1]Customer_Master!$A:$B,2,0)</f>
        <v>Group 1-Giridhar-Peenya</v>
      </c>
      <c r="Q145" t="str">
        <f>VLOOKUP(D145,[2]Template!$A:$D,3,0)</f>
        <v>LAPP</v>
      </c>
      <c r="R145" t="str">
        <f>VLOOKUP(D145,[2]Template!$A:$D,4,0)</f>
        <v>Lapp-TD Power</v>
      </c>
    </row>
    <row r="146" spans="1:18" ht="13.5" customHeight="1" x14ac:dyDescent="0.25">
      <c r="A146" s="9">
        <v>46051</v>
      </c>
      <c r="B146" s="10" t="s">
        <v>286</v>
      </c>
      <c r="C146" s="11" t="s">
        <v>31</v>
      </c>
      <c r="D146" s="27" t="s">
        <v>389</v>
      </c>
      <c r="E146" s="12" t="s">
        <v>1072</v>
      </c>
      <c r="F146" s="12" t="s">
        <v>178</v>
      </c>
      <c r="G146" s="13">
        <v>300</v>
      </c>
      <c r="H146" s="14">
        <v>300</v>
      </c>
      <c r="I146" s="15">
        <v>411.19</v>
      </c>
      <c r="J146" s="16"/>
      <c r="K146" s="17">
        <v>123357</v>
      </c>
      <c r="L146" s="18">
        <v>46150</v>
      </c>
      <c r="M146" s="6" t="str">
        <f t="shared" si="6"/>
        <v>Schedule order</v>
      </c>
      <c r="N146" s="8">
        <f t="shared" ca="1" si="7"/>
        <v>-5</v>
      </c>
      <c r="O146" s="8" t="str">
        <f t="shared" ca="1" si="8"/>
        <v>With in 90 days</v>
      </c>
      <c r="P146" t="str">
        <f>VLOOKUP(C146,[1]Customer_Master!$A:$B,2,0)</f>
        <v>Group 1-Giridhar-Peenya</v>
      </c>
      <c r="Q146" t="str">
        <f>VLOOKUP(D146,[2]Template!$A:$D,3,0)</f>
        <v>LAPP</v>
      </c>
      <c r="R146" t="str">
        <f>VLOOKUP(D146,[2]Template!$A:$D,4,0)</f>
        <v>Lapp-TD Power</v>
      </c>
    </row>
    <row r="147" spans="1:18" ht="13.5" customHeight="1" x14ac:dyDescent="0.25">
      <c r="A147" s="9">
        <v>46051</v>
      </c>
      <c r="B147" s="10" t="s">
        <v>286</v>
      </c>
      <c r="C147" s="11" t="s">
        <v>31</v>
      </c>
      <c r="D147" s="27" t="s">
        <v>459</v>
      </c>
      <c r="E147" s="12" t="s">
        <v>1072</v>
      </c>
      <c r="F147" s="12" t="s">
        <v>288</v>
      </c>
      <c r="G147" s="13">
        <v>500</v>
      </c>
      <c r="H147" s="14">
        <v>500</v>
      </c>
      <c r="I147" s="15">
        <v>273.77</v>
      </c>
      <c r="J147" s="16"/>
      <c r="K147" s="17">
        <v>136885</v>
      </c>
      <c r="L147" s="18">
        <v>46150</v>
      </c>
      <c r="M147" s="6" t="str">
        <f t="shared" si="6"/>
        <v>Schedule order</v>
      </c>
      <c r="N147" s="8">
        <f t="shared" ca="1" si="7"/>
        <v>-5</v>
      </c>
      <c r="O147" s="8" t="str">
        <f t="shared" ca="1" si="8"/>
        <v>With in 90 days</v>
      </c>
      <c r="P147" t="str">
        <f>VLOOKUP(C147,[1]Customer_Master!$A:$B,2,0)</f>
        <v>Group 1-Giridhar-Peenya</v>
      </c>
      <c r="Q147" t="str">
        <f>VLOOKUP(D147,[2]Template!$A:$D,3,0)</f>
        <v>LAPP</v>
      </c>
      <c r="R147" t="str">
        <f>VLOOKUP(D147,[2]Template!$A:$D,4,0)</f>
        <v>Lapp-TD Power</v>
      </c>
    </row>
    <row r="148" spans="1:18" ht="13.5" customHeight="1" x14ac:dyDescent="0.25">
      <c r="A148" s="9">
        <v>46051</v>
      </c>
      <c r="B148" s="10" t="s">
        <v>286</v>
      </c>
      <c r="C148" s="11" t="s">
        <v>31</v>
      </c>
      <c r="D148" s="10" t="s">
        <v>460</v>
      </c>
      <c r="E148" s="12" t="s">
        <v>1072</v>
      </c>
      <c r="F148" s="12" t="s">
        <v>289</v>
      </c>
      <c r="G148" s="13">
        <v>300</v>
      </c>
      <c r="H148" s="14">
        <v>200</v>
      </c>
      <c r="I148" s="15">
        <v>663.15</v>
      </c>
      <c r="J148" s="16"/>
      <c r="K148" s="17">
        <v>132630</v>
      </c>
      <c r="L148" s="18">
        <v>46150</v>
      </c>
      <c r="M148" s="6" t="str">
        <f t="shared" si="6"/>
        <v>Schedule order</v>
      </c>
      <c r="N148" s="8">
        <f t="shared" ca="1" si="7"/>
        <v>-5</v>
      </c>
      <c r="O148" s="8" t="str">
        <f t="shared" ca="1" si="8"/>
        <v>With in 90 days</v>
      </c>
      <c r="P148" t="str">
        <f>VLOOKUP(C148,[1]Customer_Master!$A:$B,2,0)</f>
        <v>Group 1-Giridhar-Peenya</v>
      </c>
      <c r="Q148" t="str">
        <f>VLOOKUP(D148,[2]Template!$A:$D,3,0)</f>
        <v>LAPP</v>
      </c>
      <c r="R148" t="str">
        <f>VLOOKUP(D148,[2]Template!$A:$D,4,0)</f>
        <v>Lapp-TD Power</v>
      </c>
    </row>
    <row r="149" spans="1:18" ht="13.5" customHeight="1" x14ac:dyDescent="0.25">
      <c r="A149" s="9">
        <v>46051</v>
      </c>
      <c r="B149" s="10" t="s">
        <v>286</v>
      </c>
      <c r="C149" s="11" t="s">
        <v>31</v>
      </c>
      <c r="D149" s="10" t="s">
        <v>461</v>
      </c>
      <c r="E149" s="12" t="s">
        <v>1072</v>
      </c>
      <c r="F149" s="12" t="s">
        <v>290</v>
      </c>
      <c r="G149" s="13">
        <v>500</v>
      </c>
      <c r="H149" s="14">
        <v>500</v>
      </c>
      <c r="I149" s="15">
        <v>435.75</v>
      </c>
      <c r="J149" s="16"/>
      <c r="K149" s="17">
        <v>217875</v>
      </c>
      <c r="L149" s="18">
        <v>46150</v>
      </c>
      <c r="M149" s="6" t="str">
        <f t="shared" si="6"/>
        <v>Schedule order</v>
      </c>
      <c r="N149" s="8">
        <f t="shared" ca="1" si="7"/>
        <v>-5</v>
      </c>
      <c r="O149" s="8" t="str">
        <f t="shared" ca="1" si="8"/>
        <v>With in 90 days</v>
      </c>
      <c r="P149" t="str">
        <f>VLOOKUP(C149,[1]Customer_Master!$A:$B,2,0)</f>
        <v>Group 1-Giridhar-Peenya</v>
      </c>
      <c r="Q149" t="str">
        <f>VLOOKUP(D149,[2]Template!$A:$D,3,0)</f>
        <v>LAPP</v>
      </c>
      <c r="R149" t="str">
        <f>VLOOKUP(D149,[2]Template!$A:$D,4,0)</f>
        <v>Lapp-TD Power</v>
      </c>
    </row>
    <row r="150" spans="1:18" ht="13.5" customHeight="1" x14ac:dyDescent="0.25">
      <c r="A150" s="9">
        <v>46051</v>
      </c>
      <c r="B150" s="10" t="s">
        <v>286</v>
      </c>
      <c r="C150" s="11" t="s">
        <v>31</v>
      </c>
      <c r="D150" s="10" t="s">
        <v>462</v>
      </c>
      <c r="E150" s="12" t="s">
        <v>1072</v>
      </c>
      <c r="F150" s="12" t="s">
        <v>179</v>
      </c>
      <c r="G150" s="13">
        <v>300</v>
      </c>
      <c r="H150" s="14">
        <v>300</v>
      </c>
      <c r="I150" s="15">
        <v>290</v>
      </c>
      <c r="J150" s="16"/>
      <c r="K150" s="17">
        <v>87000</v>
      </c>
      <c r="L150" s="18">
        <v>46150</v>
      </c>
      <c r="M150" s="6" t="str">
        <f t="shared" si="6"/>
        <v>Schedule order</v>
      </c>
      <c r="N150" s="8">
        <f t="shared" ca="1" si="7"/>
        <v>-5</v>
      </c>
      <c r="O150" s="8" t="str">
        <f t="shared" ca="1" si="8"/>
        <v>With in 90 days</v>
      </c>
      <c r="P150" t="str">
        <f>VLOOKUP(C150,[1]Customer_Master!$A:$B,2,0)</f>
        <v>Group 1-Giridhar-Peenya</v>
      </c>
      <c r="Q150" t="str">
        <f>VLOOKUP(D150,[2]Template!$A:$D,3,0)</f>
        <v>LAPP</v>
      </c>
      <c r="R150" t="str">
        <f>VLOOKUP(D150,[2]Template!$A:$D,4,0)</f>
        <v>Lapp-TD Power</v>
      </c>
    </row>
    <row r="151" spans="1:18" ht="13.5" customHeight="1" x14ac:dyDescent="0.25">
      <c r="A151" s="9">
        <v>46051</v>
      </c>
      <c r="B151" s="10" t="s">
        <v>286</v>
      </c>
      <c r="C151" s="11" t="s">
        <v>31</v>
      </c>
      <c r="D151" s="10" t="s">
        <v>390</v>
      </c>
      <c r="E151" s="12" t="s">
        <v>1072</v>
      </c>
      <c r="F151" s="12" t="s">
        <v>180</v>
      </c>
      <c r="G151" s="13">
        <v>500</v>
      </c>
      <c r="H151" s="14">
        <v>500</v>
      </c>
      <c r="I151" s="15">
        <v>395</v>
      </c>
      <c r="J151" s="16"/>
      <c r="K151" s="17">
        <v>197500</v>
      </c>
      <c r="L151" s="18">
        <v>46150</v>
      </c>
      <c r="M151" s="6" t="str">
        <f t="shared" si="6"/>
        <v>Schedule order</v>
      </c>
      <c r="N151" s="8">
        <f t="shared" ca="1" si="7"/>
        <v>-5</v>
      </c>
      <c r="O151" s="8" t="str">
        <f t="shared" ca="1" si="8"/>
        <v>With in 90 days</v>
      </c>
      <c r="P151" t="str">
        <f>VLOOKUP(C151,[1]Customer_Master!$A:$B,2,0)</f>
        <v>Group 1-Giridhar-Peenya</v>
      </c>
      <c r="Q151" t="str">
        <f>VLOOKUP(D151,[2]Template!$A:$D,3,0)</f>
        <v>LAPP</v>
      </c>
      <c r="R151" t="str">
        <f>VLOOKUP(D151,[2]Template!$A:$D,4,0)</f>
        <v>Lapp-TD Power</v>
      </c>
    </row>
    <row r="152" spans="1:18" ht="13.5" customHeight="1" x14ac:dyDescent="0.25">
      <c r="A152" s="9">
        <v>46051</v>
      </c>
      <c r="B152" s="10" t="s">
        <v>286</v>
      </c>
      <c r="C152" s="11" t="s">
        <v>31</v>
      </c>
      <c r="D152" s="10" t="s">
        <v>463</v>
      </c>
      <c r="E152" s="12" t="s">
        <v>1072</v>
      </c>
      <c r="F152" s="12" t="s">
        <v>291</v>
      </c>
      <c r="G152" s="13">
        <v>500</v>
      </c>
      <c r="H152" s="14">
        <v>500</v>
      </c>
      <c r="I152" s="15">
        <v>230</v>
      </c>
      <c r="J152" s="16"/>
      <c r="K152" s="17">
        <v>115000</v>
      </c>
      <c r="L152" s="18">
        <v>46150</v>
      </c>
      <c r="M152" s="6" t="str">
        <f t="shared" si="6"/>
        <v>Schedule order</v>
      </c>
      <c r="N152" s="8">
        <f t="shared" ca="1" si="7"/>
        <v>-5</v>
      </c>
      <c r="O152" s="8" t="str">
        <f t="shared" ca="1" si="8"/>
        <v>With in 90 days</v>
      </c>
      <c r="P152" t="str">
        <f>VLOOKUP(C152,[1]Customer_Master!$A:$B,2,0)</f>
        <v>Group 1-Giridhar-Peenya</v>
      </c>
      <c r="Q152" t="str">
        <f>VLOOKUP(D152,[2]Template!$A:$D,3,0)</f>
        <v>LAPP</v>
      </c>
      <c r="R152" t="str">
        <f>VLOOKUP(D152,[2]Template!$A:$D,4,0)</f>
        <v>Lapp-TD Power</v>
      </c>
    </row>
    <row r="153" spans="1:18" ht="13.5" customHeight="1" x14ac:dyDescent="0.25">
      <c r="A153" s="9">
        <v>46051</v>
      </c>
      <c r="B153" s="10" t="s">
        <v>286</v>
      </c>
      <c r="C153" s="11" t="s">
        <v>31</v>
      </c>
      <c r="D153" s="10" t="s">
        <v>409</v>
      </c>
      <c r="E153" s="12" t="s">
        <v>1072</v>
      </c>
      <c r="F153" s="12" t="s">
        <v>155</v>
      </c>
      <c r="G153" s="19">
        <v>500</v>
      </c>
      <c r="H153" s="20">
        <v>500</v>
      </c>
      <c r="I153" s="15">
        <v>459.52</v>
      </c>
      <c r="J153" s="16"/>
      <c r="K153" s="17">
        <v>229760</v>
      </c>
      <c r="L153" s="18">
        <v>46150</v>
      </c>
      <c r="M153" s="6" t="str">
        <f t="shared" si="6"/>
        <v>Schedule order</v>
      </c>
      <c r="N153" s="8">
        <f t="shared" ca="1" si="7"/>
        <v>-5</v>
      </c>
      <c r="O153" s="8" t="str">
        <f t="shared" ca="1" si="8"/>
        <v>With in 90 days</v>
      </c>
      <c r="P153" t="str">
        <f>VLOOKUP(C153,[1]Customer_Master!$A:$B,2,0)</f>
        <v>Group 1-Giridhar-Peenya</v>
      </c>
      <c r="Q153" t="str">
        <f>VLOOKUP(D153,[2]Template!$A:$D,3,0)</f>
        <v>LAPP</v>
      </c>
      <c r="R153" t="str">
        <f>VLOOKUP(D153,[2]Template!$A:$D,4,0)</f>
        <v>Lapp-TD Power</v>
      </c>
    </row>
    <row r="154" spans="1:18" ht="13.5" customHeight="1" x14ac:dyDescent="0.25">
      <c r="A154" s="9">
        <v>46051</v>
      </c>
      <c r="B154" s="10" t="s">
        <v>286</v>
      </c>
      <c r="C154" s="11" t="s">
        <v>31</v>
      </c>
      <c r="D154" s="10" t="s">
        <v>464</v>
      </c>
      <c r="E154" s="12" t="s">
        <v>1072</v>
      </c>
      <c r="F154" s="12" t="s">
        <v>292</v>
      </c>
      <c r="G154" s="13">
        <v>100</v>
      </c>
      <c r="H154" s="14">
        <v>100</v>
      </c>
      <c r="I154" s="15">
        <v>495</v>
      </c>
      <c r="J154" s="16"/>
      <c r="K154" s="17">
        <v>49500</v>
      </c>
      <c r="L154" s="18">
        <v>46150</v>
      </c>
      <c r="M154" s="6" t="str">
        <f t="shared" si="6"/>
        <v>Schedule order</v>
      </c>
      <c r="N154" s="8">
        <f t="shared" ca="1" si="7"/>
        <v>-5</v>
      </c>
      <c r="O154" s="8" t="str">
        <f t="shared" ca="1" si="8"/>
        <v>With in 90 days</v>
      </c>
      <c r="P154" t="str">
        <f>VLOOKUP(C154,[1]Customer_Master!$A:$B,2,0)</f>
        <v>Group 1-Giridhar-Peenya</v>
      </c>
      <c r="Q154" t="str">
        <f>VLOOKUP(D154,[2]Template!$A:$D,3,0)</f>
        <v>LAPP</v>
      </c>
      <c r="R154" t="str">
        <f>VLOOKUP(D154,[2]Template!$A:$D,4,0)</f>
        <v>Lapp-Against Customer PO</v>
      </c>
    </row>
    <row r="155" spans="1:18" ht="13.5" customHeight="1" x14ac:dyDescent="0.25">
      <c r="A155" s="9">
        <v>46051</v>
      </c>
      <c r="B155" s="10" t="s">
        <v>286</v>
      </c>
      <c r="C155" s="11" t="s">
        <v>31</v>
      </c>
      <c r="D155" s="27" t="s">
        <v>387</v>
      </c>
      <c r="E155" s="12" t="s">
        <v>1072</v>
      </c>
      <c r="F155" s="26" t="s">
        <v>152</v>
      </c>
      <c r="G155" s="13">
        <v>500</v>
      </c>
      <c r="H155" s="14">
        <v>500</v>
      </c>
      <c r="I155" s="15">
        <v>141.56</v>
      </c>
      <c r="J155" s="16"/>
      <c r="K155" s="17">
        <v>70780</v>
      </c>
      <c r="L155" s="18">
        <v>46150</v>
      </c>
      <c r="M155" s="6" t="str">
        <f t="shared" si="6"/>
        <v>Schedule order</v>
      </c>
      <c r="N155" s="8">
        <f t="shared" ca="1" si="7"/>
        <v>-5</v>
      </c>
      <c r="O155" s="8" t="str">
        <f t="shared" ca="1" si="8"/>
        <v>With in 90 days</v>
      </c>
      <c r="P155" t="str">
        <f>VLOOKUP(C155,[1]Customer_Master!$A:$B,2,0)</f>
        <v>Group 1-Giridhar-Peenya</v>
      </c>
      <c r="Q155" t="str">
        <f>VLOOKUP(D155,[2]Template!$A:$D,3,0)</f>
        <v>LAPP</v>
      </c>
      <c r="R155" t="str">
        <f>VLOOKUP(D155,[2]Template!$A:$D,4,0)</f>
        <v>Lapp-TD Power</v>
      </c>
    </row>
    <row r="156" spans="1:18" ht="13.5" customHeight="1" x14ac:dyDescent="0.25">
      <c r="A156" s="9">
        <v>46051</v>
      </c>
      <c r="B156" s="10" t="s">
        <v>293</v>
      </c>
      <c r="C156" s="11" t="s">
        <v>116</v>
      </c>
      <c r="D156" s="10" t="s">
        <v>465</v>
      </c>
      <c r="E156" s="12" t="s">
        <v>1072</v>
      </c>
      <c r="F156" s="12" t="s">
        <v>294</v>
      </c>
      <c r="G156" s="13">
        <v>130</v>
      </c>
      <c r="H156" s="14">
        <v>130</v>
      </c>
      <c r="I156" s="15">
        <v>77.540000000000006</v>
      </c>
      <c r="J156" s="16"/>
      <c r="K156" s="17">
        <v>10080.200000000001</v>
      </c>
      <c r="L156" s="18">
        <v>46051</v>
      </c>
      <c r="M156" s="6" t="str">
        <f t="shared" si="6"/>
        <v>Due order</v>
      </c>
      <c r="N156" s="8">
        <f t="shared" ca="1" si="7"/>
        <v>-104</v>
      </c>
      <c r="O156" s="8" t="str">
        <f t="shared" ca="1" si="8"/>
        <v>More than 90 day old</v>
      </c>
      <c r="P156" t="str">
        <f>VLOOKUP(C156,[1]Customer_Master!$A:$B,2,0)</f>
        <v>Group-2 (Veeresh- Bomsdr+Hosur)</v>
      </c>
      <c r="Q156" t="str">
        <f>VLOOKUP(D156,[2]Template!$A:$D,3,0)</f>
        <v>LAPP</v>
      </c>
      <c r="R156" t="str">
        <f>VLOOKUP(D156,[2]Template!$A:$D,4,0)</f>
        <v>Lapp-Non Moving Stocks</v>
      </c>
    </row>
    <row r="157" spans="1:18" ht="13.5" customHeight="1" x14ac:dyDescent="0.25">
      <c r="A157" s="9">
        <v>46055</v>
      </c>
      <c r="B157" s="10" t="s">
        <v>467</v>
      </c>
      <c r="C157" s="11" t="s">
        <v>62</v>
      </c>
      <c r="D157" s="10" t="s">
        <v>390</v>
      </c>
      <c r="E157" s="12" t="s">
        <v>1072</v>
      </c>
      <c r="F157" s="12" t="s">
        <v>180</v>
      </c>
      <c r="G157" s="13">
        <v>1000</v>
      </c>
      <c r="H157" s="14">
        <v>1000</v>
      </c>
      <c r="I157" s="15">
        <v>395</v>
      </c>
      <c r="J157" s="16"/>
      <c r="K157" s="17">
        <v>395000</v>
      </c>
      <c r="L157" s="18">
        <v>46171</v>
      </c>
      <c r="M157" s="6" t="str">
        <f t="shared" si="6"/>
        <v>Schedule order</v>
      </c>
      <c r="N157" s="8">
        <f t="shared" ca="1" si="7"/>
        <v>16</v>
      </c>
      <c r="O157" s="8" t="str">
        <f t="shared" ca="1" si="8"/>
        <v>Lattest or shedule order</v>
      </c>
      <c r="P157" t="str">
        <f>VLOOKUP(C157,[1]Customer_Master!$A:$B,2,0)</f>
        <v>Group 1-Giridhar-Peenya</v>
      </c>
      <c r="Q157" t="str">
        <f>VLOOKUP(D157,[2]Template!$A:$D,3,0)</f>
        <v>LAPP</v>
      </c>
      <c r="R157" t="str">
        <f>VLOOKUP(D157,[2]Template!$A:$D,4,0)</f>
        <v>Lapp-TD Power</v>
      </c>
    </row>
    <row r="158" spans="1:18" ht="13.5" customHeight="1" x14ac:dyDescent="0.25">
      <c r="A158" s="9">
        <v>46055</v>
      </c>
      <c r="B158" s="10" t="s">
        <v>467</v>
      </c>
      <c r="C158" s="11" t="s">
        <v>62</v>
      </c>
      <c r="D158" s="10" t="s">
        <v>463</v>
      </c>
      <c r="E158" s="12" t="s">
        <v>1072</v>
      </c>
      <c r="F158" s="12" t="s">
        <v>291</v>
      </c>
      <c r="G158" s="13">
        <v>500</v>
      </c>
      <c r="H158" s="14">
        <v>500</v>
      </c>
      <c r="I158" s="15">
        <v>230</v>
      </c>
      <c r="J158" s="16"/>
      <c r="K158" s="17">
        <v>115000</v>
      </c>
      <c r="L158" s="18">
        <v>46171</v>
      </c>
      <c r="M158" s="6" t="str">
        <f t="shared" si="6"/>
        <v>Schedule order</v>
      </c>
      <c r="N158" s="8">
        <f t="shared" ca="1" si="7"/>
        <v>16</v>
      </c>
      <c r="O158" s="8" t="str">
        <f t="shared" ca="1" si="8"/>
        <v>Lattest or shedule order</v>
      </c>
      <c r="P158" t="str">
        <f>VLOOKUP(C158,[1]Customer_Master!$A:$B,2,0)</f>
        <v>Group 1-Giridhar-Peenya</v>
      </c>
      <c r="Q158" t="str">
        <f>VLOOKUP(D158,[2]Template!$A:$D,3,0)</f>
        <v>LAPP</v>
      </c>
      <c r="R158" t="str">
        <f>VLOOKUP(D158,[2]Template!$A:$D,4,0)</f>
        <v>Lapp-TD Power</v>
      </c>
    </row>
    <row r="159" spans="1:18" ht="13.5" customHeight="1" x14ac:dyDescent="0.25">
      <c r="A159" s="9">
        <v>46055</v>
      </c>
      <c r="B159" s="10" t="s">
        <v>467</v>
      </c>
      <c r="C159" s="11" t="s">
        <v>62</v>
      </c>
      <c r="D159" s="27" t="s">
        <v>408</v>
      </c>
      <c r="E159" s="12" t="s">
        <v>1072</v>
      </c>
      <c r="F159" s="26" t="s">
        <v>150</v>
      </c>
      <c r="G159" s="13">
        <v>500</v>
      </c>
      <c r="H159" s="14">
        <v>500</v>
      </c>
      <c r="I159" s="15">
        <v>367.31</v>
      </c>
      <c r="J159" s="16"/>
      <c r="K159" s="17">
        <v>183655</v>
      </c>
      <c r="L159" s="18">
        <v>46171</v>
      </c>
      <c r="M159" s="6" t="str">
        <f t="shared" si="6"/>
        <v>Schedule order</v>
      </c>
      <c r="N159" s="8">
        <f t="shared" ca="1" si="7"/>
        <v>16</v>
      </c>
      <c r="O159" s="8" t="str">
        <f t="shared" ca="1" si="8"/>
        <v>Lattest or shedule order</v>
      </c>
      <c r="P159" t="str">
        <f>VLOOKUP(C159,[1]Customer_Master!$A:$B,2,0)</f>
        <v>Group 1-Giridhar-Peenya</v>
      </c>
      <c r="Q159" t="str">
        <f>VLOOKUP(D159,[2]Template!$A:$D,3,0)</f>
        <v>LAPP</v>
      </c>
      <c r="R159" t="str">
        <f>VLOOKUP(D159,[2]Template!$A:$D,4,0)</f>
        <v>Lapp-TD Power</v>
      </c>
    </row>
    <row r="160" spans="1:18" ht="13.5" customHeight="1" x14ac:dyDescent="0.25">
      <c r="A160" s="9">
        <v>46055</v>
      </c>
      <c r="B160" s="10" t="s">
        <v>467</v>
      </c>
      <c r="C160" s="11" t="s">
        <v>62</v>
      </c>
      <c r="D160" s="10" t="s">
        <v>407</v>
      </c>
      <c r="E160" s="12" t="s">
        <v>1072</v>
      </c>
      <c r="F160" s="12" t="s">
        <v>149</v>
      </c>
      <c r="G160" s="13">
        <v>500</v>
      </c>
      <c r="H160" s="14">
        <v>500</v>
      </c>
      <c r="I160" s="15">
        <v>39.57</v>
      </c>
      <c r="J160" s="16"/>
      <c r="K160" s="17">
        <v>19785</v>
      </c>
      <c r="L160" s="18">
        <v>46171</v>
      </c>
      <c r="M160" s="6" t="str">
        <f t="shared" si="6"/>
        <v>Schedule order</v>
      </c>
      <c r="N160" s="8">
        <f t="shared" ca="1" si="7"/>
        <v>16</v>
      </c>
      <c r="O160" s="8" t="str">
        <f t="shared" ca="1" si="8"/>
        <v>Lattest or shedule order</v>
      </c>
      <c r="P160" t="str">
        <f>VLOOKUP(C160,[1]Customer_Master!$A:$B,2,0)</f>
        <v>Group 1-Giridhar-Peenya</v>
      </c>
      <c r="Q160" t="str">
        <f>VLOOKUP(D160,[2]Template!$A:$D,3,0)</f>
        <v>LAPP</v>
      </c>
      <c r="R160" t="str">
        <f>VLOOKUP(D160,[2]Template!$A:$D,4,0)</f>
        <v>Lapp-TD Power</v>
      </c>
    </row>
    <row r="161" spans="1:18" ht="13.5" customHeight="1" x14ac:dyDescent="0.25">
      <c r="A161" s="9">
        <v>46055</v>
      </c>
      <c r="B161" s="10" t="s">
        <v>467</v>
      </c>
      <c r="C161" s="11" t="s">
        <v>62</v>
      </c>
      <c r="D161" s="27" t="s">
        <v>468</v>
      </c>
      <c r="E161" s="12" t="s">
        <v>1072</v>
      </c>
      <c r="F161" s="26" t="s">
        <v>469</v>
      </c>
      <c r="G161" s="13">
        <v>500</v>
      </c>
      <c r="H161" s="14">
        <v>400</v>
      </c>
      <c r="I161" s="15">
        <v>102</v>
      </c>
      <c r="J161" s="16"/>
      <c r="K161" s="17">
        <v>40800</v>
      </c>
      <c r="L161" s="18">
        <v>46171</v>
      </c>
      <c r="M161" s="6" t="str">
        <f t="shared" si="6"/>
        <v>Schedule order</v>
      </c>
      <c r="N161" s="8">
        <f t="shared" ca="1" si="7"/>
        <v>16</v>
      </c>
      <c r="O161" s="8" t="str">
        <f t="shared" ca="1" si="8"/>
        <v>Lattest or shedule order</v>
      </c>
      <c r="P161" t="str">
        <f>VLOOKUP(C161,[1]Customer_Master!$A:$B,2,0)</f>
        <v>Group 1-Giridhar-Peenya</v>
      </c>
      <c r="Q161" t="str">
        <f>VLOOKUP(D161,[2]Template!$A:$D,3,0)</f>
        <v>LAPP</v>
      </c>
      <c r="R161" t="str">
        <f>VLOOKUP(D161,[2]Template!$A:$D,4,0)</f>
        <v>Lapp-TD Power</v>
      </c>
    </row>
    <row r="162" spans="1:18" ht="13.5" customHeight="1" x14ac:dyDescent="0.25">
      <c r="A162" s="9">
        <v>46055</v>
      </c>
      <c r="B162" s="10" t="s">
        <v>467</v>
      </c>
      <c r="C162" s="11" t="s">
        <v>62</v>
      </c>
      <c r="D162" s="10" t="s">
        <v>461</v>
      </c>
      <c r="E162" s="12" t="s">
        <v>1072</v>
      </c>
      <c r="F162" s="12" t="s">
        <v>290</v>
      </c>
      <c r="G162" s="13">
        <v>500</v>
      </c>
      <c r="H162" s="14">
        <v>500</v>
      </c>
      <c r="I162" s="15">
        <v>435.75</v>
      </c>
      <c r="J162" s="16"/>
      <c r="K162" s="17">
        <v>217875</v>
      </c>
      <c r="L162" s="18">
        <v>46171</v>
      </c>
      <c r="M162" s="6" t="str">
        <f t="shared" si="6"/>
        <v>Schedule order</v>
      </c>
      <c r="N162" s="8">
        <f t="shared" ca="1" si="7"/>
        <v>16</v>
      </c>
      <c r="O162" s="8" t="str">
        <f t="shared" ca="1" si="8"/>
        <v>Lattest or shedule order</v>
      </c>
      <c r="P162" t="str">
        <f>VLOOKUP(C162,[1]Customer_Master!$A:$B,2,0)</f>
        <v>Group 1-Giridhar-Peenya</v>
      </c>
      <c r="Q162" t="str">
        <f>VLOOKUP(D162,[2]Template!$A:$D,3,0)</f>
        <v>LAPP</v>
      </c>
      <c r="R162" t="str">
        <f>VLOOKUP(D162,[2]Template!$A:$D,4,0)</f>
        <v>Lapp-TD Power</v>
      </c>
    </row>
    <row r="163" spans="1:18" ht="13.5" customHeight="1" x14ac:dyDescent="0.25">
      <c r="A163" s="9">
        <v>46055</v>
      </c>
      <c r="B163" s="10" t="s">
        <v>467</v>
      </c>
      <c r="C163" s="11" t="s">
        <v>62</v>
      </c>
      <c r="D163" s="10" t="s">
        <v>470</v>
      </c>
      <c r="E163" s="12" t="s">
        <v>1072</v>
      </c>
      <c r="F163" s="12" t="s">
        <v>471</v>
      </c>
      <c r="G163" s="13">
        <v>500</v>
      </c>
      <c r="H163" s="14">
        <v>500</v>
      </c>
      <c r="I163" s="15">
        <v>89.77</v>
      </c>
      <c r="J163" s="16"/>
      <c r="K163" s="17">
        <v>44885</v>
      </c>
      <c r="L163" s="18">
        <v>46171</v>
      </c>
      <c r="M163" s="6" t="str">
        <f t="shared" si="6"/>
        <v>Schedule order</v>
      </c>
      <c r="N163" s="8">
        <f t="shared" ca="1" si="7"/>
        <v>16</v>
      </c>
      <c r="O163" s="8" t="str">
        <f t="shared" ca="1" si="8"/>
        <v>Lattest or shedule order</v>
      </c>
      <c r="P163" t="str">
        <f>VLOOKUP(C163,[1]Customer_Master!$A:$B,2,0)</f>
        <v>Group 1-Giridhar-Peenya</v>
      </c>
      <c r="Q163" t="str">
        <f>VLOOKUP(D163,[2]Template!$A:$D,3,0)</f>
        <v>LAPP</v>
      </c>
      <c r="R163" t="str">
        <f>VLOOKUP(D163,[2]Template!$A:$D,4,0)</f>
        <v>Lapp-Planned Stock General</v>
      </c>
    </row>
    <row r="164" spans="1:18" ht="13.5" customHeight="1" x14ac:dyDescent="0.25">
      <c r="A164" s="9">
        <v>46055</v>
      </c>
      <c r="B164" s="10" t="s">
        <v>467</v>
      </c>
      <c r="C164" s="11" t="s">
        <v>62</v>
      </c>
      <c r="D164" s="27" t="s">
        <v>402</v>
      </c>
      <c r="E164" s="12" t="s">
        <v>1072</v>
      </c>
      <c r="F164" s="26" t="s">
        <v>132</v>
      </c>
      <c r="G164" s="13">
        <v>5000</v>
      </c>
      <c r="H164" s="14">
        <v>5000</v>
      </c>
      <c r="I164" s="15">
        <v>141.57</v>
      </c>
      <c r="J164" s="16"/>
      <c r="K164" s="17">
        <v>707850</v>
      </c>
      <c r="L164" s="18">
        <v>46110</v>
      </c>
      <c r="M164" s="6" t="str">
        <f t="shared" si="6"/>
        <v>Due order</v>
      </c>
      <c r="N164" s="8">
        <f t="shared" ca="1" si="7"/>
        <v>-45</v>
      </c>
      <c r="O164" s="8" t="str">
        <f t="shared" ca="1" si="8"/>
        <v>With in 90 days</v>
      </c>
      <c r="P164" t="str">
        <f>VLOOKUP(C164,[1]Customer_Master!$A:$B,2,0)</f>
        <v>Group 1-Giridhar-Peenya</v>
      </c>
      <c r="Q164" t="str">
        <f>VLOOKUP(D164,[2]Template!$A:$D,3,0)</f>
        <v>LAPP</v>
      </c>
      <c r="R164" t="str">
        <f>VLOOKUP(D164,[2]Template!$A:$D,4,0)</f>
        <v>Lapp-TD Power</v>
      </c>
    </row>
    <row r="165" spans="1:18" ht="13.5" customHeight="1" x14ac:dyDescent="0.25">
      <c r="A165" s="9">
        <v>46055</v>
      </c>
      <c r="B165" s="10" t="s">
        <v>467</v>
      </c>
      <c r="C165" s="11" t="s">
        <v>62</v>
      </c>
      <c r="D165" s="27" t="s">
        <v>402</v>
      </c>
      <c r="E165" s="12" t="s">
        <v>1072</v>
      </c>
      <c r="F165" s="26" t="s">
        <v>132</v>
      </c>
      <c r="G165" s="13">
        <v>5000</v>
      </c>
      <c r="H165" s="14">
        <v>5000</v>
      </c>
      <c r="I165" s="15">
        <v>141.57</v>
      </c>
      <c r="J165" s="16"/>
      <c r="K165" s="17">
        <v>707850</v>
      </c>
      <c r="L165" s="18">
        <v>46141</v>
      </c>
      <c r="M165" s="6" t="str">
        <f t="shared" si="6"/>
        <v>Due order</v>
      </c>
      <c r="N165" s="8">
        <f t="shared" ca="1" si="7"/>
        <v>-14</v>
      </c>
      <c r="O165" s="8" t="str">
        <f t="shared" ca="1" si="8"/>
        <v>With in 90 days</v>
      </c>
      <c r="P165" t="str">
        <f>VLOOKUP(C165,[1]Customer_Master!$A:$B,2,0)</f>
        <v>Group 1-Giridhar-Peenya</v>
      </c>
      <c r="Q165" t="str">
        <f>VLOOKUP(D165,[2]Template!$A:$D,3,0)</f>
        <v>LAPP</v>
      </c>
      <c r="R165" t="str">
        <f>VLOOKUP(D165,[2]Template!$A:$D,4,0)</f>
        <v>Lapp-TD Power</v>
      </c>
    </row>
    <row r="166" spans="1:18" ht="13.5" customHeight="1" x14ac:dyDescent="0.25">
      <c r="A166" s="9">
        <v>46055</v>
      </c>
      <c r="B166" s="10" t="s">
        <v>467</v>
      </c>
      <c r="C166" s="11" t="s">
        <v>62</v>
      </c>
      <c r="D166" s="27" t="s">
        <v>387</v>
      </c>
      <c r="E166" s="12" t="s">
        <v>1072</v>
      </c>
      <c r="F166" s="26" t="s">
        <v>152</v>
      </c>
      <c r="G166" s="13">
        <v>300</v>
      </c>
      <c r="H166" s="14">
        <v>300</v>
      </c>
      <c r="I166" s="15">
        <v>141.56</v>
      </c>
      <c r="J166" s="16"/>
      <c r="K166" s="17">
        <v>42468</v>
      </c>
      <c r="L166" s="18">
        <v>46171</v>
      </c>
      <c r="M166" s="6" t="str">
        <f t="shared" si="6"/>
        <v>Schedule order</v>
      </c>
      <c r="N166" s="8">
        <f t="shared" ca="1" si="7"/>
        <v>16</v>
      </c>
      <c r="O166" s="8" t="str">
        <f t="shared" ca="1" si="8"/>
        <v>Lattest or shedule order</v>
      </c>
      <c r="P166" t="str">
        <f>VLOOKUP(C166,[1]Customer_Master!$A:$B,2,0)</f>
        <v>Group 1-Giridhar-Peenya</v>
      </c>
      <c r="Q166" t="str">
        <f>VLOOKUP(D166,[2]Template!$A:$D,3,0)</f>
        <v>LAPP</v>
      </c>
      <c r="R166" t="str">
        <f>VLOOKUP(D166,[2]Template!$A:$D,4,0)</f>
        <v>Lapp-TD Power</v>
      </c>
    </row>
    <row r="167" spans="1:18" ht="13.5" customHeight="1" x14ac:dyDescent="0.25">
      <c r="A167" s="9">
        <v>46055</v>
      </c>
      <c r="B167" s="10" t="s">
        <v>467</v>
      </c>
      <c r="C167" s="11" t="s">
        <v>62</v>
      </c>
      <c r="D167" s="27" t="s">
        <v>393</v>
      </c>
      <c r="E167" s="12" t="s">
        <v>1072</v>
      </c>
      <c r="F167" s="26" t="s">
        <v>151</v>
      </c>
      <c r="G167" s="13">
        <v>500</v>
      </c>
      <c r="H167" s="14">
        <v>500</v>
      </c>
      <c r="I167" s="15">
        <v>64.36</v>
      </c>
      <c r="J167" s="16"/>
      <c r="K167" s="17">
        <v>32180</v>
      </c>
      <c r="L167" s="18">
        <v>46171</v>
      </c>
      <c r="M167" s="6" t="str">
        <f t="shared" si="6"/>
        <v>Schedule order</v>
      </c>
      <c r="N167" s="8">
        <f t="shared" ca="1" si="7"/>
        <v>16</v>
      </c>
      <c r="O167" s="8" t="str">
        <f t="shared" ca="1" si="8"/>
        <v>Lattest or shedule order</v>
      </c>
      <c r="P167" t="str">
        <f>VLOOKUP(C167,[1]Customer_Master!$A:$B,2,0)</f>
        <v>Group 1-Giridhar-Peenya</v>
      </c>
      <c r="Q167" t="str">
        <f>VLOOKUP(D167,[2]Template!$A:$D,3,0)</f>
        <v>LAPP</v>
      </c>
      <c r="R167" t="str">
        <f>VLOOKUP(D167,[2]Template!$A:$D,4,0)</f>
        <v>Lapp-TD Power</v>
      </c>
    </row>
    <row r="168" spans="1:18" ht="13.5" customHeight="1" x14ac:dyDescent="0.25">
      <c r="A168" s="9">
        <v>46055</v>
      </c>
      <c r="B168" s="10" t="s">
        <v>467</v>
      </c>
      <c r="C168" s="11" t="s">
        <v>62</v>
      </c>
      <c r="D168" s="27" t="s">
        <v>394</v>
      </c>
      <c r="E168" s="12" t="s">
        <v>1072</v>
      </c>
      <c r="F168" s="26" t="s">
        <v>154</v>
      </c>
      <c r="G168" s="13">
        <v>500</v>
      </c>
      <c r="H168" s="14">
        <v>500</v>
      </c>
      <c r="I168" s="15">
        <v>95.91</v>
      </c>
      <c r="J168" s="16"/>
      <c r="K168" s="17">
        <v>47955</v>
      </c>
      <c r="L168" s="18">
        <v>46171</v>
      </c>
      <c r="M168" s="6" t="str">
        <f t="shared" si="6"/>
        <v>Schedule order</v>
      </c>
      <c r="N168" s="8">
        <f t="shared" ca="1" si="7"/>
        <v>16</v>
      </c>
      <c r="O168" s="8" t="str">
        <f t="shared" ca="1" si="8"/>
        <v>Lattest or shedule order</v>
      </c>
      <c r="P168" t="str">
        <f>VLOOKUP(C168,[1]Customer_Master!$A:$B,2,0)</f>
        <v>Group 1-Giridhar-Peenya</v>
      </c>
      <c r="Q168" t="str">
        <f>VLOOKUP(D168,[2]Template!$A:$D,3,0)</f>
        <v>LAPP</v>
      </c>
      <c r="R168" t="str">
        <f>VLOOKUP(D168,[2]Template!$A:$D,4,0)</f>
        <v>Lapp-TD Power</v>
      </c>
    </row>
    <row r="169" spans="1:18" ht="13.5" customHeight="1" x14ac:dyDescent="0.25">
      <c r="A169" s="9">
        <v>46055</v>
      </c>
      <c r="B169" s="10" t="s">
        <v>467</v>
      </c>
      <c r="C169" s="11" t="s">
        <v>62</v>
      </c>
      <c r="D169" s="10" t="s">
        <v>409</v>
      </c>
      <c r="E169" s="12" t="s">
        <v>1072</v>
      </c>
      <c r="F169" s="12" t="s">
        <v>155</v>
      </c>
      <c r="G169" s="19">
        <v>500</v>
      </c>
      <c r="H169" s="20">
        <v>500</v>
      </c>
      <c r="I169" s="15">
        <v>459.52</v>
      </c>
      <c r="J169" s="16"/>
      <c r="K169" s="17">
        <v>229760</v>
      </c>
      <c r="L169" s="18">
        <v>46171</v>
      </c>
      <c r="M169" s="6" t="str">
        <f t="shared" si="6"/>
        <v>Schedule order</v>
      </c>
      <c r="N169" s="8">
        <f t="shared" ca="1" si="7"/>
        <v>16</v>
      </c>
      <c r="O169" s="8" t="str">
        <f t="shared" ca="1" si="8"/>
        <v>Lattest or shedule order</v>
      </c>
      <c r="P169" t="str">
        <f>VLOOKUP(C169,[1]Customer_Master!$A:$B,2,0)</f>
        <v>Group 1-Giridhar-Peenya</v>
      </c>
      <c r="Q169" t="str">
        <f>VLOOKUP(D169,[2]Template!$A:$D,3,0)</f>
        <v>LAPP</v>
      </c>
      <c r="R169" t="str">
        <f>VLOOKUP(D169,[2]Template!$A:$D,4,0)</f>
        <v>Lapp-TD Power</v>
      </c>
    </row>
    <row r="170" spans="1:18" ht="13.5" customHeight="1" x14ac:dyDescent="0.25">
      <c r="A170" s="9">
        <v>46055</v>
      </c>
      <c r="B170" s="10" t="s">
        <v>467</v>
      </c>
      <c r="C170" s="11" t="s">
        <v>62</v>
      </c>
      <c r="D170" s="10" t="s">
        <v>460</v>
      </c>
      <c r="E170" s="12" t="s">
        <v>1072</v>
      </c>
      <c r="F170" s="12" t="s">
        <v>289</v>
      </c>
      <c r="G170" s="13">
        <v>200</v>
      </c>
      <c r="H170" s="14">
        <v>200</v>
      </c>
      <c r="I170" s="15">
        <v>663.15</v>
      </c>
      <c r="J170" s="16"/>
      <c r="K170" s="17">
        <v>132630</v>
      </c>
      <c r="L170" s="18">
        <v>46171</v>
      </c>
      <c r="M170" s="6" t="str">
        <f t="shared" si="6"/>
        <v>Schedule order</v>
      </c>
      <c r="N170" s="8">
        <f t="shared" ca="1" si="7"/>
        <v>16</v>
      </c>
      <c r="O170" s="8" t="str">
        <f t="shared" ca="1" si="8"/>
        <v>Lattest or shedule order</v>
      </c>
      <c r="P170" t="str">
        <f>VLOOKUP(C170,[1]Customer_Master!$A:$B,2,0)</f>
        <v>Group 1-Giridhar-Peenya</v>
      </c>
      <c r="Q170" t="str">
        <f>VLOOKUP(D170,[2]Template!$A:$D,3,0)</f>
        <v>LAPP</v>
      </c>
      <c r="R170" t="str">
        <f>VLOOKUP(D170,[2]Template!$A:$D,4,0)</f>
        <v>Lapp-TD Power</v>
      </c>
    </row>
    <row r="171" spans="1:18" ht="13.5" customHeight="1" x14ac:dyDescent="0.25">
      <c r="A171" s="9">
        <v>46055</v>
      </c>
      <c r="B171" s="10" t="s">
        <v>467</v>
      </c>
      <c r="C171" s="11" t="s">
        <v>62</v>
      </c>
      <c r="D171" s="10" t="s">
        <v>457</v>
      </c>
      <c r="E171" s="12" t="s">
        <v>1072</v>
      </c>
      <c r="F171" s="12" t="s">
        <v>287</v>
      </c>
      <c r="G171" s="13">
        <v>300</v>
      </c>
      <c r="H171" s="14">
        <v>300</v>
      </c>
      <c r="I171" s="15">
        <v>273</v>
      </c>
      <c r="J171" s="16"/>
      <c r="K171" s="17">
        <v>81900</v>
      </c>
      <c r="L171" s="18">
        <v>46171</v>
      </c>
      <c r="M171" s="6" t="str">
        <f t="shared" si="6"/>
        <v>Schedule order</v>
      </c>
      <c r="N171" s="8">
        <f t="shared" ca="1" si="7"/>
        <v>16</v>
      </c>
      <c r="O171" s="8" t="str">
        <f t="shared" ca="1" si="8"/>
        <v>Lattest or shedule order</v>
      </c>
      <c r="P171" t="str">
        <f>VLOOKUP(C171,[1]Customer_Master!$A:$B,2,0)</f>
        <v>Group 1-Giridhar-Peenya</v>
      </c>
      <c r="Q171" t="str">
        <f>VLOOKUP(D171,[2]Template!$A:$D,3,0)</f>
        <v>LAPP</v>
      </c>
      <c r="R171" t="str">
        <f>VLOOKUP(D171,[2]Template!$A:$D,4,0)</f>
        <v>Lapp-TD Power</v>
      </c>
    </row>
    <row r="172" spans="1:18" ht="13.5" customHeight="1" x14ac:dyDescent="0.25">
      <c r="A172" s="9">
        <v>46057</v>
      </c>
      <c r="B172" s="10" t="s">
        <v>476</v>
      </c>
      <c r="C172" s="11" t="s">
        <v>76</v>
      </c>
      <c r="D172" s="10" t="s">
        <v>349</v>
      </c>
      <c r="E172" s="12" t="s">
        <v>1072</v>
      </c>
      <c r="F172" s="12" t="s">
        <v>88</v>
      </c>
      <c r="G172" s="19">
        <v>120</v>
      </c>
      <c r="H172" s="20">
        <v>120</v>
      </c>
      <c r="I172" s="15">
        <v>284</v>
      </c>
      <c r="J172" s="16"/>
      <c r="K172" s="17">
        <v>34080</v>
      </c>
      <c r="L172" s="18">
        <v>46206</v>
      </c>
      <c r="M172" s="6" t="str">
        <f t="shared" si="6"/>
        <v>Schedule order</v>
      </c>
      <c r="N172" s="8">
        <f t="shared" ca="1" si="7"/>
        <v>51</v>
      </c>
      <c r="O172" s="8" t="str">
        <f t="shared" ca="1" si="8"/>
        <v>Lattest or shedule order</v>
      </c>
      <c r="P172" t="str">
        <f>VLOOKUP(C172,[1]Customer_Master!$A:$B,2,0)</f>
        <v>Group 1-Giridhar-Peenya</v>
      </c>
      <c r="Q172" t="str">
        <f>VLOOKUP(D172,[2]Template!$A:$D,3,0)</f>
        <v>EATON</v>
      </c>
      <c r="R172" t="str">
        <f>VLOOKUP(D172,[2]Template!$A:$D,4,0)</f>
        <v>Eaton-Biesse</v>
      </c>
    </row>
    <row r="173" spans="1:18" ht="13.5" customHeight="1" x14ac:dyDescent="0.25">
      <c r="A173" s="9">
        <v>46057</v>
      </c>
      <c r="B173" s="10" t="s">
        <v>476</v>
      </c>
      <c r="C173" s="11" t="s">
        <v>76</v>
      </c>
      <c r="D173" s="10" t="s">
        <v>350</v>
      </c>
      <c r="E173" s="12" t="s">
        <v>1072</v>
      </c>
      <c r="F173" s="12" t="s">
        <v>100</v>
      </c>
      <c r="G173" s="19">
        <v>40</v>
      </c>
      <c r="H173" s="20">
        <v>40</v>
      </c>
      <c r="I173" s="15">
        <v>145</v>
      </c>
      <c r="J173" s="16"/>
      <c r="K173" s="17">
        <v>5800</v>
      </c>
      <c r="L173" s="18">
        <v>46177</v>
      </c>
      <c r="M173" s="6" t="str">
        <f t="shared" si="6"/>
        <v>Schedule order</v>
      </c>
      <c r="N173" s="8">
        <f t="shared" ca="1" si="7"/>
        <v>22</v>
      </c>
      <c r="O173" s="8" t="str">
        <f t="shared" ca="1" si="8"/>
        <v>Lattest or shedule order</v>
      </c>
      <c r="P173" t="str">
        <f>VLOOKUP(C173,[1]Customer_Master!$A:$B,2,0)</f>
        <v>Group 1-Giridhar-Peenya</v>
      </c>
      <c r="Q173" t="str">
        <f>VLOOKUP(D173,[2]Template!$A:$D,3,0)</f>
        <v>EATON</v>
      </c>
      <c r="R173" t="str">
        <f>VLOOKUP(D173,[2]Template!$A:$D,4,0)</f>
        <v>Eaton-Biesse</v>
      </c>
    </row>
    <row r="174" spans="1:18" ht="13.5" customHeight="1" x14ac:dyDescent="0.25">
      <c r="A174" s="9">
        <v>46057</v>
      </c>
      <c r="B174" s="10" t="s">
        <v>476</v>
      </c>
      <c r="C174" s="11" t="s">
        <v>76</v>
      </c>
      <c r="D174" s="10" t="s">
        <v>350</v>
      </c>
      <c r="E174" s="12" t="s">
        <v>1072</v>
      </c>
      <c r="F174" s="12" t="s">
        <v>100</v>
      </c>
      <c r="G174" s="19">
        <v>40</v>
      </c>
      <c r="H174" s="20">
        <v>40</v>
      </c>
      <c r="I174" s="15">
        <v>145</v>
      </c>
      <c r="J174" s="16"/>
      <c r="K174" s="17">
        <v>5800</v>
      </c>
      <c r="L174" s="18">
        <v>46213</v>
      </c>
      <c r="M174" s="6" t="str">
        <f t="shared" si="6"/>
        <v>Schedule order</v>
      </c>
      <c r="N174" s="8">
        <f t="shared" ca="1" si="7"/>
        <v>58</v>
      </c>
      <c r="O174" s="8" t="str">
        <f t="shared" ca="1" si="8"/>
        <v>Lattest or shedule order</v>
      </c>
      <c r="P174" t="str">
        <f>VLOOKUP(C174,[1]Customer_Master!$A:$B,2,0)</f>
        <v>Group 1-Giridhar-Peenya</v>
      </c>
      <c r="Q174" t="str">
        <f>VLOOKUP(D174,[2]Template!$A:$D,3,0)</f>
        <v>EATON</v>
      </c>
      <c r="R174" t="str">
        <f>VLOOKUP(D174,[2]Template!$A:$D,4,0)</f>
        <v>Eaton-Biesse</v>
      </c>
    </row>
    <row r="175" spans="1:18" ht="13.5" customHeight="1" x14ac:dyDescent="0.25">
      <c r="A175" s="9">
        <v>46057</v>
      </c>
      <c r="B175" s="10" t="s">
        <v>476</v>
      </c>
      <c r="C175" s="11" t="s">
        <v>76</v>
      </c>
      <c r="D175" s="10" t="s">
        <v>325</v>
      </c>
      <c r="E175" s="12" t="s">
        <v>1072</v>
      </c>
      <c r="F175" s="12" t="s">
        <v>77</v>
      </c>
      <c r="G175" s="19">
        <v>176</v>
      </c>
      <c r="H175" s="20">
        <v>176</v>
      </c>
      <c r="I175" s="15">
        <v>241</v>
      </c>
      <c r="J175" s="16"/>
      <c r="K175" s="17">
        <v>42416</v>
      </c>
      <c r="L175" s="18">
        <v>46203</v>
      </c>
      <c r="M175" s="6" t="str">
        <f t="shared" si="6"/>
        <v>Schedule order</v>
      </c>
      <c r="N175" s="8">
        <f t="shared" ca="1" si="7"/>
        <v>48</v>
      </c>
      <c r="O175" s="8" t="str">
        <f t="shared" ca="1" si="8"/>
        <v>Lattest or shedule order</v>
      </c>
      <c r="P175" t="str">
        <f>VLOOKUP(C175,[1]Customer_Master!$A:$B,2,0)</f>
        <v>Group 1-Giridhar-Peenya</v>
      </c>
      <c r="Q175" t="str">
        <f>VLOOKUP(D175,[2]Template!$A:$D,3,0)</f>
        <v>EATON</v>
      </c>
      <c r="R175" t="str">
        <f>VLOOKUP(D175,[2]Template!$A:$D,4,0)</f>
        <v>Eaton-Biesse</v>
      </c>
    </row>
    <row r="176" spans="1:18" ht="13.5" customHeight="1" x14ac:dyDescent="0.25">
      <c r="A176" s="9">
        <v>46057</v>
      </c>
      <c r="B176" s="10" t="s">
        <v>476</v>
      </c>
      <c r="C176" s="11" t="s">
        <v>76</v>
      </c>
      <c r="D176" s="10" t="s">
        <v>351</v>
      </c>
      <c r="E176" s="12" t="s">
        <v>1072</v>
      </c>
      <c r="F176" s="12" t="s">
        <v>101</v>
      </c>
      <c r="G176" s="19">
        <v>72</v>
      </c>
      <c r="H176" s="20">
        <v>72</v>
      </c>
      <c r="I176" s="15">
        <v>333</v>
      </c>
      <c r="J176" s="16"/>
      <c r="K176" s="17">
        <v>23976</v>
      </c>
      <c r="L176" s="18">
        <v>46176</v>
      </c>
      <c r="M176" s="6" t="str">
        <f t="shared" si="6"/>
        <v>Schedule order</v>
      </c>
      <c r="N176" s="8">
        <f t="shared" ca="1" si="7"/>
        <v>21</v>
      </c>
      <c r="O176" s="8" t="str">
        <f t="shared" ca="1" si="8"/>
        <v>Lattest or shedule order</v>
      </c>
      <c r="P176" t="str">
        <f>VLOOKUP(C176,[1]Customer_Master!$A:$B,2,0)</f>
        <v>Group 1-Giridhar-Peenya</v>
      </c>
      <c r="Q176" t="str">
        <f>VLOOKUP(D176,[2]Template!$A:$D,3,0)</f>
        <v>EATON</v>
      </c>
      <c r="R176" t="str">
        <f>VLOOKUP(D176,[2]Template!$A:$D,4,0)</f>
        <v>Eaton-Biesse</v>
      </c>
    </row>
    <row r="177" spans="1:18" ht="13.5" customHeight="1" x14ac:dyDescent="0.25">
      <c r="A177" s="9">
        <v>46057</v>
      </c>
      <c r="B177" s="10" t="s">
        <v>476</v>
      </c>
      <c r="C177" s="11" t="s">
        <v>76</v>
      </c>
      <c r="D177" s="10" t="s">
        <v>446</v>
      </c>
      <c r="E177" s="12" t="s">
        <v>1072</v>
      </c>
      <c r="F177" s="12" t="s">
        <v>156</v>
      </c>
      <c r="G177" s="19">
        <v>20</v>
      </c>
      <c r="H177" s="20">
        <v>20</v>
      </c>
      <c r="I177" s="15">
        <v>164</v>
      </c>
      <c r="J177" s="16"/>
      <c r="K177" s="17">
        <v>3280</v>
      </c>
      <c r="L177" s="18">
        <v>46179</v>
      </c>
      <c r="M177" s="6" t="str">
        <f t="shared" si="6"/>
        <v>Schedule order</v>
      </c>
      <c r="N177" s="8">
        <f t="shared" ca="1" si="7"/>
        <v>24</v>
      </c>
      <c r="O177" s="8" t="str">
        <f t="shared" ca="1" si="8"/>
        <v>Lattest or shedule order</v>
      </c>
      <c r="P177" t="str">
        <f>VLOOKUP(C177,[1]Customer_Master!$A:$B,2,0)</f>
        <v>Group 1-Giridhar-Peenya</v>
      </c>
      <c r="Q177" t="str">
        <f>VLOOKUP(D177,[2]Template!$A:$D,3,0)</f>
        <v>EATON</v>
      </c>
      <c r="R177" t="str">
        <f>VLOOKUP(D177,[2]Template!$A:$D,4,0)</f>
        <v>Eaton-Biesse</v>
      </c>
    </row>
    <row r="178" spans="1:18" ht="13.5" customHeight="1" x14ac:dyDescent="0.25">
      <c r="A178" s="9">
        <v>46057</v>
      </c>
      <c r="B178" s="10" t="s">
        <v>485</v>
      </c>
      <c r="C178" s="11" t="s">
        <v>285</v>
      </c>
      <c r="D178" s="10" t="s">
        <v>486</v>
      </c>
      <c r="E178" s="12" t="s">
        <v>1072</v>
      </c>
      <c r="F178" s="12" t="s">
        <v>487</v>
      </c>
      <c r="G178" s="22">
        <v>90</v>
      </c>
      <c r="H178" s="23">
        <v>90</v>
      </c>
      <c r="I178" s="15">
        <v>49.1</v>
      </c>
      <c r="J178" s="16"/>
      <c r="K178" s="17">
        <v>4419</v>
      </c>
      <c r="L178" s="18">
        <v>46057</v>
      </c>
      <c r="M178" s="6" t="str">
        <f t="shared" si="6"/>
        <v>Due order</v>
      </c>
      <c r="N178" s="8">
        <f t="shared" ca="1" si="7"/>
        <v>-98</v>
      </c>
      <c r="O178" s="8" t="str">
        <f t="shared" ca="1" si="8"/>
        <v>More than 90 day old</v>
      </c>
      <c r="P178" t="str">
        <f>VLOOKUP(C178,[1]Customer_Master!$A:$B,2,0)</f>
        <v>Online Business</v>
      </c>
      <c r="Q178" t="str">
        <f>VLOOKUP(D178,[2]Template!$A:$D,3,0)</f>
        <v>LAPP</v>
      </c>
      <c r="R178" t="str">
        <f>VLOOKUP(D178,[2]Template!$A:$D,4,0)</f>
        <v>Lapp-Planned Stock General</v>
      </c>
    </row>
    <row r="179" spans="1:18" ht="13.5" customHeight="1" x14ac:dyDescent="0.25">
      <c r="A179" s="9">
        <v>46059</v>
      </c>
      <c r="B179" s="10" t="s">
        <v>490</v>
      </c>
      <c r="C179" s="11" t="s">
        <v>76</v>
      </c>
      <c r="D179" s="10" t="s">
        <v>364</v>
      </c>
      <c r="E179" s="12" t="s">
        <v>1072</v>
      </c>
      <c r="F179" s="12" t="s">
        <v>102</v>
      </c>
      <c r="G179" s="19">
        <v>10</v>
      </c>
      <c r="H179" s="20">
        <v>10</v>
      </c>
      <c r="I179" s="15">
        <v>496</v>
      </c>
      <c r="J179" s="16"/>
      <c r="K179" s="17">
        <v>4960</v>
      </c>
      <c r="L179" s="18">
        <v>46203</v>
      </c>
      <c r="M179" s="6" t="str">
        <f t="shared" si="6"/>
        <v>Schedule order</v>
      </c>
      <c r="N179" s="8">
        <f t="shared" ca="1" si="7"/>
        <v>48</v>
      </c>
      <c r="O179" s="8" t="str">
        <f t="shared" ca="1" si="8"/>
        <v>Lattest or shedule order</v>
      </c>
      <c r="P179" t="str">
        <f>VLOOKUP(C179,[1]Customer_Master!$A:$B,2,0)</f>
        <v>Group 1-Giridhar-Peenya</v>
      </c>
      <c r="Q179" t="str">
        <f>VLOOKUP(D179,[2]Template!$A:$D,3,0)</f>
        <v>EATON</v>
      </c>
      <c r="R179" t="str">
        <f>VLOOKUP(D179,[2]Template!$A:$D,4,0)</f>
        <v>Eaton-Biesse</v>
      </c>
    </row>
    <row r="180" spans="1:18" ht="13.5" customHeight="1" x14ac:dyDescent="0.25">
      <c r="A180" s="9">
        <v>46059</v>
      </c>
      <c r="B180" s="10" t="s">
        <v>490</v>
      </c>
      <c r="C180" s="11" t="s">
        <v>76</v>
      </c>
      <c r="D180" s="10" t="s">
        <v>365</v>
      </c>
      <c r="E180" s="12" t="s">
        <v>1072</v>
      </c>
      <c r="F180" s="12" t="s">
        <v>103</v>
      </c>
      <c r="G180" s="19">
        <v>20</v>
      </c>
      <c r="H180" s="20">
        <v>20</v>
      </c>
      <c r="I180" s="15">
        <v>266</v>
      </c>
      <c r="J180" s="16"/>
      <c r="K180" s="17">
        <v>5320</v>
      </c>
      <c r="L180" s="18">
        <v>46179</v>
      </c>
      <c r="M180" s="6" t="str">
        <f t="shared" si="6"/>
        <v>Schedule order</v>
      </c>
      <c r="N180" s="8">
        <f t="shared" ca="1" si="7"/>
        <v>24</v>
      </c>
      <c r="O180" s="8" t="str">
        <f t="shared" ca="1" si="8"/>
        <v>Lattest or shedule order</v>
      </c>
      <c r="P180" t="str">
        <f>VLOOKUP(C180,[1]Customer_Master!$A:$B,2,0)</f>
        <v>Group 1-Giridhar-Peenya</v>
      </c>
      <c r="Q180" t="str">
        <f>VLOOKUP(D180,[2]Template!$A:$D,3,0)</f>
        <v>EATON</v>
      </c>
      <c r="R180" t="str">
        <f>VLOOKUP(D180,[2]Template!$A:$D,4,0)</f>
        <v>Eaton-Biesse</v>
      </c>
    </row>
    <row r="181" spans="1:18" ht="13.5" customHeight="1" x14ac:dyDescent="0.25">
      <c r="A181" s="9">
        <v>46059</v>
      </c>
      <c r="B181" s="10" t="s">
        <v>490</v>
      </c>
      <c r="C181" s="11" t="s">
        <v>76</v>
      </c>
      <c r="D181" s="10" t="s">
        <v>327</v>
      </c>
      <c r="E181" s="12" t="s">
        <v>1072</v>
      </c>
      <c r="F181" s="12" t="s">
        <v>81</v>
      </c>
      <c r="G181" s="19">
        <v>32</v>
      </c>
      <c r="H181" s="20">
        <v>32</v>
      </c>
      <c r="I181" s="15">
        <v>1811</v>
      </c>
      <c r="J181" s="16"/>
      <c r="K181" s="17">
        <v>57952</v>
      </c>
      <c r="L181" s="18">
        <v>46212</v>
      </c>
      <c r="M181" s="6" t="str">
        <f t="shared" si="6"/>
        <v>Schedule order</v>
      </c>
      <c r="N181" s="8">
        <f t="shared" ca="1" si="7"/>
        <v>57</v>
      </c>
      <c r="O181" s="8" t="str">
        <f t="shared" ca="1" si="8"/>
        <v>Lattest or shedule order</v>
      </c>
      <c r="P181" t="str">
        <f>VLOOKUP(C181,[1]Customer_Master!$A:$B,2,0)</f>
        <v>Group 1-Giridhar-Peenya</v>
      </c>
      <c r="Q181" t="str">
        <f>VLOOKUP(D181,[2]Template!$A:$D,3,0)</f>
        <v>EATON</v>
      </c>
      <c r="R181" t="str">
        <f>VLOOKUP(D181,[2]Template!$A:$D,4,0)</f>
        <v>Eaton-Biesse</v>
      </c>
    </row>
    <row r="182" spans="1:18" ht="13.5" customHeight="1" x14ac:dyDescent="0.25">
      <c r="A182" s="9">
        <v>46059</v>
      </c>
      <c r="B182" s="10" t="s">
        <v>490</v>
      </c>
      <c r="C182" s="11" t="s">
        <v>76</v>
      </c>
      <c r="D182" s="10" t="s">
        <v>366</v>
      </c>
      <c r="E182" s="12" t="s">
        <v>1072</v>
      </c>
      <c r="F182" s="12" t="s">
        <v>104</v>
      </c>
      <c r="G182" s="19">
        <v>25</v>
      </c>
      <c r="H182" s="20">
        <v>25</v>
      </c>
      <c r="I182" s="15">
        <v>270</v>
      </c>
      <c r="J182" s="16"/>
      <c r="K182" s="17">
        <v>6750</v>
      </c>
      <c r="L182" s="18">
        <v>46202</v>
      </c>
      <c r="M182" s="6" t="str">
        <f t="shared" si="6"/>
        <v>Schedule order</v>
      </c>
      <c r="N182" s="8">
        <f t="shared" ca="1" si="7"/>
        <v>47</v>
      </c>
      <c r="O182" s="8" t="str">
        <f t="shared" ca="1" si="8"/>
        <v>Lattest or shedule order</v>
      </c>
      <c r="P182" t="str">
        <f>VLOOKUP(C182,[1]Customer_Master!$A:$B,2,0)</f>
        <v>Group 1-Giridhar-Peenya</v>
      </c>
      <c r="Q182" t="str">
        <f>VLOOKUP(D182,[2]Template!$A:$D,3,0)</f>
        <v>EATON</v>
      </c>
      <c r="R182" t="str">
        <f>VLOOKUP(D182,[2]Template!$A:$D,4,0)</f>
        <v>Eaton-Biesse</v>
      </c>
    </row>
    <row r="183" spans="1:18" ht="13.5" customHeight="1" x14ac:dyDescent="0.25">
      <c r="A183" s="9">
        <v>46059</v>
      </c>
      <c r="B183" s="10" t="s">
        <v>490</v>
      </c>
      <c r="C183" s="11" t="s">
        <v>76</v>
      </c>
      <c r="D183" s="10" t="s">
        <v>423</v>
      </c>
      <c r="E183" s="12" t="s">
        <v>1072</v>
      </c>
      <c r="F183" s="12" t="s">
        <v>246</v>
      </c>
      <c r="G183" s="19">
        <v>40</v>
      </c>
      <c r="H183" s="20">
        <v>40</v>
      </c>
      <c r="I183" s="15">
        <v>140</v>
      </c>
      <c r="J183" s="16"/>
      <c r="K183" s="17">
        <v>5600</v>
      </c>
      <c r="L183" s="18">
        <v>46181</v>
      </c>
      <c r="M183" s="6" t="str">
        <f t="shared" si="6"/>
        <v>Schedule order</v>
      </c>
      <c r="N183" s="8">
        <f t="shared" ca="1" si="7"/>
        <v>26</v>
      </c>
      <c r="O183" s="8" t="str">
        <f t="shared" ca="1" si="8"/>
        <v>Lattest or shedule order</v>
      </c>
      <c r="P183" t="str">
        <f>VLOOKUP(C183,[1]Customer_Master!$A:$B,2,0)</f>
        <v>Group 1-Giridhar-Peenya</v>
      </c>
      <c r="Q183" t="str">
        <f>VLOOKUP(D183,[2]Template!$A:$D,3,0)</f>
        <v>EATON</v>
      </c>
      <c r="R183" t="str">
        <f>VLOOKUP(D183,[2]Template!$A:$D,4,0)</f>
        <v>Eaton-Biesse</v>
      </c>
    </row>
    <row r="184" spans="1:18" ht="13.5" customHeight="1" x14ac:dyDescent="0.25">
      <c r="A184" s="9">
        <v>46059</v>
      </c>
      <c r="B184" s="10" t="s">
        <v>490</v>
      </c>
      <c r="C184" s="11" t="s">
        <v>76</v>
      </c>
      <c r="D184" s="10" t="s">
        <v>368</v>
      </c>
      <c r="E184" s="12" t="s">
        <v>1072</v>
      </c>
      <c r="F184" s="12" t="s">
        <v>128</v>
      </c>
      <c r="G184" s="19">
        <v>10</v>
      </c>
      <c r="H184" s="20">
        <v>10</v>
      </c>
      <c r="I184" s="15">
        <v>484</v>
      </c>
      <c r="J184" s="16"/>
      <c r="K184" s="17">
        <v>4840</v>
      </c>
      <c r="L184" s="18">
        <v>46196</v>
      </c>
      <c r="M184" s="6" t="str">
        <f t="shared" si="6"/>
        <v>Schedule order</v>
      </c>
      <c r="N184" s="8">
        <f t="shared" ca="1" si="7"/>
        <v>41</v>
      </c>
      <c r="O184" s="8" t="str">
        <f t="shared" ca="1" si="8"/>
        <v>Lattest or shedule order</v>
      </c>
      <c r="P184" t="str">
        <f>VLOOKUP(C184,[1]Customer_Master!$A:$B,2,0)</f>
        <v>Group 1-Giridhar-Peenya</v>
      </c>
      <c r="Q184" t="str">
        <f>VLOOKUP(D184,[2]Template!$A:$D,3,0)</f>
        <v>EATON</v>
      </c>
      <c r="R184" t="str">
        <f>VLOOKUP(D184,[2]Template!$A:$D,4,0)</f>
        <v>Eaton-Biesse</v>
      </c>
    </row>
    <row r="185" spans="1:18" ht="13.5" customHeight="1" x14ac:dyDescent="0.25">
      <c r="A185" s="9">
        <v>46059</v>
      </c>
      <c r="B185" s="10" t="s">
        <v>490</v>
      </c>
      <c r="C185" s="11" t="s">
        <v>76</v>
      </c>
      <c r="D185" s="10" t="s">
        <v>346</v>
      </c>
      <c r="E185" s="12" t="s">
        <v>1072</v>
      </c>
      <c r="F185" s="12" t="s">
        <v>129</v>
      </c>
      <c r="G185" s="19">
        <v>100</v>
      </c>
      <c r="H185" s="20">
        <v>100</v>
      </c>
      <c r="I185" s="15">
        <v>48</v>
      </c>
      <c r="J185" s="16"/>
      <c r="K185" s="17">
        <v>4800</v>
      </c>
      <c r="L185" s="18">
        <v>46205</v>
      </c>
      <c r="M185" s="6" t="str">
        <f t="shared" si="6"/>
        <v>Schedule order</v>
      </c>
      <c r="N185" s="8">
        <f t="shared" ca="1" si="7"/>
        <v>50</v>
      </c>
      <c r="O185" s="8" t="str">
        <f t="shared" ca="1" si="8"/>
        <v>Lattest or shedule order</v>
      </c>
      <c r="P185" t="str">
        <f>VLOOKUP(C185,[1]Customer_Master!$A:$B,2,0)</f>
        <v>Group 1-Giridhar-Peenya</v>
      </c>
      <c r="Q185" t="str">
        <f>VLOOKUP(D185,[2]Template!$A:$D,3,0)</f>
        <v>EATON</v>
      </c>
      <c r="R185" t="str">
        <f>VLOOKUP(D185,[2]Template!$A:$D,4,0)</f>
        <v>Eaton-Biesse</v>
      </c>
    </row>
    <row r="186" spans="1:18" ht="13.5" customHeight="1" x14ac:dyDescent="0.25">
      <c r="A186" s="9">
        <v>46059</v>
      </c>
      <c r="B186" s="10" t="s">
        <v>490</v>
      </c>
      <c r="C186" s="11" t="s">
        <v>76</v>
      </c>
      <c r="D186" s="10" t="s">
        <v>329</v>
      </c>
      <c r="E186" s="12" t="s">
        <v>1072</v>
      </c>
      <c r="F186" s="12" t="s">
        <v>109</v>
      </c>
      <c r="G186" s="19">
        <v>22</v>
      </c>
      <c r="H186" s="20">
        <v>22</v>
      </c>
      <c r="I186" s="15">
        <v>372</v>
      </c>
      <c r="J186" s="16"/>
      <c r="K186" s="17">
        <v>8184</v>
      </c>
      <c r="L186" s="18">
        <v>46206</v>
      </c>
      <c r="M186" s="6" t="str">
        <f t="shared" si="6"/>
        <v>Schedule order</v>
      </c>
      <c r="N186" s="8">
        <f t="shared" ca="1" si="7"/>
        <v>51</v>
      </c>
      <c r="O186" s="8" t="str">
        <f t="shared" ca="1" si="8"/>
        <v>Lattest or shedule order</v>
      </c>
      <c r="P186" t="str">
        <f>VLOOKUP(C186,[1]Customer_Master!$A:$B,2,0)</f>
        <v>Group 1-Giridhar-Peenya</v>
      </c>
      <c r="Q186" t="str">
        <f>VLOOKUP(D186,[2]Template!$A:$D,3,0)</f>
        <v>EATON</v>
      </c>
      <c r="R186" t="str">
        <f>VLOOKUP(D186,[2]Template!$A:$D,4,0)</f>
        <v>Eaton-Biesse</v>
      </c>
    </row>
    <row r="187" spans="1:18" ht="13.5" customHeight="1" x14ac:dyDescent="0.25">
      <c r="A187" s="9">
        <v>46059</v>
      </c>
      <c r="B187" s="10" t="s">
        <v>490</v>
      </c>
      <c r="C187" s="11" t="s">
        <v>76</v>
      </c>
      <c r="D187" s="10" t="s">
        <v>330</v>
      </c>
      <c r="E187" s="12" t="s">
        <v>1072</v>
      </c>
      <c r="F187" s="12" t="s">
        <v>110</v>
      </c>
      <c r="G187" s="19">
        <v>100</v>
      </c>
      <c r="H187" s="20">
        <v>100</v>
      </c>
      <c r="I187" s="15">
        <v>48</v>
      </c>
      <c r="J187" s="16"/>
      <c r="K187" s="17">
        <v>4800</v>
      </c>
      <c r="L187" s="18">
        <v>46212</v>
      </c>
      <c r="M187" s="6" t="str">
        <f t="shared" si="6"/>
        <v>Schedule order</v>
      </c>
      <c r="N187" s="8">
        <f t="shared" ca="1" si="7"/>
        <v>57</v>
      </c>
      <c r="O187" s="8" t="str">
        <f t="shared" ca="1" si="8"/>
        <v>Lattest or shedule order</v>
      </c>
      <c r="P187" t="str">
        <f>VLOOKUP(C187,[1]Customer_Master!$A:$B,2,0)</f>
        <v>Group 1-Giridhar-Peenya</v>
      </c>
      <c r="Q187" t="str">
        <f>VLOOKUP(D187,[2]Template!$A:$D,3,0)</f>
        <v>EATON</v>
      </c>
      <c r="R187" t="str">
        <f>VLOOKUP(D187,[2]Template!$A:$D,4,0)</f>
        <v>Eaton-Biesse</v>
      </c>
    </row>
    <row r="188" spans="1:18" ht="13.5" customHeight="1" x14ac:dyDescent="0.25">
      <c r="A188" s="9">
        <v>46059</v>
      </c>
      <c r="B188" s="10" t="s">
        <v>490</v>
      </c>
      <c r="C188" s="11" t="s">
        <v>76</v>
      </c>
      <c r="D188" s="10" t="s">
        <v>397</v>
      </c>
      <c r="E188" s="12" t="s">
        <v>1072</v>
      </c>
      <c r="F188" s="12" t="s">
        <v>130</v>
      </c>
      <c r="G188" s="19">
        <v>40</v>
      </c>
      <c r="H188" s="20">
        <v>40</v>
      </c>
      <c r="I188" s="15">
        <v>88</v>
      </c>
      <c r="J188" s="16"/>
      <c r="K188" s="17">
        <v>3520</v>
      </c>
      <c r="L188" s="18">
        <v>46203</v>
      </c>
      <c r="M188" s="6" t="str">
        <f t="shared" si="6"/>
        <v>Schedule order</v>
      </c>
      <c r="N188" s="8">
        <f t="shared" ca="1" si="7"/>
        <v>48</v>
      </c>
      <c r="O188" s="8" t="str">
        <f t="shared" ca="1" si="8"/>
        <v>Lattest or shedule order</v>
      </c>
      <c r="P188" t="str">
        <f>VLOOKUP(C188,[1]Customer_Master!$A:$B,2,0)</f>
        <v>Group 1-Giridhar-Peenya</v>
      </c>
      <c r="Q188" t="str">
        <f>VLOOKUP(D188,[2]Template!$A:$D,3,0)</f>
        <v>EATON</v>
      </c>
      <c r="R188" t="str">
        <f>VLOOKUP(D188,[2]Template!$A:$D,4,0)</f>
        <v>Eaton-Biesse</v>
      </c>
    </row>
    <row r="189" spans="1:18" ht="13.5" customHeight="1" x14ac:dyDescent="0.25">
      <c r="A189" s="9">
        <v>46059</v>
      </c>
      <c r="B189" s="10" t="s">
        <v>491</v>
      </c>
      <c r="C189" s="11" t="s">
        <v>13</v>
      </c>
      <c r="D189" s="27" t="s">
        <v>492</v>
      </c>
      <c r="E189" s="26" t="s">
        <v>493</v>
      </c>
      <c r="F189" s="12" t="s">
        <v>494</v>
      </c>
      <c r="G189" s="19">
        <v>50</v>
      </c>
      <c r="H189" s="20">
        <v>50</v>
      </c>
      <c r="I189" s="15">
        <v>3166</v>
      </c>
      <c r="J189" s="16"/>
      <c r="K189" s="17">
        <v>158300</v>
      </c>
      <c r="L189" s="18">
        <v>46193</v>
      </c>
      <c r="M189" s="6" t="str">
        <f t="shared" si="6"/>
        <v>Schedule order</v>
      </c>
      <c r="N189" s="8">
        <f t="shared" ca="1" si="7"/>
        <v>38</v>
      </c>
      <c r="O189" s="8" t="str">
        <f t="shared" ca="1" si="8"/>
        <v>Lattest or shedule order</v>
      </c>
      <c r="P189" t="str">
        <f>VLOOKUP(C189,[1]Customer_Master!$A:$B,2,0)</f>
        <v>Group-2 (Veeresh- Bomsdr+Hosur)</v>
      </c>
      <c r="Q189" t="str">
        <f>VLOOKUP(D189,[2]Template!$A:$D,3,0)</f>
        <v>EATON</v>
      </c>
      <c r="R189" t="str">
        <f>VLOOKUP(D189,[2]Template!$A:$D,4,0)</f>
        <v>Eaton-Faiveley Others</v>
      </c>
    </row>
    <row r="190" spans="1:18" ht="13.5" customHeight="1" x14ac:dyDescent="0.25">
      <c r="A190" s="9">
        <v>46063</v>
      </c>
      <c r="B190" s="10" t="s">
        <v>503</v>
      </c>
      <c r="C190" s="11" t="s">
        <v>54</v>
      </c>
      <c r="D190" s="10" t="s">
        <v>420</v>
      </c>
      <c r="E190" s="12" t="s">
        <v>1072</v>
      </c>
      <c r="F190" s="12" t="s">
        <v>186</v>
      </c>
      <c r="G190" s="19">
        <v>345</v>
      </c>
      <c r="H190" s="20">
        <v>200</v>
      </c>
      <c r="I190" s="15">
        <v>446.13</v>
      </c>
      <c r="J190" s="16"/>
      <c r="K190" s="17">
        <v>89226</v>
      </c>
      <c r="L190" s="18">
        <v>46063</v>
      </c>
      <c r="M190" s="6" t="str">
        <f t="shared" si="6"/>
        <v>Due order</v>
      </c>
      <c r="N190" s="8">
        <f t="shared" ca="1" si="7"/>
        <v>-92</v>
      </c>
      <c r="O190" s="8" t="str">
        <f t="shared" ca="1" si="8"/>
        <v>More than 90 day old</v>
      </c>
      <c r="P190" t="str">
        <f>VLOOKUP(C190,[1]Customer_Master!$A:$B,2,0)</f>
        <v>Group 1-Giridhar-Peenya</v>
      </c>
      <c r="Q190" t="str">
        <f>VLOOKUP(D190,[2]Template!$A:$D,3,0)</f>
        <v>EATON</v>
      </c>
      <c r="R190" t="str">
        <f>VLOOKUP(D190,[2]Template!$A:$D,4,0)</f>
        <v>Eaton-Rinac</v>
      </c>
    </row>
    <row r="191" spans="1:18" ht="13.5" customHeight="1" x14ac:dyDescent="0.25">
      <c r="A191" s="9">
        <v>46063</v>
      </c>
      <c r="B191" s="10" t="s">
        <v>503</v>
      </c>
      <c r="C191" s="11" t="s">
        <v>54</v>
      </c>
      <c r="D191" s="10" t="s">
        <v>421</v>
      </c>
      <c r="E191" s="12" t="s">
        <v>1072</v>
      </c>
      <c r="F191" s="12" t="s">
        <v>187</v>
      </c>
      <c r="G191" s="19">
        <v>130</v>
      </c>
      <c r="H191" s="20">
        <v>80</v>
      </c>
      <c r="I191" s="15">
        <v>649.73</v>
      </c>
      <c r="J191" s="16"/>
      <c r="K191" s="17">
        <v>51978.400000000001</v>
      </c>
      <c r="L191" s="18">
        <v>46063</v>
      </c>
      <c r="M191" s="6" t="str">
        <f t="shared" si="6"/>
        <v>Due order</v>
      </c>
      <c r="N191" s="8">
        <f t="shared" ca="1" si="7"/>
        <v>-92</v>
      </c>
      <c r="O191" s="8" t="str">
        <f t="shared" ca="1" si="8"/>
        <v>More than 90 day old</v>
      </c>
      <c r="P191" t="str">
        <f>VLOOKUP(C191,[1]Customer_Master!$A:$B,2,0)</f>
        <v>Group 1-Giridhar-Peenya</v>
      </c>
      <c r="Q191" t="str">
        <f>VLOOKUP(D191,[2]Template!$A:$D,3,0)</f>
        <v>EATON</v>
      </c>
      <c r="R191" t="str">
        <f>VLOOKUP(D191,[2]Template!$A:$D,4,0)</f>
        <v>Eaton-Rinac</v>
      </c>
    </row>
    <row r="192" spans="1:18" ht="13.5" customHeight="1" x14ac:dyDescent="0.25">
      <c r="A192" s="9">
        <v>46063</v>
      </c>
      <c r="B192" s="10" t="s">
        <v>503</v>
      </c>
      <c r="C192" s="11" t="s">
        <v>54</v>
      </c>
      <c r="D192" s="10" t="s">
        <v>400</v>
      </c>
      <c r="E192" s="12" t="s">
        <v>1072</v>
      </c>
      <c r="F192" s="12" t="s">
        <v>142</v>
      </c>
      <c r="G192" s="19">
        <v>390</v>
      </c>
      <c r="H192" s="20">
        <v>390</v>
      </c>
      <c r="I192" s="15">
        <v>649.73</v>
      </c>
      <c r="J192" s="16"/>
      <c r="K192" s="17">
        <v>253394.7</v>
      </c>
      <c r="L192" s="18">
        <v>46063</v>
      </c>
      <c r="M192" s="6" t="str">
        <f t="shared" si="6"/>
        <v>Due order</v>
      </c>
      <c r="N192" s="8">
        <f t="shared" ca="1" si="7"/>
        <v>-92</v>
      </c>
      <c r="O192" s="8" t="str">
        <f t="shared" ca="1" si="8"/>
        <v>More than 90 day old</v>
      </c>
      <c r="P192" t="str">
        <f>VLOOKUP(C192,[1]Customer_Master!$A:$B,2,0)</f>
        <v>Group 1-Giridhar-Peenya</v>
      </c>
      <c r="Q192" t="str">
        <f>VLOOKUP(D192,[2]Template!$A:$D,3,0)</f>
        <v>EATON</v>
      </c>
      <c r="R192" t="str">
        <f>VLOOKUP(D192,[2]Template!$A:$D,4,0)</f>
        <v>Eaton-Rinac</v>
      </c>
    </row>
    <row r="193" spans="1:18" ht="13.5" customHeight="1" x14ac:dyDescent="0.25">
      <c r="A193" s="9">
        <v>46063</v>
      </c>
      <c r="B193" s="10" t="s">
        <v>503</v>
      </c>
      <c r="C193" s="11" t="s">
        <v>54</v>
      </c>
      <c r="D193" s="10" t="s">
        <v>504</v>
      </c>
      <c r="E193" s="12" t="s">
        <v>1072</v>
      </c>
      <c r="F193" s="12" t="s">
        <v>505</v>
      </c>
      <c r="G193" s="19">
        <v>86</v>
      </c>
      <c r="H193" s="20">
        <v>81</v>
      </c>
      <c r="I193" s="15">
        <v>1080.28</v>
      </c>
      <c r="J193" s="16"/>
      <c r="K193" s="17">
        <v>87502.68</v>
      </c>
      <c r="L193" s="18">
        <v>46063</v>
      </c>
      <c r="M193" s="6" t="str">
        <f t="shared" si="6"/>
        <v>Due order</v>
      </c>
      <c r="N193" s="8">
        <f t="shared" ca="1" si="7"/>
        <v>-92</v>
      </c>
      <c r="O193" s="8" t="str">
        <f t="shared" ca="1" si="8"/>
        <v>More than 90 day old</v>
      </c>
      <c r="P193" t="str">
        <f>VLOOKUP(C193,[1]Customer_Master!$A:$B,2,0)</f>
        <v>Group 1-Giridhar-Peenya</v>
      </c>
      <c r="Q193" t="str">
        <f>VLOOKUP(D193,[2]Template!$A:$D,3,0)</f>
        <v>EATON</v>
      </c>
      <c r="R193" t="str">
        <f>VLOOKUP(D193,[2]Template!$A:$D,4,0)</f>
        <v>Eaton-Rinac</v>
      </c>
    </row>
    <row r="194" spans="1:18" ht="13.5" customHeight="1" x14ac:dyDescent="0.25">
      <c r="A194" s="9">
        <v>46063</v>
      </c>
      <c r="B194" s="10" t="s">
        <v>503</v>
      </c>
      <c r="C194" s="11" t="s">
        <v>54</v>
      </c>
      <c r="D194" s="10" t="s">
        <v>422</v>
      </c>
      <c r="E194" s="12" t="s">
        <v>1072</v>
      </c>
      <c r="F194" s="12" t="s">
        <v>239</v>
      </c>
      <c r="G194" s="19">
        <v>75</v>
      </c>
      <c r="H194" s="20">
        <v>40</v>
      </c>
      <c r="I194" s="15">
        <v>649.73</v>
      </c>
      <c r="J194" s="16"/>
      <c r="K194" s="17">
        <v>25989.200000000001</v>
      </c>
      <c r="L194" s="18">
        <v>46063</v>
      </c>
      <c r="M194" s="6" t="str">
        <f t="shared" si="6"/>
        <v>Due order</v>
      </c>
      <c r="N194" s="8">
        <f t="shared" ca="1" si="7"/>
        <v>-92</v>
      </c>
      <c r="O194" s="8" t="str">
        <f t="shared" ca="1" si="8"/>
        <v>More than 90 day old</v>
      </c>
      <c r="P194" t="str">
        <f>VLOOKUP(C194,[1]Customer_Master!$A:$B,2,0)</f>
        <v>Group 1-Giridhar-Peenya</v>
      </c>
      <c r="Q194" t="str">
        <f>VLOOKUP(D194,[2]Template!$A:$D,3,0)</f>
        <v>EATON</v>
      </c>
      <c r="R194" t="str">
        <f>VLOOKUP(D194,[2]Template!$A:$D,4,0)</f>
        <v>Eaton-Rinac</v>
      </c>
    </row>
    <row r="195" spans="1:18" ht="13.5" customHeight="1" x14ac:dyDescent="0.25">
      <c r="A195" s="9">
        <v>46063</v>
      </c>
      <c r="B195" s="10" t="s">
        <v>506</v>
      </c>
      <c r="C195" s="11" t="s">
        <v>54</v>
      </c>
      <c r="D195" s="10" t="s">
        <v>479</v>
      </c>
      <c r="E195" s="12" t="s">
        <v>1072</v>
      </c>
      <c r="F195" s="12" t="s">
        <v>480</v>
      </c>
      <c r="G195" s="13">
        <v>1500</v>
      </c>
      <c r="H195" s="14">
        <v>1000</v>
      </c>
      <c r="I195" s="15">
        <v>7.98</v>
      </c>
      <c r="J195" s="16"/>
      <c r="K195" s="17">
        <v>7980</v>
      </c>
      <c r="L195" s="18">
        <v>46073</v>
      </c>
      <c r="M195" s="6" t="str">
        <f t="shared" ref="M195:M258" si="9">IF(L195&lt;DATE(2026,4,30),"Due order","Schedule order")</f>
        <v>Due order</v>
      </c>
      <c r="N195" s="8">
        <f t="shared" ref="N195:N258" ca="1" si="10">L195-TODAY()</f>
        <v>-82</v>
      </c>
      <c r="O195" s="8" t="str">
        <f t="shared" ref="O195:O258" ca="1" si="11">IF(N195&lt;-365,"More than 1 Year old",IF(N195&lt;-180," More than 180 days old",IF(N195&lt;-90,"More than 90 day old",IF(N195&lt;0,"With in 90 days","Lattest or shedule order"))))</f>
        <v>With in 90 days</v>
      </c>
      <c r="P195" t="str">
        <f>VLOOKUP(C195,[1]Customer_Master!$A:$B,2,0)</f>
        <v>Group 1-Giridhar-Peenya</v>
      </c>
      <c r="Q195" t="str">
        <f>VLOOKUP(D195,[2]Template!$A:$D,3,0)</f>
        <v>LAPP</v>
      </c>
      <c r="R195" t="str">
        <f>VLOOKUP(D195,[2]Template!$A:$D,4,0)</f>
        <v>Lapp-Planned Stock General</v>
      </c>
    </row>
    <row r="196" spans="1:18" ht="13.5" customHeight="1" x14ac:dyDescent="0.25">
      <c r="A196" s="9">
        <v>46064</v>
      </c>
      <c r="B196" s="10" t="s">
        <v>516</v>
      </c>
      <c r="C196" s="11" t="s">
        <v>76</v>
      </c>
      <c r="D196" s="10" t="s">
        <v>352</v>
      </c>
      <c r="E196" s="12" t="s">
        <v>1072</v>
      </c>
      <c r="F196" s="12" t="s">
        <v>112</v>
      </c>
      <c r="G196" s="19">
        <v>11</v>
      </c>
      <c r="H196" s="20">
        <v>11</v>
      </c>
      <c r="I196" s="15">
        <v>1320</v>
      </c>
      <c r="J196" s="16"/>
      <c r="K196" s="17">
        <v>14520</v>
      </c>
      <c r="L196" s="18">
        <v>46191</v>
      </c>
      <c r="M196" s="6" t="str">
        <f t="shared" si="9"/>
        <v>Schedule order</v>
      </c>
      <c r="N196" s="8">
        <f t="shared" ca="1" si="10"/>
        <v>36</v>
      </c>
      <c r="O196" s="8" t="str">
        <f t="shared" ca="1" si="11"/>
        <v>Lattest or shedule order</v>
      </c>
      <c r="P196" t="str">
        <f>VLOOKUP(C196,[1]Customer_Master!$A:$B,2,0)</f>
        <v>Group 1-Giridhar-Peenya</v>
      </c>
      <c r="Q196" t="str">
        <f>VLOOKUP(D196,[2]Template!$A:$D,3,0)</f>
        <v>EATON</v>
      </c>
      <c r="R196" t="str">
        <f>VLOOKUP(D196,[2]Template!$A:$D,4,0)</f>
        <v>Eaton-Biesse</v>
      </c>
    </row>
    <row r="197" spans="1:18" ht="13.5" customHeight="1" x14ac:dyDescent="0.25">
      <c r="A197" s="9">
        <v>46064</v>
      </c>
      <c r="B197" s="10" t="s">
        <v>516</v>
      </c>
      <c r="C197" s="11" t="s">
        <v>76</v>
      </c>
      <c r="D197" s="10" t="s">
        <v>352</v>
      </c>
      <c r="E197" s="12" t="s">
        <v>1072</v>
      </c>
      <c r="F197" s="12" t="s">
        <v>112</v>
      </c>
      <c r="G197" s="19">
        <v>10</v>
      </c>
      <c r="H197" s="20">
        <v>10</v>
      </c>
      <c r="I197" s="15">
        <v>1320</v>
      </c>
      <c r="J197" s="16"/>
      <c r="K197" s="17">
        <v>13200</v>
      </c>
      <c r="L197" s="18">
        <v>46220</v>
      </c>
      <c r="M197" s="6" t="str">
        <f t="shared" si="9"/>
        <v>Schedule order</v>
      </c>
      <c r="N197" s="8">
        <f t="shared" ca="1" si="10"/>
        <v>65</v>
      </c>
      <c r="O197" s="8" t="str">
        <f t="shared" ca="1" si="11"/>
        <v>Lattest or shedule order</v>
      </c>
      <c r="P197" t="str">
        <f>VLOOKUP(C197,[1]Customer_Master!$A:$B,2,0)</f>
        <v>Group 1-Giridhar-Peenya</v>
      </c>
      <c r="Q197" t="str">
        <f>VLOOKUP(D197,[2]Template!$A:$D,3,0)</f>
        <v>EATON</v>
      </c>
      <c r="R197" t="str">
        <f>VLOOKUP(D197,[2]Template!$A:$D,4,0)</f>
        <v>Eaton-Biesse</v>
      </c>
    </row>
    <row r="198" spans="1:18" ht="13.5" customHeight="1" x14ac:dyDescent="0.25">
      <c r="A198" s="9">
        <v>46064</v>
      </c>
      <c r="B198" s="10" t="s">
        <v>516</v>
      </c>
      <c r="C198" s="11" t="s">
        <v>76</v>
      </c>
      <c r="D198" s="10" t="s">
        <v>353</v>
      </c>
      <c r="E198" s="12" t="s">
        <v>1072</v>
      </c>
      <c r="F198" s="12" t="s">
        <v>92</v>
      </c>
      <c r="G198" s="19">
        <v>29</v>
      </c>
      <c r="H198" s="20">
        <v>29</v>
      </c>
      <c r="I198" s="15">
        <v>1353</v>
      </c>
      <c r="J198" s="16"/>
      <c r="K198" s="17">
        <v>39237</v>
      </c>
      <c r="L198" s="18">
        <v>46188</v>
      </c>
      <c r="M198" s="6" t="str">
        <f t="shared" si="9"/>
        <v>Schedule order</v>
      </c>
      <c r="N198" s="8">
        <f t="shared" ca="1" si="10"/>
        <v>33</v>
      </c>
      <c r="O198" s="8" t="str">
        <f t="shared" ca="1" si="11"/>
        <v>Lattest or shedule order</v>
      </c>
      <c r="P198" t="str">
        <f>VLOOKUP(C198,[1]Customer_Master!$A:$B,2,0)</f>
        <v>Group 1-Giridhar-Peenya</v>
      </c>
      <c r="Q198" t="str">
        <f>VLOOKUP(D198,[2]Template!$A:$D,3,0)</f>
        <v>EATON</v>
      </c>
      <c r="R198" t="str">
        <f>VLOOKUP(D198,[2]Template!$A:$D,4,0)</f>
        <v>Eaton-Biesse</v>
      </c>
    </row>
    <row r="199" spans="1:18" ht="13.5" customHeight="1" x14ac:dyDescent="0.25">
      <c r="A199" s="9">
        <v>46064</v>
      </c>
      <c r="B199" s="10" t="s">
        <v>516</v>
      </c>
      <c r="C199" s="11" t="s">
        <v>76</v>
      </c>
      <c r="D199" s="10" t="s">
        <v>353</v>
      </c>
      <c r="E199" s="12" t="s">
        <v>1072</v>
      </c>
      <c r="F199" s="12" t="s">
        <v>92</v>
      </c>
      <c r="G199" s="19">
        <v>10</v>
      </c>
      <c r="H199" s="20">
        <v>10</v>
      </c>
      <c r="I199" s="15">
        <v>1353</v>
      </c>
      <c r="J199" s="16"/>
      <c r="K199" s="17">
        <v>13530</v>
      </c>
      <c r="L199" s="18">
        <v>46217</v>
      </c>
      <c r="M199" s="6" t="str">
        <f t="shared" si="9"/>
        <v>Schedule order</v>
      </c>
      <c r="N199" s="8">
        <f t="shared" ca="1" si="10"/>
        <v>62</v>
      </c>
      <c r="O199" s="8" t="str">
        <f t="shared" ca="1" si="11"/>
        <v>Lattest or shedule order</v>
      </c>
      <c r="P199" t="str">
        <f>VLOOKUP(C199,[1]Customer_Master!$A:$B,2,0)</f>
        <v>Group 1-Giridhar-Peenya</v>
      </c>
      <c r="Q199" t="str">
        <f>VLOOKUP(D199,[2]Template!$A:$D,3,0)</f>
        <v>EATON</v>
      </c>
      <c r="R199" t="str">
        <f>VLOOKUP(D199,[2]Template!$A:$D,4,0)</f>
        <v>Eaton-Biesse</v>
      </c>
    </row>
    <row r="200" spans="1:18" ht="13.5" customHeight="1" x14ac:dyDescent="0.25">
      <c r="A200" s="9">
        <v>46064</v>
      </c>
      <c r="B200" s="10" t="s">
        <v>516</v>
      </c>
      <c r="C200" s="11" t="s">
        <v>76</v>
      </c>
      <c r="D200" s="10" t="s">
        <v>1073</v>
      </c>
      <c r="E200" s="12" t="s">
        <v>1072</v>
      </c>
      <c r="F200" s="12" t="s">
        <v>1074</v>
      </c>
      <c r="G200" s="19">
        <v>74</v>
      </c>
      <c r="H200" s="20">
        <v>74</v>
      </c>
      <c r="I200" s="15">
        <v>187</v>
      </c>
      <c r="J200" s="16"/>
      <c r="K200" s="17">
        <v>13838</v>
      </c>
      <c r="L200" s="18">
        <v>46185</v>
      </c>
      <c r="M200" s="6" t="str">
        <f t="shared" si="9"/>
        <v>Schedule order</v>
      </c>
      <c r="N200" s="8">
        <f t="shared" ca="1" si="10"/>
        <v>30</v>
      </c>
      <c r="O200" s="8" t="str">
        <f t="shared" ca="1" si="11"/>
        <v>Lattest or shedule order</v>
      </c>
      <c r="P200" t="str">
        <f>VLOOKUP(C200,[1]Customer_Master!$A:$B,2,0)</f>
        <v>Group 1-Giridhar-Peenya</v>
      </c>
      <c r="Q200" t="str">
        <f>VLOOKUP(D200,[2]Template!$A:$D,3,0)</f>
        <v>EATON</v>
      </c>
      <c r="R200" t="str">
        <f>VLOOKUP(D200,[2]Template!$A:$D,4,0)</f>
        <v>Eaton-Biesse</v>
      </c>
    </row>
    <row r="201" spans="1:18" ht="13.5" customHeight="1" x14ac:dyDescent="0.25">
      <c r="A201" s="9">
        <v>46064</v>
      </c>
      <c r="B201" s="10" t="s">
        <v>516</v>
      </c>
      <c r="C201" s="11" t="s">
        <v>76</v>
      </c>
      <c r="D201" s="10" t="s">
        <v>1073</v>
      </c>
      <c r="E201" s="12" t="s">
        <v>1072</v>
      </c>
      <c r="F201" s="12" t="s">
        <v>1074</v>
      </c>
      <c r="G201" s="19">
        <v>74</v>
      </c>
      <c r="H201" s="20">
        <v>74</v>
      </c>
      <c r="I201" s="15">
        <v>187</v>
      </c>
      <c r="J201" s="16"/>
      <c r="K201" s="17">
        <v>13838</v>
      </c>
      <c r="L201" s="18">
        <v>46217</v>
      </c>
      <c r="M201" s="6" t="str">
        <f t="shared" si="9"/>
        <v>Schedule order</v>
      </c>
      <c r="N201" s="8">
        <f t="shared" ca="1" si="10"/>
        <v>62</v>
      </c>
      <c r="O201" s="8" t="str">
        <f t="shared" ca="1" si="11"/>
        <v>Lattest or shedule order</v>
      </c>
      <c r="P201" t="str">
        <f>VLOOKUP(C201,[1]Customer_Master!$A:$B,2,0)</f>
        <v>Group 1-Giridhar-Peenya</v>
      </c>
      <c r="Q201" t="str">
        <f>VLOOKUP(D201,[2]Template!$A:$D,3,0)</f>
        <v>EATON</v>
      </c>
      <c r="R201" t="str">
        <f>VLOOKUP(D201,[2]Template!$A:$D,4,0)</f>
        <v>Eaton-Biesse</v>
      </c>
    </row>
    <row r="202" spans="1:18" ht="13.5" customHeight="1" x14ac:dyDescent="0.25">
      <c r="A202" s="9">
        <v>46064</v>
      </c>
      <c r="B202" s="10" t="s">
        <v>517</v>
      </c>
      <c r="C202" s="11" t="s">
        <v>54</v>
      </c>
      <c r="D202" s="10" t="s">
        <v>472</v>
      </c>
      <c r="E202" s="12" t="s">
        <v>1072</v>
      </c>
      <c r="F202" s="12" t="s">
        <v>473</v>
      </c>
      <c r="G202" s="13">
        <v>4700</v>
      </c>
      <c r="H202" s="14">
        <v>2700</v>
      </c>
      <c r="I202" s="15">
        <v>35.799999999999997</v>
      </c>
      <c r="J202" s="16"/>
      <c r="K202" s="17">
        <v>96660</v>
      </c>
      <c r="L202" s="18">
        <v>46123</v>
      </c>
      <c r="M202" s="6" t="str">
        <f t="shared" si="9"/>
        <v>Due order</v>
      </c>
      <c r="N202" s="8">
        <f t="shared" ca="1" si="10"/>
        <v>-32</v>
      </c>
      <c r="O202" s="8" t="str">
        <f t="shared" ca="1" si="11"/>
        <v>With in 90 days</v>
      </c>
      <c r="P202" t="str">
        <f>VLOOKUP(C202,[1]Customer_Master!$A:$B,2,0)</f>
        <v>Group 1-Giridhar-Peenya</v>
      </c>
      <c r="Q202" t="str">
        <f>VLOOKUP(D202,[2]Template!$A:$D,3,0)</f>
        <v>LAPP</v>
      </c>
      <c r="R202" t="str">
        <f>VLOOKUP(D202,[2]Template!$A:$D,4,0)</f>
        <v>Lapp-Rinac</v>
      </c>
    </row>
    <row r="203" spans="1:18" ht="13.5" customHeight="1" x14ac:dyDescent="0.25">
      <c r="A203" s="9">
        <v>46064</v>
      </c>
      <c r="B203" s="10" t="s">
        <v>517</v>
      </c>
      <c r="C203" s="11" t="s">
        <v>54</v>
      </c>
      <c r="D203" s="10" t="s">
        <v>417</v>
      </c>
      <c r="E203" s="12" t="s">
        <v>1072</v>
      </c>
      <c r="F203" s="12" t="s">
        <v>195</v>
      </c>
      <c r="G203" s="13">
        <v>4500</v>
      </c>
      <c r="H203" s="14">
        <v>500</v>
      </c>
      <c r="I203" s="15">
        <v>50.24</v>
      </c>
      <c r="J203" s="16"/>
      <c r="K203" s="17">
        <v>25120</v>
      </c>
      <c r="L203" s="18">
        <v>46092</v>
      </c>
      <c r="M203" s="6" t="str">
        <f t="shared" si="9"/>
        <v>Due order</v>
      </c>
      <c r="N203" s="8">
        <f t="shared" ca="1" si="10"/>
        <v>-63</v>
      </c>
      <c r="O203" s="8" t="str">
        <f t="shared" ca="1" si="11"/>
        <v>With in 90 days</v>
      </c>
      <c r="P203" t="str">
        <f>VLOOKUP(C203,[1]Customer_Master!$A:$B,2,0)</f>
        <v>Group 1-Giridhar-Peenya</v>
      </c>
      <c r="Q203" t="str">
        <f>VLOOKUP(D203,[2]Template!$A:$D,3,0)</f>
        <v>LAPP</v>
      </c>
      <c r="R203" t="str">
        <f>VLOOKUP(D203,[2]Template!$A:$D,4,0)</f>
        <v>Lapp-Rinac</v>
      </c>
    </row>
    <row r="204" spans="1:18" ht="13.5" customHeight="1" x14ac:dyDescent="0.25">
      <c r="A204" s="9">
        <v>46064</v>
      </c>
      <c r="B204" s="10" t="s">
        <v>517</v>
      </c>
      <c r="C204" s="11" t="s">
        <v>54</v>
      </c>
      <c r="D204" s="10" t="s">
        <v>417</v>
      </c>
      <c r="E204" s="12" t="s">
        <v>1072</v>
      </c>
      <c r="F204" s="12" t="s">
        <v>195</v>
      </c>
      <c r="G204" s="13">
        <v>4500</v>
      </c>
      <c r="H204" s="14">
        <v>4500</v>
      </c>
      <c r="I204" s="15">
        <v>50.24</v>
      </c>
      <c r="J204" s="16"/>
      <c r="K204" s="17">
        <v>226080</v>
      </c>
      <c r="L204" s="18">
        <v>46123</v>
      </c>
      <c r="M204" s="6" t="str">
        <f t="shared" si="9"/>
        <v>Due order</v>
      </c>
      <c r="N204" s="8">
        <f t="shared" ca="1" si="10"/>
        <v>-32</v>
      </c>
      <c r="O204" s="8" t="str">
        <f t="shared" ca="1" si="11"/>
        <v>With in 90 days</v>
      </c>
      <c r="P204" t="str">
        <f>VLOOKUP(C204,[1]Customer_Master!$A:$B,2,0)</f>
        <v>Group 1-Giridhar-Peenya</v>
      </c>
      <c r="Q204" t="str">
        <f>VLOOKUP(D204,[2]Template!$A:$D,3,0)</f>
        <v>LAPP</v>
      </c>
      <c r="R204" t="str">
        <f>VLOOKUP(D204,[2]Template!$A:$D,4,0)</f>
        <v>Lapp-Rinac</v>
      </c>
    </row>
    <row r="205" spans="1:18" ht="13.5" customHeight="1" x14ac:dyDescent="0.25">
      <c r="A205" s="9">
        <v>46064</v>
      </c>
      <c r="B205" s="10" t="s">
        <v>517</v>
      </c>
      <c r="C205" s="11" t="s">
        <v>54</v>
      </c>
      <c r="D205" s="10" t="s">
        <v>518</v>
      </c>
      <c r="E205" s="12" t="s">
        <v>1072</v>
      </c>
      <c r="F205" s="12" t="s">
        <v>519</v>
      </c>
      <c r="G205" s="13">
        <v>3000</v>
      </c>
      <c r="H205" s="14">
        <v>1500</v>
      </c>
      <c r="I205" s="15">
        <v>64.08</v>
      </c>
      <c r="J205" s="16"/>
      <c r="K205" s="17">
        <v>96120</v>
      </c>
      <c r="L205" s="18">
        <v>46092</v>
      </c>
      <c r="M205" s="6" t="str">
        <f t="shared" si="9"/>
        <v>Due order</v>
      </c>
      <c r="N205" s="8">
        <f t="shared" ca="1" si="10"/>
        <v>-63</v>
      </c>
      <c r="O205" s="8" t="str">
        <f t="shared" ca="1" si="11"/>
        <v>With in 90 days</v>
      </c>
      <c r="P205" t="str">
        <f>VLOOKUP(C205,[1]Customer_Master!$A:$B,2,0)</f>
        <v>Group 1-Giridhar-Peenya</v>
      </c>
      <c r="Q205" t="str">
        <f>VLOOKUP(D205,[2]Template!$A:$D,3,0)</f>
        <v>LAPP</v>
      </c>
      <c r="R205" t="str">
        <f>VLOOKUP(D205,[2]Template!$A:$D,4,0)</f>
        <v>Lapp-Rinac</v>
      </c>
    </row>
    <row r="206" spans="1:18" ht="13.5" customHeight="1" x14ac:dyDescent="0.25">
      <c r="A206" s="9">
        <v>46064</v>
      </c>
      <c r="B206" s="10" t="s">
        <v>517</v>
      </c>
      <c r="C206" s="11" t="s">
        <v>54</v>
      </c>
      <c r="D206" s="10" t="s">
        <v>518</v>
      </c>
      <c r="E206" s="12" t="s">
        <v>1072</v>
      </c>
      <c r="F206" s="12" t="s">
        <v>519</v>
      </c>
      <c r="G206" s="13">
        <v>3200</v>
      </c>
      <c r="H206" s="14">
        <v>3200</v>
      </c>
      <c r="I206" s="15">
        <v>64.08</v>
      </c>
      <c r="J206" s="16"/>
      <c r="K206" s="17">
        <v>205056</v>
      </c>
      <c r="L206" s="18">
        <v>46123</v>
      </c>
      <c r="M206" s="6" t="str">
        <f t="shared" si="9"/>
        <v>Due order</v>
      </c>
      <c r="N206" s="8">
        <f t="shared" ca="1" si="10"/>
        <v>-32</v>
      </c>
      <c r="O206" s="8" t="str">
        <f t="shared" ca="1" si="11"/>
        <v>With in 90 days</v>
      </c>
      <c r="P206" t="str">
        <f>VLOOKUP(C206,[1]Customer_Master!$A:$B,2,0)</f>
        <v>Group 1-Giridhar-Peenya</v>
      </c>
      <c r="Q206" t="str">
        <f>VLOOKUP(D206,[2]Template!$A:$D,3,0)</f>
        <v>LAPP</v>
      </c>
      <c r="R206" t="str">
        <f>VLOOKUP(D206,[2]Template!$A:$D,4,0)</f>
        <v>Lapp-Rinac</v>
      </c>
    </row>
    <row r="207" spans="1:18" ht="13.5" customHeight="1" x14ac:dyDescent="0.25">
      <c r="A207" s="9">
        <v>46064</v>
      </c>
      <c r="B207" s="10" t="s">
        <v>517</v>
      </c>
      <c r="C207" s="11" t="s">
        <v>54</v>
      </c>
      <c r="D207" s="10" t="s">
        <v>520</v>
      </c>
      <c r="E207" s="12" t="s">
        <v>1072</v>
      </c>
      <c r="F207" s="12" t="s">
        <v>521</v>
      </c>
      <c r="G207" s="13">
        <v>2500</v>
      </c>
      <c r="H207" s="14">
        <v>1073</v>
      </c>
      <c r="I207" s="15">
        <v>92.43</v>
      </c>
      <c r="J207" s="16"/>
      <c r="K207" s="17">
        <v>99177.39</v>
      </c>
      <c r="L207" s="18">
        <v>46092</v>
      </c>
      <c r="M207" s="6" t="str">
        <f t="shared" si="9"/>
        <v>Due order</v>
      </c>
      <c r="N207" s="8">
        <f t="shared" ca="1" si="10"/>
        <v>-63</v>
      </c>
      <c r="O207" s="8" t="str">
        <f t="shared" ca="1" si="11"/>
        <v>With in 90 days</v>
      </c>
      <c r="P207" t="str">
        <f>VLOOKUP(C207,[1]Customer_Master!$A:$B,2,0)</f>
        <v>Group 1-Giridhar-Peenya</v>
      </c>
      <c r="Q207" t="str">
        <f>VLOOKUP(D207,[2]Template!$A:$D,3,0)</f>
        <v>LAPP</v>
      </c>
      <c r="R207" t="str">
        <f>VLOOKUP(D207,[2]Template!$A:$D,4,0)</f>
        <v>Lapp-Rinac</v>
      </c>
    </row>
    <row r="208" spans="1:18" ht="13.5" customHeight="1" x14ac:dyDescent="0.25">
      <c r="A208" s="9">
        <v>46064</v>
      </c>
      <c r="B208" s="10" t="s">
        <v>517</v>
      </c>
      <c r="C208" s="11" t="s">
        <v>54</v>
      </c>
      <c r="D208" s="10" t="s">
        <v>520</v>
      </c>
      <c r="E208" s="12" t="s">
        <v>1072</v>
      </c>
      <c r="F208" s="12" t="s">
        <v>521</v>
      </c>
      <c r="G208" s="13">
        <v>2200</v>
      </c>
      <c r="H208" s="14">
        <v>2200</v>
      </c>
      <c r="I208" s="15">
        <v>92.43</v>
      </c>
      <c r="J208" s="16"/>
      <c r="K208" s="17">
        <v>203346</v>
      </c>
      <c r="L208" s="18">
        <v>46123</v>
      </c>
      <c r="M208" s="6" t="str">
        <f t="shared" si="9"/>
        <v>Due order</v>
      </c>
      <c r="N208" s="8">
        <f t="shared" ca="1" si="10"/>
        <v>-32</v>
      </c>
      <c r="O208" s="8" t="str">
        <f t="shared" ca="1" si="11"/>
        <v>With in 90 days</v>
      </c>
      <c r="P208" t="str">
        <f>VLOOKUP(C208,[1]Customer_Master!$A:$B,2,0)</f>
        <v>Group 1-Giridhar-Peenya</v>
      </c>
      <c r="Q208" t="str">
        <f>VLOOKUP(D208,[2]Template!$A:$D,3,0)</f>
        <v>LAPP</v>
      </c>
      <c r="R208" t="str">
        <f>VLOOKUP(D208,[2]Template!$A:$D,4,0)</f>
        <v>Lapp-Rinac</v>
      </c>
    </row>
    <row r="209" spans="1:18" ht="13.5" customHeight="1" x14ac:dyDescent="0.25">
      <c r="A209" s="9">
        <v>46064</v>
      </c>
      <c r="B209" s="10" t="s">
        <v>517</v>
      </c>
      <c r="C209" s="11" t="s">
        <v>54</v>
      </c>
      <c r="D209" s="10" t="s">
        <v>331</v>
      </c>
      <c r="E209" s="12" t="s">
        <v>1072</v>
      </c>
      <c r="F209" s="12" t="s">
        <v>115</v>
      </c>
      <c r="G209" s="13">
        <v>500</v>
      </c>
      <c r="H209" s="14">
        <v>500</v>
      </c>
      <c r="I209" s="15">
        <v>304.77999999999997</v>
      </c>
      <c r="J209" s="16"/>
      <c r="K209" s="17">
        <v>152390</v>
      </c>
      <c r="L209" s="18">
        <v>46092</v>
      </c>
      <c r="M209" s="6" t="str">
        <f t="shared" si="9"/>
        <v>Due order</v>
      </c>
      <c r="N209" s="8">
        <f t="shared" ca="1" si="10"/>
        <v>-63</v>
      </c>
      <c r="O209" s="8" t="str">
        <f t="shared" ca="1" si="11"/>
        <v>With in 90 days</v>
      </c>
      <c r="P209" t="str">
        <f>VLOOKUP(C209,[1]Customer_Master!$A:$B,2,0)</f>
        <v>Group 1-Giridhar-Peenya</v>
      </c>
      <c r="Q209" t="str">
        <f>VLOOKUP(D209,[2]Template!$A:$D,3,0)</f>
        <v>LAPP</v>
      </c>
      <c r="R209" t="str">
        <f>VLOOKUP(D209,[2]Template!$A:$D,4,0)</f>
        <v>Lapp-Ace Group</v>
      </c>
    </row>
    <row r="210" spans="1:18" ht="13.5" customHeight="1" x14ac:dyDescent="0.25">
      <c r="A210" s="9">
        <v>46064</v>
      </c>
      <c r="B210" s="10" t="s">
        <v>517</v>
      </c>
      <c r="C210" s="11" t="s">
        <v>54</v>
      </c>
      <c r="D210" s="10" t="s">
        <v>331</v>
      </c>
      <c r="E210" s="12" t="s">
        <v>1072</v>
      </c>
      <c r="F210" s="12" t="s">
        <v>115</v>
      </c>
      <c r="G210" s="13">
        <v>300</v>
      </c>
      <c r="H210" s="14">
        <v>300</v>
      </c>
      <c r="I210" s="15">
        <v>304.77999999999997</v>
      </c>
      <c r="J210" s="16"/>
      <c r="K210" s="17">
        <v>91434</v>
      </c>
      <c r="L210" s="18">
        <v>46123</v>
      </c>
      <c r="M210" s="6" t="str">
        <f t="shared" si="9"/>
        <v>Due order</v>
      </c>
      <c r="N210" s="8">
        <f t="shared" ca="1" si="10"/>
        <v>-32</v>
      </c>
      <c r="O210" s="8" t="str">
        <f t="shared" ca="1" si="11"/>
        <v>With in 90 days</v>
      </c>
      <c r="P210" t="str">
        <f>VLOOKUP(C210,[1]Customer_Master!$A:$B,2,0)</f>
        <v>Group 1-Giridhar-Peenya</v>
      </c>
      <c r="Q210" t="str">
        <f>VLOOKUP(D210,[2]Template!$A:$D,3,0)</f>
        <v>LAPP</v>
      </c>
      <c r="R210" t="str">
        <f>VLOOKUP(D210,[2]Template!$A:$D,4,0)</f>
        <v>Lapp-Ace Group</v>
      </c>
    </row>
    <row r="211" spans="1:18" ht="13.5" customHeight="1" x14ac:dyDescent="0.25">
      <c r="A211" s="9">
        <v>46064</v>
      </c>
      <c r="B211" s="10" t="s">
        <v>517</v>
      </c>
      <c r="C211" s="11" t="s">
        <v>54</v>
      </c>
      <c r="D211" s="10" t="s">
        <v>326</v>
      </c>
      <c r="E211" s="12" t="s">
        <v>1072</v>
      </c>
      <c r="F211" s="12" t="s">
        <v>95</v>
      </c>
      <c r="G211" s="13">
        <v>1400</v>
      </c>
      <c r="H211" s="14">
        <v>400</v>
      </c>
      <c r="I211" s="15">
        <v>88.4</v>
      </c>
      <c r="J211" s="16"/>
      <c r="K211" s="17">
        <v>35360</v>
      </c>
      <c r="L211" s="18">
        <v>46123</v>
      </c>
      <c r="M211" s="6" t="str">
        <f t="shared" si="9"/>
        <v>Due order</v>
      </c>
      <c r="N211" s="8">
        <f t="shared" ca="1" si="10"/>
        <v>-32</v>
      </c>
      <c r="O211" s="8" t="str">
        <f t="shared" ca="1" si="11"/>
        <v>With in 90 days</v>
      </c>
      <c r="P211" t="str">
        <f>VLOOKUP(C211,[1]Customer_Master!$A:$B,2,0)</f>
        <v>Group 1-Giridhar-Peenya</v>
      </c>
      <c r="Q211" t="str">
        <f>VLOOKUP(D211,[2]Template!$A:$D,3,0)</f>
        <v>LAPP</v>
      </c>
      <c r="R211" t="str">
        <f>VLOOKUP(D211,[2]Template!$A:$D,4,0)</f>
        <v>Lapp-Planned Stock General</v>
      </c>
    </row>
    <row r="212" spans="1:18" ht="13.5" customHeight="1" x14ac:dyDescent="0.25">
      <c r="A212" s="9">
        <v>46064</v>
      </c>
      <c r="B212" s="10" t="s">
        <v>517</v>
      </c>
      <c r="C212" s="11" t="s">
        <v>54</v>
      </c>
      <c r="D212" s="10" t="s">
        <v>509</v>
      </c>
      <c r="E212" s="12" t="s">
        <v>1072</v>
      </c>
      <c r="F212" s="12" t="s">
        <v>510</v>
      </c>
      <c r="G212" s="13">
        <v>3900</v>
      </c>
      <c r="H212" s="14">
        <v>3900</v>
      </c>
      <c r="I212" s="15">
        <v>20.93</v>
      </c>
      <c r="J212" s="16"/>
      <c r="K212" s="17">
        <v>81627</v>
      </c>
      <c r="L212" s="18">
        <v>46092</v>
      </c>
      <c r="M212" s="6" t="str">
        <f t="shared" si="9"/>
        <v>Due order</v>
      </c>
      <c r="N212" s="8">
        <f t="shared" ca="1" si="10"/>
        <v>-63</v>
      </c>
      <c r="O212" s="8" t="str">
        <f t="shared" ca="1" si="11"/>
        <v>With in 90 days</v>
      </c>
      <c r="P212" t="str">
        <f>VLOOKUP(C212,[1]Customer_Master!$A:$B,2,0)</f>
        <v>Group 1-Giridhar-Peenya</v>
      </c>
      <c r="Q212" t="str">
        <f>VLOOKUP(D212,[2]Template!$A:$D,3,0)</f>
        <v>LAPP</v>
      </c>
      <c r="R212" t="str">
        <f>VLOOKUP(D212,[2]Template!$A:$D,4,0)</f>
        <v>Lapp-Planned Stock General</v>
      </c>
    </row>
    <row r="213" spans="1:18" ht="13.5" customHeight="1" x14ac:dyDescent="0.25">
      <c r="A213" s="9">
        <v>46064</v>
      </c>
      <c r="B213" s="10" t="s">
        <v>517</v>
      </c>
      <c r="C213" s="11" t="s">
        <v>54</v>
      </c>
      <c r="D213" s="10" t="s">
        <v>509</v>
      </c>
      <c r="E213" s="12" t="s">
        <v>1072</v>
      </c>
      <c r="F213" s="12" t="s">
        <v>510</v>
      </c>
      <c r="G213" s="13">
        <v>3900</v>
      </c>
      <c r="H213" s="14">
        <v>3900</v>
      </c>
      <c r="I213" s="15">
        <v>20.93</v>
      </c>
      <c r="J213" s="16"/>
      <c r="K213" s="17">
        <v>81627</v>
      </c>
      <c r="L213" s="18">
        <v>46123</v>
      </c>
      <c r="M213" s="6" t="str">
        <f t="shared" si="9"/>
        <v>Due order</v>
      </c>
      <c r="N213" s="8">
        <f t="shared" ca="1" si="10"/>
        <v>-32</v>
      </c>
      <c r="O213" s="8" t="str">
        <f t="shared" ca="1" si="11"/>
        <v>With in 90 days</v>
      </c>
      <c r="P213" t="str">
        <f>VLOOKUP(C213,[1]Customer_Master!$A:$B,2,0)</f>
        <v>Group 1-Giridhar-Peenya</v>
      </c>
      <c r="Q213" t="str">
        <f>VLOOKUP(D213,[2]Template!$A:$D,3,0)</f>
        <v>LAPP</v>
      </c>
      <c r="R213" t="str">
        <f>VLOOKUP(D213,[2]Template!$A:$D,4,0)</f>
        <v>Lapp-Planned Stock General</v>
      </c>
    </row>
    <row r="214" spans="1:18" ht="13.5" customHeight="1" x14ac:dyDescent="0.25">
      <c r="A214" s="9">
        <v>46064</v>
      </c>
      <c r="B214" s="10" t="s">
        <v>517</v>
      </c>
      <c r="C214" s="11" t="s">
        <v>54</v>
      </c>
      <c r="D214" s="10" t="s">
        <v>526</v>
      </c>
      <c r="E214" s="12" t="s">
        <v>1072</v>
      </c>
      <c r="F214" s="12" t="s">
        <v>527</v>
      </c>
      <c r="G214" s="13">
        <v>3900</v>
      </c>
      <c r="H214" s="14">
        <v>2400</v>
      </c>
      <c r="I214" s="15">
        <v>20.93</v>
      </c>
      <c r="J214" s="16"/>
      <c r="K214" s="17">
        <v>50232</v>
      </c>
      <c r="L214" s="18">
        <v>46064</v>
      </c>
      <c r="M214" s="6" t="str">
        <f t="shared" si="9"/>
        <v>Due order</v>
      </c>
      <c r="N214" s="8">
        <f t="shared" ca="1" si="10"/>
        <v>-91</v>
      </c>
      <c r="O214" s="8" t="str">
        <f t="shared" ca="1" si="11"/>
        <v>More than 90 day old</v>
      </c>
      <c r="P214" t="str">
        <f>VLOOKUP(C214,[1]Customer_Master!$A:$B,2,0)</f>
        <v>Group 1-Giridhar-Peenya</v>
      </c>
      <c r="Q214" t="str">
        <f>VLOOKUP(D214,[2]Template!$A:$D,3,0)</f>
        <v>LAPP</v>
      </c>
      <c r="R214" t="str">
        <f>VLOOKUP(D214,[2]Template!$A:$D,4,0)</f>
        <v>Lapp-Planned Stock General</v>
      </c>
    </row>
    <row r="215" spans="1:18" ht="13.5" customHeight="1" x14ac:dyDescent="0.25">
      <c r="A215" s="9">
        <v>46064</v>
      </c>
      <c r="B215" s="10" t="s">
        <v>517</v>
      </c>
      <c r="C215" s="11" t="s">
        <v>54</v>
      </c>
      <c r="D215" s="10" t="s">
        <v>526</v>
      </c>
      <c r="E215" s="12" t="s">
        <v>1072</v>
      </c>
      <c r="F215" s="12" t="s">
        <v>527</v>
      </c>
      <c r="G215" s="13">
        <v>3900</v>
      </c>
      <c r="H215" s="14">
        <v>3900</v>
      </c>
      <c r="I215" s="15">
        <v>20.93</v>
      </c>
      <c r="J215" s="16"/>
      <c r="K215" s="17">
        <v>81627</v>
      </c>
      <c r="L215" s="18">
        <v>46092</v>
      </c>
      <c r="M215" s="6" t="str">
        <f t="shared" si="9"/>
        <v>Due order</v>
      </c>
      <c r="N215" s="8">
        <f t="shared" ca="1" si="10"/>
        <v>-63</v>
      </c>
      <c r="O215" s="8" t="str">
        <f t="shared" ca="1" si="11"/>
        <v>With in 90 days</v>
      </c>
      <c r="P215" t="str">
        <f>VLOOKUP(C215,[1]Customer_Master!$A:$B,2,0)</f>
        <v>Group 1-Giridhar-Peenya</v>
      </c>
      <c r="Q215" t="str">
        <f>VLOOKUP(D215,[2]Template!$A:$D,3,0)</f>
        <v>LAPP</v>
      </c>
      <c r="R215" t="str">
        <f>VLOOKUP(D215,[2]Template!$A:$D,4,0)</f>
        <v>Lapp-Planned Stock General</v>
      </c>
    </row>
    <row r="216" spans="1:18" ht="13.5" customHeight="1" x14ac:dyDescent="0.25">
      <c r="A216" s="9">
        <v>46064</v>
      </c>
      <c r="B216" s="10" t="s">
        <v>517</v>
      </c>
      <c r="C216" s="11" t="s">
        <v>54</v>
      </c>
      <c r="D216" s="10" t="s">
        <v>526</v>
      </c>
      <c r="E216" s="12" t="s">
        <v>1072</v>
      </c>
      <c r="F216" s="12" t="s">
        <v>527</v>
      </c>
      <c r="G216" s="13">
        <v>3900</v>
      </c>
      <c r="H216" s="14">
        <v>3900</v>
      </c>
      <c r="I216" s="15">
        <v>20.93</v>
      </c>
      <c r="J216" s="16"/>
      <c r="K216" s="17">
        <v>81627</v>
      </c>
      <c r="L216" s="18">
        <v>46123</v>
      </c>
      <c r="M216" s="6" t="str">
        <f t="shared" si="9"/>
        <v>Due order</v>
      </c>
      <c r="N216" s="8">
        <f t="shared" ca="1" si="10"/>
        <v>-32</v>
      </c>
      <c r="O216" s="8" t="str">
        <f t="shared" ca="1" si="11"/>
        <v>With in 90 days</v>
      </c>
      <c r="P216" t="str">
        <f>VLOOKUP(C216,[1]Customer_Master!$A:$B,2,0)</f>
        <v>Group 1-Giridhar-Peenya</v>
      </c>
      <c r="Q216" t="str">
        <f>VLOOKUP(D216,[2]Template!$A:$D,3,0)</f>
        <v>LAPP</v>
      </c>
      <c r="R216" t="str">
        <f>VLOOKUP(D216,[2]Template!$A:$D,4,0)</f>
        <v>Lapp-Planned Stock General</v>
      </c>
    </row>
    <row r="217" spans="1:18" ht="13.5" customHeight="1" x14ac:dyDescent="0.25">
      <c r="A217" s="9">
        <v>46064</v>
      </c>
      <c r="B217" s="10" t="s">
        <v>517</v>
      </c>
      <c r="C217" s="11" t="s">
        <v>54</v>
      </c>
      <c r="D217" s="10" t="s">
        <v>338</v>
      </c>
      <c r="E217" s="12" t="s">
        <v>1072</v>
      </c>
      <c r="F217" s="12" t="s">
        <v>123</v>
      </c>
      <c r="G217" s="13">
        <v>3900</v>
      </c>
      <c r="H217" s="14">
        <v>3900</v>
      </c>
      <c r="I217" s="15">
        <v>20.93</v>
      </c>
      <c r="J217" s="16"/>
      <c r="K217" s="17">
        <v>81627</v>
      </c>
      <c r="L217" s="18">
        <v>46092</v>
      </c>
      <c r="M217" s="6" t="str">
        <f t="shared" si="9"/>
        <v>Due order</v>
      </c>
      <c r="N217" s="8">
        <f t="shared" ca="1" si="10"/>
        <v>-63</v>
      </c>
      <c r="O217" s="8" t="str">
        <f t="shared" ca="1" si="11"/>
        <v>With in 90 days</v>
      </c>
      <c r="P217" t="str">
        <f>VLOOKUP(C217,[1]Customer_Master!$A:$B,2,0)</f>
        <v>Group 1-Giridhar-Peenya</v>
      </c>
      <c r="Q217" t="str">
        <f>VLOOKUP(D217,[2]Template!$A:$D,3,0)</f>
        <v>LAPP</v>
      </c>
      <c r="R217" t="str">
        <f>VLOOKUP(D217,[2]Template!$A:$D,4,0)</f>
        <v>Lapp-Planned Stock General</v>
      </c>
    </row>
    <row r="218" spans="1:18" ht="13.5" customHeight="1" x14ac:dyDescent="0.25">
      <c r="A218" s="9">
        <v>46064</v>
      </c>
      <c r="B218" s="10" t="s">
        <v>517</v>
      </c>
      <c r="C218" s="11" t="s">
        <v>54</v>
      </c>
      <c r="D218" s="10" t="s">
        <v>338</v>
      </c>
      <c r="E218" s="12" t="s">
        <v>1072</v>
      </c>
      <c r="F218" s="12" t="s">
        <v>123</v>
      </c>
      <c r="G218" s="13">
        <v>3900</v>
      </c>
      <c r="H218" s="14">
        <v>3900</v>
      </c>
      <c r="I218" s="15">
        <v>20.93</v>
      </c>
      <c r="J218" s="16"/>
      <c r="K218" s="17">
        <v>81627</v>
      </c>
      <c r="L218" s="18">
        <v>46123</v>
      </c>
      <c r="M218" s="6" t="str">
        <f t="shared" si="9"/>
        <v>Due order</v>
      </c>
      <c r="N218" s="8">
        <f t="shared" ca="1" si="10"/>
        <v>-32</v>
      </c>
      <c r="O218" s="8" t="str">
        <f t="shared" ca="1" si="11"/>
        <v>With in 90 days</v>
      </c>
      <c r="P218" t="str">
        <f>VLOOKUP(C218,[1]Customer_Master!$A:$B,2,0)</f>
        <v>Group 1-Giridhar-Peenya</v>
      </c>
      <c r="Q218" t="str">
        <f>VLOOKUP(D218,[2]Template!$A:$D,3,0)</f>
        <v>LAPP</v>
      </c>
      <c r="R218" t="str">
        <f>VLOOKUP(D218,[2]Template!$A:$D,4,0)</f>
        <v>Lapp-Planned Stock General</v>
      </c>
    </row>
    <row r="219" spans="1:18" ht="13.5" customHeight="1" x14ac:dyDescent="0.25">
      <c r="A219" s="9">
        <v>46064</v>
      </c>
      <c r="B219" s="10" t="s">
        <v>517</v>
      </c>
      <c r="C219" s="11" t="s">
        <v>54</v>
      </c>
      <c r="D219" s="10" t="s">
        <v>507</v>
      </c>
      <c r="E219" s="12" t="s">
        <v>1072</v>
      </c>
      <c r="F219" s="12" t="s">
        <v>508</v>
      </c>
      <c r="G219" s="13">
        <v>5600</v>
      </c>
      <c r="H219" s="14">
        <v>5600</v>
      </c>
      <c r="I219" s="15">
        <v>11.39</v>
      </c>
      <c r="J219" s="16"/>
      <c r="K219" s="17">
        <v>63784</v>
      </c>
      <c r="L219" s="18">
        <v>46092</v>
      </c>
      <c r="M219" s="6" t="str">
        <f t="shared" si="9"/>
        <v>Due order</v>
      </c>
      <c r="N219" s="8">
        <f t="shared" ca="1" si="10"/>
        <v>-63</v>
      </c>
      <c r="O219" s="8" t="str">
        <f t="shared" ca="1" si="11"/>
        <v>With in 90 days</v>
      </c>
      <c r="P219" t="str">
        <f>VLOOKUP(C219,[1]Customer_Master!$A:$B,2,0)</f>
        <v>Group 1-Giridhar-Peenya</v>
      </c>
      <c r="Q219" t="str">
        <f>VLOOKUP(D219,[2]Template!$A:$D,3,0)</f>
        <v>LAPP</v>
      </c>
      <c r="R219" t="str">
        <f>VLOOKUP(D219,[2]Template!$A:$D,4,0)</f>
        <v>Lapp-Planned Stock General</v>
      </c>
    </row>
    <row r="220" spans="1:18" ht="13.5" customHeight="1" x14ac:dyDescent="0.25">
      <c r="A220" s="9">
        <v>46064</v>
      </c>
      <c r="B220" s="10" t="s">
        <v>517</v>
      </c>
      <c r="C220" s="11" t="s">
        <v>54</v>
      </c>
      <c r="D220" s="10" t="s">
        <v>507</v>
      </c>
      <c r="E220" s="12" t="s">
        <v>1072</v>
      </c>
      <c r="F220" s="12" t="s">
        <v>508</v>
      </c>
      <c r="G220" s="13">
        <v>5500</v>
      </c>
      <c r="H220" s="14">
        <v>5500</v>
      </c>
      <c r="I220" s="15">
        <v>11.39</v>
      </c>
      <c r="J220" s="16"/>
      <c r="K220" s="17">
        <v>62645</v>
      </c>
      <c r="L220" s="18">
        <v>46123</v>
      </c>
      <c r="M220" s="6" t="str">
        <f t="shared" si="9"/>
        <v>Due order</v>
      </c>
      <c r="N220" s="8">
        <f t="shared" ca="1" si="10"/>
        <v>-32</v>
      </c>
      <c r="O220" s="8" t="str">
        <f t="shared" ca="1" si="11"/>
        <v>With in 90 days</v>
      </c>
      <c r="P220" t="str">
        <f>VLOOKUP(C220,[1]Customer_Master!$A:$B,2,0)</f>
        <v>Group 1-Giridhar-Peenya</v>
      </c>
      <c r="Q220" t="str">
        <f>VLOOKUP(D220,[2]Template!$A:$D,3,0)</f>
        <v>LAPP</v>
      </c>
      <c r="R220" t="str">
        <f>VLOOKUP(D220,[2]Template!$A:$D,4,0)</f>
        <v>Lapp-Planned Stock General</v>
      </c>
    </row>
    <row r="221" spans="1:18" ht="13.5" customHeight="1" x14ac:dyDescent="0.25">
      <c r="A221" s="9">
        <v>46064</v>
      </c>
      <c r="B221" s="10" t="s">
        <v>517</v>
      </c>
      <c r="C221" s="11" t="s">
        <v>54</v>
      </c>
      <c r="D221" s="10" t="s">
        <v>529</v>
      </c>
      <c r="E221" s="12" t="s">
        <v>1072</v>
      </c>
      <c r="F221" s="12" t="s">
        <v>530</v>
      </c>
      <c r="G221" s="13">
        <v>2800</v>
      </c>
      <c r="H221" s="14">
        <v>800</v>
      </c>
      <c r="I221" s="15">
        <v>34.83</v>
      </c>
      <c r="J221" s="16"/>
      <c r="K221" s="17">
        <v>27864</v>
      </c>
      <c r="L221" s="18">
        <v>46064</v>
      </c>
      <c r="M221" s="6" t="str">
        <f t="shared" si="9"/>
        <v>Due order</v>
      </c>
      <c r="N221" s="8">
        <f t="shared" ca="1" si="10"/>
        <v>-91</v>
      </c>
      <c r="O221" s="8" t="str">
        <f t="shared" ca="1" si="11"/>
        <v>More than 90 day old</v>
      </c>
      <c r="P221" t="str">
        <f>VLOOKUP(C221,[1]Customer_Master!$A:$B,2,0)</f>
        <v>Group 1-Giridhar-Peenya</v>
      </c>
      <c r="Q221" t="str">
        <f>VLOOKUP(D221,[2]Template!$A:$D,3,0)</f>
        <v>LAPP</v>
      </c>
      <c r="R221" t="str">
        <f>VLOOKUP(D221,[2]Template!$A:$D,4,0)</f>
        <v>Lapp-Planned Stock General</v>
      </c>
    </row>
    <row r="222" spans="1:18" ht="13.5" customHeight="1" x14ac:dyDescent="0.25">
      <c r="A222" s="9">
        <v>46064</v>
      </c>
      <c r="B222" s="10" t="s">
        <v>517</v>
      </c>
      <c r="C222" s="11" t="s">
        <v>54</v>
      </c>
      <c r="D222" s="10" t="s">
        <v>529</v>
      </c>
      <c r="E222" s="12" t="s">
        <v>1072</v>
      </c>
      <c r="F222" s="12" t="s">
        <v>530</v>
      </c>
      <c r="G222" s="13">
        <v>2800</v>
      </c>
      <c r="H222" s="14">
        <v>2800</v>
      </c>
      <c r="I222" s="15">
        <v>34.83</v>
      </c>
      <c r="J222" s="16"/>
      <c r="K222" s="17">
        <v>97524</v>
      </c>
      <c r="L222" s="18">
        <v>46092</v>
      </c>
      <c r="M222" s="6" t="str">
        <f t="shared" si="9"/>
        <v>Due order</v>
      </c>
      <c r="N222" s="8">
        <f t="shared" ca="1" si="10"/>
        <v>-63</v>
      </c>
      <c r="O222" s="8" t="str">
        <f t="shared" ca="1" si="11"/>
        <v>With in 90 days</v>
      </c>
      <c r="P222" t="str">
        <f>VLOOKUP(C222,[1]Customer_Master!$A:$B,2,0)</f>
        <v>Group 1-Giridhar-Peenya</v>
      </c>
      <c r="Q222" t="str">
        <f>VLOOKUP(D222,[2]Template!$A:$D,3,0)</f>
        <v>LAPP</v>
      </c>
      <c r="R222" t="str">
        <f>VLOOKUP(D222,[2]Template!$A:$D,4,0)</f>
        <v>Lapp-Planned Stock General</v>
      </c>
    </row>
    <row r="223" spans="1:18" ht="13.5" customHeight="1" x14ac:dyDescent="0.25">
      <c r="A223" s="9">
        <v>46064</v>
      </c>
      <c r="B223" s="10" t="s">
        <v>517</v>
      </c>
      <c r="C223" s="11" t="s">
        <v>54</v>
      </c>
      <c r="D223" s="10" t="s">
        <v>529</v>
      </c>
      <c r="E223" s="12" t="s">
        <v>1072</v>
      </c>
      <c r="F223" s="12" t="s">
        <v>530</v>
      </c>
      <c r="G223" s="13">
        <v>2800</v>
      </c>
      <c r="H223" s="14">
        <v>2800</v>
      </c>
      <c r="I223" s="15">
        <v>34.83</v>
      </c>
      <c r="J223" s="16"/>
      <c r="K223" s="17">
        <v>97524</v>
      </c>
      <c r="L223" s="18">
        <v>46123</v>
      </c>
      <c r="M223" s="6" t="str">
        <f t="shared" si="9"/>
        <v>Due order</v>
      </c>
      <c r="N223" s="8">
        <f t="shared" ca="1" si="10"/>
        <v>-32</v>
      </c>
      <c r="O223" s="8" t="str">
        <f t="shared" ca="1" si="11"/>
        <v>With in 90 days</v>
      </c>
      <c r="P223" t="str">
        <f>VLOOKUP(C223,[1]Customer_Master!$A:$B,2,0)</f>
        <v>Group 1-Giridhar-Peenya</v>
      </c>
      <c r="Q223" t="str">
        <f>VLOOKUP(D223,[2]Template!$A:$D,3,0)</f>
        <v>LAPP</v>
      </c>
      <c r="R223" t="str">
        <f>VLOOKUP(D223,[2]Template!$A:$D,4,0)</f>
        <v>Lapp-Planned Stock General</v>
      </c>
    </row>
    <row r="224" spans="1:18" ht="13.5" customHeight="1" x14ac:dyDescent="0.25">
      <c r="A224" s="9">
        <v>46064</v>
      </c>
      <c r="B224" s="10" t="s">
        <v>517</v>
      </c>
      <c r="C224" s="11" t="s">
        <v>54</v>
      </c>
      <c r="D224" s="10" t="s">
        <v>449</v>
      </c>
      <c r="E224" s="12" t="s">
        <v>1072</v>
      </c>
      <c r="F224" s="12" t="s">
        <v>202</v>
      </c>
      <c r="G224" s="13">
        <v>2800</v>
      </c>
      <c r="H224" s="14">
        <v>2800</v>
      </c>
      <c r="I224" s="15">
        <v>34.83</v>
      </c>
      <c r="J224" s="16"/>
      <c r="K224" s="17">
        <v>97524</v>
      </c>
      <c r="L224" s="18">
        <v>46064</v>
      </c>
      <c r="M224" s="6" t="str">
        <f t="shared" si="9"/>
        <v>Due order</v>
      </c>
      <c r="N224" s="8">
        <f t="shared" ca="1" si="10"/>
        <v>-91</v>
      </c>
      <c r="O224" s="8" t="str">
        <f t="shared" ca="1" si="11"/>
        <v>More than 90 day old</v>
      </c>
      <c r="P224" t="str">
        <f>VLOOKUP(C224,[1]Customer_Master!$A:$B,2,0)</f>
        <v>Group 1-Giridhar-Peenya</v>
      </c>
      <c r="Q224" t="str">
        <f>VLOOKUP(D224,[2]Template!$A:$D,3,0)</f>
        <v>LAPP</v>
      </c>
      <c r="R224" t="str">
        <f>VLOOKUP(D224,[2]Template!$A:$D,4,0)</f>
        <v>Lapp-Against Customer PO</v>
      </c>
    </row>
    <row r="225" spans="1:18" ht="13.5" customHeight="1" x14ac:dyDescent="0.25">
      <c r="A225" s="9">
        <v>46064</v>
      </c>
      <c r="B225" s="10" t="s">
        <v>517</v>
      </c>
      <c r="C225" s="11" t="s">
        <v>54</v>
      </c>
      <c r="D225" s="10" t="s">
        <v>449</v>
      </c>
      <c r="E225" s="12" t="s">
        <v>1072</v>
      </c>
      <c r="F225" s="12" t="s">
        <v>202</v>
      </c>
      <c r="G225" s="13">
        <v>2800</v>
      </c>
      <c r="H225" s="14">
        <v>2800</v>
      </c>
      <c r="I225" s="15">
        <v>34.83</v>
      </c>
      <c r="J225" s="16"/>
      <c r="K225" s="17">
        <v>97524</v>
      </c>
      <c r="L225" s="18">
        <v>46092</v>
      </c>
      <c r="M225" s="6" t="str">
        <f t="shared" si="9"/>
        <v>Due order</v>
      </c>
      <c r="N225" s="8">
        <f t="shared" ca="1" si="10"/>
        <v>-63</v>
      </c>
      <c r="O225" s="8" t="str">
        <f t="shared" ca="1" si="11"/>
        <v>With in 90 days</v>
      </c>
      <c r="P225" t="str">
        <f>VLOOKUP(C225,[1]Customer_Master!$A:$B,2,0)</f>
        <v>Group 1-Giridhar-Peenya</v>
      </c>
      <c r="Q225" t="str">
        <f>VLOOKUP(D225,[2]Template!$A:$D,3,0)</f>
        <v>LAPP</v>
      </c>
      <c r="R225" t="str">
        <f>VLOOKUP(D225,[2]Template!$A:$D,4,0)</f>
        <v>Lapp-Against Customer PO</v>
      </c>
    </row>
    <row r="226" spans="1:18" ht="13.5" customHeight="1" x14ac:dyDescent="0.25">
      <c r="A226" s="9">
        <v>46064</v>
      </c>
      <c r="B226" s="10" t="s">
        <v>517</v>
      </c>
      <c r="C226" s="11" t="s">
        <v>54</v>
      </c>
      <c r="D226" s="10" t="s">
        <v>449</v>
      </c>
      <c r="E226" s="12" t="s">
        <v>1072</v>
      </c>
      <c r="F226" s="12" t="s">
        <v>202</v>
      </c>
      <c r="G226" s="13">
        <v>2800</v>
      </c>
      <c r="H226" s="14">
        <v>2800</v>
      </c>
      <c r="I226" s="15">
        <v>34.83</v>
      </c>
      <c r="J226" s="16"/>
      <c r="K226" s="17">
        <v>97524</v>
      </c>
      <c r="L226" s="18">
        <v>46123</v>
      </c>
      <c r="M226" s="6" t="str">
        <f t="shared" si="9"/>
        <v>Due order</v>
      </c>
      <c r="N226" s="8">
        <f t="shared" ca="1" si="10"/>
        <v>-32</v>
      </c>
      <c r="O226" s="8" t="str">
        <f t="shared" ca="1" si="11"/>
        <v>With in 90 days</v>
      </c>
      <c r="P226" t="str">
        <f>VLOOKUP(C226,[1]Customer_Master!$A:$B,2,0)</f>
        <v>Group 1-Giridhar-Peenya</v>
      </c>
      <c r="Q226" t="str">
        <f>VLOOKUP(D226,[2]Template!$A:$D,3,0)</f>
        <v>LAPP</v>
      </c>
      <c r="R226" t="str">
        <f>VLOOKUP(D226,[2]Template!$A:$D,4,0)</f>
        <v>Lapp-Against Customer PO</v>
      </c>
    </row>
    <row r="227" spans="1:18" ht="13.5" customHeight="1" x14ac:dyDescent="0.25">
      <c r="A227" s="9">
        <v>46064</v>
      </c>
      <c r="B227" s="10" t="s">
        <v>517</v>
      </c>
      <c r="C227" s="11" t="s">
        <v>54</v>
      </c>
      <c r="D227" s="10" t="s">
        <v>356</v>
      </c>
      <c r="E227" s="12" t="s">
        <v>1072</v>
      </c>
      <c r="F227" s="12" t="s">
        <v>136</v>
      </c>
      <c r="G227" s="13">
        <v>2800</v>
      </c>
      <c r="H227" s="14">
        <v>800</v>
      </c>
      <c r="I227" s="15">
        <v>34.83</v>
      </c>
      <c r="J227" s="16"/>
      <c r="K227" s="17">
        <v>27864</v>
      </c>
      <c r="L227" s="18">
        <v>46064</v>
      </c>
      <c r="M227" s="6" t="str">
        <f t="shared" si="9"/>
        <v>Due order</v>
      </c>
      <c r="N227" s="8">
        <f t="shared" ca="1" si="10"/>
        <v>-91</v>
      </c>
      <c r="O227" s="8" t="str">
        <f t="shared" ca="1" si="11"/>
        <v>More than 90 day old</v>
      </c>
      <c r="P227" t="str">
        <f>VLOOKUP(C227,[1]Customer_Master!$A:$B,2,0)</f>
        <v>Group 1-Giridhar-Peenya</v>
      </c>
      <c r="Q227" t="str">
        <f>VLOOKUP(D227,[2]Template!$A:$D,3,0)</f>
        <v>LAPP</v>
      </c>
      <c r="R227" t="str">
        <f>VLOOKUP(D227,[2]Template!$A:$D,4,0)</f>
        <v>Lapp-Planned Stock General</v>
      </c>
    </row>
    <row r="228" spans="1:18" ht="13.5" customHeight="1" x14ac:dyDescent="0.25">
      <c r="A228" s="9">
        <v>46064</v>
      </c>
      <c r="B228" s="10" t="s">
        <v>517</v>
      </c>
      <c r="C228" s="11" t="s">
        <v>54</v>
      </c>
      <c r="D228" s="10" t="s">
        <v>356</v>
      </c>
      <c r="E228" s="12" t="s">
        <v>1072</v>
      </c>
      <c r="F228" s="12" t="s">
        <v>136</v>
      </c>
      <c r="G228" s="13">
        <v>2800</v>
      </c>
      <c r="H228" s="14">
        <v>2800</v>
      </c>
      <c r="I228" s="15">
        <v>34.83</v>
      </c>
      <c r="J228" s="16"/>
      <c r="K228" s="17">
        <v>97524</v>
      </c>
      <c r="L228" s="18">
        <v>46092</v>
      </c>
      <c r="M228" s="6" t="str">
        <f t="shared" si="9"/>
        <v>Due order</v>
      </c>
      <c r="N228" s="8">
        <f t="shared" ca="1" si="10"/>
        <v>-63</v>
      </c>
      <c r="O228" s="8" t="str">
        <f t="shared" ca="1" si="11"/>
        <v>With in 90 days</v>
      </c>
      <c r="P228" t="str">
        <f>VLOOKUP(C228,[1]Customer_Master!$A:$B,2,0)</f>
        <v>Group 1-Giridhar-Peenya</v>
      </c>
      <c r="Q228" t="str">
        <f>VLOOKUP(D228,[2]Template!$A:$D,3,0)</f>
        <v>LAPP</v>
      </c>
      <c r="R228" t="str">
        <f>VLOOKUP(D228,[2]Template!$A:$D,4,0)</f>
        <v>Lapp-Planned Stock General</v>
      </c>
    </row>
    <row r="229" spans="1:18" ht="13.5" customHeight="1" x14ac:dyDescent="0.25">
      <c r="A229" s="9">
        <v>46064</v>
      </c>
      <c r="B229" s="10" t="s">
        <v>517</v>
      </c>
      <c r="C229" s="11" t="s">
        <v>54</v>
      </c>
      <c r="D229" s="10" t="s">
        <v>356</v>
      </c>
      <c r="E229" s="12" t="s">
        <v>1072</v>
      </c>
      <c r="F229" s="12" t="s">
        <v>136</v>
      </c>
      <c r="G229" s="13">
        <v>2800</v>
      </c>
      <c r="H229" s="14">
        <v>2800</v>
      </c>
      <c r="I229" s="15">
        <v>34.83</v>
      </c>
      <c r="J229" s="16"/>
      <c r="K229" s="17">
        <v>97524</v>
      </c>
      <c r="L229" s="18">
        <v>46123</v>
      </c>
      <c r="M229" s="6" t="str">
        <f t="shared" si="9"/>
        <v>Due order</v>
      </c>
      <c r="N229" s="8">
        <f t="shared" ca="1" si="10"/>
        <v>-32</v>
      </c>
      <c r="O229" s="8" t="str">
        <f t="shared" ca="1" si="11"/>
        <v>With in 90 days</v>
      </c>
      <c r="P229" t="str">
        <f>VLOOKUP(C229,[1]Customer_Master!$A:$B,2,0)</f>
        <v>Group 1-Giridhar-Peenya</v>
      </c>
      <c r="Q229" t="str">
        <f>VLOOKUP(D229,[2]Template!$A:$D,3,0)</f>
        <v>LAPP</v>
      </c>
      <c r="R229" t="str">
        <f>VLOOKUP(D229,[2]Template!$A:$D,4,0)</f>
        <v>Lapp-Planned Stock General</v>
      </c>
    </row>
    <row r="230" spans="1:18" ht="13.5" customHeight="1" x14ac:dyDescent="0.25">
      <c r="A230" s="9">
        <v>46064</v>
      </c>
      <c r="B230" s="10" t="s">
        <v>517</v>
      </c>
      <c r="C230" s="11" t="s">
        <v>54</v>
      </c>
      <c r="D230" s="10" t="s">
        <v>392</v>
      </c>
      <c r="E230" s="12" t="s">
        <v>1072</v>
      </c>
      <c r="F230" s="12" t="s">
        <v>184</v>
      </c>
      <c r="G230" s="13">
        <v>3900</v>
      </c>
      <c r="H230" s="14">
        <v>900</v>
      </c>
      <c r="I230" s="15">
        <v>14.86</v>
      </c>
      <c r="J230" s="16"/>
      <c r="K230" s="17">
        <v>13374</v>
      </c>
      <c r="L230" s="18">
        <v>46064</v>
      </c>
      <c r="M230" s="6" t="str">
        <f t="shared" si="9"/>
        <v>Due order</v>
      </c>
      <c r="N230" s="8">
        <f t="shared" ca="1" si="10"/>
        <v>-91</v>
      </c>
      <c r="O230" s="8" t="str">
        <f t="shared" ca="1" si="11"/>
        <v>More than 90 day old</v>
      </c>
      <c r="P230" t="str">
        <f>VLOOKUP(C230,[1]Customer_Master!$A:$B,2,0)</f>
        <v>Group 1-Giridhar-Peenya</v>
      </c>
      <c r="Q230" t="str">
        <f>VLOOKUP(D230,[2]Template!$A:$D,3,0)</f>
        <v>LAPP</v>
      </c>
      <c r="R230" t="str">
        <f>VLOOKUP(D230,[2]Template!$A:$D,4,0)</f>
        <v>Lapp-Planned Stock General</v>
      </c>
    </row>
    <row r="231" spans="1:18" ht="13.5" customHeight="1" x14ac:dyDescent="0.25">
      <c r="A231" s="9">
        <v>46064</v>
      </c>
      <c r="B231" s="10" t="s">
        <v>517</v>
      </c>
      <c r="C231" s="11" t="s">
        <v>54</v>
      </c>
      <c r="D231" s="10" t="s">
        <v>392</v>
      </c>
      <c r="E231" s="12" t="s">
        <v>1072</v>
      </c>
      <c r="F231" s="12" t="s">
        <v>184</v>
      </c>
      <c r="G231" s="13">
        <v>3900</v>
      </c>
      <c r="H231" s="14">
        <v>3900</v>
      </c>
      <c r="I231" s="15">
        <v>14.86</v>
      </c>
      <c r="J231" s="16"/>
      <c r="K231" s="17">
        <v>57954</v>
      </c>
      <c r="L231" s="18">
        <v>46092</v>
      </c>
      <c r="M231" s="6" t="str">
        <f t="shared" si="9"/>
        <v>Due order</v>
      </c>
      <c r="N231" s="8">
        <f t="shared" ca="1" si="10"/>
        <v>-63</v>
      </c>
      <c r="O231" s="8" t="str">
        <f t="shared" ca="1" si="11"/>
        <v>With in 90 days</v>
      </c>
      <c r="P231" t="str">
        <f>VLOOKUP(C231,[1]Customer_Master!$A:$B,2,0)</f>
        <v>Group 1-Giridhar-Peenya</v>
      </c>
      <c r="Q231" t="str">
        <f>VLOOKUP(D231,[2]Template!$A:$D,3,0)</f>
        <v>LAPP</v>
      </c>
      <c r="R231" t="str">
        <f>VLOOKUP(D231,[2]Template!$A:$D,4,0)</f>
        <v>Lapp-Planned Stock General</v>
      </c>
    </row>
    <row r="232" spans="1:18" ht="13.5" customHeight="1" x14ac:dyDescent="0.25">
      <c r="A232" s="9">
        <v>46064</v>
      </c>
      <c r="B232" s="10" t="s">
        <v>517</v>
      </c>
      <c r="C232" s="11" t="s">
        <v>54</v>
      </c>
      <c r="D232" s="10" t="s">
        <v>392</v>
      </c>
      <c r="E232" s="12" t="s">
        <v>1072</v>
      </c>
      <c r="F232" s="12" t="s">
        <v>184</v>
      </c>
      <c r="G232" s="13">
        <v>3900</v>
      </c>
      <c r="H232" s="14">
        <v>3900</v>
      </c>
      <c r="I232" s="15">
        <v>14.86</v>
      </c>
      <c r="J232" s="16"/>
      <c r="K232" s="17">
        <v>57954</v>
      </c>
      <c r="L232" s="18">
        <v>46123</v>
      </c>
      <c r="M232" s="6" t="str">
        <f t="shared" si="9"/>
        <v>Due order</v>
      </c>
      <c r="N232" s="8">
        <f t="shared" ca="1" si="10"/>
        <v>-32</v>
      </c>
      <c r="O232" s="8" t="str">
        <f t="shared" ca="1" si="11"/>
        <v>With in 90 days</v>
      </c>
      <c r="P232" t="str">
        <f>VLOOKUP(C232,[1]Customer_Master!$A:$B,2,0)</f>
        <v>Group 1-Giridhar-Peenya</v>
      </c>
      <c r="Q232" t="str">
        <f>VLOOKUP(D232,[2]Template!$A:$D,3,0)</f>
        <v>LAPP</v>
      </c>
      <c r="R232" t="str">
        <f>VLOOKUP(D232,[2]Template!$A:$D,4,0)</f>
        <v>Lapp-Planned Stock General</v>
      </c>
    </row>
    <row r="233" spans="1:18" ht="13.5" customHeight="1" x14ac:dyDescent="0.25">
      <c r="A233" s="9">
        <v>46064</v>
      </c>
      <c r="B233" s="10" t="s">
        <v>517</v>
      </c>
      <c r="C233" s="11" t="s">
        <v>54</v>
      </c>
      <c r="D233" s="10" t="s">
        <v>531</v>
      </c>
      <c r="E233" s="12" t="s">
        <v>1072</v>
      </c>
      <c r="F233" s="12" t="s">
        <v>532</v>
      </c>
      <c r="G233" s="13">
        <v>900</v>
      </c>
      <c r="H233" s="14">
        <v>900</v>
      </c>
      <c r="I233" s="15">
        <v>14.86</v>
      </c>
      <c r="J233" s="16"/>
      <c r="K233" s="17">
        <v>13374</v>
      </c>
      <c r="L233" s="18">
        <v>46092</v>
      </c>
      <c r="M233" s="6" t="str">
        <f t="shared" si="9"/>
        <v>Due order</v>
      </c>
      <c r="N233" s="8">
        <f t="shared" ca="1" si="10"/>
        <v>-63</v>
      </c>
      <c r="O233" s="8" t="str">
        <f t="shared" ca="1" si="11"/>
        <v>With in 90 days</v>
      </c>
      <c r="P233" t="str">
        <f>VLOOKUP(C233,[1]Customer_Master!$A:$B,2,0)</f>
        <v>Group 1-Giridhar-Peenya</v>
      </c>
      <c r="Q233" t="str">
        <f>VLOOKUP(D233,[2]Template!$A:$D,3,0)</f>
        <v>LAPP</v>
      </c>
      <c r="R233" t="str">
        <f>VLOOKUP(D233,[2]Template!$A:$D,4,0)</f>
        <v>Lapp-Planned Stock General</v>
      </c>
    </row>
    <row r="234" spans="1:18" ht="13.5" customHeight="1" x14ac:dyDescent="0.25">
      <c r="A234" s="9">
        <v>46064</v>
      </c>
      <c r="B234" s="10" t="s">
        <v>517</v>
      </c>
      <c r="C234" s="11" t="s">
        <v>54</v>
      </c>
      <c r="D234" s="10" t="s">
        <v>531</v>
      </c>
      <c r="E234" s="12" t="s">
        <v>1072</v>
      </c>
      <c r="F234" s="12" t="s">
        <v>532</v>
      </c>
      <c r="G234" s="13">
        <v>700</v>
      </c>
      <c r="H234" s="14">
        <v>700</v>
      </c>
      <c r="I234" s="15">
        <v>14.86</v>
      </c>
      <c r="J234" s="16"/>
      <c r="K234" s="17">
        <v>10402</v>
      </c>
      <c r="L234" s="18">
        <v>46123</v>
      </c>
      <c r="M234" s="6" t="str">
        <f t="shared" si="9"/>
        <v>Due order</v>
      </c>
      <c r="N234" s="8">
        <f t="shared" ca="1" si="10"/>
        <v>-32</v>
      </c>
      <c r="O234" s="8" t="str">
        <f t="shared" ca="1" si="11"/>
        <v>With in 90 days</v>
      </c>
      <c r="P234" t="str">
        <f>VLOOKUP(C234,[1]Customer_Master!$A:$B,2,0)</f>
        <v>Group 1-Giridhar-Peenya</v>
      </c>
      <c r="Q234" t="str">
        <f>VLOOKUP(D234,[2]Template!$A:$D,3,0)</f>
        <v>LAPP</v>
      </c>
      <c r="R234" t="str">
        <f>VLOOKUP(D234,[2]Template!$A:$D,4,0)</f>
        <v>Lapp-Planned Stock General</v>
      </c>
    </row>
    <row r="235" spans="1:18" ht="13.5" customHeight="1" x14ac:dyDescent="0.25">
      <c r="A235" s="9">
        <v>46064</v>
      </c>
      <c r="B235" s="10" t="s">
        <v>517</v>
      </c>
      <c r="C235" s="11" t="s">
        <v>54</v>
      </c>
      <c r="D235" s="10" t="s">
        <v>533</v>
      </c>
      <c r="E235" s="12" t="s">
        <v>1072</v>
      </c>
      <c r="F235" s="12" t="s">
        <v>534</v>
      </c>
      <c r="G235" s="13">
        <v>800</v>
      </c>
      <c r="H235" s="14">
        <v>200</v>
      </c>
      <c r="I235" s="15">
        <v>54.42</v>
      </c>
      <c r="J235" s="16"/>
      <c r="K235" s="17">
        <v>10884</v>
      </c>
      <c r="L235" s="18">
        <v>46064</v>
      </c>
      <c r="M235" s="6" t="str">
        <f t="shared" si="9"/>
        <v>Due order</v>
      </c>
      <c r="N235" s="8">
        <f t="shared" ca="1" si="10"/>
        <v>-91</v>
      </c>
      <c r="O235" s="8" t="str">
        <f t="shared" ca="1" si="11"/>
        <v>More than 90 day old</v>
      </c>
      <c r="P235" t="str">
        <f>VLOOKUP(C235,[1]Customer_Master!$A:$B,2,0)</f>
        <v>Group 1-Giridhar-Peenya</v>
      </c>
      <c r="Q235" t="str">
        <f>VLOOKUP(D235,[2]Template!$A:$D,3,0)</f>
        <v>LAPP</v>
      </c>
      <c r="R235" t="str">
        <f>VLOOKUP(D235,[2]Template!$A:$D,4,0)</f>
        <v>Lapp-Planned Stock General</v>
      </c>
    </row>
    <row r="236" spans="1:18" ht="13.5" customHeight="1" x14ac:dyDescent="0.25">
      <c r="A236" s="9">
        <v>46064</v>
      </c>
      <c r="B236" s="10" t="s">
        <v>517</v>
      </c>
      <c r="C236" s="11" t="s">
        <v>54</v>
      </c>
      <c r="D236" s="10" t="s">
        <v>533</v>
      </c>
      <c r="E236" s="12" t="s">
        <v>1072</v>
      </c>
      <c r="F236" s="12" t="s">
        <v>534</v>
      </c>
      <c r="G236" s="13">
        <v>800</v>
      </c>
      <c r="H236" s="14">
        <v>800</v>
      </c>
      <c r="I236" s="15">
        <v>54.42</v>
      </c>
      <c r="J236" s="16"/>
      <c r="K236" s="17">
        <v>43536</v>
      </c>
      <c r="L236" s="18">
        <v>46092</v>
      </c>
      <c r="M236" s="6" t="str">
        <f t="shared" si="9"/>
        <v>Due order</v>
      </c>
      <c r="N236" s="8">
        <f t="shared" ca="1" si="10"/>
        <v>-63</v>
      </c>
      <c r="O236" s="8" t="str">
        <f t="shared" ca="1" si="11"/>
        <v>With in 90 days</v>
      </c>
      <c r="P236" t="str">
        <f>VLOOKUP(C236,[1]Customer_Master!$A:$B,2,0)</f>
        <v>Group 1-Giridhar-Peenya</v>
      </c>
      <c r="Q236" t="str">
        <f>VLOOKUP(D236,[2]Template!$A:$D,3,0)</f>
        <v>LAPP</v>
      </c>
      <c r="R236" t="str">
        <f>VLOOKUP(D236,[2]Template!$A:$D,4,0)</f>
        <v>Lapp-Planned Stock General</v>
      </c>
    </row>
    <row r="237" spans="1:18" ht="13.5" customHeight="1" x14ac:dyDescent="0.25">
      <c r="A237" s="9">
        <v>46064</v>
      </c>
      <c r="B237" s="10" t="s">
        <v>517</v>
      </c>
      <c r="C237" s="11" t="s">
        <v>54</v>
      </c>
      <c r="D237" s="10" t="s">
        <v>533</v>
      </c>
      <c r="E237" s="12" t="s">
        <v>1072</v>
      </c>
      <c r="F237" s="12" t="s">
        <v>534</v>
      </c>
      <c r="G237" s="13">
        <v>700</v>
      </c>
      <c r="H237" s="14">
        <v>700</v>
      </c>
      <c r="I237" s="15">
        <v>54.42</v>
      </c>
      <c r="J237" s="16"/>
      <c r="K237" s="17">
        <v>38094</v>
      </c>
      <c r="L237" s="18">
        <v>45758</v>
      </c>
      <c r="M237" s="6" t="str">
        <f t="shared" si="9"/>
        <v>Due order</v>
      </c>
      <c r="N237" s="8">
        <f t="shared" ca="1" si="10"/>
        <v>-397</v>
      </c>
      <c r="O237" s="8" t="str">
        <f t="shared" ca="1" si="11"/>
        <v>More than 1 Year old</v>
      </c>
      <c r="P237" t="str">
        <f>VLOOKUP(C237,[1]Customer_Master!$A:$B,2,0)</f>
        <v>Group 1-Giridhar-Peenya</v>
      </c>
      <c r="Q237" t="str">
        <f>VLOOKUP(D237,[2]Template!$A:$D,3,0)</f>
        <v>LAPP</v>
      </c>
      <c r="R237" t="str">
        <f>VLOOKUP(D237,[2]Template!$A:$D,4,0)</f>
        <v>Lapp-Planned Stock General</v>
      </c>
    </row>
    <row r="238" spans="1:18" ht="13.5" customHeight="1" x14ac:dyDescent="0.25">
      <c r="A238" s="9">
        <v>46064</v>
      </c>
      <c r="B238" s="10" t="s">
        <v>517</v>
      </c>
      <c r="C238" s="11" t="s">
        <v>54</v>
      </c>
      <c r="D238" s="10" t="s">
        <v>535</v>
      </c>
      <c r="E238" s="12" t="s">
        <v>1072</v>
      </c>
      <c r="F238" s="12" t="s">
        <v>536</v>
      </c>
      <c r="G238" s="13">
        <v>900</v>
      </c>
      <c r="H238" s="14">
        <v>900</v>
      </c>
      <c r="I238" s="15">
        <v>54.42</v>
      </c>
      <c r="J238" s="16"/>
      <c r="K238" s="17">
        <v>48978</v>
      </c>
      <c r="L238" s="18">
        <v>46064</v>
      </c>
      <c r="M238" s="6" t="str">
        <f t="shared" si="9"/>
        <v>Due order</v>
      </c>
      <c r="N238" s="8">
        <f t="shared" ca="1" si="10"/>
        <v>-91</v>
      </c>
      <c r="O238" s="8" t="str">
        <f t="shared" ca="1" si="11"/>
        <v>More than 90 day old</v>
      </c>
      <c r="P238" t="str">
        <f>VLOOKUP(C238,[1]Customer_Master!$A:$B,2,0)</f>
        <v>Group 1-Giridhar-Peenya</v>
      </c>
      <c r="Q238" t="str">
        <f>VLOOKUP(D238,[2]Template!$A:$D,3,0)</f>
        <v>LAPP</v>
      </c>
      <c r="R238" t="str">
        <f>VLOOKUP(D238,[2]Template!$A:$D,4,0)</f>
        <v>Lapp-Planned Stock General</v>
      </c>
    </row>
    <row r="239" spans="1:18" ht="13.5" customHeight="1" x14ac:dyDescent="0.25">
      <c r="A239" s="9">
        <v>46064</v>
      </c>
      <c r="B239" s="10" t="s">
        <v>517</v>
      </c>
      <c r="C239" s="11" t="s">
        <v>54</v>
      </c>
      <c r="D239" s="10" t="s">
        <v>535</v>
      </c>
      <c r="E239" s="12" t="s">
        <v>1072</v>
      </c>
      <c r="F239" s="12" t="s">
        <v>536</v>
      </c>
      <c r="G239" s="13">
        <v>900</v>
      </c>
      <c r="H239" s="14">
        <v>900</v>
      </c>
      <c r="I239" s="15">
        <v>54.42</v>
      </c>
      <c r="J239" s="16"/>
      <c r="K239" s="17">
        <v>48978</v>
      </c>
      <c r="L239" s="18">
        <v>46092</v>
      </c>
      <c r="M239" s="6" t="str">
        <f t="shared" si="9"/>
        <v>Due order</v>
      </c>
      <c r="N239" s="8">
        <f t="shared" ca="1" si="10"/>
        <v>-63</v>
      </c>
      <c r="O239" s="8" t="str">
        <f t="shared" ca="1" si="11"/>
        <v>With in 90 days</v>
      </c>
      <c r="P239" t="str">
        <f>VLOOKUP(C239,[1]Customer_Master!$A:$B,2,0)</f>
        <v>Group 1-Giridhar-Peenya</v>
      </c>
      <c r="Q239" t="str">
        <f>VLOOKUP(D239,[2]Template!$A:$D,3,0)</f>
        <v>LAPP</v>
      </c>
      <c r="R239" t="str">
        <f>VLOOKUP(D239,[2]Template!$A:$D,4,0)</f>
        <v>Lapp-Planned Stock General</v>
      </c>
    </row>
    <row r="240" spans="1:18" ht="13.5" customHeight="1" x14ac:dyDescent="0.25">
      <c r="A240" s="9">
        <v>46064</v>
      </c>
      <c r="B240" s="10" t="s">
        <v>517</v>
      </c>
      <c r="C240" s="11" t="s">
        <v>54</v>
      </c>
      <c r="D240" s="10" t="s">
        <v>535</v>
      </c>
      <c r="E240" s="12" t="s">
        <v>1072</v>
      </c>
      <c r="F240" s="12" t="s">
        <v>536</v>
      </c>
      <c r="G240" s="13">
        <v>700</v>
      </c>
      <c r="H240" s="14">
        <v>700</v>
      </c>
      <c r="I240" s="15">
        <v>54.42</v>
      </c>
      <c r="J240" s="16"/>
      <c r="K240" s="17">
        <v>38094</v>
      </c>
      <c r="L240" s="18">
        <v>46123</v>
      </c>
      <c r="M240" s="6" t="str">
        <f t="shared" si="9"/>
        <v>Due order</v>
      </c>
      <c r="N240" s="8">
        <f t="shared" ca="1" si="10"/>
        <v>-32</v>
      </c>
      <c r="O240" s="8" t="str">
        <f t="shared" ca="1" si="11"/>
        <v>With in 90 days</v>
      </c>
      <c r="P240" t="str">
        <f>VLOOKUP(C240,[1]Customer_Master!$A:$B,2,0)</f>
        <v>Group 1-Giridhar-Peenya</v>
      </c>
      <c r="Q240" t="str">
        <f>VLOOKUP(D240,[2]Template!$A:$D,3,0)</f>
        <v>LAPP</v>
      </c>
      <c r="R240" t="str">
        <f>VLOOKUP(D240,[2]Template!$A:$D,4,0)</f>
        <v>Lapp-Planned Stock General</v>
      </c>
    </row>
    <row r="241" spans="1:18" ht="13.5" customHeight="1" x14ac:dyDescent="0.25">
      <c r="A241" s="9">
        <v>46064</v>
      </c>
      <c r="B241" s="10" t="s">
        <v>517</v>
      </c>
      <c r="C241" s="11" t="s">
        <v>54</v>
      </c>
      <c r="D241" s="10" t="s">
        <v>537</v>
      </c>
      <c r="E241" s="12" t="s">
        <v>1072</v>
      </c>
      <c r="F241" s="12" t="s">
        <v>538</v>
      </c>
      <c r="G241" s="13">
        <v>800</v>
      </c>
      <c r="H241" s="14">
        <v>800</v>
      </c>
      <c r="I241" s="15">
        <v>54.42</v>
      </c>
      <c r="J241" s="16"/>
      <c r="K241" s="17">
        <v>43536</v>
      </c>
      <c r="L241" s="18">
        <v>46064</v>
      </c>
      <c r="M241" s="6" t="str">
        <f t="shared" si="9"/>
        <v>Due order</v>
      </c>
      <c r="N241" s="8">
        <f t="shared" ca="1" si="10"/>
        <v>-91</v>
      </c>
      <c r="O241" s="8" t="str">
        <f t="shared" ca="1" si="11"/>
        <v>More than 90 day old</v>
      </c>
      <c r="P241" t="str">
        <f>VLOOKUP(C241,[1]Customer_Master!$A:$B,2,0)</f>
        <v>Group 1-Giridhar-Peenya</v>
      </c>
      <c r="Q241" t="str">
        <f>VLOOKUP(D241,[2]Template!$A:$D,3,0)</f>
        <v>LAPP</v>
      </c>
      <c r="R241" t="str">
        <f>VLOOKUP(D241,[2]Template!$A:$D,4,0)</f>
        <v>Lapp-Planned Stock General</v>
      </c>
    </row>
    <row r="242" spans="1:18" ht="13.5" customHeight="1" x14ac:dyDescent="0.25">
      <c r="A242" s="9">
        <v>46064</v>
      </c>
      <c r="B242" s="10" t="s">
        <v>517</v>
      </c>
      <c r="C242" s="11" t="s">
        <v>54</v>
      </c>
      <c r="D242" s="10" t="s">
        <v>537</v>
      </c>
      <c r="E242" s="12" t="s">
        <v>1072</v>
      </c>
      <c r="F242" s="12" t="s">
        <v>538</v>
      </c>
      <c r="G242" s="13">
        <v>800</v>
      </c>
      <c r="H242" s="14">
        <v>800</v>
      </c>
      <c r="I242" s="15">
        <v>54.42</v>
      </c>
      <c r="J242" s="16"/>
      <c r="K242" s="17">
        <v>43536</v>
      </c>
      <c r="L242" s="18">
        <v>46092</v>
      </c>
      <c r="M242" s="6" t="str">
        <f t="shared" si="9"/>
        <v>Due order</v>
      </c>
      <c r="N242" s="8">
        <f t="shared" ca="1" si="10"/>
        <v>-63</v>
      </c>
      <c r="O242" s="8" t="str">
        <f t="shared" ca="1" si="11"/>
        <v>With in 90 days</v>
      </c>
      <c r="P242" t="str">
        <f>VLOOKUP(C242,[1]Customer_Master!$A:$B,2,0)</f>
        <v>Group 1-Giridhar-Peenya</v>
      </c>
      <c r="Q242" t="str">
        <f>VLOOKUP(D242,[2]Template!$A:$D,3,0)</f>
        <v>LAPP</v>
      </c>
      <c r="R242" t="str">
        <f>VLOOKUP(D242,[2]Template!$A:$D,4,0)</f>
        <v>Lapp-Planned Stock General</v>
      </c>
    </row>
    <row r="243" spans="1:18" ht="13.5" customHeight="1" x14ac:dyDescent="0.25">
      <c r="A243" s="9">
        <v>46064</v>
      </c>
      <c r="B243" s="10" t="s">
        <v>517</v>
      </c>
      <c r="C243" s="11" t="s">
        <v>54</v>
      </c>
      <c r="D243" s="10" t="s">
        <v>537</v>
      </c>
      <c r="E243" s="12" t="s">
        <v>1072</v>
      </c>
      <c r="F243" s="12" t="s">
        <v>538</v>
      </c>
      <c r="G243" s="13">
        <v>700</v>
      </c>
      <c r="H243" s="14">
        <v>700</v>
      </c>
      <c r="I243" s="15">
        <v>54.42</v>
      </c>
      <c r="J243" s="16"/>
      <c r="K243" s="17">
        <v>38094</v>
      </c>
      <c r="L243" s="18">
        <v>46123</v>
      </c>
      <c r="M243" s="6" t="str">
        <f t="shared" si="9"/>
        <v>Due order</v>
      </c>
      <c r="N243" s="8">
        <f t="shared" ca="1" si="10"/>
        <v>-32</v>
      </c>
      <c r="O243" s="8" t="str">
        <f t="shared" ca="1" si="11"/>
        <v>With in 90 days</v>
      </c>
      <c r="P243" t="str">
        <f>VLOOKUP(C243,[1]Customer_Master!$A:$B,2,0)</f>
        <v>Group 1-Giridhar-Peenya</v>
      </c>
      <c r="Q243" t="str">
        <f>VLOOKUP(D243,[2]Template!$A:$D,3,0)</f>
        <v>LAPP</v>
      </c>
      <c r="R243" t="str">
        <f>VLOOKUP(D243,[2]Template!$A:$D,4,0)</f>
        <v>Lapp-Planned Stock General</v>
      </c>
    </row>
    <row r="244" spans="1:18" ht="13.5" customHeight="1" x14ac:dyDescent="0.25">
      <c r="A244" s="9">
        <v>46064</v>
      </c>
      <c r="B244" s="10" t="s">
        <v>517</v>
      </c>
      <c r="C244" s="11" t="s">
        <v>54</v>
      </c>
      <c r="D244" s="10" t="s">
        <v>539</v>
      </c>
      <c r="E244" s="12" t="s">
        <v>1072</v>
      </c>
      <c r="F244" s="12" t="s">
        <v>540</v>
      </c>
      <c r="G244" s="13">
        <v>500</v>
      </c>
      <c r="H244" s="14">
        <v>500</v>
      </c>
      <c r="I244" s="15">
        <v>80.78</v>
      </c>
      <c r="J244" s="16"/>
      <c r="K244" s="17">
        <v>40390</v>
      </c>
      <c r="L244" s="18">
        <v>46092</v>
      </c>
      <c r="M244" s="6" t="str">
        <f t="shared" si="9"/>
        <v>Due order</v>
      </c>
      <c r="N244" s="8">
        <f t="shared" ca="1" si="10"/>
        <v>-63</v>
      </c>
      <c r="O244" s="8" t="str">
        <f t="shared" ca="1" si="11"/>
        <v>With in 90 days</v>
      </c>
      <c r="P244" t="str">
        <f>VLOOKUP(C244,[1]Customer_Master!$A:$B,2,0)</f>
        <v>Group 1-Giridhar-Peenya</v>
      </c>
      <c r="Q244" t="str">
        <f>VLOOKUP(D244,[2]Template!$A:$D,3,0)</f>
        <v>LAPP</v>
      </c>
      <c r="R244" t="str">
        <f>VLOOKUP(D244,[2]Template!$A:$D,4,0)</f>
        <v>Lapp-Planned Stock General</v>
      </c>
    </row>
    <row r="245" spans="1:18" ht="13.5" customHeight="1" x14ac:dyDescent="0.25">
      <c r="A245" s="9">
        <v>46064</v>
      </c>
      <c r="B245" s="10" t="s">
        <v>517</v>
      </c>
      <c r="C245" s="11" t="s">
        <v>54</v>
      </c>
      <c r="D245" s="10" t="s">
        <v>539</v>
      </c>
      <c r="E245" s="12" t="s">
        <v>1072</v>
      </c>
      <c r="F245" s="12" t="s">
        <v>540</v>
      </c>
      <c r="G245" s="13">
        <v>500</v>
      </c>
      <c r="H245" s="14">
        <v>500</v>
      </c>
      <c r="I245" s="15">
        <v>80.78</v>
      </c>
      <c r="J245" s="16"/>
      <c r="K245" s="17">
        <v>40390</v>
      </c>
      <c r="L245" s="18">
        <v>46123</v>
      </c>
      <c r="M245" s="6" t="str">
        <f t="shared" si="9"/>
        <v>Due order</v>
      </c>
      <c r="N245" s="8">
        <f t="shared" ca="1" si="10"/>
        <v>-32</v>
      </c>
      <c r="O245" s="8" t="str">
        <f t="shared" ca="1" si="11"/>
        <v>With in 90 days</v>
      </c>
      <c r="P245" t="str">
        <f>VLOOKUP(C245,[1]Customer_Master!$A:$B,2,0)</f>
        <v>Group 1-Giridhar-Peenya</v>
      </c>
      <c r="Q245" t="str">
        <f>VLOOKUP(D245,[2]Template!$A:$D,3,0)</f>
        <v>LAPP</v>
      </c>
      <c r="R245" t="str">
        <f>VLOOKUP(D245,[2]Template!$A:$D,4,0)</f>
        <v>Lapp-Planned Stock General</v>
      </c>
    </row>
    <row r="246" spans="1:18" ht="13.5" customHeight="1" x14ac:dyDescent="0.25">
      <c r="A246" s="9">
        <v>46064</v>
      </c>
      <c r="B246" s="10" t="s">
        <v>517</v>
      </c>
      <c r="C246" s="11" t="s">
        <v>54</v>
      </c>
      <c r="D246" s="10" t="s">
        <v>541</v>
      </c>
      <c r="E246" s="12" t="s">
        <v>1072</v>
      </c>
      <c r="F246" s="12" t="s">
        <v>542</v>
      </c>
      <c r="G246" s="13">
        <v>600</v>
      </c>
      <c r="H246" s="14">
        <v>400</v>
      </c>
      <c r="I246" s="15">
        <v>80.78</v>
      </c>
      <c r="J246" s="16"/>
      <c r="K246" s="17">
        <v>32312</v>
      </c>
      <c r="L246" s="18">
        <v>46064</v>
      </c>
      <c r="M246" s="6" t="str">
        <f t="shared" si="9"/>
        <v>Due order</v>
      </c>
      <c r="N246" s="8">
        <f t="shared" ca="1" si="10"/>
        <v>-91</v>
      </c>
      <c r="O246" s="8" t="str">
        <f t="shared" ca="1" si="11"/>
        <v>More than 90 day old</v>
      </c>
      <c r="P246" t="str">
        <f>VLOOKUP(C246,[1]Customer_Master!$A:$B,2,0)</f>
        <v>Group 1-Giridhar-Peenya</v>
      </c>
      <c r="Q246" t="str">
        <f>VLOOKUP(D246,[2]Template!$A:$D,3,0)</f>
        <v>LAPP</v>
      </c>
      <c r="R246" t="str">
        <f>VLOOKUP(D246,[2]Template!$A:$D,4,0)</f>
        <v>Lapp-Planned Stock General</v>
      </c>
    </row>
    <row r="247" spans="1:18" ht="13.5" customHeight="1" x14ac:dyDescent="0.25">
      <c r="A247" s="9">
        <v>46064</v>
      </c>
      <c r="B247" s="10" t="s">
        <v>517</v>
      </c>
      <c r="C247" s="11" t="s">
        <v>54</v>
      </c>
      <c r="D247" s="10" t="s">
        <v>541</v>
      </c>
      <c r="E247" s="12" t="s">
        <v>1072</v>
      </c>
      <c r="F247" s="12" t="s">
        <v>542</v>
      </c>
      <c r="G247" s="13">
        <v>500</v>
      </c>
      <c r="H247" s="14">
        <v>500</v>
      </c>
      <c r="I247" s="15">
        <v>80.78</v>
      </c>
      <c r="J247" s="16"/>
      <c r="K247" s="17">
        <v>40390</v>
      </c>
      <c r="L247" s="18">
        <v>46092</v>
      </c>
      <c r="M247" s="6" t="str">
        <f t="shared" si="9"/>
        <v>Due order</v>
      </c>
      <c r="N247" s="8">
        <f t="shared" ca="1" si="10"/>
        <v>-63</v>
      </c>
      <c r="O247" s="8" t="str">
        <f t="shared" ca="1" si="11"/>
        <v>With in 90 days</v>
      </c>
      <c r="P247" t="str">
        <f>VLOOKUP(C247,[1]Customer_Master!$A:$B,2,0)</f>
        <v>Group 1-Giridhar-Peenya</v>
      </c>
      <c r="Q247" t="str">
        <f>VLOOKUP(D247,[2]Template!$A:$D,3,0)</f>
        <v>LAPP</v>
      </c>
      <c r="R247" t="str">
        <f>VLOOKUP(D247,[2]Template!$A:$D,4,0)</f>
        <v>Lapp-Planned Stock General</v>
      </c>
    </row>
    <row r="248" spans="1:18" ht="13.5" customHeight="1" x14ac:dyDescent="0.25">
      <c r="A248" s="9">
        <v>46064</v>
      </c>
      <c r="B248" s="10" t="s">
        <v>517</v>
      </c>
      <c r="C248" s="11" t="s">
        <v>54</v>
      </c>
      <c r="D248" s="10" t="s">
        <v>541</v>
      </c>
      <c r="E248" s="12" t="s">
        <v>1072</v>
      </c>
      <c r="F248" s="12" t="s">
        <v>542</v>
      </c>
      <c r="G248" s="13">
        <v>500</v>
      </c>
      <c r="H248" s="14">
        <v>500</v>
      </c>
      <c r="I248" s="15">
        <v>80.78</v>
      </c>
      <c r="J248" s="16"/>
      <c r="K248" s="17">
        <v>40390</v>
      </c>
      <c r="L248" s="18">
        <v>46123</v>
      </c>
      <c r="M248" s="6" t="str">
        <f t="shared" si="9"/>
        <v>Due order</v>
      </c>
      <c r="N248" s="8">
        <f t="shared" ca="1" si="10"/>
        <v>-32</v>
      </c>
      <c r="O248" s="8" t="str">
        <f t="shared" ca="1" si="11"/>
        <v>With in 90 days</v>
      </c>
      <c r="P248" t="str">
        <f>VLOOKUP(C248,[1]Customer_Master!$A:$B,2,0)</f>
        <v>Group 1-Giridhar-Peenya</v>
      </c>
      <c r="Q248" t="str">
        <f>VLOOKUP(D248,[2]Template!$A:$D,3,0)</f>
        <v>LAPP</v>
      </c>
      <c r="R248" t="str">
        <f>VLOOKUP(D248,[2]Template!$A:$D,4,0)</f>
        <v>Lapp-Planned Stock General</v>
      </c>
    </row>
    <row r="249" spans="1:18" ht="13.5" customHeight="1" x14ac:dyDescent="0.25">
      <c r="A249" s="9">
        <v>46064</v>
      </c>
      <c r="B249" s="10" t="s">
        <v>517</v>
      </c>
      <c r="C249" s="11" t="s">
        <v>54</v>
      </c>
      <c r="D249" s="10" t="s">
        <v>488</v>
      </c>
      <c r="E249" s="12" t="s">
        <v>1072</v>
      </c>
      <c r="F249" s="12" t="s">
        <v>489</v>
      </c>
      <c r="G249" s="13">
        <v>500</v>
      </c>
      <c r="H249" s="14">
        <v>500</v>
      </c>
      <c r="I249" s="15">
        <v>80.78</v>
      </c>
      <c r="J249" s="16"/>
      <c r="K249" s="17">
        <v>40390</v>
      </c>
      <c r="L249" s="18">
        <v>46092</v>
      </c>
      <c r="M249" s="6" t="str">
        <f t="shared" si="9"/>
        <v>Due order</v>
      </c>
      <c r="N249" s="8">
        <f t="shared" ca="1" si="10"/>
        <v>-63</v>
      </c>
      <c r="O249" s="8" t="str">
        <f t="shared" ca="1" si="11"/>
        <v>With in 90 days</v>
      </c>
      <c r="P249" t="str">
        <f>VLOOKUP(C249,[1]Customer_Master!$A:$B,2,0)</f>
        <v>Group 1-Giridhar-Peenya</v>
      </c>
      <c r="Q249" t="str">
        <f>VLOOKUP(D249,[2]Template!$A:$D,3,0)</f>
        <v>LAPP</v>
      </c>
      <c r="R249" t="str">
        <f>VLOOKUP(D249,[2]Template!$A:$D,4,0)</f>
        <v>Lapp-Planned Stock General</v>
      </c>
    </row>
    <row r="250" spans="1:18" ht="13.5" customHeight="1" x14ac:dyDescent="0.25">
      <c r="A250" s="9">
        <v>46064</v>
      </c>
      <c r="B250" s="10" t="s">
        <v>517</v>
      </c>
      <c r="C250" s="11" t="s">
        <v>54</v>
      </c>
      <c r="D250" s="10" t="s">
        <v>488</v>
      </c>
      <c r="E250" s="12" t="s">
        <v>1072</v>
      </c>
      <c r="F250" s="12" t="s">
        <v>489</v>
      </c>
      <c r="G250" s="13">
        <v>500</v>
      </c>
      <c r="H250" s="14">
        <v>500</v>
      </c>
      <c r="I250" s="15">
        <v>80.78</v>
      </c>
      <c r="J250" s="16"/>
      <c r="K250" s="17">
        <v>40390</v>
      </c>
      <c r="L250" s="18">
        <v>46123</v>
      </c>
      <c r="M250" s="6" t="str">
        <f t="shared" si="9"/>
        <v>Due order</v>
      </c>
      <c r="N250" s="8">
        <f t="shared" ca="1" si="10"/>
        <v>-32</v>
      </c>
      <c r="O250" s="8" t="str">
        <f t="shared" ca="1" si="11"/>
        <v>With in 90 days</v>
      </c>
      <c r="P250" t="str">
        <f>VLOOKUP(C250,[1]Customer_Master!$A:$B,2,0)</f>
        <v>Group 1-Giridhar-Peenya</v>
      </c>
      <c r="Q250" t="str">
        <f>VLOOKUP(D250,[2]Template!$A:$D,3,0)</f>
        <v>LAPP</v>
      </c>
      <c r="R250" t="str">
        <f>VLOOKUP(D250,[2]Template!$A:$D,4,0)</f>
        <v>Lapp-Planned Stock General</v>
      </c>
    </row>
    <row r="251" spans="1:18" ht="13.5" customHeight="1" x14ac:dyDescent="0.25">
      <c r="A251" s="9">
        <v>46064</v>
      </c>
      <c r="B251" s="10" t="s">
        <v>517</v>
      </c>
      <c r="C251" s="11" t="s">
        <v>54</v>
      </c>
      <c r="D251" s="10" t="s">
        <v>342</v>
      </c>
      <c r="E251" s="12" t="s">
        <v>1072</v>
      </c>
      <c r="F251" s="12" t="s">
        <v>125</v>
      </c>
      <c r="G251" s="13">
        <v>300</v>
      </c>
      <c r="H251" s="14">
        <v>300</v>
      </c>
      <c r="I251" s="15">
        <v>80.78</v>
      </c>
      <c r="J251" s="16"/>
      <c r="K251" s="17">
        <v>24234</v>
      </c>
      <c r="L251" s="18">
        <v>46092</v>
      </c>
      <c r="M251" s="6" t="str">
        <f t="shared" si="9"/>
        <v>Due order</v>
      </c>
      <c r="N251" s="8">
        <f t="shared" ca="1" si="10"/>
        <v>-63</v>
      </c>
      <c r="O251" s="8" t="str">
        <f t="shared" ca="1" si="11"/>
        <v>With in 90 days</v>
      </c>
      <c r="P251" t="str">
        <f>VLOOKUP(C251,[1]Customer_Master!$A:$B,2,0)</f>
        <v>Group 1-Giridhar-Peenya</v>
      </c>
      <c r="Q251" t="str">
        <f>VLOOKUP(D251,[2]Template!$A:$D,3,0)</f>
        <v>LAPP</v>
      </c>
      <c r="R251" t="str">
        <f>VLOOKUP(D251,[2]Template!$A:$D,4,0)</f>
        <v>Lapp-Planned Stock General</v>
      </c>
    </row>
    <row r="252" spans="1:18" ht="13.5" customHeight="1" x14ac:dyDescent="0.25">
      <c r="A252" s="9">
        <v>46064</v>
      </c>
      <c r="B252" s="10" t="s">
        <v>517</v>
      </c>
      <c r="C252" s="11" t="s">
        <v>54</v>
      </c>
      <c r="D252" s="10" t="s">
        <v>342</v>
      </c>
      <c r="E252" s="12" t="s">
        <v>1072</v>
      </c>
      <c r="F252" s="12" t="s">
        <v>125</v>
      </c>
      <c r="G252" s="13">
        <v>200</v>
      </c>
      <c r="H252" s="14">
        <v>200</v>
      </c>
      <c r="I252" s="15">
        <v>80.78</v>
      </c>
      <c r="J252" s="16"/>
      <c r="K252" s="17">
        <v>16156</v>
      </c>
      <c r="L252" s="18">
        <v>46123</v>
      </c>
      <c r="M252" s="6" t="str">
        <f t="shared" si="9"/>
        <v>Due order</v>
      </c>
      <c r="N252" s="8">
        <f t="shared" ca="1" si="10"/>
        <v>-32</v>
      </c>
      <c r="O252" s="8" t="str">
        <f t="shared" ca="1" si="11"/>
        <v>With in 90 days</v>
      </c>
      <c r="P252" t="str">
        <f>VLOOKUP(C252,[1]Customer_Master!$A:$B,2,0)</f>
        <v>Group 1-Giridhar-Peenya</v>
      </c>
      <c r="Q252" t="str">
        <f>VLOOKUP(D252,[2]Template!$A:$D,3,0)</f>
        <v>LAPP</v>
      </c>
      <c r="R252" t="str">
        <f>VLOOKUP(D252,[2]Template!$A:$D,4,0)</f>
        <v>Lapp-Planned Stock General</v>
      </c>
    </row>
    <row r="253" spans="1:18" ht="13.5" customHeight="1" x14ac:dyDescent="0.25">
      <c r="A253" s="9">
        <v>46064</v>
      </c>
      <c r="B253" s="10" t="s">
        <v>517</v>
      </c>
      <c r="C253" s="11" t="s">
        <v>54</v>
      </c>
      <c r="D253" s="10" t="s">
        <v>479</v>
      </c>
      <c r="E253" s="12" t="s">
        <v>1072</v>
      </c>
      <c r="F253" s="12" t="s">
        <v>480</v>
      </c>
      <c r="G253" s="13">
        <v>900</v>
      </c>
      <c r="H253" s="14">
        <v>900</v>
      </c>
      <c r="I253" s="15">
        <v>7.98</v>
      </c>
      <c r="J253" s="16"/>
      <c r="K253" s="17">
        <v>7182</v>
      </c>
      <c r="L253" s="18">
        <v>46064</v>
      </c>
      <c r="M253" s="6" t="str">
        <f t="shared" si="9"/>
        <v>Due order</v>
      </c>
      <c r="N253" s="8">
        <f t="shared" ca="1" si="10"/>
        <v>-91</v>
      </c>
      <c r="O253" s="8" t="str">
        <f t="shared" ca="1" si="11"/>
        <v>More than 90 day old</v>
      </c>
      <c r="P253" t="str">
        <f>VLOOKUP(C253,[1]Customer_Master!$A:$B,2,0)</f>
        <v>Group 1-Giridhar-Peenya</v>
      </c>
      <c r="Q253" t="str">
        <f>VLOOKUP(D253,[2]Template!$A:$D,3,0)</f>
        <v>LAPP</v>
      </c>
      <c r="R253" t="str">
        <f>VLOOKUP(D253,[2]Template!$A:$D,4,0)</f>
        <v>Lapp-Planned Stock General</v>
      </c>
    </row>
    <row r="254" spans="1:18" ht="13.5" customHeight="1" x14ac:dyDescent="0.25">
      <c r="A254" s="9">
        <v>46064</v>
      </c>
      <c r="B254" s="10" t="s">
        <v>517</v>
      </c>
      <c r="C254" s="11" t="s">
        <v>54</v>
      </c>
      <c r="D254" s="10" t="s">
        <v>479</v>
      </c>
      <c r="E254" s="12" t="s">
        <v>1072</v>
      </c>
      <c r="F254" s="12" t="s">
        <v>480</v>
      </c>
      <c r="G254" s="13">
        <v>900</v>
      </c>
      <c r="H254" s="14">
        <v>900</v>
      </c>
      <c r="I254" s="15">
        <v>7.98</v>
      </c>
      <c r="J254" s="16"/>
      <c r="K254" s="17">
        <v>7182</v>
      </c>
      <c r="L254" s="18">
        <v>46092</v>
      </c>
      <c r="M254" s="6" t="str">
        <f t="shared" si="9"/>
        <v>Due order</v>
      </c>
      <c r="N254" s="8">
        <f t="shared" ca="1" si="10"/>
        <v>-63</v>
      </c>
      <c r="O254" s="8" t="str">
        <f t="shared" ca="1" si="11"/>
        <v>With in 90 days</v>
      </c>
      <c r="P254" t="str">
        <f>VLOOKUP(C254,[1]Customer_Master!$A:$B,2,0)</f>
        <v>Group 1-Giridhar-Peenya</v>
      </c>
      <c r="Q254" t="str">
        <f>VLOOKUP(D254,[2]Template!$A:$D,3,0)</f>
        <v>LAPP</v>
      </c>
      <c r="R254" t="str">
        <f>VLOOKUP(D254,[2]Template!$A:$D,4,0)</f>
        <v>Lapp-Planned Stock General</v>
      </c>
    </row>
    <row r="255" spans="1:18" ht="13.5" customHeight="1" x14ac:dyDescent="0.25">
      <c r="A255" s="9">
        <v>46064</v>
      </c>
      <c r="B255" s="10" t="s">
        <v>517</v>
      </c>
      <c r="C255" s="11" t="s">
        <v>54</v>
      </c>
      <c r="D255" s="10" t="s">
        <v>479</v>
      </c>
      <c r="E255" s="12" t="s">
        <v>1072</v>
      </c>
      <c r="F255" s="12" t="s">
        <v>480</v>
      </c>
      <c r="G255" s="13">
        <v>900</v>
      </c>
      <c r="H255" s="14">
        <v>900</v>
      </c>
      <c r="I255" s="15">
        <v>7.98</v>
      </c>
      <c r="J255" s="16"/>
      <c r="K255" s="17">
        <v>7182</v>
      </c>
      <c r="L255" s="18">
        <v>46123</v>
      </c>
      <c r="M255" s="6" t="str">
        <f t="shared" si="9"/>
        <v>Due order</v>
      </c>
      <c r="N255" s="8">
        <f t="shared" ca="1" si="10"/>
        <v>-32</v>
      </c>
      <c r="O255" s="8" t="str">
        <f t="shared" ca="1" si="11"/>
        <v>With in 90 days</v>
      </c>
      <c r="P255" t="str">
        <f>VLOOKUP(C255,[1]Customer_Master!$A:$B,2,0)</f>
        <v>Group 1-Giridhar-Peenya</v>
      </c>
      <c r="Q255" t="str">
        <f>VLOOKUP(D255,[2]Template!$A:$D,3,0)</f>
        <v>LAPP</v>
      </c>
      <c r="R255" t="str">
        <f>VLOOKUP(D255,[2]Template!$A:$D,4,0)</f>
        <v>Lapp-Planned Stock General</v>
      </c>
    </row>
    <row r="256" spans="1:18" ht="13.5" customHeight="1" x14ac:dyDescent="0.25">
      <c r="A256" s="9">
        <v>46064</v>
      </c>
      <c r="B256" s="10" t="s">
        <v>517</v>
      </c>
      <c r="C256" s="11" t="s">
        <v>54</v>
      </c>
      <c r="D256" s="10" t="s">
        <v>336</v>
      </c>
      <c r="E256" s="12" t="s">
        <v>1072</v>
      </c>
      <c r="F256" s="12" t="s">
        <v>119</v>
      </c>
      <c r="G256" s="13">
        <v>200</v>
      </c>
      <c r="H256" s="14">
        <v>200</v>
      </c>
      <c r="I256" s="15">
        <v>54.42</v>
      </c>
      <c r="J256" s="16"/>
      <c r="K256" s="17">
        <v>10884</v>
      </c>
      <c r="L256" s="18">
        <v>46092</v>
      </c>
      <c r="M256" s="6" t="str">
        <f t="shared" si="9"/>
        <v>Due order</v>
      </c>
      <c r="N256" s="8">
        <f t="shared" ca="1" si="10"/>
        <v>-63</v>
      </c>
      <c r="O256" s="8" t="str">
        <f t="shared" ca="1" si="11"/>
        <v>With in 90 days</v>
      </c>
      <c r="P256" t="str">
        <f>VLOOKUP(C256,[1]Customer_Master!$A:$B,2,0)</f>
        <v>Group 1-Giridhar-Peenya</v>
      </c>
      <c r="Q256" t="str">
        <f>VLOOKUP(D256,[2]Template!$A:$D,3,0)</f>
        <v>LAPP</v>
      </c>
      <c r="R256" t="str">
        <f>VLOOKUP(D256,[2]Template!$A:$D,4,0)</f>
        <v>Lapp-Planned Stock General</v>
      </c>
    </row>
    <row r="257" spans="1:18" ht="13.5" customHeight="1" x14ac:dyDescent="0.25">
      <c r="A257" s="9">
        <v>46064</v>
      </c>
      <c r="B257" s="10" t="s">
        <v>517</v>
      </c>
      <c r="C257" s="11" t="s">
        <v>54</v>
      </c>
      <c r="D257" s="10" t="s">
        <v>336</v>
      </c>
      <c r="E257" s="12" t="s">
        <v>1072</v>
      </c>
      <c r="F257" s="12" t="s">
        <v>119</v>
      </c>
      <c r="G257" s="13">
        <v>200</v>
      </c>
      <c r="H257" s="14">
        <v>200</v>
      </c>
      <c r="I257" s="15">
        <v>54.42</v>
      </c>
      <c r="J257" s="16"/>
      <c r="K257" s="17">
        <v>10884</v>
      </c>
      <c r="L257" s="18">
        <v>46123</v>
      </c>
      <c r="M257" s="6" t="str">
        <f t="shared" si="9"/>
        <v>Due order</v>
      </c>
      <c r="N257" s="8">
        <f t="shared" ca="1" si="10"/>
        <v>-32</v>
      </c>
      <c r="O257" s="8" t="str">
        <f t="shared" ca="1" si="11"/>
        <v>With in 90 days</v>
      </c>
      <c r="P257" t="str">
        <f>VLOOKUP(C257,[1]Customer_Master!$A:$B,2,0)</f>
        <v>Group 1-Giridhar-Peenya</v>
      </c>
      <c r="Q257" t="str">
        <f>VLOOKUP(D257,[2]Template!$A:$D,3,0)</f>
        <v>LAPP</v>
      </c>
      <c r="R257" t="str">
        <f>VLOOKUP(D257,[2]Template!$A:$D,4,0)</f>
        <v>Lapp-Planned Stock General</v>
      </c>
    </row>
    <row r="258" spans="1:18" ht="13.5" customHeight="1" x14ac:dyDescent="0.25">
      <c r="A258" s="9">
        <v>46064</v>
      </c>
      <c r="B258" s="10" t="s">
        <v>517</v>
      </c>
      <c r="C258" s="11" t="s">
        <v>54</v>
      </c>
      <c r="D258" s="10" t="s">
        <v>454</v>
      </c>
      <c r="E258" s="12" t="s">
        <v>1072</v>
      </c>
      <c r="F258" s="12" t="s">
        <v>244</v>
      </c>
      <c r="G258" s="13">
        <v>2800</v>
      </c>
      <c r="H258" s="14">
        <v>2800</v>
      </c>
      <c r="I258" s="15">
        <v>7.98</v>
      </c>
      <c r="J258" s="16"/>
      <c r="K258" s="17">
        <v>22344</v>
      </c>
      <c r="L258" s="18">
        <v>46092</v>
      </c>
      <c r="M258" s="6" t="str">
        <f t="shared" si="9"/>
        <v>Due order</v>
      </c>
      <c r="N258" s="8">
        <f t="shared" ca="1" si="10"/>
        <v>-63</v>
      </c>
      <c r="O258" s="8" t="str">
        <f t="shared" ca="1" si="11"/>
        <v>With in 90 days</v>
      </c>
      <c r="P258" t="str">
        <f>VLOOKUP(C258,[1]Customer_Master!$A:$B,2,0)</f>
        <v>Group 1-Giridhar-Peenya</v>
      </c>
      <c r="Q258" t="str">
        <f>VLOOKUP(D258,[2]Template!$A:$D,3,0)</f>
        <v>LAPP</v>
      </c>
      <c r="R258" t="str">
        <f>VLOOKUP(D258,[2]Template!$A:$D,4,0)</f>
        <v>Lapp-Planned Stock General</v>
      </c>
    </row>
    <row r="259" spans="1:18" ht="13.5" customHeight="1" x14ac:dyDescent="0.25">
      <c r="A259" s="9">
        <v>46064</v>
      </c>
      <c r="B259" s="10" t="s">
        <v>517</v>
      </c>
      <c r="C259" s="11" t="s">
        <v>54</v>
      </c>
      <c r="D259" s="10" t="s">
        <v>454</v>
      </c>
      <c r="E259" s="12" t="s">
        <v>1072</v>
      </c>
      <c r="F259" s="12" t="s">
        <v>244</v>
      </c>
      <c r="G259" s="13">
        <v>2800</v>
      </c>
      <c r="H259" s="14">
        <v>2800</v>
      </c>
      <c r="I259" s="15">
        <v>7.98</v>
      </c>
      <c r="J259" s="16"/>
      <c r="K259" s="17">
        <v>22344</v>
      </c>
      <c r="L259" s="18">
        <v>46123</v>
      </c>
      <c r="M259" s="6" t="str">
        <f t="shared" ref="M259:M322" si="12">IF(L259&lt;DATE(2026,4,30),"Due order","Schedule order")</f>
        <v>Due order</v>
      </c>
      <c r="N259" s="8">
        <f t="shared" ref="N259:N322" ca="1" si="13">L259-TODAY()</f>
        <v>-32</v>
      </c>
      <c r="O259" s="8" t="str">
        <f t="shared" ref="O259:O322" ca="1" si="14">IF(N259&lt;-365,"More than 1 Year old",IF(N259&lt;-180," More than 180 days old",IF(N259&lt;-90,"More than 90 day old",IF(N259&lt;0,"With in 90 days","Lattest or shedule order"))))</f>
        <v>With in 90 days</v>
      </c>
      <c r="P259" t="str">
        <f>VLOOKUP(C259,[1]Customer_Master!$A:$B,2,0)</f>
        <v>Group 1-Giridhar-Peenya</v>
      </c>
      <c r="Q259" t="str">
        <f>VLOOKUP(D259,[2]Template!$A:$D,3,0)</f>
        <v>LAPP</v>
      </c>
      <c r="R259" t="str">
        <f>VLOOKUP(D259,[2]Template!$A:$D,4,0)</f>
        <v>Lapp-Planned Stock General</v>
      </c>
    </row>
    <row r="260" spans="1:18" ht="13.5" customHeight="1" x14ac:dyDescent="0.25">
      <c r="A260" s="9">
        <v>46064</v>
      </c>
      <c r="B260" s="10" t="s">
        <v>517</v>
      </c>
      <c r="C260" s="11" t="s">
        <v>54</v>
      </c>
      <c r="D260" s="10" t="s">
        <v>543</v>
      </c>
      <c r="E260" s="12" t="s">
        <v>1072</v>
      </c>
      <c r="F260" s="12" t="s">
        <v>544</v>
      </c>
      <c r="G260" s="13">
        <v>300</v>
      </c>
      <c r="H260" s="14">
        <v>300</v>
      </c>
      <c r="I260" s="15">
        <v>142.18</v>
      </c>
      <c r="J260" s="16"/>
      <c r="K260" s="17">
        <v>42654</v>
      </c>
      <c r="L260" s="18">
        <v>46092</v>
      </c>
      <c r="M260" s="6" t="str">
        <f t="shared" si="12"/>
        <v>Due order</v>
      </c>
      <c r="N260" s="8">
        <f t="shared" ca="1" si="13"/>
        <v>-63</v>
      </c>
      <c r="O260" s="8" t="str">
        <f t="shared" ca="1" si="14"/>
        <v>With in 90 days</v>
      </c>
      <c r="P260" t="str">
        <f>VLOOKUP(C260,[1]Customer_Master!$A:$B,2,0)</f>
        <v>Group 1-Giridhar-Peenya</v>
      </c>
      <c r="Q260" t="str">
        <f>VLOOKUP(D260,[2]Template!$A:$D,3,0)</f>
        <v>LAPP</v>
      </c>
      <c r="R260" t="str">
        <f>VLOOKUP(D260,[2]Template!$A:$D,4,0)</f>
        <v>Lapp-Planned Stock General</v>
      </c>
    </row>
    <row r="261" spans="1:18" ht="13.5" customHeight="1" x14ac:dyDescent="0.25">
      <c r="A261" s="9">
        <v>46064</v>
      </c>
      <c r="B261" s="10" t="s">
        <v>517</v>
      </c>
      <c r="C261" s="11" t="s">
        <v>54</v>
      </c>
      <c r="D261" s="10" t="s">
        <v>543</v>
      </c>
      <c r="E261" s="12" t="s">
        <v>1072</v>
      </c>
      <c r="F261" s="12" t="s">
        <v>544</v>
      </c>
      <c r="G261" s="13">
        <v>300</v>
      </c>
      <c r="H261" s="14">
        <v>300</v>
      </c>
      <c r="I261" s="15">
        <v>142.18</v>
      </c>
      <c r="J261" s="16"/>
      <c r="K261" s="17">
        <v>42654</v>
      </c>
      <c r="L261" s="18">
        <v>46123</v>
      </c>
      <c r="M261" s="6" t="str">
        <f t="shared" si="12"/>
        <v>Due order</v>
      </c>
      <c r="N261" s="8">
        <f t="shared" ca="1" si="13"/>
        <v>-32</v>
      </c>
      <c r="O261" s="8" t="str">
        <f t="shared" ca="1" si="14"/>
        <v>With in 90 days</v>
      </c>
      <c r="P261" t="str">
        <f>VLOOKUP(C261,[1]Customer_Master!$A:$B,2,0)</f>
        <v>Group 1-Giridhar-Peenya</v>
      </c>
      <c r="Q261" t="str">
        <f>VLOOKUP(D261,[2]Template!$A:$D,3,0)</f>
        <v>LAPP</v>
      </c>
      <c r="R261" t="str">
        <f>VLOOKUP(D261,[2]Template!$A:$D,4,0)</f>
        <v>Lapp-Planned Stock General</v>
      </c>
    </row>
    <row r="262" spans="1:18" ht="13.5" customHeight="1" x14ac:dyDescent="0.25">
      <c r="A262" s="9">
        <v>46064</v>
      </c>
      <c r="B262" s="10" t="s">
        <v>517</v>
      </c>
      <c r="C262" s="11" t="s">
        <v>54</v>
      </c>
      <c r="D262" s="10" t="s">
        <v>545</v>
      </c>
      <c r="E262" s="12" t="s">
        <v>1072</v>
      </c>
      <c r="F262" s="12" t="s">
        <v>546</v>
      </c>
      <c r="G262" s="13">
        <v>300</v>
      </c>
      <c r="H262" s="14">
        <v>200</v>
      </c>
      <c r="I262" s="15">
        <v>142.18</v>
      </c>
      <c r="J262" s="16"/>
      <c r="K262" s="17">
        <v>28436</v>
      </c>
      <c r="L262" s="18">
        <v>46064</v>
      </c>
      <c r="M262" s="6" t="str">
        <f t="shared" si="12"/>
        <v>Due order</v>
      </c>
      <c r="N262" s="8">
        <f t="shared" ca="1" si="13"/>
        <v>-91</v>
      </c>
      <c r="O262" s="8" t="str">
        <f t="shared" ca="1" si="14"/>
        <v>More than 90 day old</v>
      </c>
      <c r="P262" t="str">
        <f>VLOOKUP(C262,[1]Customer_Master!$A:$B,2,0)</f>
        <v>Group 1-Giridhar-Peenya</v>
      </c>
      <c r="Q262" t="str">
        <f>VLOOKUP(D262,[2]Template!$A:$D,3,0)</f>
        <v>LAPP</v>
      </c>
      <c r="R262" t="str">
        <f>VLOOKUP(D262,[2]Template!$A:$D,4,0)</f>
        <v>Lapp-Planned Stock General</v>
      </c>
    </row>
    <row r="263" spans="1:18" ht="13.5" customHeight="1" x14ac:dyDescent="0.25">
      <c r="A263" s="9">
        <v>46064</v>
      </c>
      <c r="B263" s="10" t="s">
        <v>517</v>
      </c>
      <c r="C263" s="11" t="s">
        <v>54</v>
      </c>
      <c r="D263" s="10" t="s">
        <v>545</v>
      </c>
      <c r="E263" s="12" t="s">
        <v>1072</v>
      </c>
      <c r="F263" s="12" t="s">
        <v>546</v>
      </c>
      <c r="G263" s="13">
        <v>300</v>
      </c>
      <c r="H263" s="14">
        <v>300</v>
      </c>
      <c r="I263" s="15">
        <v>142.18</v>
      </c>
      <c r="J263" s="16"/>
      <c r="K263" s="17">
        <v>42654</v>
      </c>
      <c r="L263" s="18">
        <v>46092</v>
      </c>
      <c r="M263" s="6" t="str">
        <f t="shared" si="12"/>
        <v>Due order</v>
      </c>
      <c r="N263" s="8">
        <f t="shared" ca="1" si="13"/>
        <v>-63</v>
      </c>
      <c r="O263" s="8" t="str">
        <f t="shared" ca="1" si="14"/>
        <v>With in 90 days</v>
      </c>
      <c r="P263" t="str">
        <f>VLOOKUP(C263,[1]Customer_Master!$A:$B,2,0)</f>
        <v>Group 1-Giridhar-Peenya</v>
      </c>
      <c r="Q263" t="str">
        <f>VLOOKUP(D263,[2]Template!$A:$D,3,0)</f>
        <v>LAPP</v>
      </c>
      <c r="R263" t="str">
        <f>VLOOKUP(D263,[2]Template!$A:$D,4,0)</f>
        <v>Lapp-Planned Stock General</v>
      </c>
    </row>
    <row r="264" spans="1:18" ht="13.5" customHeight="1" x14ac:dyDescent="0.25">
      <c r="A264" s="9">
        <v>46064</v>
      </c>
      <c r="B264" s="10" t="s">
        <v>517</v>
      </c>
      <c r="C264" s="11" t="s">
        <v>54</v>
      </c>
      <c r="D264" s="10" t="s">
        <v>545</v>
      </c>
      <c r="E264" s="12" t="s">
        <v>1072</v>
      </c>
      <c r="F264" s="12" t="s">
        <v>546</v>
      </c>
      <c r="G264" s="13">
        <v>300</v>
      </c>
      <c r="H264" s="14">
        <v>300</v>
      </c>
      <c r="I264" s="15">
        <v>142.18</v>
      </c>
      <c r="J264" s="16"/>
      <c r="K264" s="17">
        <v>42654</v>
      </c>
      <c r="L264" s="18">
        <v>46123</v>
      </c>
      <c r="M264" s="6" t="str">
        <f t="shared" si="12"/>
        <v>Due order</v>
      </c>
      <c r="N264" s="8">
        <f t="shared" ca="1" si="13"/>
        <v>-32</v>
      </c>
      <c r="O264" s="8" t="str">
        <f t="shared" ca="1" si="14"/>
        <v>With in 90 days</v>
      </c>
      <c r="P264" t="str">
        <f>VLOOKUP(C264,[1]Customer_Master!$A:$B,2,0)</f>
        <v>Group 1-Giridhar-Peenya</v>
      </c>
      <c r="Q264" t="str">
        <f>VLOOKUP(D264,[2]Template!$A:$D,3,0)</f>
        <v>LAPP</v>
      </c>
      <c r="R264" t="str">
        <f>VLOOKUP(D264,[2]Template!$A:$D,4,0)</f>
        <v>Lapp-Planned Stock General</v>
      </c>
    </row>
    <row r="265" spans="1:18" ht="13.5" customHeight="1" x14ac:dyDescent="0.25">
      <c r="A265" s="9">
        <v>46064</v>
      </c>
      <c r="B265" s="10" t="s">
        <v>517</v>
      </c>
      <c r="C265" s="11" t="s">
        <v>54</v>
      </c>
      <c r="D265" s="10" t="s">
        <v>501</v>
      </c>
      <c r="E265" s="12" t="s">
        <v>1072</v>
      </c>
      <c r="F265" s="12" t="s">
        <v>502</v>
      </c>
      <c r="G265" s="13">
        <v>300</v>
      </c>
      <c r="H265" s="14">
        <v>300</v>
      </c>
      <c r="I265" s="15">
        <v>142.18</v>
      </c>
      <c r="J265" s="16"/>
      <c r="K265" s="17">
        <v>42654</v>
      </c>
      <c r="L265" s="18">
        <v>46064</v>
      </c>
      <c r="M265" s="6" t="str">
        <f t="shared" si="12"/>
        <v>Due order</v>
      </c>
      <c r="N265" s="8">
        <f t="shared" ca="1" si="13"/>
        <v>-91</v>
      </c>
      <c r="O265" s="8" t="str">
        <f t="shared" ca="1" si="14"/>
        <v>More than 90 day old</v>
      </c>
      <c r="P265" t="str">
        <f>VLOOKUP(C265,[1]Customer_Master!$A:$B,2,0)</f>
        <v>Group 1-Giridhar-Peenya</v>
      </c>
      <c r="Q265" t="str">
        <f>VLOOKUP(D265,[2]Template!$A:$D,3,0)</f>
        <v>LAPP</v>
      </c>
      <c r="R265" t="str">
        <f>VLOOKUP(D265,[2]Template!$A:$D,4,0)</f>
        <v>Lapp-Titan</v>
      </c>
    </row>
    <row r="266" spans="1:18" ht="13.5" customHeight="1" x14ac:dyDescent="0.25">
      <c r="A266" s="9">
        <v>46064</v>
      </c>
      <c r="B266" s="10" t="s">
        <v>517</v>
      </c>
      <c r="C266" s="11" t="s">
        <v>54</v>
      </c>
      <c r="D266" s="10" t="s">
        <v>501</v>
      </c>
      <c r="E266" s="12" t="s">
        <v>1072</v>
      </c>
      <c r="F266" s="12" t="s">
        <v>502</v>
      </c>
      <c r="G266" s="13">
        <v>300</v>
      </c>
      <c r="H266" s="14">
        <v>300</v>
      </c>
      <c r="I266" s="15">
        <v>142.18</v>
      </c>
      <c r="J266" s="16"/>
      <c r="K266" s="17">
        <v>42654</v>
      </c>
      <c r="L266" s="18">
        <v>46092</v>
      </c>
      <c r="M266" s="6" t="str">
        <f t="shared" si="12"/>
        <v>Due order</v>
      </c>
      <c r="N266" s="8">
        <f t="shared" ca="1" si="13"/>
        <v>-63</v>
      </c>
      <c r="O266" s="8" t="str">
        <f t="shared" ca="1" si="14"/>
        <v>With in 90 days</v>
      </c>
      <c r="P266" t="str">
        <f>VLOOKUP(C266,[1]Customer_Master!$A:$B,2,0)</f>
        <v>Group 1-Giridhar-Peenya</v>
      </c>
      <c r="Q266" t="str">
        <f>VLOOKUP(D266,[2]Template!$A:$D,3,0)</f>
        <v>LAPP</v>
      </c>
      <c r="R266" t="str">
        <f>VLOOKUP(D266,[2]Template!$A:$D,4,0)</f>
        <v>Lapp-Titan</v>
      </c>
    </row>
    <row r="267" spans="1:18" ht="13.5" customHeight="1" x14ac:dyDescent="0.25">
      <c r="A267" s="9">
        <v>46064</v>
      </c>
      <c r="B267" s="10" t="s">
        <v>517</v>
      </c>
      <c r="C267" s="11" t="s">
        <v>54</v>
      </c>
      <c r="D267" s="10" t="s">
        <v>501</v>
      </c>
      <c r="E267" s="12" t="s">
        <v>1072</v>
      </c>
      <c r="F267" s="12" t="s">
        <v>502</v>
      </c>
      <c r="G267" s="13">
        <v>300</v>
      </c>
      <c r="H267" s="14">
        <v>300</v>
      </c>
      <c r="I267" s="15">
        <v>142.18</v>
      </c>
      <c r="J267" s="16"/>
      <c r="K267" s="17">
        <v>42654</v>
      </c>
      <c r="L267" s="18">
        <v>46123</v>
      </c>
      <c r="M267" s="6" t="str">
        <f t="shared" si="12"/>
        <v>Due order</v>
      </c>
      <c r="N267" s="8">
        <f t="shared" ca="1" si="13"/>
        <v>-32</v>
      </c>
      <c r="O267" s="8" t="str">
        <f t="shared" ca="1" si="14"/>
        <v>With in 90 days</v>
      </c>
      <c r="P267" t="str">
        <f>VLOOKUP(C267,[1]Customer_Master!$A:$B,2,0)</f>
        <v>Group 1-Giridhar-Peenya</v>
      </c>
      <c r="Q267" t="str">
        <f>VLOOKUP(D267,[2]Template!$A:$D,3,0)</f>
        <v>LAPP</v>
      </c>
      <c r="R267" t="str">
        <f>VLOOKUP(D267,[2]Template!$A:$D,4,0)</f>
        <v>Lapp-Titan</v>
      </c>
    </row>
    <row r="268" spans="1:18" ht="13.5" customHeight="1" x14ac:dyDescent="0.25">
      <c r="A268" s="9">
        <v>46064</v>
      </c>
      <c r="B268" s="10" t="s">
        <v>517</v>
      </c>
      <c r="C268" s="11" t="s">
        <v>54</v>
      </c>
      <c r="D268" s="10" t="s">
        <v>547</v>
      </c>
      <c r="E268" s="12" t="s">
        <v>1072</v>
      </c>
      <c r="F268" s="12" t="s">
        <v>548</v>
      </c>
      <c r="G268" s="13">
        <v>200</v>
      </c>
      <c r="H268" s="14">
        <v>200</v>
      </c>
      <c r="I268" s="15">
        <v>223.43</v>
      </c>
      <c r="J268" s="16"/>
      <c r="K268" s="17">
        <v>44686</v>
      </c>
      <c r="L268" s="18">
        <v>46064</v>
      </c>
      <c r="M268" s="6" t="str">
        <f t="shared" si="12"/>
        <v>Due order</v>
      </c>
      <c r="N268" s="8">
        <f t="shared" ca="1" si="13"/>
        <v>-91</v>
      </c>
      <c r="O268" s="8" t="str">
        <f t="shared" ca="1" si="14"/>
        <v>More than 90 day old</v>
      </c>
      <c r="P268" t="str">
        <f>VLOOKUP(C268,[1]Customer_Master!$A:$B,2,0)</f>
        <v>Group 1-Giridhar-Peenya</v>
      </c>
      <c r="Q268" t="str">
        <f>VLOOKUP(D268,[2]Template!$A:$D,3,0)</f>
        <v>LAPP</v>
      </c>
      <c r="R268" t="str">
        <f>VLOOKUP(D268,[2]Template!$A:$D,4,0)</f>
        <v>Lapp-Non Moving Stocks</v>
      </c>
    </row>
    <row r="269" spans="1:18" ht="13.5" customHeight="1" x14ac:dyDescent="0.25">
      <c r="A269" s="9">
        <v>46064</v>
      </c>
      <c r="B269" s="10" t="s">
        <v>517</v>
      </c>
      <c r="C269" s="11" t="s">
        <v>54</v>
      </c>
      <c r="D269" s="10" t="s">
        <v>547</v>
      </c>
      <c r="E269" s="12" t="s">
        <v>1072</v>
      </c>
      <c r="F269" s="12" t="s">
        <v>548</v>
      </c>
      <c r="G269" s="13">
        <v>100</v>
      </c>
      <c r="H269" s="14">
        <v>100</v>
      </c>
      <c r="I269" s="15">
        <v>223.43</v>
      </c>
      <c r="J269" s="16"/>
      <c r="K269" s="17">
        <v>22343</v>
      </c>
      <c r="L269" s="18">
        <v>46092</v>
      </c>
      <c r="M269" s="6" t="str">
        <f t="shared" si="12"/>
        <v>Due order</v>
      </c>
      <c r="N269" s="8">
        <f t="shared" ca="1" si="13"/>
        <v>-63</v>
      </c>
      <c r="O269" s="8" t="str">
        <f t="shared" ca="1" si="14"/>
        <v>With in 90 days</v>
      </c>
      <c r="P269" t="str">
        <f>VLOOKUP(C269,[1]Customer_Master!$A:$B,2,0)</f>
        <v>Group 1-Giridhar-Peenya</v>
      </c>
      <c r="Q269" t="str">
        <f>VLOOKUP(D269,[2]Template!$A:$D,3,0)</f>
        <v>LAPP</v>
      </c>
      <c r="R269" t="str">
        <f>VLOOKUP(D269,[2]Template!$A:$D,4,0)</f>
        <v>Lapp-Non Moving Stocks</v>
      </c>
    </row>
    <row r="270" spans="1:18" ht="13.5" customHeight="1" x14ac:dyDescent="0.25">
      <c r="A270" s="9">
        <v>46064</v>
      </c>
      <c r="B270" s="10" t="s">
        <v>517</v>
      </c>
      <c r="C270" s="11" t="s">
        <v>54</v>
      </c>
      <c r="D270" s="10" t="s">
        <v>547</v>
      </c>
      <c r="E270" s="12" t="s">
        <v>1072</v>
      </c>
      <c r="F270" s="12" t="s">
        <v>548</v>
      </c>
      <c r="G270" s="13">
        <v>100</v>
      </c>
      <c r="H270" s="14">
        <v>100</v>
      </c>
      <c r="I270" s="15">
        <v>223.43</v>
      </c>
      <c r="J270" s="16"/>
      <c r="K270" s="17">
        <v>22343</v>
      </c>
      <c r="L270" s="18">
        <v>46123</v>
      </c>
      <c r="M270" s="6" t="str">
        <f t="shared" si="12"/>
        <v>Due order</v>
      </c>
      <c r="N270" s="8">
        <f t="shared" ca="1" si="13"/>
        <v>-32</v>
      </c>
      <c r="O270" s="8" t="str">
        <f t="shared" ca="1" si="14"/>
        <v>With in 90 days</v>
      </c>
      <c r="P270" t="str">
        <f>VLOOKUP(C270,[1]Customer_Master!$A:$B,2,0)</f>
        <v>Group 1-Giridhar-Peenya</v>
      </c>
      <c r="Q270" t="str">
        <f>VLOOKUP(D270,[2]Template!$A:$D,3,0)</f>
        <v>LAPP</v>
      </c>
      <c r="R270" t="str">
        <f>VLOOKUP(D270,[2]Template!$A:$D,4,0)</f>
        <v>Lapp-Non Moving Stocks</v>
      </c>
    </row>
    <row r="271" spans="1:18" ht="13.5" customHeight="1" x14ac:dyDescent="0.25">
      <c r="A271" s="9">
        <v>46064</v>
      </c>
      <c r="B271" s="10" t="s">
        <v>517</v>
      </c>
      <c r="C271" s="11" t="s">
        <v>54</v>
      </c>
      <c r="D271" s="10" t="s">
        <v>549</v>
      </c>
      <c r="E271" s="12" t="s">
        <v>1072</v>
      </c>
      <c r="F271" s="12" t="s">
        <v>550</v>
      </c>
      <c r="G271" s="13">
        <v>200</v>
      </c>
      <c r="H271" s="14">
        <v>100</v>
      </c>
      <c r="I271" s="15">
        <v>223.43</v>
      </c>
      <c r="J271" s="16"/>
      <c r="K271" s="17">
        <v>22343</v>
      </c>
      <c r="L271" s="18">
        <v>46064</v>
      </c>
      <c r="M271" s="6" t="str">
        <f t="shared" si="12"/>
        <v>Due order</v>
      </c>
      <c r="N271" s="8">
        <f t="shared" ca="1" si="13"/>
        <v>-91</v>
      </c>
      <c r="O271" s="8" t="str">
        <f t="shared" ca="1" si="14"/>
        <v>More than 90 day old</v>
      </c>
      <c r="P271" t="str">
        <f>VLOOKUP(C271,[1]Customer_Master!$A:$B,2,0)</f>
        <v>Group 1-Giridhar-Peenya</v>
      </c>
      <c r="Q271" t="str">
        <f>VLOOKUP(D271,[2]Template!$A:$D,3,0)</f>
        <v>LAPP</v>
      </c>
      <c r="R271" t="str">
        <f>VLOOKUP(D271,[2]Template!$A:$D,4,0)</f>
        <v>Lapp-Non Moving Stocks</v>
      </c>
    </row>
    <row r="272" spans="1:18" ht="13.5" customHeight="1" x14ac:dyDescent="0.25">
      <c r="A272" s="9">
        <v>46064</v>
      </c>
      <c r="B272" s="10" t="s">
        <v>517</v>
      </c>
      <c r="C272" s="11" t="s">
        <v>54</v>
      </c>
      <c r="D272" s="10" t="s">
        <v>549</v>
      </c>
      <c r="E272" s="12" t="s">
        <v>1072</v>
      </c>
      <c r="F272" s="12" t="s">
        <v>550</v>
      </c>
      <c r="G272" s="13">
        <v>100</v>
      </c>
      <c r="H272" s="14">
        <v>100</v>
      </c>
      <c r="I272" s="15">
        <v>223.43</v>
      </c>
      <c r="J272" s="16"/>
      <c r="K272" s="17">
        <v>22343</v>
      </c>
      <c r="L272" s="18">
        <v>46092</v>
      </c>
      <c r="M272" s="6" t="str">
        <f t="shared" si="12"/>
        <v>Due order</v>
      </c>
      <c r="N272" s="8">
        <f t="shared" ca="1" si="13"/>
        <v>-63</v>
      </c>
      <c r="O272" s="8" t="str">
        <f t="shared" ca="1" si="14"/>
        <v>With in 90 days</v>
      </c>
      <c r="P272" t="str">
        <f>VLOOKUP(C272,[1]Customer_Master!$A:$B,2,0)</f>
        <v>Group 1-Giridhar-Peenya</v>
      </c>
      <c r="Q272" t="str">
        <f>VLOOKUP(D272,[2]Template!$A:$D,3,0)</f>
        <v>LAPP</v>
      </c>
      <c r="R272" t="str">
        <f>VLOOKUP(D272,[2]Template!$A:$D,4,0)</f>
        <v>Lapp-Non Moving Stocks</v>
      </c>
    </row>
    <row r="273" spans="1:18" ht="13.5" customHeight="1" x14ac:dyDescent="0.25">
      <c r="A273" s="9">
        <v>46064</v>
      </c>
      <c r="B273" s="10" t="s">
        <v>517</v>
      </c>
      <c r="C273" s="11" t="s">
        <v>54</v>
      </c>
      <c r="D273" s="10" t="s">
        <v>549</v>
      </c>
      <c r="E273" s="12" t="s">
        <v>1072</v>
      </c>
      <c r="F273" s="12" t="s">
        <v>550</v>
      </c>
      <c r="G273" s="13">
        <v>100</v>
      </c>
      <c r="H273" s="14">
        <v>100</v>
      </c>
      <c r="I273" s="15">
        <v>223.43</v>
      </c>
      <c r="J273" s="16"/>
      <c r="K273" s="17">
        <v>22343</v>
      </c>
      <c r="L273" s="18">
        <v>46123</v>
      </c>
      <c r="M273" s="6" t="str">
        <f t="shared" si="12"/>
        <v>Due order</v>
      </c>
      <c r="N273" s="8">
        <f t="shared" ca="1" si="13"/>
        <v>-32</v>
      </c>
      <c r="O273" s="8" t="str">
        <f t="shared" ca="1" si="14"/>
        <v>With in 90 days</v>
      </c>
      <c r="P273" t="str">
        <f>VLOOKUP(C273,[1]Customer_Master!$A:$B,2,0)</f>
        <v>Group 1-Giridhar-Peenya</v>
      </c>
      <c r="Q273" t="str">
        <f>VLOOKUP(D273,[2]Template!$A:$D,3,0)</f>
        <v>LAPP</v>
      </c>
      <c r="R273" t="str">
        <f>VLOOKUP(D273,[2]Template!$A:$D,4,0)</f>
        <v>Lapp-Non Moving Stocks</v>
      </c>
    </row>
    <row r="274" spans="1:18" ht="13.5" customHeight="1" x14ac:dyDescent="0.25">
      <c r="A274" s="9">
        <v>46064</v>
      </c>
      <c r="B274" s="10" t="s">
        <v>517</v>
      </c>
      <c r="C274" s="11" t="s">
        <v>54</v>
      </c>
      <c r="D274" s="10" t="s">
        <v>551</v>
      </c>
      <c r="E274" s="12" t="s">
        <v>1072</v>
      </c>
      <c r="F274" s="12" t="s">
        <v>552</v>
      </c>
      <c r="G274" s="13">
        <v>100</v>
      </c>
      <c r="H274" s="14">
        <v>100</v>
      </c>
      <c r="I274" s="15">
        <v>223.43</v>
      </c>
      <c r="J274" s="16"/>
      <c r="K274" s="17">
        <v>22343</v>
      </c>
      <c r="L274" s="18">
        <v>46092</v>
      </c>
      <c r="M274" s="6" t="str">
        <f t="shared" si="12"/>
        <v>Due order</v>
      </c>
      <c r="N274" s="8">
        <f t="shared" ca="1" si="13"/>
        <v>-63</v>
      </c>
      <c r="O274" s="8" t="str">
        <f t="shared" ca="1" si="14"/>
        <v>With in 90 days</v>
      </c>
      <c r="P274" t="str">
        <f>VLOOKUP(C274,[1]Customer_Master!$A:$B,2,0)</f>
        <v>Group 1-Giridhar-Peenya</v>
      </c>
      <c r="Q274" t="str">
        <f>VLOOKUP(D274,[2]Template!$A:$D,3,0)</f>
        <v>LAPP</v>
      </c>
      <c r="R274" t="str">
        <f>VLOOKUP(D274,[2]Template!$A:$D,4,0)</f>
        <v>Lapp-Planned Stock General</v>
      </c>
    </row>
    <row r="275" spans="1:18" ht="13.5" customHeight="1" x14ac:dyDescent="0.25">
      <c r="A275" s="9">
        <v>46064</v>
      </c>
      <c r="B275" s="10" t="s">
        <v>517</v>
      </c>
      <c r="C275" s="11" t="s">
        <v>54</v>
      </c>
      <c r="D275" s="10" t="s">
        <v>551</v>
      </c>
      <c r="E275" s="12" t="s">
        <v>1072</v>
      </c>
      <c r="F275" s="12" t="s">
        <v>552</v>
      </c>
      <c r="G275" s="13">
        <v>100</v>
      </c>
      <c r="H275" s="14">
        <v>100</v>
      </c>
      <c r="I275" s="15">
        <v>223.43</v>
      </c>
      <c r="J275" s="16"/>
      <c r="K275" s="17">
        <v>22343</v>
      </c>
      <c r="L275" s="18">
        <v>46123</v>
      </c>
      <c r="M275" s="6" t="str">
        <f t="shared" si="12"/>
        <v>Due order</v>
      </c>
      <c r="N275" s="8">
        <f t="shared" ca="1" si="13"/>
        <v>-32</v>
      </c>
      <c r="O275" s="8" t="str">
        <f t="shared" ca="1" si="14"/>
        <v>With in 90 days</v>
      </c>
      <c r="P275" t="str">
        <f>VLOOKUP(C275,[1]Customer_Master!$A:$B,2,0)</f>
        <v>Group 1-Giridhar-Peenya</v>
      </c>
      <c r="Q275" t="str">
        <f>VLOOKUP(D275,[2]Template!$A:$D,3,0)</f>
        <v>LAPP</v>
      </c>
      <c r="R275" t="str">
        <f>VLOOKUP(D275,[2]Template!$A:$D,4,0)</f>
        <v>Lapp-Planned Stock General</v>
      </c>
    </row>
    <row r="276" spans="1:18" ht="13.5" customHeight="1" x14ac:dyDescent="0.25">
      <c r="A276" s="9">
        <v>46064</v>
      </c>
      <c r="B276" s="10" t="s">
        <v>517</v>
      </c>
      <c r="C276" s="11" t="s">
        <v>54</v>
      </c>
      <c r="D276" s="10" t="s">
        <v>495</v>
      </c>
      <c r="E276" s="12" t="s">
        <v>1072</v>
      </c>
      <c r="F276" s="12" t="s">
        <v>496</v>
      </c>
      <c r="G276" s="13">
        <v>200</v>
      </c>
      <c r="H276" s="14">
        <v>200</v>
      </c>
      <c r="I276" s="15">
        <v>223.43</v>
      </c>
      <c r="J276" s="16"/>
      <c r="K276" s="17">
        <v>44686</v>
      </c>
      <c r="L276" s="18">
        <v>46064</v>
      </c>
      <c r="M276" s="6" t="str">
        <f t="shared" si="12"/>
        <v>Due order</v>
      </c>
      <c r="N276" s="8">
        <f t="shared" ca="1" si="13"/>
        <v>-91</v>
      </c>
      <c r="O276" s="8" t="str">
        <f t="shared" ca="1" si="14"/>
        <v>More than 90 day old</v>
      </c>
      <c r="P276" t="str">
        <f>VLOOKUP(C276,[1]Customer_Master!$A:$B,2,0)</f>
        <v>Group 1-Giridhar-Peenya</v>
      </c>
      <c r="Q276" t="str">
        <f>VLOOKUP(D276,[2]Template!$A:$D,3,0)</f>
        <v>LAPP</v>
      </c>
      <c r="R276" t="str">
        <f>VLOOKUP(D276,[2]Template!$A:$D,4,0)</f>
        <v>Lapp-Ace Group</v>
      </c>
    </row>
    <row r="277" spans="1:18" ht="13.5" customHeight="1" x14ac:dyDescent="0.25">
      <c r="A277" s="9">
        <v>46064</v>
      </c>
      <c r="B277" s="10" t="s">
        <v>517</v>
      </c>
      <c r="C277" s="11" t="s">
        <v>54</v>
      </c>
      <c r="D277" s="10" t="s">
        <v>495</v>
      </c>
      <c r="E277" s="12" t="s">
        <v>1072</v>
      </c>
      <c r="F277" s="12" t="s">
        <v>496</v>
      </c>
      <c r="G277" s="13">
        <v>100</v>
      </c>
      <c r="H277" s="14">
        <v>100</v>
      </c>
      <c r="I277" s="15">
        <v>223.43</v>
      </c>
      <c r="J277" s="16"/>
      <c r="K277" s="17">
        <v>22343</v>
      </c>
      <c r="L277" s="18">
        <v>46092</v>
      </c>
      <c r="M277" s="6" t="str">
        <f t="shared" si="12"/>
        <v>Due order</v>
      </c>
      <c r="N277" s="8">
        <f t="shared" ca="1" si="13"/>
        <v>-63</v>
      </c>
      <c r="O277" s="8" t="str">
        <f t="shared" ca="1" si="14"/>
        <v>With in 90 days</v>
      </c>
      <c r="P277" t="str">
        <f>VLOOKUP(C277,[1]Customer_Master!$A:$B,2,0)</f>
        <v>Group 1-Giridhar-Peenya</v>
      </c>
      <c r="Q277" t="str">
        <f>VLOOKUP(D277,[2]Template!$A:$D,3,0)</f>
        <v>LAPP</v>
      </c>
      <c r="R277" t="str">
        <f>VLOOKUP(D277,[2]Template!$A:$D,4,0)</f>
        <v>Lapp-Ace Group</v>
      </c>
    </row>
    <row r="278" spans="1:18" ht="13.5" customHeight="1" x14ac:dyDescent="0.25">
      <c r="A278" s="9">
        <v>46064</v>
      </c>
      <c r="B278" s="10" t="s">
        <v>517</v>
      </c>
      <c r="C278" s="11" t="s">
        <v>54</v>
      </c>
      <c r="D278" s="10" t="s">
        <v>495</v>
      </c>
      <c r="E278" s="12" t="s">
        <v>1072</v>
      </c>
      <c r="F278" s="12" t="s">
        <v>496</v>
      </c>
      <c r="G278" s="13">
        <v>100</v>
      </c>
      <c r="H278" s="14">
        <v>100</v>
      </c>
      <c r="I278" s="15">
        <v>223.43</v>
      </c>
      <c r="J278" s="16"/>
      <c r="K278" s="17">
        <v>22343</v>
      </c>
      <c r="L278" s="18">
        <v>46123</v>
      </c>
      <c r="M278" s="6" t="str">
        <f t="shared" si="12"/>
        <v>Due order</v>
      </c>
      <c r="N278" s="8">
        <f t="shared" ca="1" si="13"/>
        <v>-32</v>
      </c>
      <c r="O278" s="8" t="str">
        <f t="shared" ca="1" si="14"/>
        <v>With in 90 days</v>
      </c>
      <c r="P278" t="str">
        <f>VLOOKUP(C278,[1]Customer_Master!$A:$B,2,0)</f>
        <v>Group 1-Giridhar-Peenya</v>
      </c>
      <c r="Q278" t="str">
        <f>VLOOKUP(D278,[2]Template!$A:$D,3,0)</f>
        <v>LAPP</v>
      </c>
      <c r="R278" t="str">
        <f>VLOOKUP(D278,[2]Template!$A:$D,4,0)</f>
        <v>Lapp-Ace Group</v>
      </c>
    </row>
    <row r="279" spans="1:18" ht="13.5" customHeight="1" x14ac:dyDescent="0.25">
      <c r="A279" s="9">
        <v>46064</v>
      </c>
      <c r="B279" s="10" t="s">
        <v>517</v>
      </c>
      <c r="C279" s="11" t="s">
        <v>54</v>
      </c>
      <c r="D279" s="10" t="s">
        <v>334</v>
      </c>
      <c r="E279" s="12" t="s">
        <v>1072</v>
      </c>
      <c r="F279" s="12" t="s">
        <v>87</v>
      </c>
      <c r="G279" s="13">
        <v>600</v>
      </c>
      <c r="H279" s="14">
        <v>600</v>
      </c>
      <c r="I279" s="15">
        <v>34.83</v>
      </c>
      <c r="J279" s="16"/>
      <c r="K279" s="17">
        <v>20898</v>
      </c>
      <c r="L279" s="18">
        <v>46092</v>
      </c>
      <c r="M279" s="6" t="str">
        <f t="shared" si="12"/>
        <v>Due order</v>
      </c>
      <c r="N279" s="8">
        <f t="shared" ca="1" si="13"/>
        <v>-63</v>
      </c>
      <c r="O279" s="8" t="str">
        <f t="shared" ca="1" si="14"/>
        <v>With in 90 days</v>
      </c>
      <c r="P279" t="str">
        <f>VLOOKUP(C279,[1]Customer_Master!$A:$B,2,0)</f>
        <v>Group 1-Giridhar-Peenya</v>
      </c>
      <c r="Q279" t="str">
        <f>VLOOKUP(D279,[2]Template!$A:$D,3,0)</f>
        <v>LAPP</v>
      </c>
      <c r="R279" t="str">
        <f>VLOOKUP(D279,[2]Template!$A:$D,4,0)</f>
        <v>Lapp-Planned Stock General</v>
      </c>
    </row>
    <row r="280" spans="1:18" ht="13.5" customHeight="1" x14ac:dyDescent="0.25">
      <c r="A280" s="9">
        <v>46064</v>
      </c>
      <c r="B280" s="10" t="s">
        <v>517</v>
      </c>
      <c r="C280" s="11" t="s">
        <v>54</v>
      </c>
      <c r="D280" s="10" t="s">
        <v>334</v>
      </c>
      <c r="E280" s="12" t="s">
        <v>1072</v>
      </c>
      <c r="F280" s="12" t="s">
        <v>87</v>
      </c>
      <c r="G280" s="13">
        <v>500</v>
      </c>
      <c r="H280" s="14">
        <v>500</v>
      </c>
      <c r="I280" s="15">
        <v>34.83</v>
      </c>
      <c r="J280" s="16"/>
      <c r="K280" s="17">
        <v>17415</v>
      </c>
      <c r="L280" s="18">
        <v>46123</v>
      </c>
      <c r="M280" s="6" t="str">
        <f t="shared" si="12"/>
        <v>Due order</v>
      </c>
      <c r="N280" s="8">
        <f t="shared" ca="1" si="13"/>
        <v>-32</v>
      </c>
      <c r="O280" s="8" t="str">
        <f t="shared" ca="1" si="14"/>
        <v>With in 90 days</v>
      </c>
      <c r="P280" t="str">
        <f>VLOOKUP(C280,[1]Customer_Master!$A:$B,2,0)</f>
        <v>Group 1-Giridhar-Peenya</v>
      </c>
      <c r="Q280" t="str">
        <f>VLOOKUP(D280,[2]Template!$A:$D,3,0)</f>
        <v>LAPP</v>
      </c>
      <c r="R280" t="str">
        <f>VLOOKUP(D280,[2]Template!$A:$D,4,0)</f>
        <v>Lapp-Planned Stock General</v>
      </c>
    </row>
    <row r="281" spans="1:18" ht="13.5" customHeight="1" x14ac:dyDescent="0.25">
      <c r="A281" s="9">
        <v>46065</v>
      </c>
      <c r="B281" s="10" t="s">
        <v>553</v>
      </c>
      <c r="C281" s="11" t="s">
        <v>76</v>
      </c>
      <c r="D281" s="10" t="s">
        <v>358</v>
      </c>
      <c r="E281" s="12" t="s">
        <v>1072</v>
      </c>
      <c r="F281" s="12" t="s">
        <v>113</v>
      </c>
      <c r="G281" s="19">
        <v>15</v>
      </c>
      <c r="H281" s="20">
        <v>15</v>
      </c>
      <c r="I281" s="15">
        <v>165</v>
      </c>
      <c r="J281" s="16"/>
      <c r="K281" s="17">
        <v>2475</v>
      </c>
      <c r="L281" s="18">
        <v>46174</v>
      </c>
      <c r="M281" s="6" t="str">
        <f t="shared" si="12"/>
        <v>Schedule order</v>
      </c>
      <c r="N281" s="8">
        <f t="shared" ca="1" si="13"/>
        <v>19</v>
      </c>
      <c r="O281" s="8" t="str">
        <f t="shared" ca="1" si="14"/>
        <v>Lattest or shedule order</v>
      </c>
      <c r="P281" t="str">
        <f>VLOOKUP(C281,[1]Customer_Master!$A:$B,2,0)</f>
        <v>Group 1-Giridhar-Peenya</v>
      </c>
      <c r="Q281" t="str">
        <f>VLOOKUP(D281,[2]Template!$A:$D,3,0)</f>
        <v>EATON</v>
      </c>
      <c r="R281" t="str">
        <f>VLOOKUP(D281,[2]Template!$A:$D,4,0)</f>
        <v>Eaton-Biesse</v>
      </c>
    </row>
    <row r="282" spans="1:18" ht="13.5" customHeight="1" x14ac:dyDescent="0.25">
      <c r="A282" s="9">
        <v>46065</v>
      </c>
      <c r="B282" s="10" t="s">
        <v>553</v>
      </c>
      <c r="C282" s="11" t="s">
        <v>76</v>
      </c>
      <c r="D282" s="10" t="s">
        <v>358</v>
      </c>
      <c r="E282" s="12" t="s">
        <v>1072</v>
      </c>
      <c r="F282" s="12" t="s">
        <v>113</v>
      </c>
      <c r="G282" s="19">
        <v>17</v>
      </c>
      <c r="H282" s="20">
        <v>17</v>
      </c>
      <c r="I282" s="15">
        <v>165</v>
      </c>
      <c r="J282" s="16"/>
      <c r="K282" s="17">
        <v>2805</v>
      </c>
      <c r="L282" s="18">
        <v>46206</v>
      </c>
      <c r="M282" s="6" t="str">
        <f t="shared" si="12"/>
        <v>Schedule order</v>
      </c>
      <c r="N282" s="8">
        <f t="shared" ca="1" si="13"/>
        <v>51</v>
      </c>
      <c r="O282" s="8" t="str">
        <f t="shared" ca="1" si="14"/>
        <v>Lattest or shedule order</v>
      </c>
      <c r="P282" t="str">
        <f>VLOOKUP(C282,[1]Customer_Master!$A:$B,2,0)</f>
        <v>Group 1-Giridhar-Peenya</v>
      </c>
      <c r="Q282" t="str">
        <f>VLOOKUP(D282,[2]Template!$A:$D,3,0)</f>
        <v>EATON</v>
      </c>
      <c r="R282" t="str">
        <f>VLOOKUP(D282,[2]Template!$A:$D,4,0)</f>
        <v>Eaton-Biesse</v>
      </c>
    </row>
    <row r="283" spans="1:18" ht="13.5" customHeight="1" x14ac:dyDescent="0.25">
      <c r="A283" s="9">
        <v>46065</v>
      </c>
      <c r="B283" s="10" t="s">
        <v>553</v>
      </c>
      <c r="C283" s="11" t="s">
        <v>76</v>
      </c>
      <c r="D283" s="10" t="s">
        <v>359</v>
      </c>
      <c r="E283" s="12" t="s">
        <v>1072</v>
      </c>
      <c r="F283" s="12" t="s">
        <v>93</v>
      </c>
      <c r="G283" s="19">
        <v>34</v>
      </c>
      <c r="H283" s="20">
        <v>34</v>
      </c>
      <c r="I283" s="15">
        <v>135</v>
      </c>
      <c r="J283" s="16"/>
      <c r="K283" s="17">
        <v>4590</v>
      </c>
      <c r="L283" s="18">
        <v>46202</v>
      </c>
      <c r="M283" s="6" t="str">
        <f t="shared" si="12"/>
        <v>Schedule order</v>
      </c>
      <c r="N283" s="8">
        <f t="shared" ca="1" si="13"/>
        <v>47</v>
      </c>
      <c r="O283" s="8" t="str">
        <f t="shared" ca="1" si="14"/>
        <v>Lattest or shedule order</v>
      </c>
      <c r="P283" t="str">
        <f>VLOOKUP(C283,[1]Customer_Master!$A:$B,2,0)</f>
        <v>Group 1-Giridhar-Peenya</v>
      </c>
      <c r="Q283" t="str">
        <f>VLOOKUP(D283,[2]Template!$A:$D,3,0)</f>
        <v>EATON</v>
      </c>
      <c r="R283" t="str">
        <f>VLOOKUP(D283,[2]Template!$A:$D,4,0)</f>
        <v>Eaton-Biesse</v>
      </c>
    </row>
    <row r="284" spans="1:18" ht="13.5" customHeight="1" x14ac:dyDescent="0.25">
      <c r="A284" s="9">
        <v>46065</v>
      </c>
      <c r="B284" s="10" t="s">
        <v>554</v>
      </c>
      <c r="C284" s="11" t="s">
        <v>94</v>
      </c>
      <c r="D284" s="10" t="s">
        <v>418</v>
      </c>
      <c r="E284" s="12" t="s">
        <v>1072</v>
      </c>
      <c r="F284" s="12" t="s">
        <v>237</v>
      </c>
      <c r="G284" s="22">
        <v>50</v>
      </c>
      <c r="H284" s="23">
        <v>50</v>
      </c>
      <c r="I284" s="15">
        <v>18.91</v>
      </c>
      <c r="J284" s="16"/>
      <c r="K284" s="17">
        <v>945.5</v>
      </c>
      <c r="L284" s="18">
        <v>46078</v>
      </c>
      <c r="M284" s="6" t="str">
        <f t="shared" si="12"/>
        <v>Due order</v>
      </c>
      <c r="N284" s="8">
        <f t="shared" ca="1" si="13"/>
        <v>-77</v>
      </c>
      <c r="O284" s="8" t="str">
        <f t="shared" ca="1" si="14"/>
        <v>With in 90 days</v>
      </c>
      <c r="P284" t="str">
        <f>VLOOKUP(C284,[1]Customer_Master!$A:$B,2,0)</f>
        <v>Group 1-Giridhar-Peenya</v>
      </c>
      <c r="Q284" t="str">
        <f>VLOOKUP(D284,[2]Template!$A:$D,3,0)</f>
        <v>LAPP</v>
      </c>
      <c r="R284" t="str">
        <f>VLOOKUP(D284,[2]Template!$A:$D,4,0)</f>
        <v>Lapp-Against Customer PO</v>
      </c>
    </row>
    <row r="285" spans="1:18" ht="13.5" customHeight="1" x14ac:dyDescent="0.25">
      <c r="A285" s="9">
        <v>46065</v>
      </c>
      <c r="B285" s="10" t="s">
        <v>555</v>
      </c>
      <c r="C285" s="11" t="s">
        <v>116</v>
      </c>
      <c r="D285" s="27" t="s">
        <v>556</v>
      </c>
      <c r="E285" s="12" t="s">
        <v>1072</v>
      </c>
      <c r="F285" s="26" t="s">
        <v>557</v>
      </c>
      <c r="G285" s="13">
        <v>18</v>
      </c>
      <c r="H285" s="14">
        <v>18</v>
      </c>
      <c r="I285" s="15">
        <v>4203.76</v>
      </c>
      <c r="J285" s="16"/>
      <c r="K285" s="17">
        <v>75667.679999999993</v>
      </c>
      <c r="L285" s="18">
        <v>46073</v>
      </c>
      <c r="M285" s="6" t="str">
        <f t="shared" si="12"/>
        <v>Due order</v>
      </c>
      <c r="N285" s="8">
        <f t="shared" ca="1" si="13"/>
        <v>-82</v>
      </c>
      <c r="O285" s="8" t="str">
        <f t="shared" ca="1" si="14"/>
        <v>With in 90 days</v>
      </c>
      <c r="P285" t="str">
        <f>VLOOKUP(C285,[1]Customer_Master!$A:$B,2,0)</f>
        <v>Group-2 (Veeresh- Bomsdr+Hosur)</v>
      </c>
      <c r="Q285" t="str">
        <f>VLOOKUP(D285,[2]Template!$A:$D,3,0)</f>
        <v>LAPP</v>
      </c>
      <c r="R285" t="str">
        <f>VLOOKUP(D285,[2]Template!$A:$D,4,0)</f>
        <v>Lapp-Non Moving Stocks</v>
      </c>
    </row>
    <row r="286" spans="1:18" ht="13.5" customHeight="1" x14ac:dyDescent="0.25">
      <c r="A286" s="9">
        <v>46065</v>
      </c>
      <c r="B286" s="10" t="s">
        <v>560</v>
      </c>
      <c r="C286" s="11" t="s">
        <v>98</v>
      </c>
      <c r="D286" s="10" t="s">
        <v>398</v>
      </c>
      <c r="E286" s="12" t="s">
        <v>1072</v>
      </c>
      <c r="F286" s="12" t="s">
        <v>196</v>
      </c>
      <c r="G286" s="13">
        <v>1000</v>
      </c>
      <c r="H286" s="14">
        <v>1000</v>
      </c>
      <c r="I286" s="15">
        <v>461</v>
      </c>
      <c r="J286" s="16"/>
      <c r="K286" s="17">
        <v>461000</v>
      </c>
      <c r="L286" s="18">
        <v>46142</v>
      </c>
      <c r="M286" s="6" t="str">
        <f t="shared" si="12"/>
        <v>Schedule order</v>
      </c>
      <c r="N286" s="8">
        <f t="shared" ca="1" si="13"/>
        <v>-13</v>
      </c>
      <c r="O286" s="8" t="str">
        <f t="shared" ca="1" si="14"/>
        <v>With in 90 days</v>
      </c>
      <c r="P286" t="str">
        <f>VLOOKUP(C286,[1]Customer_Master!$A:$B,2,0)</f>
        <v>Group - 5 (Ananthapadmanabha)</v>
      </c>
      <c r="Q286" t="str">
        <f>VLOOKUP(D286,[2]Template!$A:$D,3,0)</f>
        <v>LAPP</v>
      </c>
      <c r="R286" t="str">
        <f>VLOOKUP(D286,[2]Template!$A:$D,4,0)</f>
        <v>Lapp-Non Moving Stocks</v>
      </c>
    </row>
    <row r="287" spans="1:18" ht="13.5" customHeight="1" x14ac:dyDescent="0.25">
      <c r="A287" s="9">
        <v>46066</v>
      </c>
      <c r="B287" s="10" t="s">
        <v>561</v>
      </c>
      <c r="C287" s="11" t="s">
        <v>79</v>
      </c>
      <c r="D287" s="10" t="s">
        <v>324</v>
      </c>
      <c r="E287" s="12" t="s">
        <v>1072</v>
      </c>
      <c r="F287" s="12" t="s">
        <v>80</v>
      </c>
      <c r="G287" s="19">
        <v>388</v>
      </c>
      <c r="H287" s="20">
        <v>388</v>
      </c>
      <c r="I287" s="15">
        <v>2803</v>
      </c>
      <c r="J287" s="16"/>
      <c r="K287" s="17">
        <v>1087564</v>
      </c>
      <c r="L287" s="18">
        <v>46226</v>
      </c>
      <c r="M287" s="6" t="str">
        <f t="shared" si="12"/>
        <v>Schedule order</v>
      </c>
      <c r="N287" s="8">
        <f t="shared" ca="1" si="13"/>
        <v>71</v>
      </c>
      <c r="O287" s="8" t="str">
        <f t="shared" ca="1" si="14"/>
        <v>Lattest or shedule order</v>
      </c>
      <c r="P287" t="str">
        <f>VLOOKUP(C287,[1]Customer_Master!$A:$B,2,0)</f>
        <v>Group-4 ( Office Account)</v>
      </c>
      <c r="Q287" t="str">
        <f>VLOOKUP(D287,[2]Template!$A:$D,3,0)</f>
        <v>EATON</v>
      </c>
      <c r="R287" t="str">
        <f>VLOOKUP(D287,[2]Template!$A:$D,4,0)</f>
        <v>Eaton-Faiveley-(R)</v>
      </c>
    </row>
    <row r="288" spans="1:18" ht="13.5" customHeight="1" x14ac:dyDescent="0.25">
      <c r="A288" s="9">
        <v>46066</v>
      </c>
      <c r="B288" s="10" t="s">
        <v>562</v>
      </c>
      <c r="C288" s="11" t="s">
        <v>76</v>
      </c>
      <c r="D288" s="10" t="s">
        <v>563</v>
      </c>
      <c r="E288" s="12" t="s">
        <v>1072</v>
      </c>
      <c r="F288" s="12" t="s">
        <v>564</v>
      </c>
      <c r="G288" s="19">
        <v>32</v>
      </c>
      <c r="H288" s="20">
        <v>32</v>
      </c>
      <c r="I288" s="15">
        <v>990</v>
      </c>
      <c r="J288" s="16"/>
      <c r="K288" s="17">
        <v>31680</v>
      </c>
      <c r="L288" s="18">
        <v>46177</v>
      </c>
      <c r="M288" s="6" t="str">
        <f t="shared" si="12"/>
        <v>Schedule order</v>
      </c>
      <c r="N288" s="8">
        <f t="shared" ca="1" si="13"/>
        <v>22</v>
      </c>
      <c r="O288" s="8" t="str">
        <f t="shared" ca="1" si="14"/>
        <v>Lattest or shedule order</v>
      </c>
      <c r="P288" t="str">
        <f>VLOOKUP(C288,[1]Customer_Master!$A:$B,2,0)</f>
        <v>Group 1-Giridhar-Peenya</v>
      </c>
      <c r="Q288" t="str">
        <f>VLOOKUP(D288,[2]Template!$A:$D,3,0)</f>
        <v>EATON</v>
      </c>
      <c r="R288" t="str">
        <f>VLOOKUP(D288,[2]Template!$A:$D,4,0)</f>
        <v>Eaton-Biesse</v>
      </c>
    </row>
    <row r="289" spans="1:18" ht="13.5" customHeight="1" x14ac:dyDescent="0.25">
      <c r="A289" s="9">
        <v>46066</v>
      </c>
      <c r="B289" s="10" t="s">
        <v>565</v>
      </c>
      <c r="C289" s="11" t="s">
        <v>96</v>
      </c>
      <c r="D289" s="10" t="s">
        <v>566</v>
      </c>
      <c r="E289" s="12" t="s">
        <v>1072</v>
      </c>
      <c r="F289" s="12" t="s">
        <v>567</v>
      </c>
      <c r="G289" s="13">
        <v>3000</v>
      </c>
      <c r="H289" s="14">
        <v>2500</v>
      </c>
      <c r="I289" s="15">
        <v>578.38</v>
      </c>
      <c r="J289" s="16"/>
      <c r="K289" s="17">
        <v>1445950</v>
      </c>
      <c r="L289" s="18">
        <v>46071</v>
      </c>
      <c r="M289" s="6" t="str">
        <f t="shared" si="12"/>
        <v>Due order</v>
      </c>
      <c r="N289" s="8">
        <f t="shared" ca="1" si="13"/>
        <v>-84</v>
      </c>
      <c r="O289" s="8" t="str">
        <f t="shared" ca="1" si="14"/>
        <v>With in 90 days</v>
      </c>
      <c r="P289" t="str">
        <f>VLOOKUP(C289,[1]Customer_Master!$A:$B,2,0)</f>
        <v>Group - 5 (Ananthapadmanabha)</v>
      </c>
      <c r="Q289" t="str">
        <f>VLOOKUP(D289,[2]Template!$A:$D,3,0)</f>
        <v>LAPP</v>
      </c>
      <c r="R289" t="str">
        <f>VLOOKUP(D289,[2]Template!$A:$D,4,0)</f>
        <v>Lapp-Against Customer PO</v>
      </c>
    </row>
    <row r="290" spans="1:18" ht="13.5" customHeight="1" x14ac:dyDescent="0.25">
      <c r="A290" s="9">
        <v>46066</v>
      </c>
      <c r="B290" s="10" t="s">
        <v>574</v>
      </c>
      <c r="C290" s="11" t="s">
        <v>96</v>
      </c>
      <c r="D290" s="10" t="s">
        <v>570</v>
      </c>
      <c r="E290" s="12" t="s">
        <v>1072</v>
      </c>
      <c r="F290" s="12" t="s">
        <v>571</v>
      </c>
      <c r="G290" s="19">
        <v>650</v>
      </c>
      <c r="H290" s="20">
        <v>579</v>
      </c>
      <c r="I290" s="15">
        <v>171</v>
      </c>
      <c r="J290" s="16"/>
      <c r="K290" s="17">
        <v>99009</v>
      </c>
      <c r="L290" s="18">
        <v>46078</v>
      </c>
      <c r="M290" s="6" t="str">
        <f t="shared" si="12"/>
        <v>Due order</v>
      </c>
      <c r="N290" s="8">
        <f t="shared" ca="1" si="13"/>
        <v>-77</v>
      </c>
      <c r="O290" s="8" t="str">
        <f t="shared" ca="1" si="14"/>
        <v>With in 90 days</v>
      </c>
      <c r="P290" t="str">
        <f>VLOOKUP(C290,[1]Customer_Master!$A:$B,2,0)</f>
        <v>Group - 5 (Ananthapadmanabha)</v>
      </c>
      <c r="Q290" t="str">
        <f>VLOOKUP(D290,[2]Template!$A:$D,3,0)</f>
        <v>LAPP</v>
      </c>
      <c r="R290" t="str">
        <f>VLOOKUP(D290,[2]Template!$A:$D,4,0)</f>
        <v>Lapp-Against Customer PO</v>
      </c>
    </row>
    <row r="291" spans="1:18" ht="13.5" customHeight="1" x14ac:dyDescent="0.25">
      <c r="A291" s="9">
        <v>46066</v>
      </c>
      <c r="B291" s="10" t="s">
        <v>575</v>
      </c>
      <c r="C291" s="11" t="s">
        <v>576</v>
      </c>
      <c r="D291" s="10" t="s">
        <v>577</v>
      </c>
      <c r="E291" s="12" t="s">
        <v>1072</v>
      </c>
      <c r="F291" s="12" t="s">
        <v>578</v>
      </c>
      <c r="G291" s="13">
        <v>900</v>
      </c>
      <c r="H291" s="14">
        <v>300</v>
      </c>
      <c r="I291" s="15">
        <v>8.44</v>
      </c>
      <c r="J291" s="16"/>
      <c r="K291" s="17">
        <v>2532</v>
      </c>
      <c r="L291" s="18">
        <v>46066</v>
      </c>
      <c r="M291" s="6" t="str">
        <f t="shared" si="12"/>
        <v>Due order</v>
      </c>
      <c r="N291" s="8">
        <f t="shared" ca="1" si="13"/>
        <v>-89</v>
      </c>
      <c r="O291" s="8" t="str">
        <f t="shared" ca="1" si="14"/>
        <v>With in 90 days</v>
      </c>
      <c r="P291" t="str">
        <f>VLOOKUP(C291,[1]Customer_Master!$A:$B,2,0)</f>
        <v>Group-2 (Veeresh- Bomsdr+Hosur)</v>
      </c>
      <c r="Q291" t="str">
        <f>VLOOKUP(D291,[2]Template!$A:$D,3,0)</f>
        <v>LAPP</v>
      </c>
      <c r="R291" t="str">
        <f>VLOOKUP(D291,[2]Template!$A:$D,4,0)</f>
        <v>Lapp-Against Customer PO</v>
      </c>
    </row>
    <row r="292" spans="1:18" ht="13.5" customHeight="1" x14ac:dyDescent="0.25">
      <c r="A292" s="9">
        <v>46066</v>
      </c>
      <c r="B292" s="10" t="s">
        <v>579</v>
      </c>
      <c r="C292" s="11" t="s">
        <v>127</v>
      </c>
      <c r="D292" s="10" t="s">
        <v>481</v>
      </c>
      <c r="E292" s="12" t="s">
        <v>1072</v>
      </c>
      <c r="F292" s="12" t="s">
        <v>482</v>
      </c>
      <c r="G292" s="22">
        <v>100</v>
      </c>
      <c r="H292" s="23">
        <v>100</v>
      </c>
      <c r="I292" s="15">
        <v>16.57</v>
      </c>
      <c r="J292" s="21">
        <v>35</v>
      </c>
      <c r="K292" s="17">
        <v>1077.05</v>
      </c>
      <c r="L292" s="18">
        <v>46066</v>
      </c>
      <c r="M292" s="6" t="str">
        <f t="shared" si="12"/>
        <v>Due order</v>
      </c>
      <c r="N292" s="8">
        <f t="shared" ca="1" si="13"/>
        <v>-89</v>
      </c>
      <c r="O292" s="8" t="str">
        <f t="shared" ca="1" si="14"/>
        <v>With in 90 days</v>
      </c>
      <c r="P292" t="str">
        <f>VLOOKUP(C292,[1]Customer_Master!$A:$B,2,0)</f>
        <v>Group 1-Giridhar-Peenya</v>
      </c>
      <c r="Q292" t="str">
        <f>VLOOKUP(D292,[2]Template!$A:$D,3,0)</f>
        <v>LAPP</v>
      </c>
      <c r="R292" t="str">
        <f>VLOOKUP(D292,[2]Template!$A:$D,4,0)</f>
        <v>Lapp-Non Moving Stocks</v>
      </c>
    </row>
    <row r="293" spans="1:18" ht="13.5" customHeight="1" x14ac:dyDescent="0.25">
      <c r="A293" s="9">
        <v>46066</v>
      </c>
      <c r="B293" s="10" t="s">
        <v>580</v>
      </c>
      <c r="C293" s="11" t="s">
        <v>116</v>
      </c>
      <c r="D293" s="27" t="s">
        <v>556</v>
      </c>
      <c r="E293" s="12" t="s">
        <v>1072</v>
      </c>
      <c r="F293" s="26" t="s">
        <v>557</v>
      </c>
      <c r="G293" s="13">
        <v>20</v>
      </c>
      <c r="H293" s="14">
        <v>20</v>
      </c>
      <c r="I293" s="15">
        <v>4098.67</v>
      </c>
      <c r="J293" s="16"/>
      <c r="K293" s="17">
        <v>81973.399999999994</v>
      </c>
      <c r="L293" s="18">
        <v>46142</v>
      </c>
      <c r="M293" s="6" t="str">
        <f t="shared" si="12"/>
        <v>Schedule order</v>
      </c>
      <c r="N293" s="8">
        <f t="shared" ca="1" si="13"/>
        <v>-13</v>
      </c>
      <c r="O293" s="8" t="str">
        <f t="shared" ca="1" si="14"/>
        <v>With in 90 days</v>
      </c>
      <c r="P293" t="str">
        <f>VLOOKUP(C293,[1]Customer_Master!$A:$B,2,0)</f>
        <v>Group-2 (Veeresh- Bomsdr+Hosur)</v>
      </c>
      <c r="Q293" t="str">
        <f>VLOOKUP(D293,[2]Template!$A:$D,3,0)</f>
        <v>LAPP</v>
      </c>
      <c r="R293" t="str">
        <f>VLOOKUP(D293,[2]Template!$A:$D,4,0)</f>
        <v>Lapp-Non Moving Stocks</v>
      </c>
    </row>
    <row r="294" spans="1:18" ht="13.5" customHeight="1" x14ac:dyDescent="0.25">
      <c r="A294" s="9">
        <v>46067</v>
      </c>
      <c r="B294" s="10" t="s">
        <v>582</v>
      </c>
      <c r="C294" s="11" t="s">
        <v>62</v>
      </c>
      <c r="D294" s="10" t="s">
        <v>461</v>
      </c>
      <c r="E294" s="12" t="s">
        <v>1072</v>
      </c>
      <c r="F294" s="12" t="s">
        <v>290</v>
      </c>
      <c r="G294" s="13">
        <v>200</v>
      </c>
      <c r="H294" s="14">
        <v>200</v>
      </c>
      <c r="I294" s="15">
        <v>435.75</v>
      </c>
      <c r="J294" s="16"/>
      <c r="K294" s="17">
        <v>87150</v>
      </c>
      <c r="L294" s="18">
        <v>46132</v>
      </c>
      <c r="M294" s="6" t="str">
        <f t="shared" si="12"/>
        <v>Due order</v>
      </c>
      <c r="N294" s="8">
        <f t="shared" ca="1" si="13"/>
        <v>-23</v>
      </c>
      <c r="O294" s="8" t="str">
        <f t="shared" ca="1" si="14"/>
        <v>With in 90 days</v>
      </c>
      <c r="P294" t="str">
        <f>VLOOKUP(C294,[1]Customer_Master!$A:$B,2,0)</f>
        <v>Group 1-Giridhar-Peenya</v>
      </c>
      <c r="Q294" t="str">
        <f>VLOOKUP(D294,[2]Template!$A:$D,3,0)</f>
        <v>LAPP</v>
      </c>
      <c r="R294" t="str">
        <f>VLOOKUP(D294,[2]Template!$A:$D,4,0)</f>
        <v>Lapp-TD Power</v>
      </c>
    </row>
    <row r="295" spans="1:18" ht="13.5" customHeight="1" x14ac:dyDescent="0.25">
      <c r="A295" s="9">
        <v>46067</v>
      </c>
      <c r="B295" s="10" t="s">
        <v>582</v>
      </c>
      <c r="C295" s="11" t="s">
        <v>62</v>
      </c>
      <c r="D295" s="10" t="s">
        <v>622</v>
      </c>
      <c r="E295" s="12" t="s">
        <v>1072</v>
      </c>
      <c r="F295" s="12" t="s">
        <v>623</v>
      </c>
      <c r="G295" s="13">
        <v>500</v>
      </c>
      <c r="H295" s="14">
        <v>300</v>
      </c>
      <c r="I295" s="15">
        <v>57.57</v>
      </c>
      <c r="J295" s="16"/>
      <c r="K295" s="17">
        <v>17271</v>
      </c>
      <c r="L295" s="18">
        <v>46101</v>
      </c>
      <c r="M295" s="6" t="str">
        <f t="shared" si="12"/>
        <v>Due order</v>
      </c>
      <c r="N295" s="8">
        <f t="shared" ca="1" si="13"/>
        <v>-54</v>
      </c>
      <c r="O295" s="8" t="str">
        <f t="shared" ca="1" si="14"/>
        <v>With in 90 days</v>
      </c>
      <c r="P295" t="str">
        <f>VLOOKUP(C295,[1]Customer_Master!$A:$B,2,0)</f>
        <v>Group 1-Giridhar-Peenya</v>
      </c>
      <c r="Q295" t="str">
        <f>VLOOKUP(D295,[2]Template!$A:$D,3,0)</f>
        <v>LAPP</v>
      </c>
      <c r="R295" t="str">
        <f>VLOOKUP(D295,[2]Template!$A:$D,4,0)</f>
        <v>Lapp-Against Customer PO</v>
      </c>
    </row>
    <row r="296" spans="1:18" ht="13.5" customHeight="1" x14ac:dyDescent="0.25">
      <c r="A296" s="9">
        <v>46071</v>
      </c>
      <c r="B296" s="10" t="s">
        <v>587</v>
      </c>
      <c r="C296" s="11" t="s">
        <v>581</v>
      </c>
      <c r="D296" s="10" t="s">
        <v>418</v>
      </c>
      <c r="E296" s="12" t="s">
        <v>1072</v>
      </c>
      <c r="F296" s="12" t="s">
        <v>237</v>
      </c>
      <c r="G296" s="22">
        <v>7</v>
      </c>
      <c r="H296" s="23">
        <v>7</v>
      </c>
      <c r="I296" s="15">
        <v>32.72</v>
      </c>
      <c r="J296" s="16"/>
      <c r="K296" s="17">
        <v>229.04</v>
      </c>
      <c r="L296" s="18">
        <v>46071</v>
      </c>
      <c r="M296" s="6" t="str">
        <f t="shared" si="12"/>
        <v>Due order</v>
      </c>
      <c r="N296" s="8">
        <f t="shared" ca="1" si="13"/>
        <v>-84</v>
      </c>
      <c r="O296" s="8" t="str">
        <f t="shared" ca="1" si="14"/>
        <v>With in 90 days</v>
      </c>
      <c r="P296" t="str">
        <f>VLOOKUP(C296,[1]Customer_Master!$A:$B,2,0)</f>
        <v>Group 1-Giridhar-Peenya</v>
      </c>
      <c r="Q296" t="str">
        <f>VLOOKUP(D296,[2]Template!$A:$D,3,0)</f>
        <v>LAPP</v>
      </c>
      <c r="R296" t="str">
        <f>VLOOKUP(D296,[2]Template!$A:$D,4,0)</f>
        <v>Lapp-Against Customer PO</v>
      </c>
    </row>
    <row r="297" spans="1:18" ht="13.5" customHeight="1" x14ac:dyDescent="0.25">
      <c r="A297" s="9">
        <v>46071</v>
      </c>
      <c r="B297" s="10" t="s">
        <v>588</v>
      </c>
      <c r="C297" s="11" t="s">
        <v>98</v>
      </c>
      <c r="D297" s="10" t="s">
        <v>589</v>
      </c>
      <c r="E297" s="12" t="s">
        <v>1072</v>
      </c>
      <c r="F297" s="12" t="s">
        <v>590</v>
      </c>
      <c r="G297" s="19">
        <v>500</v>
      </c>
      <c r="H297" s="20">
        <v>12</v>
      </c>
      <c r="I297" s="15">
        <v>39.1</v>
      </c>
      <c r="J297" s="16"/>
      <c r="K297" s="17">
        <v>469.2</v>
      </c>
      <c r="L297" s="18">
        <v>46122</v>
      </c>
      <c r="M297" s="6" t="str">
        <f t="shared" si="12"/>
        <v>Due order</v>
      </c>
      <c r="N297" s="8">
        <f t="shared" ca="1" si="13"/>
        <v>-33</v>
      </c>
      <c r="O297" s="8" t="str">
        <f t="shared" ca="1" si="14"/>
        <v>With in 90 days</v>
      </c>
      <c r="P297" t="str">
        <f>VLOOKUP(C297,[1]Customer_Master!$A:$B,2,0)</f>
        <v>Group - 5 (Ananthapadmanabha)</v>
      </c>
      <c r="Q297" t="str">
        <f>VLOOKUP(D297,[2]Template!$A:$D,3,0)</f>
        <v>EATON</v>
      </c>
      <c r="R297" t="str">
        <f>VLOOKUP(D297,[2]Template!$A:$D,4,0)</f>
        <v>Eaton-ETA Technology</v>
      </c>
    </row>
    <row r="298" spans="1:18" ht="13.5" customHeight="1" x14ac:dyDescent="0.25">
      <c r="A298" s="9">
        <v>46073</v>
      </c>
      <c r="B298" s="10" t="s">
        <v>593</v>
      </c>
      <c r="C298" s="11" t="s">
        <v>79</v>
      </c>
      <c r="D298" s="10" t="s">
        <v>324</v>
      </c>
      <c r="E298" s="12" t="s">
        <v>1072</v>
      </c>
      <c r="F298" s="12" t="s">
        <v>80</v>
      </c>
      <c r="G298" s="19">
        <v>79</v>
      </c>
      <c r="H298" s="20">
        <v>79</v>
      </c>
      <c r="I298" s="15">
        <v>2803</v>
      </c>
      <c r="J298" s="16"/>
      <c r="K298" s="17">
        <v>221437</v>
      </c>
      <c r="L298" s="18">
        <v>46232</v>
      </c>
      <c r="M298" s="6" t="str">
        <f t="shared" si="12"/>
        <v>Schedule order</v>
      </c>
      <c r="N298" s="8">
        <f t="shared" ca="1" si="13"/>
        <v>77</v>
      </c>
      <c r="O298" s="8" t="str">
        <f t="shared" ca="1" si="14"/>
        <v>Lattest or shedule order</v>
      </c>
      <c r="P298" t="str">
        <f>VLOOKUP(C298,[1]Customer_Master!$A:$B,2,0)</f>
        <v>Group-4 ( Office Account)</v>
      </c>
      <c r="Q298" t="str">
        <f>VLOOKUP(D298,[2]Template!$A:$D,3,0)</f>
        <v>EATON</v>
      </c>
      <c r="R298" t="str">
        <f>VLOOKUP(D298,[2]Template!$A:$D,4,0)</f>
        <v>Eaton-Faiveley-(R)</v>
      </c>
    </row>
    <row r="299" spans="1:18" ht="13.5" customHeight="1" x14ac:dyDescent="0.25">
      <c r="A299" s="9">
        <v>46073</v>
      </c>
      <c r="B299" s="10" t="s">
        <v>594</v>
      </c>
      <c r="C299" s="11" t="s">
        <v>139</v>
      </c>
      <c r="D299" s="10" t="s">
        <v>595</v>
      </c>
      <c r="E299" s="12" t="s">
        <v>1072</v>
      </c>
      <c r="F299" s="12" t="s">
        <v>596</v>
      </c>
      <c r="G299" s="13">
        <v>200</v>
      </c>
      <c r="H299" s="14">
        <v>200</v>
      </c>
      <c r="I299" s="15">
        <v>15.71</v>
      </c>
      <c r="J299" s="16"/>
      <c r="K299" s="17">
        <v>3142</v>
      </c>
      <c r="L299" s="18">
        <v>46091</v>
      </c>
      <c r="M299" s="6" t="str">
        <f t="shared" si="12"/>
        <v>Due order</v>
      </c>
      <c r="N299" s="8">
        <f t="shared" ca="1" si="13"/>
        <v>-64</v>
      </c>
      <c r="O299" s="8" t="str">
        <f t="shared" ca="1" si="14"/>
        <v>With in 90 days</v>
      </c>
      <c r="P299" t="str">
        <f>VLOOKUP(C299,[1]Customer_Master!$A:$B,2,0)</f>
        <v>Group 1-Giridhar-Peenya</v>
      </c>
      <c r="Q299" t="str">
        <f>VLOOKUP(D299,[2]Template!$A:$D,3,0)</f>
        <v>LAPP</v>
      </c>
      <c r="R299" t="str">
        <f>VLOOKUP(D299,[2]Template!$A:$D,4,0)</f>
        <v>Lapp-Planned Stock General</v>
      </c>
    </row>
    <row r="300" spans="1:18" ht="13.5" customHeight="1" x14ac:dyDescent="0.25">
      <c r="A300" s="9">
        <v>46073</v>
      </c>
      <c r="B300" s="10" t="s">
        <v>594</v>
      </c>
      <c r="C300" s="11" t="s">
        <v>139</v>
      </c>
      <c r="D300" s="10" t="s">
        <v>642</v>
      </c>
      <c r="E300" s="12" t="s">
        <v>1072</v>
      </c>
      <c r="F300" s="12" t="s">
        <v>643</v>
      </c>
      <c r="G300" s="13">
        <v>2000</v>
      </c>
      <c r="H300" s="14">
        <v>2000</v>
      </c>
      <c r="I300" s="15">
        <v>35.19</v>
      </c>
      <c r="J300" s="16"/>
      <c r="K300" s="17">
        <v>70380</v>
      </c>
      <c r="L300" s="18">
        <v>46073</v>
      </c>
      <c r="M300" s="6" t="str">
        <f t="shared" si="12"/>
        <v>Due order</v>
      </c>
      <c r="N300" s="8">
        <f t="shared" ca="1" si="13"/>
        <v>-82</v>
      </c>
      <c r="O300" s="8" t="str">
        <f t="shared" ca="1" si="14"/>
        <v>With in 90 days</v>
      </c>
      <c r="P300" t="str">
        <f>VLOOKUP(C300,[1]Customer_Master!$A:$B,2,0)</f>
        <v>Group 1-Giridhar-Peenya</v>
      </c>
      <c r="Q300" t="str">
        <f>VLOOKUP(D300,[2]Template!$A:$D,3,0)</f>
        <v>LAPP</v>
      </c>
      <c r="R300" t="str">
        <f>VLOOKUP(D300,[2]Template!$A:$D,4,0)</f>
        <v>Lapp-Planned Stock General</v>
      </c>
    </row>
    <row r="301" spans="1:18" ht="13.5" customHeight="1" x14ac:dyDescent="0.25">
      <c r="A301" s="9">
        <v>46074</v>
      </c>
      <c r="B301" s="10" t="s">
        <v>597</v>
      </c>
      <c r="C301" s="11" t="s">
        <v>98</v>
      </c>
      <c r="D301" s="10" t="s">
        <v>598</v>
      </c>
      <c r="E301" s="12" t="s">
        <v>1072</v>
      </c>
      <c r="F301" s="12" t="s">
        <v>599</v>
      </c>
      <c r="G301" s="19">
        <v>200</v>
      </c>
      <c r="H301" s="20">
        <v>10</v>
      </c>
      <c r="I301" s="15">
        <v>28.99</v>
      </c>
      <c r="J301" s="16"/>
      <c r="K301" s="17">
        <v>289.89999999999998</v>
      </c>
      <c r="L301" s="18">
        <v>46094</v>
      </c>
      <c r="M301" s="6" t="str">
        <f t="shared" si="12"/>
        <v>Due order</v>
      </c>
      <c r="N301" s="8">
        <f t="shared" ca="1" si="13"/>
        <v>-61</v>
      </c>
      <c r="O301" s="8" t="str">
        <f t="shared" ca="1" si="14"/>
        <v>With in 90 days</v>
      </c>
      <c r="P301" t="str">
        <f>VLOOKUP(C301,[1]Customer_Master!$A:$B,2,0)</f>
        <v>Group - 5 (Ananthapadmanabha)</v>
      </c>
      <c r="Q301" t="str">
        <f>VLOOKUP(D301,[2]Template!$A:$D,3,0)</f>
        <v>EATON</v>
      </c>
      <c r="R301" t="str">
        <f>VLOOKUP(D301,[2]Template!$A:$D,4,0)</f>
        <v>Eaton-ENRX Pvt Ltd</v>
      </c>
    </row>
    <row r="302" spans="1:18" ht="13.5" customHeight="1" x14ac:dyDescent="0.25">
      <c r="A302" s="9">
        <v>46076</v>
      </c>
      <c r="B302" s="10" t="s">
        <v>600</v>
      </c>
      <c r="C302" s="11" t="s">
        <v>279</v>
      </c>
      <c r="D302" s="27" t="s">
        <v>601</v>
      </c>
      <c r="E302" s="12" t="s">
        <v>1072</v>
      </c>
      <c r="F302" s="26" t="s">
        <v>602</v>
      </c>
      <c r="G302" s="13">
        <v>300</v>
      </c>
      <c r="H302" s="14">
        <v>300</v>
      </c>
      <c r="I302" s="15">
        <v>45.53</v>
      </c>
      <c r="J302" s="16"/>
      <c r="K302" s="17">
        <v>13659</v>
      </c>
      <c r="L302" s="18">
        <v>46112</v>
      </c>
      <c r="M302" s="6" t="str">
        <f t="shared" si="12"/>
        <v>Due order</v>
      </c>
      <c r="N302" s="8">
        <f t="shared" ca="1" si="13"/>
        <v>-43</v>
      </c>
      <c r="O302" s="8" t="str">
        <f t="shared" ca="1" si="14"/>
        <v>With in 90 days</v>
      </c>
      <c r="P302" t="str">
        <f>VLOOKUP(C302,[1]Customer_Master!$A:$B,2,0)</f>
        <v>Group 1-Giridhar-Peenya</v>
      </c>
      <c r="Q302" t="str">
        <f>VLOOKUP(D302,[2]Template!$A:$D,3,0)</f>
        <v>LAPP</v>
      </c>
      <c r="R302" t="str">
        <f>VLOOKUP(D302,[2]Template!$A:$D,4,0)</f>
        <v>Lapp-Non Moving Stocks</v>
      </c>
    </row>
    <row r="303" spans="1:18" ht="13.5" customHeight="1" x14ac:dyDescent="0.25">
      <c r="A303" s="9">
        <v>46076</v>
      </c>
      <c r="B303" s="10" t="s">
        <v>600</v>
      </c>
      <c r="C303" s="11" t="s">
        <v>279</v>
      </c>
      <c r="D303" s="27" t="s">
        <v>607</v>
      </c>
      <c r="E303" s="12" t="s">
        <v>1072</v>
      </c>
      <c r="F303" s="12" t="s">
        <v>608</v>
      </c>
      <c r="G303" s="13">
        <v>100</v>
      </c>
      <c r="H303" s="14">
        <v>100</v>
      </c>
      <c r="I303" s="15">
        <v>45.53</v>
      </c>
      <c r="J303" s="16"/>
      <c r="K303" s="17">
        <v>4553</v>
      </c>
      <c r="L303" s="18">
        <v>46112</v>
      </c>
      <c r="M303" s="6" t="str">
        <f t="shared" si="12"/>
        <v>Due order</v>
      </c>
      <c r="N303" s="8">
        <f t="shared" ca="1" si="13"/>
        <v>-43</v>
      </c>
      <c r="O303" s="8" t="str">
        <f t="shared" ca="1" si="14"/>
        <v>With in 90 days</v>
      </c>
      <c r="P303" t="str">
        <f>VLOOKUP(C303,[1]Customer_Master!$A:$B,2,0)</f>
        <v>Group 1-Giridhar-Peenya</v>
      </c>
      <c r="Q303" t="str">
        <f>VLOOKUP(D303,[2]Template!$A:$D,3,0)</f>
        <v>LAPP</v>
      </c>
      <c r="R303" t="str">
        <f>VLOOKUP(D303,[2]Template!$A:$D,4,0)</f>
        <v>Lapp-Non Moving Stocks</v>
      </c>
    </row>
    <row r="304" spans="1:18" ht="13.5" customHeight="1" x14ac:dyDescent="0.25">
      <c r="A304" s="9">
        <v>46076</v>
      </c>
      <c r="B304" s="10" t="s">
        <v>600</v>
      </c>
      <c r="C304" s="11" t="s">
        <v>279</v>
      </c>
      <c r="D304" s="10" t="s">
        <v>609</v>
      </c>
      <c r="E304" s="12" t="s">
        <v>1072</v>
      </c>
      <c r="F304" s="12" t="s">
        <v>610</v>
      </c>
      <c r="G304" s="13">
        <v>100</v>
      </c>
      <c r="H304" s="14">
        <v>100</v>
      </c>
      <c r="I304" s="15">
        <v>91.6</v>
      </c>
      <c r="J304" s="16"/>
      <c r="K304" s="17">
        <v>9160</v>
      </c>
      <c r="L304" s="18">
        <v>46094</v>
      </c>
      <c r="M304" s="6" t="str">
        <f t="shared" si="12"/>
        <v>Due order</v>
      </c>
      <c r="N304" s="8">
        <f t="shared" ca="1" si="13"/>
        <v>-61</v>
      </c>
      <c r="O304" s="8" t="str">
        <f t="shared" ca="1" si="14"/>
        <v>With in 90 days</v>
      </c>
      <c r="P304" t="str">
        <f>VLOOKUP(C304,[1]Customer_Master!$A:$B,2,0)</f>
        <v>Group 1-Giridhar-Peenya</v>
      </c>
      <c r="Q304" t="str">
        <f>VLOOKUP(D304,[2]Template!$A:$D,3,0)</f>
        <v>LAPP</v>
      </c>
      <c r="R304" t="str">
        <f>VLOOKUP(D304,[2]Template!$A:$D,4,0)</f>
        <v>Lapp-Against Customer PO</v>
      </c>
    </row>
    <row r="305" spans="1:18" ht="13.5" customHeight="1" x14ac:dyDescent="0.25">
      <c r="A305" s="9">
        <v>46077</v>
      </c>
      <c r="B305" s="10" t="s">
        <v>611</v>
      </c>
      <c r="C305" s="11" t="s">
        <v>612</v>
      </c>
      <c r="D305" s="10" t="s">
        <v>613</v>
      </c>
      <c r="E305" s="12" t="s">
        <v>1072</v>
      </c>
      <c r="F305" s="12" t="s">
        <v>614</v>
      </c>
      <c r="G305" s="22">
        <v>2500</v>
      </c>
      <c r="H305" s="23">
        <v>350</v>
      </c>
      <c r="I305" s="15">
        <v>11.54</v>
      </c>
      <c r="J305" s="16"/>
      <c r="K305" s="17">
        <v>4039</v>
      </c>
      <c r="L305" s="18">
        <v>46077</v>
      </c>
      <c r="M305" s="6" t="str">
        <f t="shared" si="12"/>
        <v>Due order</v>
      </c>
      <c r="N305" s="8">
        <f t="shared" ca="1" si="13"/>
        <v>-78</v>
      </c>
      <c r="O305" s="8" t="str">
        <f t="shared" ca="1" si="14"/>
        <v>With in 90 days</v>
      </c>
      <c r="P305" t="str">
        <f>VLOOKUP(C305,[1]Customer_Master!$A:$B,2,0)</f>
        <v>Online Business</v>
      </c>
      <c r="Q305" t="str">
        <f>VLOOKUP(D305,[2]Template!$A:$D,3,0)</f>
        <v>LAPP</v>
      </c>
      <c r="R305" t="str">
        <f>VLOOKUP(D305,[2]Template!$A:$D,4,0)</f>
        <v>Lapp-Against Customer PO</v>
      </c>
    </row>
    <row r="306" spans="1:18" ht="13.5" customHeight="1" x14ac:dyDescent="0.25">
      <c r="A306" s="9">
        <v>46077</v>
      </c>
      <c r="B306" s="10" t="s">
        <v>611</v>
      </c>
      <c r="C306" s="11" t="s">
        <v>612</v>
      </c>
      <c r="D306" s="10" t="s">
        <v>483</v>
      </c>
      <c r="E306" s="12" t="s">
        <v>1072</v>
      </c>
      <c r="F306" s="12" t="s">
        <v>484</v>
      </c>
      <c r="G306" s="22">
        <v>4000</v>
      </c>
      <c r="H306" s="23">
        <v>4000</v>
      </c>
      <c r="I306" s="15">
        <v>4.93</v>
      </c>
      <c r="J306" s="16"/>
      <c r="K306" s="17">
        <v>19720</v>
      </c>
      <c r="L306" s="18">
        <v>46077</v>
      </c>
      <c r="M306" s="6" t="str">
        <f t="shared" si="12"/>
        <v>Due order</v>
      </c>
      <c r="N306" s="8">
        <f t="shared" ca="1" si="13"/>
        <v>-78</v>
      </c>
      <c r="O306" s="8" t="str">
        <f t="shared" ca="1" si="14"/>
        <v>With in 90 days</v>
      </c>
      <c r="P306" t="str">
        <f>VLOOKUP(C306,[1]Customer_Master!$A:$B,2,0)</f>
        <v>Online Business</v>
      </c>
      <c r="Q306" t="str">
        <f>VLOOKUP(D306,[2]Template!$A:$D,3,0)</f>
        <v>LAPP</v>
      </c>
      <c r="R306" t="str">
        <f>VLOOKUP(D306,[2]Template!$A:$D,4,0)</f>
        <v>Lapp-Non Moving Stocks</v>
      </c>
    </row>
    <row r="307" spans="1:18" ht="13.5" customHeight="1" x14ac:dyDescent="0.25">
      <c r="A307" s="9">
        <v>46078</v>
      </c>
      <c r="B307" s="10" t="s">
        <v>615</v>
      </c>
      <c r="C307" s="11" t="s">
        <v>279</v>
      </c>
      <c r="D307" s="27" t="s">
        <v>601</v>
      </c>
      <c r="E307" s="12" t="s">
        <v>1072</v>
      </c>
      <c r="F307" s="26" t="s">
        <v>602</v>
      </c>
      <c r="G307" s="13">
        <v>300</v>
      </c>
      <c r="H307" s="14">
        <v>300</v>
      </c>
      <c r="I307" s="15">
        <v>45.53</v>
      </c>
      <c r="J307" s="16"/>
      <c r="K307" s="17">
        <v>13659</v>
      </c>
      <c r="L307" s="18">
        <v>46108</v>
      </c>
      <c r="M307" s="6" t="str">
        <f t="shared" si="12"/>
        <v>Due order</v>
      </c>
      <c r="N307" s="8">
        <f t="shared" ca="1" si="13"/>
        <v>-47</v>
      </c>
      <c r="O307" s="8" t="str">
        <f t="shared" ca="1" si="14"/>
        <v>With in 90 days</v>
      </c>
      <c r="P307" t="str">
        <f>VLOOKUP(C307,[1]Customer_Master!$A:$B,2,0)</f>
        <v>Group 1-Giridhar-Peenya</v>
      </c>
      <c r="Q307" t="str">
        <f>VLOOKUP(D307,[2]Template!$A:$D,3,0)</f>
        <v>LAPP</v>
      </c>
      <c r="R307" t="str">
        <f>VLOOKUP(D307,[2]Template!$A:$D,4,0)</f>
        <v>Lapp-Non Moving Stocks</v>
      </c>
    </row>
    <row r="308" spans="1:18" ht="13.5" customHeight="1" x14ac:dyDescent="0.25">
      <c r="A308" s="9">
        <v>46078</v>
      </c>
      <c r="B308" s="10" t="s">
        <v>615</v>
      </c>
      <c r="C308" s="11" t="s">
        <v>279</v>
      </c>
      <c r="D308" s="27" t="s">
        <v>607</v>
      </c>
      <c r="E308" s="12" t="s">
        <v>1072</v>
      </c>
      <c r="F308" s="12" t="s">
        <v>608</v>
      </c>
      <c r="G308" s="13">
        <v>40</v>
      </c>
      <c r="H308" s="14">
        <v>40</v>
      </c>
      <c r="I308" s="15">
        <v>45.53</v>
      </c>
      <c r="J308" s="16"/>
      <c r="K308" s="17">
        <v>1821.2</v>
      </c>
      <c r="L308" s="18">
        <v>46121</v>
      </c>
      <c r="M308" s="6" t="str">
        <f t="shared" si="12"/>
        <v>Due order</v>
      </c>
      <c r="N308" s="8">
        <f t="shared" ca="1" si="13"/>
        <v>-34</v>
      </c>
      <c r="O308" s="8" t="str">
        <f t="shared" ca="1" si="14"/>
        <v>With in 90 days</v>
      </c>
      <c r="P308" t="str">
        <f>VLOOKUP(C308,[1]Customer_Master!$A:$B,2,0)</f>
        <v>Group 1-Giridhar-Peenya</v>
      </c>
      <c r="Q308" t="str">
        <f>VLOOKUP(D308,[2]Template!$A:$D,3,0)</f>
        <v>LAPP</v>
      </c>
      <c r="R308" t="str">
        <f>VLOOKUP(D308,[2]Template!$A:$D,4,0)</f>
        <v>Lapp-Non Moving Stocks</v>
      </c>
    </row>
    <row r="309" spans="1:18" ht="13.5" customHeight="1" x14ac:dyDescent="0.25">
      <c r="A309" s="9">
        <v>46078</v>
      </c>
      <c r="B309" s="10" t="s">
        <v>615</v>
      </c>
      <c r="C309" s="11" t="s">
        <v>279</v>
      </c>
      <c r="D309" s="10" t="s">
        <v>609</v>
      </c>
      <c r="E309" s="12" t="s">
        <v>1072</v>
      </c>
      <c r="F309" s="12" t="s">
        <v>610</v>
      </c>
      <c r="G309" s="13">
        <v>10</v>
      </c>
      <c r="H309" s="14">
        <v>10</v>
      </c>
      <c r="I309" s="15">
        <v>91.6</v>
      </c>
      <c r="J309" s="16"/>
      <c r="K309" s="17">
        <v>916</v>
      </c>
      <c r="L309" s="18">
        <v>46118</v>
      </c>
      <c r="M309" s="6" t="str">
        <f t="shared" si="12"/>
        <v>Due order</v>
      </c>
      <c r="N309" s="8">
        <f t="shared" ca="1" si="13"/>
        <v>-37</v>
      </c>
      <c r="O309" s="8" t="str">
        <f t="shared" ca="1" si="14"/>
        <v>With in 90 days</v>
      </c>
      <c r="P309" t="str">
        <f>VLOOKUP(C309,[1]Customer_Master!$A:$B,2,0)</f>
        <v>Group 1-Giridhar-Peenya</v>
      </c>
      <c r="Q309" t="str">
        <f>VLOOKUP(D309,[2]Template!$A:$D,3,0)</f>
        <v>LAPP</v>
      </c>
      <c r="R309" t="str">
        <f>VLOOKUP(D309,[2]Template!$A:$D,4,0)</f>
        <v>Lapp-Against Customer PO</v>
      </c>
    </row>
    <row r="310" spans="1:18" ht="13.5" customHeight="1" x14ac:dyDescent="0.25">
      <c r="A310" s="9">
        <v>46079</v>
      </c>
      <c r="B310" s="10" t="s">
        <v>626</v>
      </c>
      <c r="C310" s="11" t="s">
        <v>96</v>
      </c>
      <c r="D310" s="10" t="s">
        <v>570</v>
      </c>
      <c r="E310" s="12" t="s">
        <v>1072</v>
      </c>
      <c r="F310" s="12" t="s">
        <v>571</v>
      </c>
      <c r="G310" s="19">
        <v>150</v>
      </c>
      <c r="H310" s="20">
        <v>150</v>
      </c>
      <c r="I310" s="15">
        <v>171</v>
      </c>
      <c r="J310" s="16"/>
      <c r="K310" s="17">
        <v>25650</v>
      </c>
      <c r="L310" s="18">
        <v>46079</v>
      </c>
      <c r="M310" s="6" t="str">
        <f t="shared" si="12"/>
        <v>Due order</v>
      </c>
      <c r="N310" s="8">
        <f t="shared" ca="1" si="13"/>
        <v>-76</v>
      </c>
      <c r="O310" s="8" t="str">
        <f t="shared" ca="1" si="14"/>
        <v>With in 90 days</v>
      </c>
      <c r="P310" t="str">
        <f>VLOOKUP(C310,[1]Customer_Master!$A:$B,2,0)</f>
        <v>Group - 5 (Ananthapadmanabha)</v>
      </c>
      <c r="Q310" t="str">
        <f>VLOOKUP(D310,[2]Template!$A:$D,3,0)</f>
        <v>LAPP</v>
      </c>
      <c r="R310" t="str">
        <f>VLOOKUP(D310,[2]Template!$A:$D,4,0)</f>
        <v>Lapp-Against Customer PO</v>
      </c>
    </row>
    <row r="311" spans="1:18" ht="13.5" customHeight="1" x14ac:dyDescent="0.25">
      <c r="A311" s="9">
        <v>46081</v>
      </c>
      <c r="B311" s="10" t="s">
        <v>644</v>
      </c>
      <c r="C311" s="11" t="s">
        <v>645</v>
      </c>
      <c r="D311" s="10" t="s">
        <v>452</v>
      </c>
      <c r="E311" s="12" t="s">
        <v>1072</v>
      </c>
      <c r="F311" s="12" t="s">
        <v>278</v>
      </c>
      <c r="G311" s="13">
        <v>100</v>
      </c>
      <c r="H311" s="14">
        <v>100</v>
      </c>
      <c r="I311" s="15">
        <v>82.68</v>
      </c>
      <c r="J311" s="16"/>
      <c r="K311" s="17">
        <v>8268</v>
      </c>
      <c r="L311" s="18">
        <v>46081</v>
      </c>
      <c r="M311" s="6" t="str">
        <f t="shared" si="12"/>
        <v>Due order</v>
      </c>
      <c r="N311" s="8">
        <f t="shared" ca="1" si="13"/>
        <v>-74</v>
      </c>
      <c r="O311" s="8" t="str">
        <f t="shared" ca="1" si="14"/>
        <v>With in 90 days</v>
      </c>
      <c r="P311" t="str">
        <f>VLOOKUP(C311,[1]Customer_Master!$A:$B,2,0)</f>
        <v>Group - 5 (Ananthapadmanabha)</v>
      </c>
      <c r="Q311" t="str">
        <f>VLOOKUP(D311,[2]Template!$A:$D,3,0)</f>
        <v>LAPP</v>
      </c>
      <c r="R311" t="str">
        <f>VLOOKUP(D311,[2]Template!$A:$D,4,0)</f>
        <v>Lapp-Planned Stock General</v>
      </c>
    </row>
    <row r="312" spans="1:18" ht="13.5" customHeight="1" x14ac:dyDescent="0.25">
      <c r="A312" s="9">
        <v>46081</v>
      </c>
      <c r="B312" s="10" t="s">
        <v>635</v>
      </c>
      <c r="C312" s="11" t="s">
        <v>636</v>
      </c>
      <c r="D312" s="10" t="s">
        <v>452</v>
      </c>
      <c r="E312" s="12" t="s">
        <v>1072</v>
      </c>
      <c r="F312" s="12" t="s">
        <v>278</v>
      </c>
      <c r="G312" s="13">
        <v>500</v>
      </c>
      <c r="H312" s="14">
        <v>500</v>
      </c>
      <c r="I312" s="15">
        <v>69.44</v>
      </c>
      <c r="J312" s="16"/>
      <c r="K312" s="17">
        <v>34720</v>
      </c>
      <c r="L312" s="18">
        <v>46084</v>
      </c>
      <c r="M312" s="6" t="str">
        <f t="shared" si="12"/>
        <v>Due order</v>
      </c>
      <c r="N312" s="8">
        <f t="shared" ca="1" si="13"/>
        <v>-71</v>
      </c>
      <c r="O312" s="8" t="str">
        <f t="shared" ca="1" si="14"/>
        <v>With in 90 days</v>
      </c>
      <c r="P312" t="str">
        <f>VLOOKUP(C312,[1]Customer_Master!$A:$B,2,0)</f>
        <v>Group - 5 (Ananthapadmanabha)</v>
      </c>
      <c r="Q312" t="str">
        <f>VLOOKUP(D312,[2]Template!$A:$D,3,0)</f>
        <v>LAPP</v>
      </c>
      <c r="R312" t="str">
        <f>VLOOKUP(D312,[2]Template!$A:$D,4,0)</f>
        <v>Lapp-Planned Stock General</v>
      </c>
    </row>
    <row r="313" spans="1:18" ht="13.5" customHeight="1" x14ac:dyDescent="0.25">
      <c r="A313" s="9">
        <v>46083</v>
      </c>
      <c r="B313" s="10" t="s">
        <v>637</v>
      </c>
      <c r="C313" s="11" t="s">
        <v>79</v>
      </c>
      <c r="D313" s="10" t="s">
        <v>324</v>
      </c>
      <c r="E313" s="12" t="s">
        <v>1072</v>
      </c>
      <c r="F313" s="12" t="s">
        <v>80</v>
      </c>
      <c r="G313" s="19">
        <v>530</v>
      </c>
      <c r="H313" s="20">
        <v>530</v>
      </c>
      <c r="I313" s="15">
        <v>2803</v>
      </c>
      <c r="J313" s="16"/>
      <c r="K313" s="17">
        <v>1485590</v>
      </c>
      <c r="L313" s="18">
        <v>46241</v>
      </c>
      <c r="M313" s="6" t="str">
        <f t="shared" si="12"/>
        <v>Schedule order</v>
      </c>
      <c r="N313" s="8">
        <f t="shared" ca="1" si="13"/>
        <v>86</v>
      </c>
      <c r="O313" s="8" t="str">
        <f t="shared" ca="1" si="14"/>
        <v>Lattest or shedule order</v>
      </c>
      <c r="P313" t="str">
        <f>VLOOKUP(C313,[1]Customer_Master!$A:$B,2,0)</f>
        <v>Group-4 ( Office Account)</v>
      </c>
      <c r="Q313" t="str">
        <f>VLOOKUP(D313,[2]Template!$A:$D,3,0)</f>
        <v>EATON</v>
      </c>
      <c r="R313" t="str">
        <f>VLOOKUP(D313,[2]Template!$A:$D,4,0)</f>
        <v>Eaton-Faiveley-(R)</v>
      </c>
    </row>
    <row r="314" spans="1:18" ht="13.5" customHeight="1" x14ac:dyDescent="0.25">
      <c r="A314" s="9">
        <v>46083</v>
      </c>
      <c r="B314" s="10" t="s">
        <v>638</v>
      </c>
      <c r="C314" s="11" t="s">
        <v>140</v>
      </c>
      <c r="D314" s="10" t="s">
        <v>639</v>
      </c>
      <c r="E314" s="12" t="s">
        <v>1072</v>
      </c>
      <c r="F314" s="12" t="s">
        <v>640</v>
      </c>
      <c r="G314" s="13">
        <v>200</v>
      </c>
      <c r="H314" s="14">
        <v>200</v>
      </c>
      <c r="I314" s="15">
        <v>50.4</v>
      </c>
      <c r="J314" s="16"/>
      <c r="K314" s="17">
        <v>10080</v>
      </c>
      <c r="L314" s="18">
        <v>46083</v>
      </c>
      <c r="M314" s="6" t="str">
        <f t="shared" si="12"/>
        <v>Due order</v>
      </c>
      <c r="N314" s="8">
        <f t="shared" ca="1" si="13"/>
        <v>-72</v>
      </c>
      <c r="O314" s="8" t="str">
        <f t="shared" ca="1" si="14"/>
        <v>With in 90 days</v>
      </c>
      <c r="P314" t="str">
        <f>VLOOKUP(C314,[1]Customer_Master!$A:$B,2,0)</f>
        <v>Group-2 (Veeresh- Bomsdr+Hosur)</v>
      </c>
      <c r="Q314" t="str">
        <f>VLOOKUP(D314,[2]Template!$A:$D,3,0)</f>
        <v>LAPP</v>
      </c>
      <c r="R314" t="str">
        <f>VLOOKUP(D314,[2]Template!$A:$D,4,0)</f>
        <v>Lapp-Against Customer PO</v>
      </c>
    </row>
    <row r="315" spans="1:18" ht="13.5" customHeight="1" x14ac:dyDescent="0.25">
      <c r="A315" s="9">
        <v>46084</v>
      </c>
      <c r="B315" s="10" t="s">
        <v>641</v>
      </c>
      <c r="C315" s="11" t="s">
        <v>76</v>
      </c>
      <c r="D315" s="10" t="s">
        <v>351</v>
      </c>
      <c r="E315" s="12" t="s">
        <v>1072</v>
      </c>
      <c r="F315" s="12" t="s">
        <v>101</v>
      </c>
      <c r="G315" s="19">
        <v>69</v>
      </c>
      <c r="H315" s="20">
        <v>69</v>
      </c>
      <c r="I315" s="15">
        <v>333</v>
      </c>
      <c r="J315" s="16"/>
      <c r="K315" s="17">
        <v>22977</v>
      </c>
      <c r="L315" s="18">
        <v>46205</v>
      </c>
      <c r="M315" s="6" t="str">
        <f t="shared" si="12"/>
        <v>Schedule order</v>
      </c>
      <c r="N315" s="8">
        <f t="shared" ca="1" si="13"/>
        <v>50</v>
      </c>
      <c r="O315" s="8" t="str">
        <f t="shared" ca="1" si="14"/>
        <v>Lattest or shedule order</v>
      </c>
      <c r="P315" t="str">
        <f>VLOOKUP(C315,[1]Customer_Master!$A:$B,2,0)</f>
        <v>Group 1-Giridhar-Peenya</v>
      </c>
      <c r="Q315" t="str">
        <f>VLOOKUP(D315,[2]Template!$A:$D,3,0)</f>
        <v>EATON</v>
      </c>
      <c r="R315" t="str">
        <f>VLOOKUP(D315,[2]Template!$A:$D,4,0)</f>
        <v>Eaton-Biesse</v>
      </c>
    </row>
    <row r="316" spans="1:18" ht="13.5" customHeight="1" x14ac:dyDescent="0.25">
      <c r="A316" s="9">
        <v>46085</v>
      </c>
      <c r="B316" s="10" t="s">
        <v>647</v>
      </c>
      <c r="C316" s="11" t="s">
        <v>586</v>
      </c>
      <c r="D316" s="10" t="s">
        <v>452</v>
      </c>
      <c r="E316" s="12" t="s">
        <v>1072</v>
      </c>
      <c r="F316" s="12" t="s">
        <v>278</v>
      </c>
      <c r="G316" s="13">
        <v>100</v>
      </c>
      <c r="H316" s="14">
        <v>58</v>
      </c>
      <c r="I316" s="15">
        <v>82.68</v>
      </c>
      <c r="J316" s="16"/>
      <c r="K316" s="17">
        <v>4795.4399999999996</v>
      </c>
      <c r="L316" s="18">
        <v>46085</v>
      </c>
      <c r="M316" s="6" t="str">
        <f t="shared" si="12"/>
        <v>Due order</v>
      </c>
      <c r="N316" s="8">
        <f t="shared" ca="1" si="13"/>
        <v>-70</v>
      </c>
      <c r="O316" s="8" t="str">
        <f t="shared" ca="1" si="14"/>
        <v>With in 90 days</v>
      </c>
      <c r="P316" t="str">
        <f>VLOOKUP(C316,[1]Customer_Master!$A:$B,2,0)</f>
        <v>Group 1-Giridhar-Peenya</v>
      </c>
      <c r="Q316" t="str">
        <f>VLOOKUP(D316,[2]Template!$A:$D,3,0)</f>
        <v>LAPP</v>
      </c>
      <c r="R316" t="str">
        <f>VLOOKUP(D316,[2]Template!$A:$D,4,0)</f>
        <v>Lapp-Planned Stock General</v>
      </c>
    </row>
    <row r="317" spans="1:18" ht="13.5" customHeight="1" x14ac:dyDescent="0.25">
      <c r="A317" s="9">
        <v>46087</v>
      </c>
      <c r="B317" s="10" t="s">
        <v>668</v>
      </c>
      <c r="C317" s="11" t="s">
        <v>76</v>
      </c>
      <c r="D317" s="10" t="s">
        <v>364</v>
      </c>
      <c r="E317" s="12" t="s">
        <v>1072</v>
      </c>
      <c r="F317" s="12" t="s">
        <v>102</v>
      </c>
      <c r="G317" s="19">
        <v>10</v>
      </c>
      <c r="H317" s="20">
        <v>10</v>
      </c>
      <c r="I317" s="15">
        <v>496</v>
      </c>
      <c r="J317" s="16"/>
      <c r="K317" s="17">
        <v>4960</v>
      </c>
      <c r="L317" s="18">
        <v>46211</v>
      </c>
      <c r="M317" s="6" t="str">
        <f t="shared" si="12"/>
        <v>Schedule order</v>
      </c>
      <c r="N317" s="8">
        <f t="shared" ca="1" si="13"/>
        <v>56</v>
      </c>
      <c r="O317" s="8" t="str">
        <f t="shared" ca="1" si="14"/>
        <v>Lattest or shedule order</v>
      </c>
      <c r="P317" t="str">
        <f>VLOOKUP(C317,[1]Customer_Master!$A:$B,2,0)</f>
        <v>Group 1-Giridhar-Peenya</v>
      </c>
      <c r="Q317" t="str">
        <f>VLOOKUP(D317,[2]Template!$A:$D,3,0)</f>
        <v>EATON</v>
      </c>
      <c r="R317" t="str">
        <f>VLOOKUP(D317,[2]Template!$A:$D,4,0)</f>
        <v>Eaton-Biesse</v>
      </c>
    </row>
    <row r="318" spans="1:18" ht="13.5" customHeight="1" x14ac:dyDescent="0.25">
      <c r="A318" s="9">
        <v>46087</v>
      </c>
      <c r="B318" s="10" t="s">
        <v>668</v>
      </c>
      <c r="C318" s="11" t="s">
        <v>76</v>
      </c>
      <c r="D318" s="10" t="s">
        <v>364</v>
      </c>
      <c r="E318" s="12" t="s">
        <v>1072</v>
      </c>
      <c r="F318" s="12" t="s">
        <v>102</v>
      </c>
      <c r="G318" s="19">
        <v>10</v>
      </c>
      <c r="H318" s="20">
        <v>10</v>
      </c>
      <c r="I318" s="15">
        <v>496</v>
      </c>
      <c r="J318" s="16"/>
      <c r="K318" s="17">
        <v>4960</v>
      </c>
      <c r="L318" s="18">
        <v>46244</v>
      </c>
      <c r="M318" s="6" t="str">
        <f t="shared" si="12"/>
        <v>Schedule order</v>
      </c>
      <c r="N318" s="8">
        <f t="shared" ca="1" si="13"/>
        <v>89</v>
      </c>
      <c r="O318" s="8" t="str">
        <f t="shared" ca="1" si="14"/>
        <v>Lattest or shedule order</v>
      </c>
      <c r="P318" t="str">
        <f>VLOOKUP(C318,[1]Customer_Master!$A:$B,2,0)</f>
        <v>Group 1-Giridhar-Peenya</v>
      </c>
      <c r="Q318" t="str">
        <f>VLOOKUP(D318,[2]Template!$A:$D,3,0)</f>
        <v>EATON</v>
      </c>
      <c r="R318" t="str">
        <f>VLOOKUP(D318,[2]Template!$A:$D,4,0)</f>
        <v>Eaton-Biesse</v>
      </c>
    </row>
    <row r="319" spans="1:18" ht="13.5" customHeight="1" x14ac:dyDescent="0.25">
      <c r="A319" s="9">
        <v>46087</v>
      </c>
      <c r="B319" s="10" t="s">
        <v>668</v>
      </c>
      <c r="C319" s="11" t="s">
        <v>76</v>
      </c>
      <c r="D319" s="10" t="s">
        <v>332</v>
      </c>
      <c r="E319" s="12" t="s">
        <v>1072</v>
      </c>
      <c r="F319" s="12" t="s">
        <v>105</v>
      </c>
      <c r="G319" s="19">
        <v>10</v>
      </c>
      <c r="H319" s="20">
        <v>10</v>
      </c>
      <c r="I319" s="15">
        <v>1210</v>
      </c>
      <c r="J319" s="16"/>
      <c r="K319" s="17">
        <v>12100</v>
      </c>
      <c r="L319" s="18">
        <v>46210</v>
      </c>
      <c r="M319" s="6" t="str">
        <f t="shared" si="12"/>
        <v>Schedule order</v>
      </c>
      <c r="N319" s="8">
        <f t="shared" ca="1" si="13"/>
        <v>55</v>
      </c>
      <c r="O319" s="8" t="str">
        <f t="shared" ca="1" si="14"/>
        <v>Lattest or shedule order</v>
      </c>
      <c r="P319" t="str">
        <f>VLOOKUP(C319,[1]Customer_Master!$A:$B,2,0)</f>
        <v>Group 1-Giridhar-Peenya</v>
      </c>
      <c r="Q319" t="str">
        <f>VLOOKUP(D319,[2]Template!$A:$D,3,0)</f>
        <v>EATON</v>
      </c>
      <c r="R319" t="str">
        <f>VLOOKUP(D319,[2]Template!$A:$D,4,0)</f>
        <v>Eaton-Biesse</v>
      </c>
    </row>
    <row r="320" spans="1:18" ht="13.5" customHeight="1" x14ac:dyDescent="0.25">
      <c r="A320" s="9">
        <v>46087</v>
      </c>
      <c r="B320" s="10" t="s">
        <v>668</v>
      </c>
      <c r="C320" s="11" t="s">
        <v>76</v>
      </c>
      <c r="D320" s="10" t="s">
        <v>344</v>
      </c>
      <c r="E320" s="12" t="s">
        <v>1072</v>
      </c>
      <c r="F320" s="12" t="s">
        <v>107</v>
      </c>
      <c r="G320" s="19">
        <v>100</v>
      </c>
      <c r="H320" s="20">
        <v>100</v>
      </c>
      <c r="I320" s="15">
        <v>48</v>
      </c>
      <c r="J320" s="16"/>
      <c r="K320" s="17">
        <v>4800</v>
      </c>
      <c r="L320" s="18">
        <v>46223</v>
      </c>
      <c r="M320" s="6" t="str">
        <f t="shared" si="12"/>
        <v>Schedule order</v>
      </c>
      <c r="N320" s="8">
        <f t="shared" ca="1" si="13"/>
        <v>68</v>
      </c>
      <c r="O320" s="8" t="str">
        <f t="shared" ca="1" si="14"/>
        <v>Lattest or shedule order</v>
      </c>
      <c r="P320" t="str">
        <f>VLOOKUP(C320,[1]Customer_Master!$A:$B,2,0)</f>
        <v>Group 1-Giridhar-Peenya</v>
      </c>
      <c r="Q320" t="str">
        <f>VLOOKUP(D320,[2]Template!$A:$D,3,0)</f>
        <v>EATON</v>
      </c>
      <c r="R320" t="str">
        <f>VLOOKUP(D320,[2]Template!$A:$D,4,0)</f>
        <v>Eaton-Biesse</v>
      </c>
    </row>
    <row r="321" spans="1:18" ht="13.5" customHeight="1" x14ac:dyDescent="0.25">
      <c r="A321" s="9">
        <v>46087</v>
      </c>
      <c r="B321" s="10" t="s">
        <v>668</v>
      </c>
      <c r="C321" s="11" t="s">
        <v>76</v>
      </c>
      <c r="D321" s="10" t="s">
        <v>345</v>
      </c>
      <c r="E321" s="12" t="s">
        <v>1072</v>
      </c>
      <c r="F321" s="12" t="s">
        <v>108</v>
      </c>
      <c r="G321" s="19">
        <v>100</v>
      </c>
      <c r="H321" s="20">
        <v>100</v>
      </c>
      <c r="I321" s="15">
        <v>48</v>
      </c>
      <c r="J321" s="16"/>
      <c r="K321" s="17">
        <v>4800</v>
      </c>
      <c r="L321" s="18">
        <v>46218</v>
      </c>
      <c r="M321" s="6" t="str">
        <f t="shared" si="12"/>
        <v>Schedule order</v>
      </c>
      <c r="N321" s="8">
        <f t="shared" ca="1" si="13"/>
        <v>63</v>
      </c>
      <c r="O321" s="8" t="str">
        <f t="shared" ca="1" si="14"/>
        <v>Lattest or shedule order</v>
      </c>
      <c r="P321" t="str">
        <f>VLOOKUP(C321,[1]Customer_Master!$A:$B,2,0)</f>
        <v>Group 1-Giridhar-Peenya</v>
      </c>
      <c r="Q321" t="str">
        <f>VLOOKUP(D321,[2]Template!$A:$D,3,0)</f>
        <v>EATON</v>
      </c>
      <c r="R321" t="str">
        <f>VLOOKUP(D321,[2]Template!$A:$D,4,0)</f>
        <v>Eaton-Biesse</v>
      </c>
    </row>
    <row r="322" spans="1:18" ht="13.5" customHeight="1" x14ac:dyDescent="0.25">
      <c r="A322" s="9">
        <v>46087</v>
      </c>
      <c r="B322" s="10" t="s">
        <v>668</v>
      </c>
      <c r="C322" s="11" t="s">
        <v>76</v>
      </c>
      <c r="D322" s="10" t="s">
        <v>328</v>
      </c>
      <c r="E322" s="12" t="s">
        <v>1072</v>
      </c>
      <c r="F322" s="12" t="s">
        <v>82</v>
      </c>
      <c r="G322" s="19">
        <v>43</v>
      </c>
      <c r="H322" s="20">
        <v>43</v>
      </c>
      <c r="I322" s="15">
        <v>1764</v>
      </c>
      <c r="J322" s="16"/>
      <c r="K322" s="17">
        <v>75852</v>
      </c>
      <c r="L322" s="18">
        <v>46210</v>
      </c>
      <c r="M322" s="6" t="str">
        <f t="shared" si="12"/>
        <v>Schedule order</v>
      </c>
      <c r="N322" s="8">
        <f t="shared" ca="1" si="13"/>
        <v>55</v>
      </c>
      <c r="O322" s="8" t="str">
        <f t="shared" ca="1" si="14"/>
        <v>Lattest or shedule order</v>
      </c>
      <c r="P322" t="str">
        <f>VLOOKUP(C322,[1]Customer_Master!$A:$B,2,0)</f>
        <v>Group 1-Giridhar-Peenya</v>
      </c>
      <c r="Q322" t="str">
        <f>VLOOKUP(D322,[2]Template!$A:$D,3,0)</f>
        <v>EATON</v>
      </c>
      <c r="R322" t="str">
        <f>VLOOKUP(D322,[2]Template!$A:$D,4,0)</f>
        <v>Eaton-Biesse</v>
      </c>
    </row>
    <row r="323" spans="1:18" ht="13.5" customHeight="1" x14ac:dyDescent="0.25">
      <c r="A323" s="9">
        <v>46087</v>
      </c>
      <c r="B323" s="10" t="s">
        <v>668</v>
      </c>
      <c r="C323" s="11" t="s">
        <v>76</v>
      </c>
      <c r="D323" s="10" t="s">
        <v>328</v>
      </c>
      <c r="E323" s="12" t="s">
        <v>1072</v>
      </c>
      <c r="F323" s="12" t="s">
        <v>82</v>
      </c>
      <c r="G323" s="19">
        <v>43</v>
      </c>
      <c r="H323" s="20">
        <v>43</v>
      </c>
      <c r="I323" s="15">
        <v>1764</v>
      </c>
      <c r="J323" s="16"/>
      <c r="K323" s="17">
        <v>75852</v>
      </c>
      <c r="L323" s="18">
        <v>46239</v>
      </c>
      <c r="M323" s="6" t="str">
        <f t="shared" ref="M323:M386" si="15">IF(L323&lt;DATE(2026,4,30),"Due order","Schedule order")</f>
        <v>Schedule order</v>
      </c>
      <c r="N323" s="8">
        <f t="shared" ref="N323:N386" ca="1" si="16">L323-TODAY()</f>
        <v>84</v>
      </c>
      <c r="O323" s="8" t="str">
        <f t="shared" ref="O323:O386" ca="1" si="17">IF(N323&lt;-365,"More than 1 Year old",IF(N323&lt;-180," More than 180 days old",IF(N323&lt;-90,"More than 90 day old",IF(N323&lt;0,"With in 90 days","Lattest or shedule order"))))</f>
        <v>Lattest or shedule order</v>
      </c>
      <c r="P323" t="str">
        <f>VLOOKUP(C323,[1]Customer_Master!$A:$B,2,0)</f>
        <v>Group 1-Giridhar-Peenya</v>
      </c>
      <c r="Q323" t="str">
        <f>VLOOKUP(D323,[2]Template!$A:$D,3,0)</f>
        <v>EATON</v>
      </c>
      <c r="R323" t="str">
        <f>VLOOKUP(D323,[2]Template!$A:$D,4,0)</f>
        <v>Eaton-Biesse</v>
      </c>
    </row>
    <row r="324" spans="1:18" ht="13.5" customHeight="1" x14ac:dyDescent="0.25">
      <c r="A324" s="9">
        <v>46087</v>
      </c>
      <c r="B324" s="10" t="s">
        <v>669</v>
      </c>
      <c r="C324" s="11" t="s">
        <v>1624</v>
      </c>
      <c r="D324" s="27" t="s">
        <v>670</v>
      </c>
      <c r="E324" s="12" t="s">
        <v>1072</v>
      </c>
      <c r="F324" s="26" t="s">
        <v>671</v>
      </c>
      <c r="G324" s="24">
        <v>20</v>
      </c>
      <c r="H324" s="25">
        <v>20</v>
      </c>
      <c r="I324" s="15">
        <v>6499.46</v>
      </c>
      <c r="J324" s="16"/>
      <c r="K324" s="17">
        <v>129989.2</v>
      </c>
      <c r="L324" s="18">
        <v>46087</v>
      </c>
      <c r="M324" s="6" t="str">
        <f t="shared" si="15"/>
        <v>Due order</v>
      </c>
      <c r="N324" s="8">
        <f t="shared" ca="1" si="16"/>
        <v>-68</v>
      </c>
      <c r="O324" s="8" t="str">
        <f t="shared" ca="1" si="17"/>
        <v>With in 90 days</v>
      </c>
      <c r="P324" t="e">
        <f>VLOOKUP(C324,[1]Customer_Master!$A:$B,2,0)</f>
        <v>#N/A</v>
      </c>
      <c r="Q324" t="str">
        <f>VLOOKUP(D324,[2]Template!$A:$D,3,0)</f>
        <v>LAPP</v>
      </c>
      <c r="R324" t="str">
        <f>VLOOKUP(D324,[2]Template!$A:$D,4,0)</f>
        <v>Lapp-Non Moving Stocks</v>
      </c>
    </row>
    <row r="325" spans="1:18" ht="13.5" customHeight="1" x14ac:dyDescent="0.25">
      <c r="A325" s="9">
        <v>46087</v>
      </c>
      <c r="B325" s="10" t="s">
        <v>672</v>
      </c>
      <c r="C325" s="11" t="s">
        <v>60</v>
      </c>
      <c r="D325" s="10" t="s">
        <v>673</v>
      </c>
      <c r="E325" s="12" t="s">
        <v>674</v>
      </c>
      <c r="F325" s="12" t="s">
        <v>675</v>
      </c>
      <c r="G325" s="13">
        <v>1000</v>
      </c>
      <c r="H325" s="14">
        <v>500</v>
      </c>
      <c r="I325" s="15">
        <v>44.45</v>
      </c>
      <c r="J325" s="16"/>
      <c r="K325" s="17">
        <v>22225</v>
      </c>
      <c r="L325" s="18">
        <v>46186</v>
      </c>
      <c r="M325" s="6" t="str">
        <f t="shared" si="15"/>
        <v>Schedule order</v>
      </c>
      <c r="N325" s="8">
        <f t="shared" ca="1" si="16"/>
        <v>31</v>
      </c>
      <c r="O325" s="8" t="str">
        <f t="shared" ca="1" si="17"/>
        <v>Lattest or shedule order</v>
      </c>
      <c r="P325" t="str">
        <f>VLOOKUP(C325,[1]Customer_Master!$A:$B,2,0)</f>
        <v>Group 1-Giridhar-Peenya</v>
      </c>
      <c r="Q325" t="str">
        <f>VLOOKUP(D325,[2]Template!$A:$D,3,0)</f>
        <v>LAPP</v>
      </c>
      <c r="R325" t="str">
        <f>VLOOKUP(D325,[2]Template!$A:$D,4,0)</f>
        <v>Lapp-Planned Stock General</v>
      </c>
    </row>
    <row r="326" spans="1:18" ht="13.5" customHeight="1" x14ac:dyDescent="0.25">
      <c r="A326" s="9">
        <v>46087</v>
      </c>
      <c r="B326" s="10" t="s">
        <v>677</v>
      </c>
      <c r="C326" s="11" t="s">
        <v>139</v>
      </c>
      <c r="D326" s="10" t="s">
        <v>642</v>
      </c>
      <c r="E326" s="12" t="s">
        <v>1072</v>
      </c>
      <c r="F326" s="12" t="s">
        <v>643</v>
      </c>
      <c r="G326" s="13">
        <v>2000</v>
      </c>
      <c r="H326" s="14">
        <v>2000</v>
      </c>
      <c r="I326" s="15">
        <v>35.19</v>
      </c>
      <c r="J326" s="16"/>
      <c r="K326" s="17">
        <v>70380</v>
      </c>
      <c r="L326" s="18">
        <v>46087</v>
      </c>
      <c r="M326" s="6" t="str">
        <f t="shared" si="15"/>
        <v>Due order</v>
      </c>
      <c r="N326" s="8">
        <f t="shared" ca="1" si="16"/>
        <v>-68</v>
      </c>
      <c r="O326" s="8" t="str">
        <f t="shared" ca="1" si="17"/>
        <v>With in 90 days</v>
      </c>
      <c r="P326" t="str">
        <f>VLOOKUP(C326,[1]Customer_Master!$A:$B,2,0)</f>
        <v>Group 1-Giridhar-Peenya</v>
      </c>
      <c r="Q326" t="str">
        <f>VLOOKUP(D326,[2]Template!$A:$D,3,0)</f>
        <v>LAPP</v>
      </c>
      <c r="R326" t="str">
        <f>VLOOKUP(D326,[2]Template!$A:$D,4,0)</f>
        <v>Lapp-Planned Stock General</v>
      </c>
    </row>
    <row r="327" spans="1:18" ht="13.5" customHeight="1" x14ac:dyDescent="0.25">
      <c r="A327" s="9">
        <v>46087</v>
      </c>
      <c r="B327" s="10" t="s">
        <v>678</v>
      </c>
      <c r="C327" s="11" t="s">
        <v>679</v>
      </c>
      <c r="D327" s="10" t="s">
        <v>680</v>
      </c>
      <c r="E327" s="12" t="s">
        <v>1072</v>
      </c>
      <c r="F327" s="12" t="s">
        <v>681</v>
      </c>
      <c r="G327" s="13">
        <v>100</v>
      </c>
      <c r="H327" s="14">
        <v>100</v>
      </c>
      <c r="I327" s="15">
        <v>338.38</v>
      </c>
      <c r="J327" s="16"/>
      <c r="K327" s="17">
        <v>33838</v>
      </c>
      <c r="L327" s="18">
        <v>46087</v>
      </c>
      <c r="M327" s="6" t="str">
        <f t="shared" si="15"/>
        <v>Due order</v>
      </c>
      <c r="N327" s="8">
        <f t="shared" ca="1" si="16"/>
        <v>-68</v>
      </c>
      <c r="O327" s="8" t="str">
        <f t="shared" ca="1" si="17"/>
        <v>With in 90 days</v>
      </c>
      <c r="P327" t="str">
        <f>VLOOKUP(C327,[1]Customer_Master!$A:$B,2,0)</f>
        <v>Online Business</v>
      </c>
      <c r="Q327" t="str">
        <f>VLOOKUP(D327,[2]Template!$A:$D,3,0)</f>
        <v>LAPP</v>
      </c>
      <c r="R327" t="str">
        <f>VLOOKUP(D327,[2]Template!$A:$D,4,0)</f>
        <v>Lapp-Against Customer PO</v>
      </c>
    </row>
    <row r="328" spans="1:18" ht="13.5" customHeight="1" x14ac:dyDescent="0.25">
      <c r="A328" s="9">
        <v>46087</v>
      </c>
      <c r="B328" s="10" t="s">
        <v>678</v>
      </c>
      <c r="C328" s="11" t="s">
        <v>679</v>
      </c>
      <c r="D328" s="10" t="s">
        <v>242</v>
      </c>
      <c r="E328" s="12" t="s">
        <v>1072</v>
      </c>
      <c r="F328" s="12" t="s">
        <v>1072</v>
      </c>
      <c r="G328" s="19">
        <v>1</v>
      </c>
      <c r="H328" s="20">
        <v>1</v>
      </c>
      <c r="I328" s="15">
        <v>615</v>
      </c>
      <c r="J328" s="16"/>
      <c r="K328" s="17">
        <v>615</v>
      </c>
      <c r="L328" s="18">
        <v>46087</v>
      </c>
      <c r="M328" s="6" t="str">
        <f t="shared" si="15"/>
        <v>Due order</v>
      </c>
      <c r="N328" s="8">
        <f t="shared" ca="1" si="16"/>
        <v>-68</v>
      </c>
      <c r="O328" s="8" t="str">
        <f t="shared" ca="1" si="17"/>
        <v>With in 90 days</v>
      </c>
      <c r="P328" t="str">
        <f>VLOOKUP(C328,[1]Customer_Master!$A:$B,2,0)</f>
        <v>Online Business</v>
      </c>
      <c r="Q328" t="str">
        <f>VLOOKUP(D328,[2]Template!$A:$D,3,0)</f>
        <v>LAPP</v>
      </c>
      <c r="R328" t="str">
        <f>VLOOKUP(D328,[2]Template!$A:$D,4,0)</f>
        <v>Lapp-Against Customer PO</v>
      </c>
    </row>
    <row r="329" spans="1:18" ht="13.5" customHeight="1" x14ac:dyDescent="0.25">
      <c r="A329" s="9">
        <v>46087</v>
      </c>
      <c r="B329" s="10" t="s">
        <v>682</v>
      </c>
      <c r="C329" s="11" t="s">
        <v>683</v>
      </c>
      <c r="D329" s="10" t="s">
        <v>448</v>
      </c>
      <c r="E329" s="12" t="s">
        <v>1072</v>
      </c>
      <c r="F329" s="12" t="s">
        <v>183</v>
      </c>
      <c r="G329" s="13">
        <v>3500</v>
      </c>
      <c r="H329" s="14">
        <v>200</v>
      </c>
      <c r="I329" s="15">
        <v>83.81</v>
      </c>
      <c r="J329" s="16"/>
      <c r="K329" s="17">
        <v>16762</v>
      </c>
      <c r="L329" s="18">
        <v>46087</v>
      </c>
      <c r="M329" s="6" t="str">
        <f t="shared" si="15"/>
        <v>Due order</v>
      </c>
      <c r="N329" s="8">
        <f t="shared" ca="1" si="16"/>
        <v>-68</v>
      </c>
      <c r="O329" s="8" t="str">
        <f t="shared" ca="1" si="17"/>
        <v>With in 90 days</v>
      </c>
      <c r="P329" t="str">
        <f>VLOOKUP(C329,[1]Customer_Master!$A:$B,2,0)</f>
        <v>Group 1-Giridhar-Peenya</v>
      </c>
      <c r="Q329" t="str">
        <f>VLOOKUP(D329,[2]Template!$A:$D,3,0)</f>
        <v>LAPP</v>
      </c>
      <c r="R329" t="str">
        <f>VLOOKUP(D329,[2]Template!$A:$D,4,0)</f>
        <v>Lapp-Planned Stock General</v>
      </c>
    </row>
    <row r="330" spans="1:18" ht="13.5" customHeight="1" x14ac:dyDescent="0.25">
      <c r="A330" s="9">
        <v>46088</v>
      </c>
      <c r="B330" s="10" t="s">
        <v>691</v>
      </c>
      <c r="C330" s="11" t="s">
        <v>692</v>
      </c>
      <c r="D330" s="10" t="s">
        <v>524</v>
      </c>
      <c r="E330" s="12" t="s">
        <v>1072</v>
      </c>
      <c r="F330" s="12" t="s">
        <v>525</v>
      </c>
      <c r="G330" s="13">
        <v>250</v>
      </c>
      <c r="H330" s="14">
        <v>250</v>
      </c>
      <c r="I330" s="15">
        <v>141.51</v>
      </c>
      <c r="J330" s="16"/>
      <c r="K330" s="17">
        <v>35377.5</v>
      </c>
      <c r="L330" s="18">
        <v>46088</v>
      </c>
      <c r="M330" s="6" t="str">
        <f t="shared" si="15"/>
        <v>Due order</v>
      </c>
      <c r="N330" s="8">
        <f t="shared" ca="1" si="16"/>
        <v>-67</v>
      </c>
      <c r="O330" s="8" t="str">
        <f t="shared" ca="1" si="17"/>
        <v>With in 90 days</v>
      </c>
      <c r="P330" t="str">
        <f>VLOOKUP(C330,[1]Customer_Master!$A:$B,2,0)</f>
        <v>Online Business</v>
      </c>
      <c r="Q330" t="str">
        <f>VLOOKUP(D330,[2]Template!$A:$D,3,0)</f>
        <v>LAPP</v>
      </c>
      <c r="R330" t="str">
        <f>VLOOKUP(D330,[2]Template!$A:$D,4,0)</f>
        <v>Lapp-Planned Stock General</v>
      </c>
    </row>
    <row r="331" spans="1:18" ht="13.5" customHeight="1" x14ac:dyDescent="0.25">
      <c r="A331" s="9">
        <v>46088</v>
      </c>
      <c r="B331" s="10" t="s">
        <v>691</v>
      </c>
      <c r="C331" s="11" t="s">
        <v>692</v>
      </c>
      <c r="D331" s="10" t="s">
        <v>693</v>
      </c>
      <c r="E331" s="12" t="s">
        <v>1072</v>
      </c>
      <c r="F331" s="12" t="s">
        <v>694</v>
      </c>
      <c r="G331" s="13">
        <v>300</v>
      </c>
      <c r="H331" s="14">
        <v>300</v>
      </c>
      <c r="I331" s="15">
        <v>85.17</v>
      </c>
      <c r="J331" s="16"/>
      <c r="K331" s="17">
        <v>25551</v>
      </c>
      <c r="L331" s="18">
        <v>46088</v>
      </c>
      <c r="M331" s="6" t="str">
        <f t="shared" si="15"/>
        <v>Due order</v>
      </c>
      <c r="N331" s="8">
        <f t="shared" ca="1" si="16"/>
        <v>-67</v>
      </c>
      <c r="O331" s="8" t="str">
        <f t="shared" ca="1" si="17"/>
        <v>With in 90 days</v>
      </c>
      <c r="P331" t="str">
        <f>VLOOKUP(C331,[1]Customer_Master!$A:$B,2,0)</f>
        <v>Online Business</v>
      </c>
      <c r="Q331" t="str">
        <f>VLOOKUP(D331,[2]Template!$A:$D,3,0)</f>
        <v>LAPP</v>
      </c>
      <c r="R331" t="str">
        <f>VLOOKUP(D331,[2]Template!$A:$D,4,0)</f>
        <v>Lapp-Against Customer PO</v>
      </c>
    </row>
    <row r="332" spans="1:18" ht="13.5" customHeight="1" x14ac:dyDescent="0.25">
      <c r="A332" s="9">
        <v>46088</v>
      </c>
      <c r="B332" s="10" t="s">
        <v>691</v>
      </c>
      <c r="C332" s="11" t="s">
        <v>692</v>
      </c>
      <c r="D332" s="10" t="s">
        <v>695</v>
      </c>
      <c r="E332" s="12" t="s">
        <v>1072</v>
      </c>
      <c r="F332" s="12" t="s">
        <v>696</v>
      </c>
      <c r="G332" s="13">
        <v>300</v>
      </c>
      <c r="H332" s="14">
        <v>300</v>
      </c>
      <c r="I332" s="15">
        <v>85.17</v>
      </c>
      <c r="J332" s="16"/>
      <c r="K332" s="17">
        <v>25551</v>
      </c>
      <c r="L332" s="18">
        <v>46088</v>
      </c>
      <c r="M332" s="6" t="str">
        <f t="shared" si="15"/>
        <v>Due order</v>
      </c>
      <c r="N332" s="8">
        <f t="shared" ca="1" si="16"/>
        <v>-67</v>
      </c>
      <c r="O332" s="8" t="str">
        <f t="shared" ca="1" si="17"/>
        <v>With in 90 days</v>
      </c>
      <c r="P332" t="str">
        <f>VLOOKUP(C332,[1]Customer_Master!$A:$B,2,0)</f>
        <v>Online Business</v>
      </c>
      <c r="Q332" t="str">
        <f>VLOOKUP(D332,[2]Template!$A:$D,3,0)</f>
        <v>LAPP</v>
      </c>
      <c r="R332" t="str">
        <f>VLOOKUP(D332,[2]Template!$A:$D,4,0)</f>
        <v>Lapp-Against Customer PO</v>
      </c>
    </row>
    <row r="333" spans="1:18" ht="13.5" customHeight="1" x14ac:dyDescent="0.25">
      <c r="A333" s="9">
        <v>46088</v>
      </c>
      <c r="B333" s="10" t="s">
        <v>691</v>
      </c>
      <c r="C333" s="11" t="s">
        <v>692</v>
      </c>
      <c r="D333" s="10" t="s">
        <v>448</v>
      </c>
      <c r="E333" s="12" t="s">
        <v>1072</v>
      </c>
      <c r="F333" s="12" t="s">
        <v>183</v>
      </c>
      <c r="G333" s="13">
        <v>75</v>
      </c>
      <c r="H333" s="14">
        <v>75</v>
      </c>
      <c r="I333" s="15">
        <v>87.16</v>
      </c>
      <c r="J333" s="16"/>
      <c r="K333" s="17">
        <v>6537</v>
      </c>
      <c r="L333" s="18">
        <v>46088</v>
      </c>
      <c r="M333" s="6" t="str">
        <f t="shared" si="15"/>
        <v>Due order</v>
      </c>
      <c r="N333" s="8">
        <f t="shared" ca="1" si="16"/>
        <v>-67</v>
      </c>
      <c r="O333" s="8" t="str">
        <f t="shared" ca="1" si="17"/>
        <v>With in 90 days</v>
      </c>
      <c r="P333" t="str">
        <f>VLOOKUP(C333,[1]Customer_Master!$A:$B,2,0)</f>
        <v>Online Business</v>
      </c>
      <c r="Q333" t="str">
        <f>VLOOKUP(D333,[2]Template!$A:$D,3,0)</f>
        <v>LAPP</v>
      </c>
      <c r="R333" t="str">
        <f>VLOOKUP(D333,[2]Template!$A:$D,4,0)</f>
        <v>Lapp-Planned Stock General</v>
      </c>
    </row>
    <row r="334" spans="1:18" ht="13.5" customHeight="1" x14ac:dyDescent="0.25">
      <c r="A334" s="9">
        <v>46090</v>
      </c>
      <c r="B334" s="10" t="s">
        <v>705</v>
      </c>
      <c r="C334" s="11" t="s">
        <v>706</v>
      </c>
      <c r="D334" s="10" t="s">
        <v>707</v>
      </c>
      <c r="E334" s="12" t="s">
        <v>1072</v>
      </c>
      <c r="F334" s="12" t="s">
        <v>708</v>
      </c>
      <c r="G334" s="13">
        <v>1000</v>
      </c>
      <c r="H334" s="14">
        <v>1000</v>
      </c>
      <c r="I334" s="15">
        <v>87.17</v>
      </c>
      <c r="J334" s="16"/>
      <c r="K334" s="17">
        <v>87170</v>
      </c>
      <c r="L334" s="18">
        <v>46113</v>
      </c>
      <c r="M334" s="6" t="str">
        <f t="shared" si="15"/>
        <v>Due order</v>
      </c>
      <c r="N334" s="8">
        <f t="shared" ca="1" si="16"/>
        <v>-42</v>
      </c>
      <c r="O334" s="8" t="str">
        <f t="shared" ca="1" si="17"/>
        <v>With in 90 days</v>
      </c>
      <c r="P334" t="str">
        <f>VLOOKUP(C334,[1]Customer_Master!$A:$B,2,0)</f>
        <v>Group 1-Giridhar-Peenya</v>
      </c>
      <c r="Q334" t="str">
        <f>VLOOKUP(D334,[2]Template!$A:$D,3,0)</f>
        <v>LAPP</v>
      </c>
      <c r="R334" t="str">
        <f>VLOOKUP(D334,[2]Template!$A:$D,4,0)</f>
        <v>Lapp-Against Customer PO</v>
      </c>
    </row>
    <row r="335" spans="1:18" ht="13.5" customHeight="1" x14ac:dyDescent="0.25">
      <c r="A335" s="9">
        <v>46091</v>
      </c>
      <c r="B335" s="10" t="s">
        <v>709</v>
      </c>
      <c r="C335" s="11" t="s">
        <v>54</v>
      </c>
      <c r="D335" s="10" t="s">
        <v>710</v>
      </c>
      <c r="E335" s="12" t="s">
        <v>1072</v>
      </c>
      <c r="F335" s="12" t="s">
        <v>711</v>
      </c>
      <c r="G335" s="19">
        <v>6</v>
      </c>
      <c r="H335" s="20">
        <v>6</v>
      </c>
      <c r="I335" s="15">
        <v>7807.8</v>
      </c>
      <c r="J335" s="16"/>
      <c r="K335" s="17">
        <v>46846.8</v>
      </c>
      <c r="L335" s="18">
        <v>46091</v>
      </c>
      <c r="M335" s="6" t="str">
        <f t="shared" si="15"/>
        <v>Due order</v>
      </c>
      <c r="N335" s="8">
        <f t="shared" ca="1" si="16"/>
        <v>-64</v>
      </c>
      <c r="O335" s="8" t="str">
        <f t="shared" ca="1" si="17"/>
        <v>With in 90 days</v>
      </c>
      <c r="P335" t="str">
        <f>VLOOKUP(C335,[1]Customer_Master!$A:$B,2,0)</f>
        <v>Group 1-Giridhar-Peenya</v>
      </c>
      <c r="Q335" t="str">
        <f>VLOOKUP(D335,[2]Template!$A:$D,3,0)</f>
        <v>EATON</v>
      </c>
      <c r="R335" t="str">
        <f>VLOOKUP(D335,[2]Template!$A:$D,4,0)</f>
        <v>Eaton-Rinac</v>
      </c>
    </row>
    <row r="336" spans="1:18" ht="13.5" customHeight="1" x14ac:dyDescent="0.25">
      <c r="A336" s="9">
        <v>46091</v>
      </c>
      <c r="B336" s="10" t="s">
        <v>709</v>
      </c>
      <c r="C336" s="11" t="s">
        <v>54</v>
      </c>
      <c r="D336" s="10" t="s">
        <v>420</v>
      </c>
      <c r="E336" s="12" t="s">
        <v>1072</v>
      </c>
      <c r="F336" s="12" t="s">
        <v>186</v>
      </c>
      <c r="G336" s="19">
        <v>150</v>
      </c>
      <c r="H336" s="20">
        <v>150</v>
      </c>
      <c r="I336" s="15">
        <v>446.13</v>
      </c>
      <c r="J336" s="16"/>
      <c r="K336" s="17">
        <v>66919.5</v>
      </c>
      <c r="L336" s="18">
        <v>46091</v>
      </c>
      <c r="M336" s="6" t="str">
        <f t="shared" si="15"/>
        <v>Due order</v>
      </c>
      <c r="N336" s="8">
        <f t="shared" ca="1" si="16"/>
        <v>-64</v>
      </c>
      <c r="O336" s="8" t="str">
        <f t="shared" ca="1" si="17"/>
        <v>With in 90 days</v>
      </c>
      <c r="P336" t="str">
        <f>VLOOKUP(C336,[1]Customer_Master!$A:$B,2,0)</f>
        <v>Group 1-Giridhar-Peenya</v>
      </c>
      <c r="Q336" t="str">
        <f>VLOOKUP(D336,[2]Template!$A:$D,3,0)</f>
        <v>EATON</v>
      </c>
      <c r="R336" t="str">
        <f>VLOOKUP(D336,[2]Template!$A:$D,4,0)</f>
        <v>Eaton-Rinac</v>
      </c>
    </row>
    <row r="337" spans="1:18" ht="13.5" customHeight="1" x14ac:dyDescent="0.25">
      <c r="A337" s="9">
        <v>46091</v>
      </c>
      <c r="B337" s="10" t="s">
        <v>709</v>
      </c>
      <c r="C337" s="11" t="s">
        <v>54</v>
      </c>
      <c r="D337" s="10" t="s">
        <v>421</v>
      </c>
      <c r="E337" s="12" t="s">
        <v>1072</v>
      </c>
      <c r="F337" s="12" t="s">
        <v>187</v>
      </c>
      <c r="G337" s="19">
        <v>50</v>
      </c>
      <c r="H337" s="20">
        <v>50</v>
      </c>
      <c r="I337" s="15">
        <v>649.73</v>
      </c>
      <c r="J337" s="16"/>
      <c r="K337" s="17">
        <v>32486.5</v>
      </c>
      <c r="L337" s="18">
        <v>46091</v>
      </c>
      <c r="M337" s="6" t="str">
        <f t="shared" si="15"/>
        <v>Due order</v>
      </c>
      <c r="N337" s="8">
        <f t="shared" ca="1" si="16"/>
        <v>-64</v>
      </c>
      <c r="O337" s="8" t="str">
        <f t="shared" ca="1" si="17"/>
        <v>With in 90 days</v>
      </c>
      <c r="P337" t="str">
        <f>VLOOKUP(C337,[1]Customer_Master!$A:$B,2,0)</f>
        <v>Group 1-Giridhar-Peenya</v>
      </c>
      <c r="Q337" t="str">
        <f>VLOOKUP(D337,[2]Template!$A:$D,3,0)</f>
        <v>EATON</v>
      </c>
      <c r="R337" t="str">
        <f>VLOOKUP(D337,[2]Template!$A:$D,4,0)</f>
        <v>Eaton-Rinac</v>
      </c>
    </row>
    <row r="338" spans="1:18" ht="13.5" customHeight="1" x14ac:dyDescent="0.25">
      <c r="A338" s="9">
        <v>46091</v>
      </c>
      <c r="B338" s="10" t="s">
        <v>709</v>
      </c>
      <c r="C338" s="11" t="s">
        <v>54</v>
      </c>
      <c r="D338" s="10" t="s">
        <v>400</v>
      </c>
      <c r="E338" s="12" t="s">
        <v>1072</v>
      </c>
      <c r="F338" s="12" t="s">
        <v>142</v>
      </c>
      <c r="G338" s="19">
        <v>150</v>
      </c>
      <c r="H338" s="20">
        <v>150</v>
      </c>
      <c r="I338" s="15">
        <v>649.73</v>
      </c>
      <c r="J338" s="16"/>
      <c r="K338" s="17">
        <v>97459.5</v>
      </c>
      <c r="L338" s="18">
        <v>46091</v>
      </c>
      <c r="M338" s="6" t="str">
        <f t="shared" si="15"/>
        <v>Due order</v>
      </c>
      <c r="N338" s="8">
        <f t="shared" ca="1" si="16"/>
        <v>-64</v>
      </c>
      <c r="O338" s="8" t="str">
        <f t="shared" ca="1" si="17"/>
        <v>With in 90 days</v>
      </c>
      <c r="P338" t="str">
        <f>VLOOKUP(C338,[1]Customer_Master!$A:$B,2,0)</f>
        <v>Group 1-Giridhar-Peenya</v>
      </c>
      <c r="Q338" t="str">
        <f>VLOOKUP(D338,[2]Template!$A:$D,3,0)</f>
        <v>EATON</v>
      </c>
      <c r="R338" t="str">
        <f>VLOOKUP(D338,[2]Template!$A:$D,4,0)</f>
        <v>Eaton-Rinac</v>
      </c>
    </row>
    <row r="339" spans="1:18" ht="13.5" customHeight="1" x14ac:dyDescent="0.25">
      <c r="A339" s="9">
        <v>46091</v>
      </c>
      <c r="B339" s="10" t="s">
        <v>709</v>
      </c>
      <c r="C339" s="11" t="s">
        <v>54</v>
      </c>
      <c r="D339" s="10" t="s">
        <v>422</v>
      </c>
      <c r="E339" s="12" t="s">
        <v>1072</v>
      </c>
      <c r="F339" s="12" t="s">
        <v>239</v>
      </c>
      <c r="G339" s="19">
        <v>155</v>
      </c>
      <c r="H339" s="20">
        <v>155</v>
      </c>
      <c r="I339" s="15">
        <v>649.73</v>
      </c>
      <c r="J339" s="16"/>
      <c r="K339" s="17">
        <v>100708.15</v>
      </c>
      <c r="L339" s="18">
        <v>46091</v>
      </c>
      <c r="M339" s="6" t="str">
        <f t="shared" si="15"/>
        <v>Due order</v>
      </c>
      <c r="N339" s="8">
        <f t="shared" ca="1" si="16"/>
        <v>-64</v>
      </c>
      <c r="O339" s="8" t="str">
        <f t="shared" ca="1" si="17"/>
        <v>With in 90 days</v>
      </c>
      <c r="P339" t="str">
        <f>VLOOKUP(C339,[1]Customer_Master!$A:$B,2,0)</f>
        <v>Group 1-Giridhar-Peenya</v>
      </c>
      <c r="Q339" t="str">
        <f>VLOOKUP(D339,[2]Template!$A:$D,3,0)</f>
        <v>EATON</v>
      </c>
      <c r="R339" t="str">
        <f>VLOOKUP(D339,[2]Template!$A:$D,4,0)</f>
        <v>Eaton-Rinac</v>
      </c>
    </row>
    <row r="340" spans="1:18" ht="13.5" customHeight="1" x14ac:dyDescent="0.25">
      <c r="A340" s="9">
        <v>46091</v>
      </c>
      <c r="B340" s="10" t="s">
        <v>709</v>
      </c>
      <c r="C340" s="11" t="s">
        <v>54</v>
      </c>
      <c r="D340" s="10" t="s">
        <v>497</v>
      </c>
      <c r="E340" s="12" t="s">
        <v>1072</v>
      </c>
      <c r="F340" s="12" t="s">
        <v>498</v>
      </c>
      <c r="G340" s="19">
        <v>50</v>
      </c>
      <c r="H340" s="20">
        <v>21</v>
      </c>
      <c r="I340" s="15">
        <v>395.97</v>
      </c>
      <c r="J340" s="16"/>
      <c r="K340" s="17">
        <v>8315.3700000000008</v>
      </c>
      <c r="L340" s="18">
        <v>46091</v>
      </c>
      <c r="M340" s="6" t="str">
        <f t="shared" si="15"/>
        <v>Due order</v>
      </c>
      <c r="N340" s="8">
        <f t="shared" ca="1" si="16"/>
        <v>-64</v>
      </c>
      <c r="O340" s="8" t="str">
        <f t="shared" ca="1" si="17"/>
        <v>With in 90 days</v>
      </c>
      <c r="P340" t="str">
        <f>VLOOKUP(C340,[1]Customer_Master!$A:$B,2,0)</f>
        <v>Group 1-Giridhar-Peenya</v>
      </c>
      <c r="Q340" t="str">
        <f>VLOOKUP(D340,[2]Template!$A:$D,3,0)</f>
        <v>EATON</v>
      </c>
      <c r="R340" t="str">
        <f>VLOOKUP(D340,[2]Template!$A:$D,4,0)</f>
        <v>Eaton-Non Moving Stock</v>
      </c>
    </row>
    <row r="341" spans="1:18" ht="13.5" customHeight="1" x14ac:dyDescent="0.25">
      <c r="A341" s="9">
        <v>46091</v>
      </c>
      <c r="B341" s="10" t="s">
        <v>714</v>
      </c>
      <c r="C341" s="11" t="s">
        <v>617</v>
      </c>
      <c r="D341" s="10" t="s">
        <v>715</v>
      </c>
      <c r="E341" s="12" t="s">
        <v>1072</v>
      </c>
      <c r="F341" s="12" t="s">
        <v>716</v>
      </c>
      <c r="G341" s="13">
        <v>50</v>
      </c>
      <c r="H341" s="14">
        <v>50</v>
      </c>
      <c r="I341" s="15">
        <v>976.1</v>
      </c>
      <c r="J341" s="16"/>
      <c r="K341" s="17">
        <v>48805</v>
      </c>
      <c r="L341" s="18">
        <v>46091</v>
      </c>
      <c r="M341" s="6" t="str">
        <f t="shared" si="15"/>
        <v>Due order</v>
      </c>
      <c r="N341" s="8">
        <f t="shared" ca="1" si="16"/>
        <v>-64</v>
      </c>
      <c r="O341" s="8" t="str">
        <f t="shared" ca="1" si="17"/>
        <v>With in 90 days</v>
      </c>
      <c r="P341" t="str">
        <f>VLOOKUP(C341,[1]Customer_Master!$A:$B,2,0)</f>
        <v>Group 1-Giridhar-Peenya</v>
      </c>
      <c r="Q341" t="str">
        <f>VLOOKUP(D341,[2]Template!$A:$D,3,0)</f>
        <v>LAPP</v>
      </c>
      <c r="R341" t="str">
        <f>VLOOKUP(D341,[2]Template!$A:$D,4,0)</f>
        <v>Lapp-Titan</v>
      </c>
    </row>
    <row r="342" spans="1:18" ht="13.5" customHeight="1" x14ac:dyDescent="0.25">
      <c r="A342" s="9">
        <v>46091</v>
      </c>
      <c r="B342" s="10" t="s">
        <v>717</v>
      </c>
      <c r="C342" s="11" t="s">
        <v>646</v>
      </c>
      <c r="D342" s="10" t="s">
        <v>624</v>
      </c>
      <c r="E342" s="12" t="s">
        <v>1072</v>
      </c>
      <c r="F342" s="12" t="s">
        <v>625</v>
      </c>
      <c r="G342" s="13">
        <v>50</v>
      </c>
      <c r="H342" s="14">
        <v>50</v>
      </c>
      <c r="I342" s="15">
        <v>369.81</v>
      </c>
      <c r="J342" s="16"/>
      <c r="K342" s="17">
        <v>18490.5</v>
      </c>
      <c r="L342" s="18">
        <v>46091</v>
      </c>
      <c r="M342" s="6" t="str">
        <f t="shared" si="15"/>
        <v>Due order</v>
      </c>
      <c r="N342" s="8">
        <f t="shared" ca="1" si="16"/>
        <v>-64</v>
      </c>
      <c r="O342" s="8" t="str">
        <f t="shared" ca="1" si="17"/>
        <v>With in 90 days</v>
      </c>
      <c r="P342" t="str">
        <f>VLOOKUP(C342,[1]Customer_Master!$A:$B,2,0)</f>
        <v>Group 1-Giridhar-Peenya</v>
      </c>
      <c r="Q342" t="str">
        <f>VLOOKUP(D342,[2]Template!$A:$D,3,0)</f>
        <v>LAPP</v>
      </c>
      <c r="R342" t="str">
        <f>VLOOKUP(D342,[2]Template!$A:$D,4,0)</f>
        <v>Lapp-Against Customer PO</v>
      </c>
    </row>
    <row r="343" spans="1:18" ht="13.5" customHeight="1" x14ac:dyDescent="0.25">
      <c r="A343" s="9">
        <v>46092</v>
      </c>
      <c r="B343" s="10" t="s">
        <v>720</v>
      </c>
      <c r="C343" s="11" t="s">
        <v>96</v>
      </c>
      <c r="D343" s="10" t="s">
        <v>718</v>
      </c>
      <c r="E343" s="12" t="s">
        <v>1072</v>
      </c>
      <c r="F343" s="12" t="s">
        <v>719</v>
      </c>
      <c r="G343" s="13">
        <v>5140</v>
      </c>
      <c r="H343" s="14">
        <v>500</v>
      </c>
      <c r="I343" s="15">
        <v>260</v>
      </c>
      <c r="J343" s="16"/>
      <c r="K343" s="17">
        <v>130000</v>
      </c>
      <c r="L343" s="18">
        <v>46092</v>
      </c>
      <c r="M343" s="6" t="str">
        <f t="shared" si="15"/>
        <v>Due order</v>
      </c>
      <c r="N343" s="8">
        <f t="shared" ca="1" si="16"/>
        <v>-63</v>
      </c>
      <c r="O343" s="8" t="str">
        <f t="shared" ca="1" si="17"/>
        <v>With in 90 days</v>
      </c>
      <c r="P343" t="str">
        <f>VLOOKUP(C343,[1]Customer_Master!$A:$B,2,0)</f>
        <v>Group - 5 (Ananthapadmanabha)</v>
      </c>
      <c r="Q343" t="str">
        <f>VLOOKUP(D343,[2]Template!$A:$D,3,0)</f>
        <v>LAPP</v>
      </c>
      <c r="R343" t="str">
        <f>VLOOKUP(D343,[2]Template!$A:$D,4,0)</f>
        <v>Lapp-Against Customer PO</v>
      </c>
    </row>
    <row r="344" spans="1:18" ht="13.5" customHeight="1" x14ac:dyDescent="0.25">
      <c r="A344" s="9">
        <v>46092</v>
      </c>
      <c r="B344" s="10" t="s">
        <v>720</v>
      </c>
      <c r="C344" s="11" t="s">
        <v>96</v>
      </c>
      <c r="D344" s="10" t="s">
        <v>570</v>
      </c>
      <c r="E344" s="12" t="s">
        <v>1072</v>
      </c>
      <c r="F344" s="12" t="s">
        <v>571</v>
      </c>
      <c r="G344" s="19">
        <v>100</v>
      </c>
      <c r="H344" s="20">
        <v>100</v>
      </c>
      <c r="I344" s="15">
        <v>171</v>
      </c>
      <c r="J344" s="16"/>
      <c r="K344" s="17">
        <v>17100</v>
      </c>
      <c r="L344" s="18">
        <v>46092</v>
      </c>
      <c r="M344" s="6" t="str">
        <f t="shared" si="15"/>
        <v>Due order</v>
      </c>
      <c r="N344" s="8">
        <f t="shared" ca="1" si="16"/>
        <v>-63</v>
      </c>
      <c r="O344" s="8" t="str">
        <f t="shared" ca="1" si="17"/>
        <v>With in 90 days</v>
      </c>
      <c r="P344" t="str">
        <f>VLOOKUP(C344,[1]Customer_Master!$A:$B,2,0)</f>
        <v>Group - 5 (Ananthapadmanabha)</v>
      </c>
      <c r="Q344" t="str">
        <f>VLOOKUP(D344,[2]Template!$A:$D,3,0)</f>
        <v>LAPP</v>
      </c>
      <c r="R344" t="str">
        <f>VLOOKUP(D344,[2]Template!$A:$D,4,0)</f>
        <v>Lapp-Against Customer PO</v>
      </c>
    </row>
    <row r="345" spans="1:18" ht="13.5" customHeight="1" x14ac:dyDescent="0.25">
      <c r="A345" s="9">
        <v>46092</v>
      </c>
      <c r="B345" s="10" t="s">
        <v>721</v>
      </c>
      <c r="C345" s="11" t="s">
        <v>248</v>
      </c>
      <c r="D345" s="27" t="s">
        <v>724</v>
      </c>
      <c r="E345" s="12" t="s">
        <v>1072</v>
      </c>
      <c r="F345" s="12" t="s">
        <v>725</v>
      </c>
      <c r="G345" s="13">
        <v>39</v>
      </c>
      <c r="H345" s="14">
        <v>39</v>
      </c>
      <c r="I345" s="15">
        <v>1387.81</v>
      </c>
      <c r="J345" s="21">
        <v>47</v>
      </c>
      <c r="K345" s="17">
        <v>28686.03</v>
      </c>
      <c r="L345" s="18">
        <v>46092</v>
      </c>
      <c r="M345" s="6" t="str">
        <f t="shared" si="15"/>
        <v>Due order</v>
      </c>
      <c r="N345" s="8">
        <f t="shared" ca="1" si="16"/>
        <v>-63</v>
      </c>
      <c r="O345" s="8" t="str">
        <f t="shared" ca="1" si="17"/>
        <v>With in 90 days</v>
      </c>
      <c r="P345" t="str">
        <f>VLOOKUP(C345,[1]Customer_Master!$A:$B,2,0)</f>
        <v>Group - 5 (Ananthapadmanabha)</v>
      </c>
      <c r="Q345" t="str">
        <f>VLOOKUP(D345,[2]Template!$A:$D,3,0)</f>
        <v>LAPP</v>
      </c>
      <c r="R345" t="str">
        <f>VLOOKUP(D345,[2]Template!$A:$D,4,0)</f>
        <v>Lapp-Non Moving Stocks</v>
      </c>
    </row>
    <row r="346" spans="1:18" ht="13.5" customHeight="1" x14ac:dyDescent="0.25">
      <c r="A346" s="9">
        <v>46092</v>
      </c>
      <c r="B346" s="10" t="s">
        <v>726</v>
      </c>
      <c r="C346" s="11" t="s">
        <v>727</v>
      </c>
      <c r="D346" s="10" t="s">
        <v>522</v>
      </c>
      <c r="E346" s="12" t="s">
        <v>1072</v>
      </c>
      <c r="F346" s="12" t="s">
        <v>523</v>
      </c>
      <c r="G346" s="13">
        <v>100</v>
      </c>
      <c r="H346" s="14">
        <v>100</v>
      </c>
      <c r="I346" s="15">
        <v>2055.06</v>
      </c>
      <c r="J346" s="16"/>
      <c r="K346" s="17">
        <v>205506</v>
      </c>
      <c r="L346" s="18">
        <v>46092</v>
      </c>
      <c r="M346" s="6" t="str">
        <f t="shared" si="15"/>
        <v>Due order</v>
      </c>
      <c r="N346" s="8">
        <f t="shared" ca="1" si="16"/>
        <v>-63</v>
      </c>
      <c r="O346" s="8" t="str">
        <f t="shared" ca="1" si="17"/>
        <v>With in 90 days</v>
      </c>
      <c r="P346" t="str">
        <f>VLOOKUP(C346,[1]Customer_Master!$A:$B,2,0)</f>
        <v>Group 1-Giridhar-Peenya</v>
      </c>
      <c r="Q346" t="str">
        <f>VLOOKUP(D346,[2]Template!$A:$D,3,0)</f>
        <v>LAPP</v>
      </c>
      <c r="R346" t="str">
        <f>VLOOKUP(D346,[2]Template!$A:$D,4,0)</f>
        <v>Lapp-Against Customer PO</v>
      </c>
    </row>
    <row r="347" spans="1:18" ht="13.5" customHeight="1" x14ac:dyDescent="0.25">
      <c r="A347" s="9">
        <v>46092</v>
      </c>
      <c r="B347" s="10" t="s">
        <v>728</v>
      </c>
      <c r="C347" s="11" t="s">
        <v>279</v>
      </c>
      <c r="D347" s="10" t="s">
        <v>729</v>
      </c>
      <c r="E347" s="12" t="s">
        <v>1072</v>
      </c>
      <c r="F347" s="12" t="s">
        <v>730</v>
      </c>
      <c r="G347" s="22">
        <v>50</v>
      </c>
      <c r="H347" s="23">
        <v>50</v>
      </c>
      <c r="I347" s="15">
        <v>43.87</v>
      </c>
      <c r="J347" s="16"/>
      <c r="K347" s="17">
        <v>2193.5</v>
      </c>
      <c r="L347" s="18">
        <v>46125</v>
      </c>
      <c r="M347" s="6" t="str">
        <f t="shared" si="15"/>
        <v>Due order</v>
      </c>
      <c r="N347" s="8">
        <f t="shared" ca="1" si="16"/>
        <v>-30</v>
      </c>
      <c r="O347" s="8" t="str">
        <f t="shared" ca="1" si="17"/>
        <v>With in 90 days</v>
      </c>
      <c r="P347" t="str">
        <f>VLOOKUP(C347,[1]Customer_Master!$A:$B,2,0)</f>
        <v>Group 1-Giridhar-Peenya</v>
      </c>
      <c r="Q347" t="str">
        <f>VLOOKUP(D347,[2]Template!$A:$D,3,0)</f>
        <v>LAPP</v>
      </c>
      <c r="R347" t="str">
        <f>VLOOKUP(D347,[2]Template!$A:$D,4,0)</f>
        <v>Lapp-Against Customer PO</v>
      </c>
    </row>
    <row r="348" spans="1:18" ht="13.5" customHeight="1" x14ac:dyDescent="0.25">
      <c r="A348" s="9">
        <v>46092</v>
      </c>
      <c r="B348" s="10" t="s">
        <v>731</v>
      </c>
      <c r="C348" s="11" t="s">
        <v>127</v>
      </c>
      <c r="D348" s="27" t="s">
        <v>732</v>
      </c>
      <c r="E348" s="12" t="s">
        <v>1072</v>
      </c>
      <c r="F348" s="26" t="s">
        <v>733</v>
      </c>
      <c r="G348" s="13">
        <v>100</v>
      </c>
      <c r="H348" s="14">
        <v>50</v>
      </c>
      <c r="I348" s="15">
        <v>83.52</v>
      </c>
      <c r="J348" s="21">
        <v>35</v>
      </c>
      <c r="K348" s="17">
        <v>2714.4</v>
      </c>
      <c r="L348" s="18">
        <v>46092</v>
      </c>
      <c r="M348" s="6" t="str">
        <f t="shared" si="15"/>
        <v>Due order</v>
      </c>
      <c r="N348" s="8">
        <f t="shared" ca="1" si="16"/>
        <v>-63</v>
      </c>
      <c r="O348" s="8" t="str">
        <f t="shared" ca="1" si="17"/>
        <v>With in 90 days</v>
      </c>
      <c r="P348" t="str">
        <f>VLOOKUP(C348,[1]Customer_Master!$A:$B,2,0)</f>
        <v>Group 1-Giridhar-Peenya</v>
      </c>
      <c r="Q348" t="str">
        <f>VLOOKUP(D348,[2]Template!$A:$D,3,0)</f>
        <v>LAPP</v>
      </c>
      <c r="R348" t="str">
        <f>VLOOKUP(D348,[2]Template!$A:$D,4,0)</f>
        <v>Lapp-Non Moving Stocks</v>
      </c>
    </row>
    <row r="349" spans="1:18" ht="13.5" customHeight="1" x14ac:dyDescent="0.25">
      <c r="A349" s="9">
        <v>46092</v>
      </c>
      <c r="B349" s="10" t="s">
        <v>731</v>
      </c>
      <c r="C349" s="11" t="s">
        <v>127</v>
      </c>
      <c r="D349" s="10" t="s">
        <v>481</v>
      </c>
      <c r="E349" s="12" t="s">
        <v>1072</v>
      </c>
      <c r="F349" s="12" t="s">
        <v>482</v>
      </c>
      <c r="G349" s="22">
        <v>100</v>
      </c>
      <c r="H349" s="23">
        <v>100</v>
      </c>
      <c r="I349" s="15">
        <v>16.57</v>
      </c>
      <c r="J349" s="21">
        <v>35</v>
      </c>
      <c r="K349" s="17">
        <v>1077.05</v>
      </c>
      <c r="L349" s="18">
        <v>46092</v>
      </c>
      <c r="M349" s="6" t="str">
        <f t="shared" si="15"/>
        <v>Due order</v>
      </c>
      <c r="N349" s="8">
        <f t="shared" ca="1" si="16"/>
        <v>-63</v>
      </c>
      <c r="O349" s="8" t="str">
        <f t="shared" ca="1" si="17"/>
        <v>With in 90 days</v>
      </c>
      <c r="P349" t="str">
        <f>VLOOKUP(C349,[1]Customer_Master!$A:$B,2,0)</f>
        <v>Group 1-Giridhar-Peenya</v>
      </c>
      <c r="Q349" t="str">
        <f>VLOOKUP(D349,[2]Template!$A:$D,3,0)</f>
        <v>LAPP</v>
      </c>
      <c r="R349" t="str">
        <f>VLOOKUP(D349,[2]Template!$A:$D,4,0)</f>
        <v>Lapp-Non Moving Stocks</v>
      </c>
    </row>
    <row r="350" spans="1:18" ht="13.5" customHeight="1" x14ac:dyDescent="0.25">
      <c r="A350" s="9">
        <v>46093</v>
      </c>
      <c r="B350" s="10" t="s">
        <v>768</v>
      </c>
      <c r="C350" s="11" t="s">
        <v>13</v>
      </c>
      <c r="D350" s="10" t="s">
        <v>313</v>
      </c>
      <c r="E350" s="26" t="s">
        <v>64</v>
      </c>
      <c r="F350" s="12" t="s">
        <v>65</v>
      </c>
      <c r="G350" s="19">
        <v>50</v>
      </c>
      <c r="H350" s="20">
        <v>27</v>
      </c>
      <c r="I350" s="15">
        <v>5555</v>
      </c>
      <c r="J350" s="16"/>
      <c r="K350" s="17">
        <v>149985</v>
      </c>
      <c r="L350" s="18">
        <v>46231</v>
      </c>
      <c r="M350" s="6" t="str">
        <f t="shared" si="15"/>
        <v>Schedule order</v>
      </c>
      <c r="N350" s="8">
        <f t="shared" ca="1" si="16"/>
        <v>76</v>
      </c>
      <c r="O350" s="8" t="str">
        <f t="shared" ca="1" si="17"/>
        <v>Lattest or shedule order</v>
      </c>
      <c r="P350" t="str">
        <f>VLOOKUP(C350,[1]Customer_Master!$A:$B,2,0)</f>
        <v>Group-2 (Veeresh- Bomsdr+Hosur)</v>
      </c>
      <c r="Q350" t="str">
        <f>VLOOKUP(D350,[2]Template!$A:$D,3,0)</f>
        <v>EATON</v>
      </c>
      <c r="R350" t="str">
        <f>VLOOKUP(D350,[2]Template!$A:$D,4,0)</f>
        <v>Eaton-Faiveley-Non E70</v>
      </c>
    </row>
    <row r="351" spans="1:18" ht="13.5" customHeight="1" x14ac:dyDescent="0.25">
      <c r="A351" s="9">
        <v>46093</v>
      </c>
      <c r="B351" s="10" t="s">
        <v>769</v>
      </c>
      <c r="C351" s="11" t="s">
        <v>13</v>
      </c>
      <c r="D351" s="27" t="s">
        <v>299</v>
      </c>
      <c r="E351" s="26" t="s">
        <v>20</v>
      </c>
      <c r="F351" s="12" t="s">
        <v>21</v>
      </c>
      <c r="G351" s="19">
        <v>50</v>
      </c>
      <c r="H351" s="20">
        <v>50</v>
      </c>
      <c r="I351" s="15">
        <v>9023</v>
      </c>
      <c r="J351" s="16"/>
      <c r="K351" s="17">
        <v>451150</v>
      </c>
      <c r="L351" s="18">
        <v>46231</v>
      </c>
      <c r="M351" s="6" t="str">
        <f t="shared" si="15"/>
        <v>Schedule order</v>
      </c>
      <c r="N351" s="8">
        <f t="shared" ca="1" si="16"/>
        <v>76</v>
      </c>
      <c r="O351" s="8" t="str">
        <f t="shared" ca="1" si="17"/>
        <v>Lattest or shedule order</v>
      </c>
      <c r="P351" t="str">
        <f>VLOOKUP(C351,[1]Customer_Master!$A:$B,2,0)</f>
        <v>Group-2 (Veeresh- Bomsdr+Hosur)</v>
      </c>
      <c r="Q351" t="str">
        <f>VLOOKUP(D351,[2]Template!$A:$D,3,0)</f>
        <v>EATON</v>
      </c>
      <c r="R351" t="str">
        <f>VLOOKUP(D351,[2]Template!$A:$D,4,0)</f>
        <v>Eaton-Faiveley-Non E70</v>
      </c>
    </row>
    <row r="352" spans="1:18" ht="13.5" customHeight="1" x14ac:dyDescent="0.25">
      <c r="A352" s="9">
        <v>46093</v>
      </c>
      <c r="B352" s="10" t="s">
        <v>734</v>
      </c>
      <c r="C352" s="11" t="s">
        <v>94</v>
      </c>
      <c r="D352" s="10" t="s">
        <v>735</v>
      </c>
      <c r="E352" s="12" t="s">
        <v>1072</v>
      </c>
      <c r="F352" s="12" t="s">
        <v>736</v>
      </c>
      <c r="G352" s="22">
        <v>500</v>
      </c>
      <c r="H352" s="23">
        <v>350</v>
      </c>
      <c r="I352" s="15">
        <v>9.9600000000000009</v>
      </c>
      <c r="J352" s="16"/>
      <c r="K352" s="17">
        <v>3486</v>
      </c>
      <c r="L352" s="18">
        <v>46093</v>
      </c>
      <c r="M352" s="6" t="str">
        <f t="shared" si="15"/>
        <v>Due order</v>
      </c>
      <c r="N352" s="8">
        <f t="shared" ca="1" si="16"/>
        <v>-62</v>
      </c>
      <c r="O352" s="8" t="str">
        <f t="shared" ca="1" si="17"/>
        <v>With in 90 days</v>
      </c>
      <c r="P352" t="str">
        <f>VLOOKUP(C352,[1]Customer_Master!$A:$B,2,0)</f>
        <v>Group 1-Giridhar-Peenya</v>
      </c>
      <c r="Q352" t="str">
        <f>VLOOKUP(D352,[2]Template!$A:$D,3,0)</f>
        <v>LAPP</v>
      </c>
      <c r="R352" t="str">
        <f>VLOOKUP(D352,[2]Template!$A:$D,4,0)</f>
        <v>Lapp-Planned Stock General</v>
      </c>
    </row>
    <row r="353" spans="1:18" ht="13.5" customHeight="1" x14ac:dyDescent="0.25">
      <c r="A353" s="9">
        <v>46093</v>
      </c>
      <c r="B353" s="10" t="s">
        <v>770</v>
      </c>
      <c r="C353" s="11" t="s">
        <v>194</v>
      </c>
      <c r="D353" s="10" t="s">
        <v>426</v>
      </c>
      <c r="E353" s="12" t="s">
        <v>1072</v>
      </c>
      <c r="F353" s="12" t="s">
        <v>251</v>
      </c>
      <c r="G353" s="19">
        <v>30</v>
      </c>
      <c r="H353" s="20">
        <v>13</v>
      </c>
      <c r="I353" s="15">
        <v>350</v>
      </c>
      <c r="J353" s="16"/>
      <c r="K353" s="17">
        <v>4550</v>
      </c>
      <c r="L353" s="18">
        <v>46153</v>
      </c>
      <c r="M353" s="6" t="str">
        <f t="shared" si="15"/>
        <v>Schedule order</v>
      </c>
      <c r="N353" s="8">
        <f t="shared" ca="1" si="16"/>
        <v>-2</v>
      </c>
      <c r="O353" s="8" t="str">
        <f t="shared" ca="1" si="17"/>
        <v>With in 90 days</v>
      </c>
      <c r="P353" t="str">
        <f>VLOOKUP(C353,[1]Customer_Master!$A:$B,2,0)</f>
        <v>Group 1-Giridhar-Peenya</v>
      </c>
      <c r="Q353" t="str">
        <f>VLOOKUP(D353,[2]Template!$A:$D,3,0)</f>
        <v>EATON</v>
      </c>
      <c r="R353" t="str">
        <f>VLOOKUP(D353,[2]Template!$A:$D,4,0)</f>
        <v>Eaton-Non Moving Stock</v>
      </c>
    </row>
    <row r="354" spans="1:18" ht="13.5" customHeight="1" x14ac:dyDescent="0.25">
      <c r="A354" s="9">
        <v>46093</v>
      </c>
      <c r="B354" s="10" t="s">
        <v>770</v>
      </c>
      <c r="C354" s="11" t="s">
        <v>194</v>
      </c>
      <c r="D354" s="10" t="s">
        <v>771</v>
      </c>
      <c r="E354" s="12" t="s">
        <v>1072</v>
      </c>
      <c r="F354" s="12" t="s">
        <v>772</v>
      </c>
      <c r="G354" s="19">
        <v>30</v>
      </c>
      <c r="H354" s="20">
        <v>10</v>
      </c>
      <c r="I354" s="15">
        <v>141.91</v>
      </c>
      <c r="J354" s="16"/>
      <c r="K354" s="17">
        <v>1419.1</v>
      </c>
      <c r="L354" s="18">
        <v>46153</v>
      </c>
      <c r="M354" s="6" t="str">
        <f t="shared" si="15"/>
        <v>Schedule order</v>
      </c>
      <c r="N354" s="8">
        <f t="shared" ca="1" si="16"/>
        <v>-2</v>
      </c>
      <c r="O354" s="8" t="str">
        <f t="shared" ca="1" si="17"/>
        <v>With in 90 days</v>
      </c>
      <c r="P354" t="str">
        <f>VLOOKUP(C354,[1]Customer_Master!$A:$B,2,0)</f>
        <v>Group 1-Giridhar-Peenya</v>
      </c>
      <c r="Q354" t="str">
        <f>VLOOKUP(D354,[2]Template!$A:$D,3,0)</f>
        <v>EATON</v>
      </c>
      <c r="R354" t="str">
        <f>VLOOKUP(D354,[2]Template!$A:$D,4,0)</f>
        <v>Eaton-Planned Stock Specific Customer</v>
      </c>
    </row>
    <row r="355" spans="1:18" ht="13.5" customHeight="1" x14ac:dyDescent="0.25">
      <c r="A355" s="9">
        <v>46093</v>
      </c>
      <c r="B355" s="10" t="s">
        <v>770</v>
      </c>
      <c r="C355" s="11" t="s">
        <v>194</v>
      </c>
      <c r="D355" s="10" t="s">
        <v>773</v>
      </c>
      <c r="E355" s="12" t="s">
        <v>1072</v>
      </c>
      <c r="F355" s="12" t="s">
        <v>774</v>
      </c>
      <c r="G355" s="19">
        <v>20</v>
      </c>
      <c r="H355" s="20">
        <v>5</v>
      </c>
      <c r="I355" s="15">
        <v>370</v>
      </c>
      <c r="J355" s="16"/>
      <c r="K355" s="17">
        <v>1850</v>
      </c>
      <c r="L355" s="18">
        <v>46105</v>
      </c>
      <c r="M355" s="6" t="str">
        <f t="shared" si="15"/>
        <v>Due order</v>
      </c>
      <c r="N355" s="8">
        <f t="shared" ca="1" si="16"/>
        <v>-50</v>
      </c>
      <c r="O355" s="8" t="str">
        <f t="shared" ca="1" si="17"/>
        <v>With in 90 days</v>
      </c>
      <c r="P355" t="str">
        <f>VLOOKUP(C355,[1]Customer_Master!$A:$B,2,0)</f>
        <v>Group 1-Giridhar-Peenya</v>
      </c>
      <c r="Q355" t="str">
        <f>VLOOKUP(D355,[2]Template!$A:$D,3,0)</f>
        <v>EATON</v>
      </c>
      <c r="R355" t="str">
        <f>VLOOKUP(D355,[2]Template!$A:$D,4,0)</f>
        <v>Eaton-Planned Stock Specific Customer</v>
      </c>
    </row>
    <row r="356" spans="1:18" ht="13.5" customHeight="1" x14ac:dyDescent="0.25">
      <c r="A356" s="9">
        <v>46093</v>
      </c>
      <c r="B356" s="10" t="s">
        <v>737</v>
      </c>
      <c r="C356" s="11" t="s">
        <v>738</v>
      </c>
      <c r="D356" s="10" t="s">
        <v>419</v>
      </c>
      <c r="E356" s="12" t="s">
        <v>1072</v>
      </c>
      <c r="F356" s="12" t="s">
        <v>207</v>
      </c>
      <c r="G356" s="22">
        <v>500</v>
      </c>
      <c r="H356" s="23">
        <v>500</v>
      </c>
      <c r="I356" s="15">
        <v>34.01</v>
      </c>
      <c r="J356" s="16"/>
      <c r="K356" s="17">
        <v>17005</v>
      </c>
      <c r="L356" s="18">
        <v>46093</v>
      </c>
      <c r="M356" s="6" t="str">
        <f t="shared" si="15"/>
        <v>Due order</v>
      </c>
      <c r="N356" s="8">
        <f t="shared" ca="1" si="16"/>
        <v>-62</v>
      </c>
      <c r="O356" s="8" t="str">
        <f t="shared" ca="1" si="17"/>
        <v>With in 90 days</v>
      </c>
      <c r="P356" t="str">
        <f>VLOOKUP(C356,[1]Customer_Master!$A:$B,2,0)</f>
        <v>Group 1-Giridhar-Peenya</v>
      </c>
      <c r="Q356" t="str">
        <f>VLOOKUP(D356,[2]Template!$A:$D,3,0)</f>
        <v>LAPP</v>
      </c>
      <c r="R356" t="str">
        <f>VLOOKUP(D356,[2]Template!$A:$D,4,0)</f>
        <v>Lapp-Ace Group</v>
      </c>
    </row>
    <row r="357" spans="1:18" ht="13.5" customHeight="1" x14ac:dyDescent="0.25">
      <c r="A357" s="9">
        <v>46097</v>
      </c>
      <c r="B357" s="10" t="s">
        <v>743</v>
      </c>
      <c r="C357" s="11" t="s">
        <v>744</v>
      </c>
      <c r="D357" s="10" t="s">
        <v>745</v>
      </c>
      <c r="E357" s="12" t="s">
        <v>1072</v>
      </c>
      <c r="F357" s="12" t="s">
        <v>746</v>
      </c>
      <c r="G357" s="13">
        <v>30</v>
      </c>
      <c r="H357" s="14">
        <v>30</v>
      </c>
      <c r="I357" s="15">
        <v>745.24</v>
      </c>
      <c r="J357" s="16"/>
      <c r="K357" s="17">
        <v>22357.200000000001</v>
      </c>
      <c r="L357" s="18">
        <v>46097</v>
      </c>
      <c r="M357" s="6" t="str">
        <f t="shared" si="15"/>
        <v>Due order</v>
      </c>
      <c r="N357" s="8">
        <f t="shared" ca="1" si="16"/>
        <v>-58</v>
      </c>
      <c r="O357" s="8" t="str">
        <f t="shared" ca="1" si="17"/>
        <v>With in 90 days</v>
      </c>
      <c r="P357" t="str">
        <f>VLOOKUP(C357,[1]Customer_Master!$A:$B,2,0)</f>
        <v>Group 1-Giridhar-Peenya</v>
      </c>
      <c r="Q357" t="str">
        <f>VLOOKUP(D357,[2]Template!$A:$D,3,0)</f>
        <v>LAPP</v>
      </c>
      <c r="R357" t="str">
        <f>VLOOKUP(D357,[2]Template!$A:$D,4,0)</f>
        <v>Lapp-Non Moving Stocks</v>
      </c>
    </row>
    <row r="358" spans="1:18" ht="13.5" customHeight="1" x14ac:dyDescent="0.25">
      <c r="A358" s="9">
        <v>46097</v>
      </c>
      <c r="B358" s="10" t="s">
        <v>775</v>
      </c>
      <c r="C358" s="11" t="s">
        <v>76</v>
      </c>
      <c r="D358" s="10" t="s">
        <v>349</v>
      </c>
      <c r="E358" s="12" t="s">
        <v>1072</v>
      </c>
      <c r="F358" s="12" t="s">
        <v>88</v>
      </c>
      <c r="G358" s="19">
        <v>22</v>
      </c>
      <c r="H358" s="20">
        <v>22</v>
      </c>
      <c r="I358" s="15">
        <v>284</v>
      </c>
      <c r="J358" s="16"/>
      <c r="K358" s="17">
        <v>6248</v>
      </c>
      <c r="L358" s="18">
        <v>46252</v>
      </c>
      <c r="M358" s="6" t="str">
        <f t="shared" si="15"/>
        <v>Schedule order</v>
      </c>
      <c r="N358" s="8">
        <f t="shared" ca="1" si="16"/>
        <v>97</v>
      </c>
      <c r="O358" s="8" t="str">
        <f t="shared" ca="1" si="17"/>
        <v>Lattest or shedule order</v>
      </c>
      <c r="P358" t="str">
        <f>VLOOKUP(C358,[1]Customer_Master!$A:$B,2,0)</f>
        <v>Group 1-Giridhar-Peenya</v>
      </c>
      <c r="Q358" t="str">
        <f>VLOOKUP(D358,[2]Template!$A:$D,3,0)</f>
        <v>EATON</v>
      </c>
      <c r="R358" t="str">
        <f>VLOOKUP(D358,[2]Template!$A:$D,4,0)</f>
        <v>Eaton-Biesse</v>
      </c>
    </row>
    <row r="359" spans="1:18" ht="13.5" customHeight="1" x14ac:dyDescent="0.25">
      <c r="A359" s="9">
        <v>46097</v>
      </c>
      <c r="B359" s="10" t="s">
        <v>775</v>
      </c>
      <c r="C359" s="11" t="s">
        <v>76</v>
      </c>
      <c r="D359" s="10" t="s">
        <v>325</v>
      </c>
      <c r="E359" s="12" t="s">
        <v>1072</v>
      </c>
      <c r="F359" s="12" t="s">
        <v>77</v>
      </c>
      <c r="G359" s="19">
        <v>113</v>
      </c>
      <c r="H359" s="20">
        <v>113</v>
      </c>
      <c r="I359" s="15">
        <v>241</v>
      </c>
      <c r="J359" s="16"/>
      <c r="K359" s="17">
        <v>27233</v>
      </c>
      <c r="L359" s="18">
        <v>46241</v>
      </c>
      <c r="M359" s="6" t="str">
        <f t="shared" si="15"/>
        <v>Schedule order</v>
      </c>
      <c r="N359" s="8">
        <f t="shared" ca="1" si="16"/>
        <v>86</v>
      </c>
      <c r="O359" s="8" t="str">
        <f t="shared" ca="1" si="17"/>
        <v>Lattest or shedule order</v>
      </c>
      <c r="P359" t="str">
        <f>VLOOKUP(C359,[1]Customer_Master!$A:$B,2,0)</f>
        <v>Group 1-Giridhar-Peenya</v>
      </c>
      <c r="Q359" t="str">
        <f>VLOOKUP(D359,[2]Template!$A:$D,3,0)</f>
        <v>EATON</v>
      </c>
      <c r="R359" t="str">
        <f>VLOOKUP(D359,[2]Template!$A:$D,4,0)</f>
        <v>Eaton-Biesse</v>
      </c>
    </row>
    <row r="360" spans="1:18" ht="13.5" customHeight="1" x14ac:dyDescent="0.25">
      <c r="A360" s="9">
        <v>46097</v>
      </c>
      <c r="B360" s="10" t="s">
        <v>776</v>
      </c>
      <c r="C360" s="11" t="s">
        <v>76</v>
      </c>
      <c r="D360" s="10" t="s">
        <v>343</v>
      </c>
      <c r="E360" s="12" t="s">
        <v>1072</v>
      </c>
      <c r="F360" s="12" t="s">
        <v>111</v>
      </c>
      <c r="G360" s="19">
        <v>100</v>
      </c>
      <c r="H360" s="20">
        <v>100</v>
      </c>
      <c r="I360" s="15">
        <v>48</v>
      </c>
      <c r="J360" s="16"/>
      <c r="K360" s="17">
        <v>4800</v>
      </c>
      <c r="L360" s="18">
        <v>46253</v>
      </c>
      <c r="M360" s="6" t="str">
        <f t="shared" si="15"/>
        <v>Schedule order</v>
      </c>
      <c r="N360" s="8">
        <f t="shared" ca="1" si="16"/>
        <v>98</v>
      </c>
      <c r="O360" s="8" t="str">
        <f t="shared" ca="1" si="17"/>
        <v>Lattest or shedule order</v>
      </c>
      <c r="P360" t="str">
        <f>VLOOKUP(C360,[1]Customer_Master!$A:$B,2,0)</f>
        <v>Group 1-Giridhar-Peenya</v>
      </c>
      <c r="Q360" t="str">
        <f>VLOOKUP(D360,[2]Template!$A:$D,3,0)</f>
        <v>EATON</v>
      </c>
      <c r="R360" t="str">
        <f>VLOOKUP(D360,[2]Template!$A:$D,4,0)</f>
        <v>Eaton-Biesse</v>
      </c>
    </row>
    <row r="361" spans="1:18" ht="13.5" customHeight="1" x14ac:dyDescent="0.25">
      <c r="A361" s="9">
        <v>46097</v>
      </c>
      <c r="B361" s="10" t="s">
        <v>776</v>
      </c>
      <c r="C361" s="11" t="s">
        <v>76</v>
      </c>
      <c r="D361" s="10" t="s">
        <v>327</v>
      </c>
      <c r="E361" s="12" t="s">
        <v>1072</v>
      </c>
      <c r="F361" s="12" t="s">
        <v>81</v>
      </c>
      <c r="G361" s="19">
        <v>37</v>
      </c>
      <c r="H361" s="20">
        <v>37</v>
      </c>
      <c r="I361" s="15">
        <v>1811</v>
      </c>
      <c r="J361" s="16"/>
      <c r="K361" s="17">
        <v>67007</v>
      </c>
      <c r="L361" s="18">
        <v>46245</v>
      </c>
      <c r="M361" s="6" t="str">
        <f t="shared" si="15"/>
        <v>Schedule order</v>
      </c>
      <c r="N361" s="8">
        <f t="shared" ca="1" si="16"/>
        <v>90</v>
      </c>
      <c r="O361" s="8" t="str">
        <f t="shared" ca="1" si="17"/>
        <v>Lattest or shedule order</v>
      </c>
      <c r="P361" t="str">
        <f>VLOOKUP(C361,[1]Customer_Master!$A:$B,2,0)</f>
        <v>Group 1-Giridhar-Peenya</v>
      </c>
      <c r="Q361" t="str">
        <f>VLOOKUP(D361,[2]Template!$A:$D,3,0)</f>
        <v>EATON</v>
      </c>
      <c r="R361" t="str">
        <f>VLOOKUP(D361,[2]Template!$A:$D,4,0)</f>
        <v>Eaton-Biesse</v>
      </c>
    </row>
    <row r="362" spans="1:18" ht="13.5" customHeight="1" x14ac:dyDescent="0.25">
      <c r="A362" s="9">
        <v>46097</v>
      </c>
      <c r="B362" s="10" t="s">
        <v>776</v>
      </c>
      <c r="C362" s="11" t="s">
        <v>76</v>
      </c>
      <c r="D362" s="10" t="s">
        <v>329</v>
      </c>
      <c r="E362" s="12" t="s">
        <v>1072</v>
      </c>
      <c r="F362" s="12" t="s">
        <v>109</v>
      </c>
      <c r="G362" s="19">
        <v>23</v>
      </c>
      <c r="H362" s="20">
        <v>23</v>
      </c>
      <c r="I362" s="15">
        <v>372</v>
      </c>
      <c r="J362" s="16"/>
      <c r="K362" s="17">
        <v>8556</v>
      </c>
      <c r="L362" s="18">
        <v>46241</v>
      </c>
      <c r="M362" s="6" t="str">
        <f t="shared" si="15"/>
        <v>Schedule order</v>
      </c>
      <c r="N362" s="8">
        <f t="shared" ca="1" si="16"/>
        <v>86</v>
      </c>
      <c r="O362" s="8" t="str">
        <f t="shared" ca="1" si="17"/>
        <v>Lattest or shedule order</v>
      </c>
      <c r="P362" t="str">
        <f>VLOOKUP(C362,[1]Customer_Master!$A:$B,2,0)</f>
        <v>Group 1-Giridhar-Peenya</v>
      </c>
      <c r="Q362" t="str">
        <f>VLOOKUP(D362,[2]Template!$A:$D,3,0)</f>
        <v>EATON</v>
      </c>
      <c r="R362" t="str">
        <f>VLOOKUP(D362,[2]Template!$A:$D,4,0)</f>
        <v>Eaton-Biesse</v>
      </c>
    </row>
    <row r="363" spans="1:18" ht="13.5" customHeight="1" x14ac:dyDescent="0.25">
      <c r="A363" s="9">
        <v>46097</v>
      </c>
      <c r="B363" s="10" t="s">
        <v>776</v>
      </c>
      <c r="C363" s="11" t="s">
        <v>76</v>
      </c>
      <c r="D363" s="10" t="s">
        <v>330</v>
      </c>
      <c r="E363" s="12" t="s">
        <v>1072</v>
      </c>
      <c r="F363" s="12" t="s">
        <v>110</v>
      </c>
      <c r="G363" s="19">
        <v>100</v>
      </c>
      <c r="H363" s="20">
        <v>100</v>
      </c>
      <c r="I363" s="15">
        <v>48</v>
      </c>
      <c r="J363" s="16"/>
      <c r="K363" s="17">
        <v>4800</v>
      </c>
      <c r="L363" s="18">
        <v>46251</v>
      </c>
      <c r="M363" s="6" t="str">
        <f t="shared" si="15"/>
        <v>Schedule order</v>
      </c>
      <c r="N363" s="8">
        <f t="shared" ca="1" si="16"/>
        <v>96</v>
      </c>
      <c r="O363" s="8" t="str">
        <f t="shared" ca="1" si="17"/>
        <v>Lattest or shedule order</v>
      </c>
      <c r="P363" t="str">
        <f>VLOOKUP(C363,[1]Customer_Master!$A:$B,2,0)</f>
        <v>Group 1-Giridhar-Peenya</v>
      </c>
      <c r="Q363" t="str">
        <f>VLOOKUP(D363,[2]Template!$A:$D,3,0)</f>
        <v>EATON</v>
      </c>
      <c r="R363" t="str">
        <f>VLOOKUP(D363,[2]Template!$A:$D,4,0)</f>
        <v>Eaton-Biesse</v>
      </c>
    </row>
    <row r="364" spans="1:18" ht="13.5" customHeight="1" x14ac:dyDescent="0.25">
      <c r="A364" s="9">
        <v>46097</v>
      </c>
      <c r="B364" s="10" t="s">
        <v>777</v>
      </c>
      <c r="C364" s="11" t="s">
        <v>778</v>
      </c>
      <c r="D364" s="10" t="s">
        <v>779</v>
      </c>
      <c r="E364" s="12" t="s">
        <v>1072</v>
      </c>
      <c r="F364" s="12" t="s">
        <v>780</v>
      </c>
      <c r="G364" s="13">
        <v>100</v>
      </c>
      <c r="H364" s="14">
        <v>100</v>
      </c>
      <c r="I364" s="15">
        <v>15.32</v>
      </c>
      <c r="J364" s="16"/>
      <c r="K364" s="17">
        <v>1532</v>
      </c>
      <c r="L364" s="18">
        <v>46122</v>
      </c>
      <c r="M364" s="6" t="str">
        <f t="shared" si="15"/>
        <v>Due order</v>
      </c>
      <c r="N364" s="8">
        <f t="shared" ca="1" si="16"/>
        <v>-33</v>
      </c>
      <c r="O364" s="8" t="str">
        <f t="shared" ca="1" si="17"/>
        <v>With in 90 days</v>
      </c>
      <c r="P364" t="str">
        <f>VLOOKUP(C364,[1]Customer_Master!$A:$B,2,0)</f>
        <v>Group-2 (Veeresh- Bomsdr+Hosur)</v>
      </c>
      <c r="Q364" t="str">
        <f>VLOOKUP(D364,[2]Template!$A:$D,3,0)</f>
        <v>LAPP</v>
      </c>
      <c r="R364" t="str">
        <f>VLOOKUP(D364,[2]Template!$A:$D,4,0)</f>
        <v>Lapp-Planned Stock General</v>
      </c>
    </row>
    <row r="365" spans="1:18" ht="13.5" customHeight="1" x14ac:dyDescent="0.25">
      <c r="A365" s="9">
        <v>46097</v>
      </c>
      <c r="B365" s="10" t="s">
        <v>749</v>
      </c>
      <c r="C365" s="28" t="s">
        <v>750</v>
      </c>
      <c r="D365" s="10" t="s">
        <v>751</v>
      </c>
      <c r="E365" s="12" t="s">
        <v>1072</v>
      </c>
      <c r="F365" s="12" t="s">
        <v>752</v>
      </c>
      <c r="G365" s="19">
        <v>50</v>
      </c>
      <c r="H365" s="20">
        <v>50</v>
      </c>
      <c r="I365" s="15">
        <v>224.67</v>
      </c>
      <c r="J365" s="16"/>
      <c r="K365" s="17">
        <v>11233.5</v>
      </c>
      <c r="L365" s="18">
        <v>46099</v>
      </c>
      <c r="M365" s="6" t="str">
        <f t="shared" si="15"/>
        <v>Due order</v>
      </c>
      <c r="N365" s="8">
        <f t="shared" ca="1" si="16"/>
        <v>-56</v>
      </c>
      <c r="O365" s="8" t="str">
        <f t="shared" ca="1" si="17"/>
        <v>With in 90 days</v>
      </c>
      <c r="P365" t="str">
        <f>VLOOKUP(C365,[1]Customer_Master!$A:$B,2,0)</f>
        <v>Group - 5 (Ananthapadmanabha)</v>
      </c>
      <c r="Q365" t="str">
        <f>VLOOKUP(D365,[2]Template!$A:$D,3,0)</f>
        <v>LAPP</v>
      </c>
      <c r="R365" t="str">
        <f>VLOOKUP(D365,[2]Template!$A:$D,4,0)</f>
        <v>Lapp-Against Customer PO</v>
      </c>
    </row>
    <row r="366" spans="1:18" ht="13.5" customHeight="1" x14ac:dyDescent="0.25">
      <c r="A366" s="9">
        <v>46097</v>
      </c>
      <c r="B366" s="10" t="s">
        <v>753</v>
      </c>
      <c r="C366" s="11" t="s">
        <v>139</v>
      </c>
      <c r="D366" s="10" t="s">
        <v>384</v>
      </c>
      <c r="E366" s="12" t="s">
        <v>1072</v>
      </c>
      <c r="F366" s="12" t="s">
        <v>172</v>
      </c>
      <c r="G366" s="13">
        <v>450</v>
      </c>
      <c r="H366" s="14">
        <v>450</v>
      </c>
      <c r="I366" s="15">
        <v>145.44999999999999</v>
      </c>
      <c r="J366" s="16"/>
      <c r="K366" s="17">
        <v>65452.5</v>
      </c>
      <c r="L366" s="18">
        <v>46097</v>
      </c>
      <c r="M366" s="6" t="str">
        <f t="shared" si="15"/>
        <v>Due order</v>
      </c>
      <c r="N366" s="8">
        <f t="shared" ca="1" si="16"/>
        <v>-58</v>
      </c>
      <c r="O366" s="8" t="str">
        <f t="shared" ca="1" si="17"/>
        <v>With in 90 days</v>
      </c>
      <c r="P366" t="str">
        <f>VLOOKUP(C366,[1]Customer_Master!$A:$B,2,0)</f>
        <v>Group 1-Giridhar-Peenya</v>
      </c>
      <c r="Q366" t="str">
        <f>VLOOKUP(D366,[2]Template!$A:$D,3,0)</f>
        <v>LAPP</v>
      </c>
      <c r="R366" t="str">
        <f>VLOOKUP(D366,[2]Template!$A:$D,4,0)</f>
        <v>Lapp-Against Customer PO</v>
      </c>
    </row>
    <row r="367" spans="1:18" ht="13.5" customHeight="1" x14ac:dyDescent="0.25">
      <c r="A367" s="9">
        <v>46097</v>
      </c>
      <c r="B367" s="10" t="s">
        <v>753</v>
      </c>
      <c r="C367" s="11" t="s">
        <v>139</v>
      </c>
      <c r="D367" s="10" t="s">
        <v>370</v>
      </c>
      <c r="E367" s="12" t="s">
        <v>1072</v>
      </c>
      <c r="F367" s="12" t="s">
        <v>158</v>
      </c>
      <c r="G367" s="13">
        <v>2500</v>
      </c>
      <c r="H367" s="14">
        <v>2500</v>
      </c>
      <c r="I367" s="15">
        <v>122.33</v>
      </c>
      <c r="J367" s="16"/>
      <c r="K367" s="17">
        <v>305825</v>
      </c>
      <c r="L367" s="18">
        <v>46097</v>
      </c>
      <c r="M367" s="6" t="str">
        <f t="shared" si="15"/>
        <v>Due order</v>
      </c>
      <c r="N367" s="8">
        <f t="shared" ca="1" si="16"/>
        <v>-58</v>
      </c>
      <c r="O367" s="8" t="str">
        <f t="shared" ca="1" si="17"/>
        <v>With in 90 days</v>
      </c>
      <c r="P367" t="str">
        <f>VLOOKUP(C367,[1]Customer_Master!$A:$B,2,0)</f>
        <v>Group 1-Giridhar-Peenya</v>
      </c>
      <c r="Q367" t="str">
        <f>VLOOKUP(D367,[2]Template!$A:$D,3,0)</f>
        <v>LAPP</v>
      </c>
      <c r="R367" t="str">
        <f>VLOOKUP(D367,[2]Template!$A:$D,4,0)</f>
        <v>Lapp-Against Customer PO</v>
      </c>
    </row>
    <row r="368" spans="1:18" ht="13.5" customHeight="1" x14ac:dyDescent="0.25">
      <c r="A368" s="9">
        <v>46097</v>
      </c>
      <c r="B368" s="10" t="s">
        <v>753</v>
      </c>
      <c r="C368" s="11" t="s">
        <v>139</v>
      </c>
      <c r="D368" s="10" t="s">
        <v>801</v>
      </c>
      <c r="E368" s="12" t="s">
        <v>1072</v>
      </c>
      <c r="F368" s="12" t="s">
        <v>802</v>
      </c>
      <c r="G368" s="13">
        <v>300</v>
      </c>
      <c r="H368" s="14">
        <v>300</v>
      </c>
      <c r="I368" s="15">
        <v>808.1</v>
      </c>
      <c r="J368" s="16"/>
      <c r="K368" s="17">
        <v>242430</v>
      </c>
      <c r="L368" s="18">
        <v>46172</v>
      </c>
      <c r="M368" s="6" t="str">
        <f t="shared" si="15"/>
        <v>Schedule order</v>
      </c>
      <c r="N368" s="8">
        <f t="shared" ca="1" si="16"/>
        <v>17</v>
      </c>
      <c r="O368" s="8" t="str">
        <f t="shared" ca="1" si="17"/>
        <v>Lattest or shedule order</v>
      </c>
      <c r="P368" t="str">
        <f>VLOOKUP(C368,[1]Customer_Master!$A:$B,2,0)</f>
        <v>Group 1-Giridhar-Peenya</v>
      </c>
      <c r="Q368" t="str">
        <f>VLOOKUP(D368,[2]Template!$A:$D,3,0)</f>
        <v>LAPP</v>
      </c>
      <c r="R368" t="str">
        <f>VLOOKUP(D368,[2]Template!$A:$D,4,0)</f>
        <v>Lapp-Against Customer PO</v>
      </c>
    </row>
    <row r="369" spans="1:18" ht="13.5" customHeight="1" x14ac:dyDescent="0.25">
      <c r="A369" s="9">
        <v>46097</v>
      </c>
      <c r="B369" s="10" t="s">
        <v>753</v>
      </c>
      <c r="C369" s="11" t="s">
        <v>139</v>
      </c>
      <c r="D369" s="10" t="s">
        <v>803</v>
      </c>
      <c r="E369" s="12" t="s">
        <v>1072</v>
      </c>
      <c r="F369" s="12" t="s">
        <v>804</v>
      </c>
      <c r="G369" s="13">
        <v>308</v>
      </c>
      <c r="H369" s="14">
        <v>308</v>
      </c>
      <c r="I369" s="15">
        <v>196.69</v>
      </c>
      <c r="J369" s="16"/>
      <c r="K369" s="17">
        <v>60580.52</v>
      </c>
      <c r="L369" s="18">
        <v>46172</v>
      </c>
      <c r="M369" s="6" t="str">
        <f t="shared" si="15"/>
        <v>Schedule order</v>
      </c>
      <c r="N369" s="8">
        <f t="shared" ca="1" si="16"/>
        <v>17</v>
      </c>
      <c r="O369" s="8" t="str">
        <f t="shared" ca="1" si="17"/>
        <v>Lattest or shedule order</v>
      </c>
      <c r="P369" t="str">
        <f>VLOOKUP(C369,[1]Customer_Master!$A:$B,2,0)</f>
        <v>Group 1-Giridhar-Peenya</v>
      </c>
      <c r="Q369" t="str">
        <f>VLOOKUP(D369,[2]Template!$A:$D,3,0)</f>
        <v>LAPP</v>
      </c>
      <c r="R369" t="str">
        <f>VLOOKUP(D369,[2]Template!$A:$D,4,0)</f>
        <v>Lapp-Against Customer PO</v>
      </c>
    </row>
    <row r="370" spans="1:18" ht="13.5" customHeight="1" x14ac:dyDescent="0.25">
      <c r="A370" s="9">
        <v>46097</v>
      </c>
      <c r="B370" s="10" t="s">
        <v>754</v>
      </c>
      <c r="C370" s="11" t="s">
        <v>755</v>
      </c>
      <c r="D370" s="10" t="s">
        <v>448</v>
      </c>
      <c r="E370" s="12" t="s">
        <v>1072</v>
      </c>
      <c r="F370" s="12" t="s">
        <v>183</v>
      </c>
      <c r="G370" s="13">
        <v>50</v>
      </c>
      <c r="H370" s="14">
        <v>50</v>
      </c>
      <c r="I370" s="15">
        <v>97.22</v>
      </c>
      <c r="J370" s="16"/>
      <c r="K370" s="17">
        <v>4861</v>
      </c>
      <c r="L370" s="18">
        <v>46097</v>
      </c>
      <c r="M370" s="6" t="str">
        <f t="shared" si="15"/>
        <v>Due order</v>
      </c>
      <c r="N370" s="8">
        <f t="shared" ca="1" si="16"/>
        <v>-58</v>
      </c>
      <c r="O370" s="8" t="str">
        <f t="shared" ca="1" si="17"/>
        <v>With in 90 days</v>
      </c>
      <c r="P370" t="str">
        <f>VLOOKUP(C370,[1]Customer_Master!$A:$B,2,0)</f>
        <v>Group-2 (Veeresh- Bomsdr+Hosur)</v>
      </c>
      <c r="Q370" t="str">
        <f>VLOOKUP(D370,[2]Template!$A:$D,3,0)</f>
        <v>LAPP</v>
      </c>
      <c r="R370" t="str">
        <f>VLOOKUP(D370,[2]Template!$A:$D,4,0)</f>
        <v>Lapp-Planned Stock General</v>
      </c>
    </row>
    <row r="371" spans="1:18" ht="13.5" customHeight="1" x14ac:dyDescent="0.25">
      <c r="A371" s="9">
        <v>46097</v>
      </c>
      <c r="B371" s="10" t="s">
        <v>754</v>
      </c>
      <c r="C371" s="11" t="s">
        <v>755</v>
      </c>
      <c r="D371" s="10" t="s">
        <v>452</v>
      </c>
      <c r="E371" s="12" t="s">
        <v>1072</v>
      </c>
      <c r="F371" s="12" t="s">
        <v>278</v>
      </c>
      <c r="G371" s="13">
        <v>50</v>
      </c>
      <c r="H371" s="14">
        <v>50</v>
      </c>
      <c r="I371" s="15">
        <v>87.19</v>
      </c>
      <c r="J371" s="16"/>
      <c r="K371" s="17">
        <v>4359.5</v>
      </c>
      <c r="L371" s="18">
        <v>46097</v>
      </c>
      <c r="M371" s="6" t="str">
        <f t="shared" si="15"/>
        <v>Due order</v>
      </c>
      <c r="N371" s="8">
        <f t="shared" ca="1" si="16"/>
        <v>-58</v>
      </c>
      <c r="O371" s="8" t="str">
        <f t="shared" ca="1" si="17"/>
        <v>With in 90 days</v>
      </c>
      <c r="P371" t="str">
        <f>VLOOKUP(C371,[1]Customer_Master!$A:$B,2,0)</f>
        <v>Group-2 (Veeresh- Bomsdr+Hosur)</v>
      </c>
      <c r="Q371" t="str">
        <f>VLOOKUP(D371,[2]Template!$A:$D,3,0)</f>
        <v>LAPP</v>
      </c>
      <c r="R371" t="str">
        <f>VLOOKUP(D371,[2]Template!$A:$D,4,0)</f>
        <v>Lapp-Planned Stock General</v>
      </c>
    </row>
    <row r="372" spans="1:18" ht="13.5" customHeight="1" x14ac:dyDescent="0.25">
      <c r="A372" s="9">
        <v>46097</v>
      </c>
      <c r="B372" s="10" t="s">
        <v>754</v>
      </c>
      <c r="C372" s="11" t="s">
        <v>755</v>
      </c>
      <c r="D372" s="10" t="s">
        <v>745</v>
      </c>
      <c r="E372" s="12" t="s">
        <v>1072</v>
      </c>
      <c r="F372" s="12" t="s">
        <v>746</v>
      </c>
      <c r="G372" s="13">
        <v>50</v>
      </c>
      <c r="H372" s="14">
        <v>50</v>
      </c>
      <c r="I372" s="15">
        <v>815.54</v>
      </c>
      <c r="J372" s="16"/>
      <c r="K372" s="17">
        <v>40777</v>
      </c>
      <c r="L372" s="18">
        <v>46097</v>
      </c>
      <c r="M372" s="6" t="str">
        <f t="shared" si="15"/>
        <v>Due order</v>
      </c>
      <c r="N372" s="8">
        <f t="shared" ca="1" si="16"/>
        <v>-58</v>
      </c>
      <c r="O372" s="8" t="str">
        <f t="shared" ca="1" si="17"/>
        <v>With in 90 days</v>
      </c>
      <c r="P372" t="str">
        <f>VLOOKUP(C372,[1]Customer_Master!$A:$B,2,0)</f>
        <v>Group-2 (Veeresh- Bomsdr+Hosur)</v>
      </c>
      <c r="Q372" t="str">
        <f>VLOOKUP(D372,[2]Template!$A:$D,3,0)</f>
        <v>LAPP</v>
      </c>
      <c r="R372" t="str">
        <f>VLOOKUP(D372,[2]Template!$A:$D,4,0)</f>
        <v>Lapp-Non Moving Stocks</v>
      </c>
    </row>
    <row r="373" spans="1:18" ht="13.5" customHeight="1" x14ac:dyDescent="0.25">
      <c r="A373" s="9">
        <v>46097</v>
      </c>
      <c r="B373" s="10" t="s">
        <v>754</v>
      </c>
      <c r="C373" s="11" t="s">
        <v>755</v>
      </c>
      <c r="D373" s="10" t="s">
        <v>512</v>
      </c>
      <c r="E373" s="12" t="s">
        <v>1072</v>
      </c>
      <c r="F373" s="12" t="s">
        <v>513</v>
      </c>
      <c r="G373" s="13">
        <v>30</v>
      </c>
      <c r="H373" s="14">
        <v>30</v>
      </c>
      <c r="I373" s="15">
        <v>117.33</v>
      </c>
      <c r="J373" s="16"/>
      <c r="K373" s="17">
        <v>3519.9</v>
      </c>
      <c r="L373" s="18">
        <v>46097</v>
      </c>
      <c r="M373" s="6" t="str">
        <f t="shared" si="15"/>
        <v>Due order</v>
      </c>
      <c r="N373" s="8">
        <f t="shared" ca="1" si="16"/>
        <v>-58</v>
      </c>
      <c r="O373" s="8" t="str">
        <f t="shared" ca="1" si="17"/>
        <v>With in 90 days</v>
      </c>
      <c r="P373" t="str">
        <f>VLOOKUP(C373,[1]Customer_Master!$A:$B,2,0)</f>
        <v>Group-2 (Veeresh- Bomsdr+Hosur)</v>
      </c>
      <c r="Q373" t="str">
        <f>VLOOKUP(D373,[2]Template!$A:$D,3,0)</f>
        <v>LAPP</v>
      </c>
      <c r="R373" t="str">
        <f>VLOOKUP(D373,[2]Template!$A:$D,4,0)</f>
        <v>Lapp-Ace Group</v>
      </c>
    </row>
    <row r="374" spans="1:18" ht="13.5" customHeight="1" x14ac:dyDescent="0.25">
      <c r="A374" s="9">
        <v>46097</v>
      </c>
      <c r="B374" s="10" t="s">
        <v>754</v>
      </c>
      <c r="C374" s="11" t="s">
        <v>755</v>
      </c>
      <c r="D374" s="10" t="s">
        <v>690</v>
      </c>
      <c r="E374" s="12" t="s">
        <v>1072</v>
      </c>
      <c r="F374" s="12" t="s">
        <v>1072</v>
      </c>
      <c r="G374" s="24">
        <v>1</v>
      </c>
      <c r="H374" s="25">
        <v>1</v>
      </c>
      <c r="I374" s="15">
        <v>800</v>
      </c>
      <c r="J374" s="16"/>
      <c r="K374" s="17">
        <v>800</v>
      </c>
      <c r="L374" s="18">
        <v>46097</v>
      </c>
      <c r="M374" s="6" t="str">
        <f t="shared" si="15"/>
        <v>Due order</v>
      </c>
      <c r="N374" s="8">
        <f t="shared" ca="1" si="16"/>
        <v>-58</v>
      </c>
      <c r="O374" s="8" t="str">
        <f t="shared" ca="1" si="17"/>
        <v>With in 90 days</v>
      </c>
      <c r="P374" t="str">
        <f>VLOOKUP(C374,[1]Customer_Master!$A:$B,2,0)</f>
        <v>Group-2 (Veeresh- Bomsdr+Hosur)</v>
      </c>
      <c r="Q374" t="str">
        <f>VLOOKUP(D374,[2]Template!$A:$D,3,0)</f>
        <v>LAPP</v>
      </c>
      <c r="R374" t="str">
        <f>VLOOKUP(D374,[2]Template!$A:$D,4,0)</f>
        <v>Lapp-Non Moving Stocks</v>
      </c>
    </row>
    <row r="375" spans="1:18" ht="13.5" customHeight="1" x14ac:dyDescent="0.25">
      <c r="A375" s="9">
        <v>46098</v>
      </c>
      <c r="B375" s="10" t="s">
        <v>756</v>
      </c>
      <c r="C375" s="11" t="s">
        <v>744</v>
      </c>
      <c r="D375" s="10" t="s">
        <v>745</v>
      </c>
      <c r="E375" s="12" t="s">
        <v>1072</v>
      </c>
      <c r="F375" s="12" t="s">
        <v>746</v>
      </c>
      <c r="G375" s="13">
        <v>20</v>
      </c>
      <c r="H375" s="14">
        <v>20</v>
      </c>
      <c r="I375" s="15">
        <v>748.29</v>
      </c>
      <c r="J375" s="16"/>
      <c r="K375" s="17">
        <v>14965.8</v>
      </c>
      <c r="L375" s="18">
        <v>46098</v>
      </c>
      <c r="M375" s="6" t="str">
        <f t="shared" si="15"/>
        <v>Due order</v>
      </c>
      <c r="N375" s="8">
        <f t="shared" ca="1" si="16"/>
        <v>-57</v>
      </c>
      <c r="O375" s="8" t="str">
        <f t="shared" ca="1" si="17"/>
        <v>With in 90 days</v>
      </c>
      <c r="P375" t="str">
        <f>VLOOKUP(C375,[1]Customer_Master!$A:$B,2,0)</f>
        <v>Group 1-Giridhar-Peenya</v>
      </c>
      <c r="Q375" t="str">
        <f>VLOOKUP(D375,[2]Template!$A:$D,3,0)</f>
        <v>LAPP</v>
      </c>
      <c r="R375" t="str">
        <f>VLOOKUP(D375,[2]Template!$A:$D,4,0)</f>
        <v>Lapp-Non Moving Stocks</v>
      </c>
    </row>
    <row r="376" spans="1:18" ht="13.5" customHeight="1" x14ac:dyDescent="0.25">
      <c r="A376" s="9">
        <v>46098</v>
      </c>
      <c r="B376" s="10" t="s">
        <v>781</v>
      </c>
      <c r="C376" s="11" t="s">
        <v>79</v>
      </c>
      <c r="D376" s="10" t="s">
        <v>324</v>
      </c>
      <c r="E376" s="12" t="s">
        <v>1072</v>
      </c>
      <c r="F376" s="12" t="s">
        <v>80</v>
      </c>
      <c r="G376" s="19">
        <v>160</v>
      </c>
      <c r="H376" s="20">
        <v>160</v>
      </c>
      <c r="I376" s="15">
        <v>2803</v>
      </c>
      <c r="J376" s="16"/>
      <c r="K376" s="17">
        <v>448480</v>
      </c>
      <c r="L376" s="18">
        <v>46255</v>
      </c>
      <c r="M376" s="6" t="str">
        <f t="shared" si="15"/>
        <v>Schedule order</v>
      </c>
      <c r="N376" s="8">
        <f t="shared" ca="1" si="16"/>
        <v>100</v>
      </c>
      <c r="O376" s="8" t="str">
        <f t="shared" ca="1" si="17"/>
        <v>Lattest or shedule order</v>
      </c>
      <c r="P376" t="str">
        <f>VLOOKUP(C376,[1]Customer_Master!$A:$B,2,0)</f>
        <v>Group-4 ( Office Account)</v>
      </c>
      <c r="Q376" t="str">
        <f>VLOOKUP(D376,[2]Template!$A:$D,3,0)</f>
        <v>EATON</v>
      </c>
      <c r="R376" t="str">
        <f>VLOOKUP(D376,[2]Template!$A:$D,4,0)</f>
        <v>Eaton-Faiveley-(R)</v>
      </c>
    </row>
    <row r="377" spans="1:18" ht="13.5" customHeight="1" x14ac:dyDescent="0.25">
      <c r="A377" s="9">
        <v>46098</v>
      </c>
      <c r="B377" s="10" t="s">
        <v>784</v>
      </c>
      <c r="C377" s="11" t="s">
        <v>747</v>
      </c>
      <c r="D377" s="10" t="s">
        <v>336</v>
      </c>
      <c r="E377" s="12" t="s">
        <v>1072</v>
      </c>
      <c r="F377" s="12" t="s">
        <v>119</v>
      </c>
      <c r="G377" s="13">
        <v>1500</v>
      </c>
      <c r="H377" s="14">
        <v>500</v>
      </c>
      <c r="I377" s="15">
        <v>54.04</v>
      </c>
      <c r="J377" s="16"/>
      <c r="K377" s="17">
        <v>27020</v>
      </c>
      <c r="L377" s="18">
        <v>46147</v>
      </c>
      <c r="M377" s="6" t="str">
        <f t="shared" si="15"/>
        <v>Schedule order</v>
      </c>
      <c r="N377" s="8">
        <f t="shared" ca="1" si="16"/>
        <v>-8</v>
      </c>
      <c r="O377" s="8" t="str">
        <f t="shared" ca="1" si="17"/>
        <v>With in 90 days</v>
      </c>
      <c r="P377" t="str">
        <f>VLOOKUP(C377,[1]Customer_Master!$A:$B,2,0)</f>
        <v>Group 1-Giridhar-Peenya</v>
      </c>
      <c r="Q377" t="str">
        <f>VLOOKUP(D377,[2]Template!$A:$D,3,0)</f>
        <v>LAPP</v>
      </c>
      <c r="R377" t="str">
        <f>VLOOKUP(D377,[2]Template!$A:$D,4,0)</f>
        <v>Lapp-Planned Stock General</v>
      </c>
    </row>
    <row r="378" spans="1:18" ht="13.5" customHeight="1" x14ac:dyDescent="0.25">
      <c r="A378" s="9">
        <v>46098</v>
      </c>
      <c r="B378" s="10" t="s">
        <v>787</v>
      </c>
      <c r="C378" s="11" t="s">
        <v>747</v>
      </c>
      <c r="D378" s="10" t="s">
        <v>317</v>
      </c>
      <c r="E378" s="12" t="s">
        <v>1072</v>
      </c>
      <c r="F378" s="12" t="s">
        <v>71</v>
      </c>
      <c r="G378" s="13">
        <v>6000</v>
      </c>
      <c r="H378" s="14">
        <v>6000</v>
      </c>
      <c r="I378" s="15">
        <v>7.87</v>
      </c>
      <c r="J378" s="16"/>
      <c r="K378" s="17">
        <v>47220</v>
      </c>
      <c r="L378" s="18">
        <v>46159</v>
      </c>
      <c r="M378" s="6" t="str">
        <f t="shared" si="15"/>
        <v>Schedule order</v>
      </c>
      <c r="N378" s="8">
        <f t="shared" ca="1" si="16"/>
        <v>4</v>
      </c>
      <c r="O378" s="8" t="str">
        <f t="shared" ca="1" si="17"/>
        <v>Lattest or shedule order</v>
      </c>
      <c r="P378" t="str">
        <f>VLOOKUP(C378,[1]Customer_Master!$A:$B,2,0)</f>
        <v>Group 1-Giridhar-Peenya</v>
      </c>
      <c r="Q378" t="str">
        <f>VLOOKUP(D378,[2]Template!$A:$D,3,0)</f>
        <v>LAPP</v>
      </c>
      <c r="R378" t="str">
        <f>VLOOKUP(D378,[2]Template!$A:$D,4,0)</f>
        <v>Lapp-Planned Stock General</v>
      </c>
    </row>
    <row r="379" spans="1:18" ht="13.5" customHeight="1" x14ac:dyDescent="0.25">
      <c r="A379" s="9">
        <v>46098</v>
      </c>
      <c r="B379" s="10" t="s">
        <v>787</v>
      </c>
      <c r="C379" s="11" t="s">
        <v>747</v>
      </c>
      <c r="D379" s="10" t="s">
        <v>648</v>
      </c>
      <c r="E379" s="12" t="s">
        <v>1072</v>
      </c>
      <c r="F379" s="12" t="s">
        <v>649</v>
      </c>
      <c r="G379" s="13">
        <v>8000</v>
      </c>
      <c r="H379" s="14">
        <v>8000</v>
      </c>
      <c r="I379" s="15">
        <v>10.95</v>
      </c>
      <c r="J379" s="16"/>
      <c r="K379" s="17">
        <v>87600</v>
      </c>
      <c r="L379" s="18">
        <v>46159</v>
      </c>
      <c r="M379" s="6" t="str">
        <f t="shared" si="15"/>
        <v>Schedule order</v>
      </c>
      <c r="N379" s="8">
        <f t="shared" ca="1" si="16"/>
        <v>4</v>
      </c>
      <c r="O379" s="8" t="str">
        <f t="shared" ca="1" si="17"/>
        <v>Lattest or shedule order</v>
      </c>
      <c r="P379" t="str">
        <f>VLOOKUP(C379,[1]Customer_Master!$A:$B,2,0)</f>
        <v>Group 1-Giridhar-Peenya</v>
      </c>
      <c r="Q379" t="str">
        <f>VLOOKUP(D379,[2]Template!$A:$D,3,0)</f>
        <v>LAPP</v>
      </c>
      <c r="R379" t="str">
        <f>VLOOKUP(D379,[2]Template!$A:$D,4,0)</f>
        <v>Lapp-Planned Stock General</v>
      </c>
    </row>
    <row r="380" spans="1:18" ht="13.5" customHeight="1" x14ac:dyDescent="0.25">
      <c r="A380" s="9">
        <v>46098</v>
      </c>
      <c r="B380" s="10" t="s">
        <v>787</v>
      </c>
      <c r="C380" s="11" t="s">
        <v>747</v>
      </c>
      <c r="D380" s="10" t="s">
        <v>336</v>
      </c>
      <c r="E380" s="12" t="s">
        <v>1072</v>
      </c>
      <c r="F380" s="12" t="s">
        <v>119</v>
      </c>
      <c r="G380" s="13">
        <v>1000</v>
      </c>
      <c r="H380" s="14">
        <v>1000</v>
      </c>
      <c r="I380" s="15">
        <v>54.04</v>
      </c>
      <c r="J380" s="16"/>
      <c r="K380" s="17">
        <v>54040</v>
      </c>
      <c r="L380" s="18">
        <v>46159</v>
      </c>
      <c r="M380" s="6" t="str">
        <f t="shared" si="15"/>
        <v>Schedule order</v>
      </c>
      <c r="N380" s="8">
        <f t="shared" ca="1" si="16"/>
        <v>4</v>
      </c>
      <c r="O380" s="8" t="str">
        <f t="shared" ca="1" si="17"/>
        <v>Lattest or shedule order</v>
      </c>
      <c r="P380" t="str">
        <f>VLOOKUP(C380,[1]Customer_Master!$A:$B,2,0)</f>
        <v>Group 1-Giridhar-Peenya</v>
      </c>
      <c r="Q380" t="str">
        <f>VLOOKUP(D380,[2]Template!$A:$D,3,0)</f>
        <v>LAPP</v>
      </c>
      <c r="R380" t="str">
        <f>VLOOKUP(D380,[2]Template!$A:$D,4,0)</f>
        <v>Lapp-Planned Stock General</v>
      </c>
    </row>
    <row r="381" spans="1:18" ht="13.5" customHeight="1" x14ac:dyDescent="0.25">
      <c r="A381" s="9">
        <v>46098</v>
      </c>
      <c r="B381" s="10" t="s">
        <v>787</v>
      </c>
      <c r="C381" s="11" t="s">
        <v>747</v>
      </c>
      <c r="D381" s="10" t="s">
        <v>360</v>
      </c>
      <c r="E381" s="12" t="s">
        <v>1072</v>
      </c>
      <c r="F381" s="12" t="s">
        <v>141</v>
      </c>
      <c r="G381" s="13">
        <v>700</v>
      </c>
      <c r="H381" s="14">
        <v>700</v>
      </c>
      <c r="I381" s="15">
        <v>81.900000000000006</v>
      </c>
      <c r="J381" s="16"/>
      <c r="K381" s="17">
        <v>57330</v>
      </c>
      <c r="L381" s="18">
        <v>46159</v>
      </c>
      <c r="M381" s="6" t="str">
        <f t="shared" si="15"/>
        <v>Schedule order</v>
      </c>
      <c r="N381" s="8">
        <f t="shared" ca="1" si="16"/>
        <v>4</v>
      </c>
      <c r="O381" s="8" t="str">
        <f t="shared" ca="1" si="17"/>
        <v>Lattest or shedule order</v>
      </c>
      <c r="P381" t="str">
        <f>VLOOKUP(C381,[1]Customer_Master!$A:$B,2,0)</f>
        <v>Group 1-Giridhar-Peenya</v>
      </c>
      <c r="Q381" t="str">
        <f>VLOOKUP(D381,[2]Template!$A:$D,3,0)</f>
        <v>LAPP</v>
      </c>
      <c r="R381" t="str">
        <f>VLOOKUP(D381,[2]Template!$A:$D,4,0)</f>
        <v>Lapp-Planned Stock General</v>
      </c>
    </row>
    <row r="382" spans="1:18" ht="13.5" customHeight="1" x14ac:dyDescent="0.25">
      <c r="A382" s="9">
        <v>46098</v>
      </c>
      <c r="B382" s="10" t="s">
        <v>787</v>
      </c>
      <c r="C382" s="11" t="s">
        <v>747</v>
      </c>
      <c r="D382" s="10" t="s">
        <v>654</v>
      </c>
      <c r="E382" s="12" t="s">
        <v>1072</v>
      </c>
      <c r="F382" s="12" t="s">
        <v>655</v>
      </c>
      <c r="G382" s="13">
        <v>7000</v>
      </c>
      <c r="H382" s="14">
        <v>7000</v>
      </c>
      <c r="I382" s="15">
        <v>28.51</v>
      </c>
      <c r="J382" s="16"/>
      <c r="K382" s="17">
        <v>199570</v>
      </c>
      <c r="L382" s="18">
        <v>46159</v>
      </c>
      <c r="M382" s="6" t="str">
        <f t="shared" si="15"/>
        <v>Schedule order</v>
      </c>
      <c r="N382" s="8">
        <f t="shared" ca="1" si="16"/>
        <v>4</v>
      </c>
      <c r="O382" s="8" t="str">
        <f t="shared" ca="1" si="17"/>
        <v>Lattest or shedule order</v>
      </c>
      <c r="P382" t="str">
        <f>VLOOKUP(C382,[1]Customer_Master!$A:$B,2,0)</f>
        <v>Group 1-Giridhar-Peenya</v>
      </c>
      <c r="Q382" t="str">
        <f>VLOOKUP(D382,[2]Template!$A:$D,3,0)</f>
        <v>LAPP</v>
      </c>
      <c r="R382" t="str">
        <f>VLOOKUP(D382,[2]Template!$A:$D,4,0)</f>
        <v>Lapp-Ace Group</v>
      </c>
    </row>
    <row r="383" spans="1:18" ht="13.5" customHeight="1" x14ac:dyDescent="0.25">
      <c r="A383" s="9">
        <v>46098</v>
      </c>
      <c r="B383" s="10" t="s">
        <v>787</v>
      </c>
      <c r="C383" s="11" t="s">
        <v>747</v>
      </c>
      <c r="D383" s="10" t="s">
        <v>656</v>
      </c>
      <c r="E383" s="12" t="s">
        <v>1072</v>
      </c>
      <c r="F383" s="12" t="s">
        <v>657</v>
      </c>
      <c r="G383" s="13">
        <v>1010</v>
      </c>
      <c r="H383" s="14">
        <v>1010</v>
      </c>
      <c r="I383" s="15">
        <v>29.75</v>
      </c>
      <c r="J383" s="16"/>
      <c r="K383" s="17">
        <v>30047.5</v>
      </c>
      <c r="L383" s="18">
        <v>46159</v>
      </c>
      <c r="M383" s="6" t="str">
        <f t="shared" si="15"/>
        <v>Schedule order</v>
      </c>
      <c r="N383" s="8">
        <f t="shared" ca="1" si="16"/>
        <v>4</v>
      </c>
      <c r="O383" s="8" t="str">
        <f t="shared" ca="1" si="17"/>
        <v>Lattest or shedule order</v>
      </c>
      <c r="P383" t="str">
        <f>VLOOKUP(C383,[1]Customer_Master!$A:$B,2,0)</f>
        <v>Group 1-Giridhar-Peenya</v>
      </c>
      <c r="Q383" t="str">
        <f>VLOOKUP(D383,[2]Template!$A:$D,3,0)</f>
        <v>LAPP</v>
      </c>
      <c r="R383" t="str">
        <f>VLOOKUP(D383,[2]Template!$A:$D,4,0)</f>
        <v>Lapp-Ace Group</v>
      </c>
    </row>
    <row r="384" spans="1:18" ht="13.5" customHeight="1" x14ac:dyDescent="0.25">
      <c r="A384" s="9">
        <v>46098</v>
      </c>
      <c r="B384" s="10" t="s">
        <v>787</v>
      </c>
      <c r="C384" s="11" t="s">
        <v>747</v>
      </c>
      <c r="D384" s="10" t="s">
        <v>782</v>
      </c>
      <c r="E384" s="12" t="s">
        <v>1072</v>
      </c>
      <c r="F384" s="12" t="s">
        <v>783</v>
      </c>
      <c r="G384" s="13">
        <v>500</v>
      </c>
      <c r="H384" s="14">
        <v>500</v>
      </c>
      <c r="I384" s="15">
        <v>38.700000000000003</v>
      </c>
      <c r="J384" s="16"/>
      <c r="K384" s="17">
        <v>19350</v>
      </c>
      <c r="L384" s="18">
        <v>46159</v>
      </c>
      <c r="M384" s="6" t="str">
        <f t="shared" si="15"/>
        <v>Schedule order</v>
      </c>
      <c r="N384" s="8">
        <f t="shared" ca="1" si="16"/>
        <v>4</v>
      </c>
      <c r="O384" s="8" t="str">
        <f t="shared" ca="1" si="17"/>
        <v>Lattest or shedule order</v>
      </c>
      <c r="P384" t="str">
        <f>VLOOKUP(C384,[1]Customer_Master!$A:$B,2,0)</f>
        <v>Group 1-Giridhar-Peenya</v>
      </c>
      <c r="Q384" t="str">
        <f>VLOOKUP(D384,[2]Template!$A:$D,3,0)</f>
        <v>LAPP</v>
      </c>
      <c r="R384" t="str">
        <f>VLOOKUP(D384,[2]Template!$A:$D,4,0)</f>
        <v>Lapp-Ace Group</v>
      </c>
    </row>
    <row r="385" spans="1:18" ht="13.5" customHeight="1" x14ac:dyDescent="0.25">
      <c r="A385" s="9">
        <v>46098</v>
      </c>
      <c r="B385" s="10" t="s">
        <v>787</v>
      </c>
      <c r="C385" s="11" t="s">
        <v>747</v>
      </c>
      <c r="D385" s="10" t="s">
        <v>702</v>
      </c>
      <c r="E385" s="12" t="s">
        <v>1072</v>
      </c>
      <c r="F385" s="12" t="s">
        <v>703</v>
      </c>
      <c r="G385" s="13">
        <v>5000</v>
      </c>
      <c r="H385" s="14">
        <v>5000</v>
      </c>
      <c r="I385" s="15">
        <v>10.95</v>
      </c>
      <c r="J385" s="16"/>
      <c r="K385" s="17">
        <v>54750</v>
      </c>
      <c r="L385" s="18">
        <v>46159</v>
      </c>
      <c r="M385" s="6" t="str">
        <f t="shared" si="15"/>
        <v>Schedule order</v>
      </c>
      <c r="N385" s="8">
        <f t="shared" ca="1" si="16"/>
        <v>4</v>
      </c>
      <c r="O385" s="8" t="str">
        <f t="shared" ca="1" si="17"/>
        <v>Lattest or shedule order</v>
      </c>
      <c r="P385" t="str">
        <f>VLOOKUP(C385,[1]Customer_Master!$A:$B,2,0)</f>
        <v>Group 1-Giridhar-Peenya</v>
      </c>
      <c r="Q385" t="str">
        <f>VLOOKUP(D385,[2]Template!$A:$D,3,0)</f>
        <v>LAPP</v>
      </c>
      <c r="R385" t="str">
        <f>VLOOKUP(D385,[2]Template!$A:$D,4,0)</f>
        <v>Lapp-Planned Stock General</v>
      </c>
    </row>
    <row r="386" spans="1:18" ht="13.5" customHeight="1" x14ac:dyDescent="0.25">
      <c r="A386" s="9">
        <v>46098</v>
      </c>
      <c r="B386" s="10" t="s">
        <v>787</v>
      </c>
      <c r="C386" s="11" t="s">
        <v>747</v>
      </c>
      <c r="D386" s="10" t="s">
        <v>658</v>
      </c>
      <c r="E386" s="12" t="s">
        <v>1072</v>
      </c>
      <c r="F386" s="12" t="s">
        <v>659</v>
      </c>
      <c r="G386" s="13">
        <v>500</v>
      </c>
      <c r="H386" s="14">
        <v>500</v>
      </c>
      <c r="I386" s="15">
        <v>52.23</v>
      </c>
      <c r="J386" s="16"/>
      <c r="K386" s="17">
        <v>26115</v>
      </c>
      <c r="L386" s="18">
        <v>46159</v>
      </c>
      <c r="M386" s="6" t="str">
        <f t="shared" si="15"/>
        <v>Schedule order</v>
      </c>
      <c r="N386" s="8">
        <f t="shared" ca="1" si="16"/>
        <v>4</v>
      </c>
      <c r="O386" s="8" t="str">
        <f t="shared" ca="1" si="17"/>
        <v>Lattest or shedule order</v>
      </c>
      <c r="P386" t="str">
        <f>VLOOKUP(C386,[1]Customer_Master!$A:$B,2,0)</f>
        <v>Group 1-Giridhar-Peenya</v>
      </c>
      <c r="Q386" t="str">
        <f>VLOOKUP(D386,[2]Template!$A:$D,3,0)</f>
        <v>LAPP</v>
      </c>
      <c r="R386" t="str">
        <f>VLOOKUP(D386,[2]Template!$A:$D,4,0)</f>
        <v>Lapp-Ace Group</v>
      </c>
    </row>
    <row r="387" spans="1:18" ht="13.5" customHeight="1" x14ac:dyDescent="0.25">
      <c r="A387" s="9">
        <v>46098</v>
      </c>
      <c r="B387" s="10" t="s">
        <v>787</v>
      </c>
      <c r="C387" s="11" t="s">
        <v>747</v>
      </c>
      <c r="D387" s="10" t="s">
        <v>333</v>
      </c>
      <c r="E387" s="12" t="s">
        <v>1072</v>
      </c>
      <c r="F387" s="12" t="s">
        <v>120</v>
      </c>
      <c r="G387" s="13">
        <v>1000</v>
      </c>
      <c r="H387" s="14">
        <v>1000</v>
      </c>
      <c r="I387" s="15">
        <v>41.4</v>
      </c>
      <c r="J387" s="16"/>
      <c r="K387" s="17">
        <v>41400</v>
      </c>
      <c r="L387" s="18">
        <v>46159</v>
      </c>
      <c r="M387" s="6" t="str">
        <f t="shared" ref="M387:M450" si="18">IF(L387&lt;DATE(2026,4,30),"Due order","Schedule order")</f>
        <v>Schedule order</v>
      </c>
      <c r="N387" s="8">
        <f t="shared" ref="N387:N450" ca="1" si="19">L387-TODAY()</f>
        <v>4</v>
      </c>
      <c r="O387" s="8" t="str">
        <f t="shared" ref="O387:O450" ca="1" si="20">IF(N387&lt;-365,"More than 1 Year old",IF(N387&lt;-180," More than 180 days old",IF(N387&lt;-90,"More than 90 day old",IF(N387&lt;0,"With in 90 days","Lattest or shedule order"))))</f>
        <v>Lattest or shedule order</v>
      </c>
      <c r="P387" t="str">
        <f>VLOOKUP(C387,[1]Customer_Master!$A:$B,2,0)</f>
        <v>Group 1-Giridhar-Peenya</v>
      </c>
      <c r="Q387" t="str">
        <f>VLOOKUP(D387,[2]Template!$A:$D,3,0)</f>
        <v>LAPP</v>
      </c>
      <c r="R387" t="str">
        <f>VLOOKUP(D387,[2]Template!$A:$D,4,0)</f>
        <v>Lapp-Ace Group</v>
      </c>
    </row>
    <row r="388" spans="1:18" ht="13.5" customHeight="1" x14ac:dyDescent="0.25">
      <c r="A388" s="9">
        <v>46098</v>
      </c>
      <c r="B388" s="10" t="s">
        <v>787</v>
      </c>
      <c r="C388" s="11" t="s">
        <v>747</v>
      </c>
      <c r="D388" s="10" t="s">
        <v>362</v>
      </c>
      <c r="E388" s="12" t="s">
        <v>1072</v>
      </c>
      <c r="F388" s="12" t="s">
        <v>145</v>
      </c>
      <c r="G388" s="13">
        <v>1500</v>
      </c>
      <c r="H388" s="14">
        <v>1500</v>
      </c>
      <c r="I388" s="15">
        <v>47.4</v>
      </c>
      <c r="J388" s="16"/>
      <c r="K388" s="17">
        <v>71100</v>
      </c>
      <c r="L388" s="18">
        <v>46159</v>
      </c>
      <c r="M388" s="6" t="str">
        <f t="shared" si="18"/>
        <v>Schedule order</v>
      </c>
      <c r="N388" s="8">
        <f t="shared" ca="1" si="19"/>
        <v>4</v>
      </c>
      <c r="O388" s="8" t="str">
        <f t="shared" ca="1" si="20"/>
        <v>Lattest or shedule order</v>
      </c>
      <c r="P388" t="str">
        <f>VLOOKUP(C388,[1]Customer_Master!$A:$B,2,0)</f>
        <v>Group 1-Giridhar-Peenya</v>
      </c>
      <c r="Q388" t="str">
        <f>VLOOKUP(D388,[2]Template!$A:$D,3,0)</f>
        <v>LAPP</v>
      </c>
      <c r="R388" t="str">
        <f>VLOOKUP(D388,[2]Template!$A:$D,4,0)</f>
        <v>Lapp-Ace Group</v>
      </c>
    </row>
    <row r="389" spans="1:18" ht="13.5" customHeight="1" x14ac:dyDescent="0.25">
      <c r="A389" s="9">
        <v>46098</v>
      </c>
      <c r="B389" s="10" t="s">
        <v>787</v>
      </c>
      <c r="C389" s="11" t="s">
        <v>747</v>
      </c>
      <c r="D389" s="10" t="s">
        <v>785</v>
      </c>
      <c r="E389" s="12" t="s">
        <v>1072</v>
      </c>
      <c r="F389" s="12" t="s">
        <v>786</v>
      </c>
      <c r="G389" s="13">
        <v>500</v>
      </c>
      <c r="H389" s="14">
        <v>500</v>
      </c>
      <c r="I389" s="15">
        <v>71.02</v>
      </c>
      <c r="J389" s="16"/>
      <c r="K389" s="17">
        <v>35510</v>
      </c>
      <c r="L389" s="18">
        <v>46159</v>
      </c>
      <c r="M389" s="6" t="str">
        <f t="shared" si="18"/>
        <v>Schedule order</v>
      </c>
      <c r="N389" s="8">
        <f t="shared" ca="1" si="19"/>
        <v>4</v>
      </c>
      <c r="O389" s="8" t="str">
        <f t="shared" ca="1" si="20"/>
        <v>Lattest or shedule order</v>
      </c>
      <c r="P389" t="str">
        <f>VLOOKUP(C389,[1]Customer_Master!$A:$B,2,0)</f>
        <v>Group 1-Giridhar-Peenya</v>
      </c>
      <c r="Q389" t="str">
        <f>VLOOKUP(D389,[2]Template!$A:$D,3,0)</f>
        <v>LAPP</v>
      </c>
      <c r="R389" t="str">
        <f>VLOOKUP(D389,[2]Template!$A:$D,4,0)</f>
        <v>Lapp-Ace Group</v>
      </c>
    </row>
    <row r="390" spans="1:18" ht="13.5" customHeight="1" x14ac:dyDescent="0.25">
      <c r="A390" s="9">
        <v>46098</v>
      </c>
      <c r="B390" s="10" t="s">
        <v>787</v>
      </c>
      <c r="C390" s="11" t="s">
        <v>747</v>
      </c>
      <c r="D390" s="10" t="s">
        <v>342</v>
      </c>
      <c r="E390" s="12" t="s">
        <v>1072</v>
      </c>
      <c r="F390" s="12" t="s">
        <v>125</v>
      </c>
      <c r="G390" s="13">
        <v>2000</v>
      </c>
      <c r="H390" s="14">
        <v>2000</v>
      </c>
      <c r="I390" s="15">
        <v>81.900000000000006</v>
      </c>
      <c r="J390" s="16"/>
      <c r="K390" s="17">
        <v>163800</v>
      </c>
      <c r="L390" s="18">
        <v>46159</v>
      </c>
      <c r="M390" s="6" t="str">
        <f t="shared" si="18"/>
        <v>Schedule order</v>
      </c>
      <c r="N390" s="8">
        <f t="shared" ca="1" si="19"/>
        <v>4</v>
      </c>
      <c r="O390" s="8" t="str">
        <f t="shared" ca="1" si="20"/>
        <v>Lattest or shedule order</v>
      </c>
      <c r="P390" t="str">
        <f>VLOOKUP(C390,[1]Customer_Master!$A:$B,2,0)</f>
        <v>Group 1-Giridhar-Peenya</v>
      </c>
      <c r="Q390" t="str">
        <f>VLOOKUP(D390,[2]Template!$A:$D,3,0)</f>
        <v>LAPP</v>
      </c>
      <c r="R390" t="str">
        <f>VLOOKUP(D390,[2]Template!$A:$D,4,0)</f>
        <v>Lapp-Planned Stock General</v>
      </c>
    </row>
    <row r="391" spans="1:18" ht="13.5" customHeight="1" x14ac:dyDescent="0.25">
      <c r="A391" s="9">
        <v>46098</v>
      </c>
      <c r="B391" s="10" t="s">
        <v>787</v>
      </c>
      <c r="C391" s="11" t="s">
        <v>747</v>
      </c>
      <c r="D391" s="10" t="s">
        <v>512</v>
      </c>
      <c r="E391" s="12" t="s">
        <v>1072</v>
      </c>
      <c r="F391" s="12" t="s">
        <v>513</v>
      </c>
      <c r="G391" s="13">
        <v>1500</v>
      </c>
      <c r="H391" s="14">
        <v>1500</v>
      </c>
      <c r="I391" s="15">
        <v>58.69</v>
      </c>
      <c r="J391" s="16"/>
      <c r="K391" s="17">
        <v>88035</v>
      </c>
      <c r="L391" s="18">
        <v>46159</v>
      </c>
      <c r="M391" s="6" t="str">
        <f t="shared" si="18"/>
        <v>Schedule order</v>
      </c>
      <c r="N391" s="8">
        <f t="shared" ca="1" si="19"/>
        <v>4</v>
      </c>
      <c r="O391" s="8" t="str">
        <f t="shared" ca="1" si="20"/>
        <v>Lattest or shedule order</v>
      </c>
      <c r="P391" t="str">
        <f>VLOOKUP(C391,[1]Customer_Master!$A:$B,2,0)</f>
        <v>Group 1-Giridhar-Peenya</v>
      </c>
      <c r="Q391" t="str">
        <f>VLOOKUP(D391,[2]Template!$A:$D,3,0)</f>
        <v>LAPP</v>
      </c>
      <c r="R391" t="str">
        <f>VLOOKUP(D391,[2]Template!$A:$D,4,0)</f>
        <v>Lapp-Ace Group</v>
      </c>
    </row>
    <row r="392" spans="1:18" ht="13.5" customHeight="1" x14ac:dyDescent="0.25">
      <c r="A392" s="9">
        <v>46098</v>
      </c>
      <c r="B392" s="10" t="s">
        <v>787</v>
      </c>
      <c r="C392" s="11" t="s">
        <v>747</v>
      </c>
      <c r="D392" s="10" t="s">
        <v>316</v>
      </c>
      <c r="E392" s="12" t="s">
        <v>1072</v>
      </c>
      <c r="F392" s="12" t="s">
        <v>32</v>
      </c>
      <c r="G392" s="13">
        <v>200</v>
      </c>
      <c r="H392" s="14">
        <v>200</v>
      </c>
      <c r="I392" s="15">
        <v>91.46</v>
      </c>
      <c r="J392" s="16"/>
      <c r="K392" s="17">
        <v>18292</v>
      </c>
      <c r="L392" s="18">
        <v>46159</v>
      </c>
      <c r="M392" s="6" t="str">
        <f t="shared" si="18"/>
        <v>Schedule order</v>
      </c>
      <c r="N392" s="8">
        <f t="shared" ca="1" si="19"/>
        <v>4</v>
      </c>
      <c r="O392" s="8" t="str">
        <f t="shared" ca="1" si="20"/>
        <v>Lattest or shedule order</v>
      </c>
      <c r="P392" t="str">
        <f>VLOOKUP(C392,[1]Customer_Master!$A:$B,2,0)</f>
        <v>Group 1-Giridhar-Peenya</v>
      </c>
      <c r="Q392" t="str">
        <f>VLOOKUP(D392,[2]Template!$A:$D,3,0)</f>
        <v>LAPP</v>
      </c>
      <c r="R392" t="str">
        <f>VLOOKUP(D392,[2]Template!$A:$D,4,0)</f>
        <v>Lapp-Ace Group</v>
      </c>
    </row>
    <row r="393" spans="1:18" ht="13.5" customHeight="1" x14ac:dyDescent="0.25">
      <c r="A393" s="9">
        <v>46098</v>
      </c>
      <c r="B393" s="10" t="s">
        <v>787</v>
      </c>
      <c r="C393" s="11" t="s">
        <v>747</v>
      </c>
      <c r="D393" s="10" t="s">
        <v>334</v>
      </c>
      <c r="E393" s="12" t="s">
        <v>1072</v>
      </c>
      <c r="F393" s="12" t="s">
        <v>87</v>
      </c>
      <c r="G393" s="13">
        <v>200</v>
      </c>
      <c r="H393" s="14">
        <v>200</v>
      </c>
      <c r="I393" s="15">
        <v>33.590000000000003</v>
      </c>
      <c r="J393" s="16"/>
      <c r="K393" s="17">
        <v>6718</v>
      </c>
      <c r="L393" s="18">
        <v>46159</v>
      </c>
      <c r="M393" s="6" t="str">
        <f t="shared" si="18"/>
        <v>Schedule order</v>
      </c>
      <c r="N393" s="8">
        <f t="shared" ca="1" si="19"/>
        <v>4</v>
      </c>
      <c r="O393" s="8" t="str">
        <f t="shared" ca="1" si="20"/>
        <v>Lattest or shedule order</v>
      </c>
      <c r="P393" t="str">
        <f>VLOOKUP(C393,[1]Customer_Master!$A:$B,2,0)</f>
        <v>Group 1-Giridhar-Peenya</v>
      </c>
      <c r="Q393" t="str">
        <f>VLOOKUP(D393,[2]Template!$A:$D,3,0)</f>
        <v>LAPP</v>
      </c>
      <c r="R393" t="str">
        <f>VLOOKUP(D393,[2]Template!$A:$D,4,0)</f>
        <v>Lapp-Planned Stock General</v>
      </c>
    </row>
    <row r="394" spans="1:18" ht="13.5" customHeight="1" x14ac:dyDescent="0.25">
      <c r="A394" s="9">
        <v>46098</v>
      </c>
      <c r="B394" s="10" t="s">
        <v>787</v>
      </c>
      <c r="C394" s="11" t="s">
        <v>747</v>
      </c>
      <c r="D394" s="10" t="s">
        <v>357</v>
      </c>
      <c r="E394" s="12" t="s">
        <v>1072</v>
      </c>
      <c r="F394" s="12" t="s">
        <v>53</v>
      </c>
      <c r="G394" s="13">
        <v>300</v>
      </c>
      <c r="H394" s="14">
        <v>300</v>
      </c>
      <c r="I394" s="15">
        <v>20.46</v>
      </c>
      <c r="J394" s="16"/>
      <c r="K394" s="17">
        <v>6138</v>
      </c>
      <c r="L394" s="18">
        <v>46159</v>
      </c>
      <c r="M394" s="6" t="str">
        <f t="shared" si="18"/>
        <v>Schedule order</v>
      </c>
      <c r="N394" s="8">
        <f t="shared" ca="1" si="19"/>
        <v>4</v>
      </c>
      <c r="O394" s="8" t="str">
        <f t="shared" ca="1" si="20"/>
        <v>Lattest or shedule order</v>
      </c>
      <c r="P394" t="str">
        <f>VLOOKUP(C394,[1]Customer_Master!$A:$B,2,0)</f>
        <v>Group 1-Giridhar-Peenya</v>
      </c>
      <c r="Q394" t="str">
        <f>VLOOKUP(D394,[2]Template!$A:$D,3,0)</f>
        <v>LAPP</v>
      </c>
      <c r="R394" t="str">
        <f>VLOOKUP(D394,[2]Template!$A:$D,4,0)</f>
        <v>Lapp-Planned Stock General</v>
      </c>
    </row>
    <row r="395" spans="1:18" ht="13.5" customHeight="1" x14ac:dyDescent="0.25">
      <c r="A395" s="9">
        <v>46098</v>
      </c>
      <c r="B395" s="10" t="s">
        <v>787</v>
      </c>
      <c r="C395" s="11" t="s">
        <v>747</v>
      </c>
      <c r="D395" s="10" t="s">
        <v>356</v>
      </c>
      <c r="E395" s="12" t="s">
        <v>1072</v>
      </c>
      <c r="F395" s="12" t="s">
        <v>136</v>
      </c>
      <c r="G395" s="13">
        <v>1000</v>
      </c>
      <c r="H395" s="14">
        <v>1000</v>
      </c>
      <c r="I395" s="15">
        <v>33.68</v>
      </c>
      <c r="J395" s="16"/>
      <c r="K395" s="17">
        <v>33680</v>
      </c>
      <c r="L395" s="18">
        <v>46159</v>
      </c>
      <c r="M395" s="6" t="str">
        <f t="shared" si="18"/>
        <v>Schedule order</v>
      </c>
      <c r="N395" s="8">
        <f t="shared" ca="1" si="19"/>
        <v>4</v>
      </c>
      <c r="O395" s="8" t="str">
        <f t="shared" ca="1" si="20"/>
        <v>Lattest or shedule order</v>
      </c>
      <c r="P395" t="str">
        <f>VLOOKUP(C395,[1]Customer_Master!$A:$B,2,0)</f>
        <v>Group 1-Giridhar-Peenya</v>
      </c>
      <c r="Q395" t="str">
        <f>VLOOKUP(D395,[2]Template!$A:$D,3,0)</f>
        <v>LAPP</v>
      </c>
      <c r="R395" t="str">
        <f>VLOOKUP(D395,[2]Template!$A:$D,4,0)</f>
        <v>Lapp-Planned Stock General</v>
      </c>
    </row>
    <row r="396" spans="1:18" ht="13.5" customHeight="1" x14ac:dyDescent="0.25">
      <c r="A396" s="9">
        <v>46098</v>
      </c>
      <c r="B396" s="10" t="s">
        <v>787</v>
      </c>
      <c r="C396" s="11" t="s">
        <v>747</v>
      </c>
      <c r="D396" s="10" t="s">
        <v>650</v>
      </c>
      <c r="E396" s="12" t="s">
        <v>1072</v>
      </c>
      <c r="F396" s="12" t="s">
        <v>651</v>
      </c>
      <c r="G396" s="13">
        <v>100</v>
      </c>
      <c r="H396" s="14">
        <v>100</v>
      </c>
      <c r="I396" s="15">
        <v>136.66999999999999</v>
      </c>
      <c r="J396" s="16"/>
      <c r="K396" s="17">
        <v>13667</v>
      </c>
      <c r="L396" s="18">
        <v>46159</v>
      </c>
      <c r="M396" s="6" t="str">
        <f t="shared" si="18"/>
        <v>Schedule order</v>
      </c>
      <c r="N396" s="8">
        <f t="shared" ca="1" si="19"/>
        <v>4</v>
      </c>
      <c r="O396" s="8" t="str">
        <f t="shared" ca="1" si="20"/>
        <v>Lattest or shedule order</v>
      </c>
      <c r="P396" t="str">
        <f>VLOOKUP(C396,[1]Customer_Master!$A:$B,2,0)</f>
        <v>Group 1-Giridhar-Peenya</v>
      </c>
      <c r="Q396" t="str">
        <f>VLOOKUP(D396,[2]Template!$A:$D,3,0)</f>
        <v>LAPP</v>
      </c>
      <c r="R396" t="str">
        <f>VLOOKUP(D396,[2]Template!$A:$D,4,0)</f>
        <v>Lapp-Planned Stock General</v>
      </c>
    </row>
    <row r="397" spans="1:18" ht="13.5" customHeight="1" x14ac:dyDescent="0.25">
      <c r="A397" s="9">
        <v>46098</v>
      </c>
      <c r="B397" s="10" t="s">
        <v>787</v>
      </c>
      <c r="C397" s="11" t="s">
        <v>747</v>
      </c>
      <c r="D397" s="10" t="s">
        <v>354</v>
      </c>
      <c r="E397" s="12" t="s">
        <v>1072</v>
      </c>
      <c r="F397" s="12" t="s">
        <v>134</v>
      </c>
      <c r="G397" s="13">
        <v>400</v>
      </c>
      <c r="H397" s="14">
        <v>400</v>
      </c>
      <c r="I397" s="15">
        <v>141.28</v>
      </c>
      <c r="J397" s="16"/>
      <c r="K397" s="17">
        <v>56512</v>
      </c>
      <c r="L397" s="18">
        <v>46159</v>
      </c>
      <c r="M397" s="6" t="str">
        <f t="shared" si="18"/>
        <v>Schedule order</v>
      </c>
      <c r="N397" s="8">
        <f t="shared" ca="1" si="19"/>
        <v>4</v>
      </c>
      <c r="O397" s="8" t="str">
        <f t="shared" ca="1" si="20"/>
        <v>Lattest or shedule order</v>
      </c>
      <c r="P397" t="str">
        <f>VLOOKUP(C397,[1]Customer_Master!$A:$B,2,0)</f>
        <v>Group 1-Giridhar-Peenya</v>
      </c>
      <c r="Q397" t="str">
        <f>VLOOKUP(D397,[2]Template!$A:$D,3,0)</f>
        <v>LAPP</v>
      </c>
      <c r="R397" t="str">
        <f>VLOOKUP(D397,[2]Template!$A:$D,4,0)</f>
        <v>Lapp-Planned Stock General</v>
      </c>
    </row>
    <row r="398" spans="1:18" ht="13.5" customHeight="1" x14ac:dyDescent="0.25">
      <c r="A398" s="9">
        <v>46098</v>
      </c>
      <c r="B398" s="10" t="s">
        <v>788</v>
      </c>
      <c r="C398" s="11" t="s">
        <v>747</v>
      </c>
      <c r="D398" s="10" t="s">
        <v>317</v>
      </c>
      <c r="E398" s="12" t="s">
        <v>1072</v>
      </c>
      <c r="F398" s="12" t="s">
        <v>71</v>
      </c>
      <c r="G398" s="13">
        <v>6000</v>
      </c>
      <c r="H398" s="14">
        <v>6000</v>
      </c>
      <c r="I398" s="15">
        <v>7.87</v>
      </c>
      <c r="J398" s="16"/>
      <c r="K398" s="17">
        <v>47220</v>
      </c>
      <c r="L398" s="18">
        <v>46178</v>
      </c>
      <c r="M398" s="6" t="str">
        <f t="shared" si="18"/>
        <v>Schedule order</v>
      </c>
      <c r="N398" s="8">
        <f t="shared" ca="1" si="19"/>
        <v>23</v>
      </c>
      <c r="O398" s="8" t="str">
        <f t="shared" ca="1" si="20"/>
        <v>Lattest or shedule order</v>
      </c>
      <c r="P398" t="str">
        <f>VLOOKUP(C398,[1]Customer_Master!$A:$B,2,0)</f>
        <v>Group 1-Giridhar-Peenya</v>
      </c>
      <c r="Q398" t="str">
        <f>VLOOKUP(D398,[2]Template!$A:$D,3,0)</f>
        <v>LAPP</v>
      </c>
      <c r="R398" t="str">
        <f>VLOOKUP(D398,[2]Template!$A:$D,4,0)</f>
        <v>Lapp-Planned Stock General</v>
      </c>
    </row>
    <row r="399" spans="1:18" ht="13.5" customHeight="1" x14ac:dyDescent="0.25">
      <c r="A399" s="9">
        <v>46098</v>
      </c>
      <c r="B399" s="10" t="s">
        <v>788</v>
      </c>
      <c r="C399" s="11" t="s">
        <v>747</v>
      </c>
      <c r="D399" s="10" t="s">
        <v>648</v>
      </c>
      <c r="E399" s="12" t="s">
        <v>1072</v>
      </c>
      <c r="F399" s="12" t="s">
        <v>649</v>
      </c>
      <c r="G399" s="13">
        <v>8000</v>
      </c>
      <c r="H399" s="14">
        <v>8000</v>
      </c>
      <c r="I399" s="15">
        <v>10.95</v>
      </c>
      <c r="J399" s="16"/>
      <c r="K399" s="17">
        <v>87600</v>
      </c>
      <c r="L399" s="18">
        <v>46178</v>
      </c>
      <c r="M399" s="6" t="str">
        <f t="shared" si="18"/>
        <v>Schedule order</v>
      </c>
      <c r="N399" s="8">
        <f t="shared" ca="1" si="19"/>
        <v>23</v>
      </c>
      <c r="O399" s="8" t="str">
        <f t="shared" ca="1" si="20"/>
        <v>Lattest or shedule order</v>
      </c>
      <c r="P399" t="str">
        <f>VLOOKUP(C399,[1]Customer_Master!$A:$B,2,0)</f>
        <v>Group 1-Giridhar-Peenya</v>
      </c>
      <c r="Q399" t="str">
        <f>VLOOKUP(D399,[2]Template!$A:$D,3,0)</f>
        <v>LAPP</v>
      </c>
      <c r="R399" t="str">
        <f>VLOOKUP(D399,[2]Template!$A:$D,4,0)</f>
        <v>Lapp-Planned Stock General</v>
      </c>
    </row>
    <row r="400" spans="1:18" ht="13.5" customHeight="1" x14ac:dyDescent="0.25">
      <c r="A400" s="9">
        <v>46098</v>
      </c>
      <c r="B400" s="10" t="s">
        <v>788</v>
      </c>
      <c r="C400" s="11" t="s">
        <v>747</v>
      </c>
      <c r="D400" s="10" t="s">
        <v>336</v>
      </c>
      <c r="E400" s="12" t="s">
        <v>1072</v>
      </c>
      <c r="F400" s="12" t="s">
        <v>119</v>
      </c>
      <c r="G400" s="13">
        <v>1500</v>
      </c>
      <c r="H400" s="14">
        <v>1500</v>
      </c>
      <c r="I400" s="15">
        <v>54.04</v>
      </c>
      <c r="J400" s="16"/>
      <c r="K400" s="17">
        <v>81060</v>
      </c>
      <c r="L400" s="18">
        <v>46178</v>
      </c>
      <c r="M400" s="6" t="str">
        <f t="shared" si="18"/>
        <v>Schedule order</v>
      </c>
      <c r="N400" s="8">
        <f t="shared" ca="1" si="19"/>
        <v>23</v>
      </c>
      <c r="O400" s="8" t="str">
        <f t="shared" ca="1" si="20"/>
        <v>Lattest or shedule order</v>
      </c>
      <c r="P400" t="str">
        <f>VLOOKUP(C400,[1]Customer_Master!$A:$B,2,0)</f>
        <v>Group 1-Giridhar-Peenya</v>
      </c>
      <c r="Q400" t="str">
        <f>VLOOKUP(D400,[2]Template!$A:$D,3,0)</f>
        <v>LAPP</v>
      </c>
      <c r="R400" t="str">
        <f>VLOOKUP(D400,[2]Template!$A:$D,4,0)</f>
        <v>Lapp-Planned Stock General</v>
      </c>
    </row>
    <row r="401" spans="1:18" ht="13.5" customHeight="1" x14ac:dyDescent="0.25">
      <c r="A401" s="9">
        <v>46098</v>
      </c>
      <c r="B401" s="10" t="s">
        <v>788</v>
      </c>
      <c r="C401" s="11" t="s">
        <v>747</v>
      </c>
      <c r="D401" s="10" t="s">
        <v>360</v>
      </c>
      <c r="E401" s="12" t="s">
        <v>1072</v>
      </c>
      <c r="F401" s="12" t="s">
        <v>141</v>
      </c>
      <c r="G401" s="13">
        <v>700</v>
      </c>
      <c r="H401" s="14">
        <v>700</v>
      </c>
      <c r="I401" s="15">
        <v>81.900000000000006</v>
      </c>
      <c r="J401" s="16"/>
      <c r="K401" s="17">
        <v>57330</v>
      </c>
      <c r="L401" s="18">
        <v>46178</v>
      </c>
      <c r="M401" s="6" t="str">
        <f t="shared" si="18"/>
        <v>Schedule order</v>
      </c>
      <c r="N401" s="8">
        <f t="shared" ca="1" si="19"/>
        <v>23</v>
      </c>
      <c r="O401" s="8" t="str">
        <f t="shared" ca="1" si="20"/>
        <v>Lattest or shedule order</v>
      </c>
      <c r="P401" t="str">
        <f>VLOOKUP(C401,[1]Customer_Master!$A:$B,2,0)</f>
        <v>Group 1-Giridhar-Peenya</v>
      </c>
      <c r="Q401" t="str">
        <f>VLOOKUP(D401,[2]Template!$A:$D,3,0)</f>
        <v>LAPP</v>
      </c>
      <c r="R401" t="str">
        <f>VLOOKUP(D401,[2]Template!$A:$D,4,0)</f>
        <v>Lapp-Planned Stock General</v>
      </c>
    </row>
    <row r="402" spans="1:18" ht="13.5" customHeight="1" x14ac:dyDescent="0.25">
      <c r="A402" s="9">
        <v>46098</v>
      </c>
      <c r="B402" s="10" t="s">
        <v>788</v>
      </c>
      <c r="C402" s="11" t="s">
        <v>747</v>
      </c>
      <c r="D402" s="10" t="s">
        <v>654</v>
      </c>
      <c r="E402" s="12" t="s">
        <v>1072</v>
      </c>
      <c r="F402" s="12" t="s">
        <v>655</v>
      </c>
      <c r="G402" s="13">
        <v>7000</v>
      </c>
      <c r="H402" s="14">
        <v>7000</v>
      </c>
      <c r="I402" s="15">
        <v>28.51</v>
      </c>
      <c r="J402" s="16"/>
      <c r="K402" s="17">
        <v>199570</v>
      </c>
      <c r="L402" s="18">
        <v>46178</v>
      </c>
      <c r="M402" s="6" t="str">
        <f t="shared" si="18"/>
        <v>Schedule order</v>
      </c>
      <c r="N402" s="8">
        <f t="shared" ca="1" si="19"/>
        <v>23</v>
      </c>
      <c r="O402" s="8" t="str">
        <f t="shared" ca="1" si="20"/>
        <v>Lattest or shedule order</v>
      </c>
      <c r="P402" t="str">
        <f>VLOOKUP(C402,[1]Customer_Master!$A:$B,2,0)</f>
        <v>Group 1-Giridhar-Peenya</v>
      </c>
      <c r="Q402" t="str">
        <f>VLOOKUP(D402,[2]Template!$A:$D,3,0)</f>
        <v>LAPP</v>
      </c>
      <c r="R402" t="str">
        <f>VLOOKUP(D402,[2]Template!$A:$D,4,0)</f>
        <v>Lapp-Ace Group</v>
      </c>
    </row>
    <row r="403" spans="1:18" ht="13.5" customHeight="1" x14ac:dyDescent="0.25">
      <c r="A403" s="9">
        <v>46098</v>
      </c>
      <c r="B403" s="10" t="s">
        <v>788</v>
      </c>
      <c r="C403" s="11" t="s">
        <v>747</v>
      </c>
      <c r="D403" s="10" t="s">
        <v>656</v>
      </c>
      <c r="E403" s="12" t="s">
        <v>1072</v>
      </c>
      <c r="F403" s="12" t="s">
        <v>657</v>
      </c>
      <c r="G403" s="13">
        <v>1000</v>
      </c>
      <c r="H403" s="14">
        <v>1000</v>
      </c>
      <c r="I403" s="15">
        <v>29.75</v>
      </c>
      <c r="J403" s="16"/>
      <c r="K403" s="17">
        <v>29750</v>
      </c>
      <c r="L403" s="18">
        <v>46178</v>
      </c>
      <c r="M403" s="6" t="str">
        <f t="shared" si="18"/>
        <v>Schedule order</v>
      </c>
      <c r="N403" s="8">
        <f t="shared" ca="1" si="19"/>
        <v>23</v>
      </c>
      <c r="O403" s="8" t="str">
        <f t="shared" ca="1" si="20"/>
        <v>Lattest or shedule order</v>
      </c>
      <c r="P403" t="str">
        <f>VLOOKUP(C403,[1]Customer_Master!$A:$B,2,0)</f>
        <v>Group 1-Giridhar-Peenya</v>
      </c>
      <c r="Q403" t="str">
        <f>VLOOKUP(D403,[2]Template!$A:$D,3,0)</f>
        <v>LAPP</v>
      </c>
      <c r="R403" t="str">
        <f>VLOOKUP(D403,[2]Template!$A:$D,4,0)</f>
        <v>Lapp-Ace Group</v>
      </c>
    </row>
    <row r="404" spans="1:18" ht="13.5" customHeight="1" x14ac:dyDescent="0.25">
      <c r="A404" s="9">
        <v>46098</v>
      </c>
      <c r="B404" s="10" t="s">
        <v>788</v>
      </c>
      <c r="C404" s="11" t="s">
        <v>747</v>
      </c>
      <c r="D404" s="10" t="s">
        <v>782</v>
      </c>
      <c r="E404" s="12" t="s">
        <v>1072</v>
      </c>
      <c r="F404" s="12" t="s">
        <v>783</v>
      </c>
      <c r="G404" s="13">
        <v>500</v>
      </c>
      <c r="H404" s="14">
        <v>500</v>
      </c>
      <c r="I404" s="15">
        <v>38.700000000000003</v>
      </c>
      <c r="J404" s="16"/>
      <c r="K404" s="17">
        <v>19350</v>
      </c>
      <c r="L404" s="18">
        <v>46178</v>
      </c>
      <c r="M404" s="6" t="str">
        <f t="shared" si="18"/>
        <v>Schedule order</v>
      </c>
      <c r="N404" s="8">
        <f t="shared" ca="1" si="19"/>
        <v>23</v>
      </c>
      <c r="O404" s="8" t="str">
        <f t="shared" ca="1" si="20"/>
        <v>Lattest or shedule order</v>
      </c>
      <c r="P404" t="str">
        <f>VLOOKUP(C404,[1]Customer_Master!$A:$B,2,0)</f>
        <v>Group 1-Giridhar-Peenya</v>
      </c>
      <c r="Q404" t="str">
        <f>VLOOKUP(D404,[2]Template!$A:$D,3,0)</f>
        <v>LAPP</v>
      </c>
      <c r="R404" t="str">
        <f>VLOOKUP(D404,[2]Template!$A:$D,4,0)</f>
        <v>Lapp-Ace Group</v>
      </c>
    </row>
    <row r="405" spans="1:18" ht="13.5" customHeight="1" x14ac:dyDescent="0.25">
      <c r="A405" s="9">
        <v>46098</v>
      </c>
      <c r="B405" s="10" t="s">
        <v>788</v>
      </c>
      <c r="C405" s="11" t="s">
        <v>747</v>
      </c>
      <c r="D405" s="10" t="s">
        <v>702</v>
      </c>
      <c r="E405" s="12" t="s">
        <v>1072</v>
      </c>
      <c r="F405" s="12" t="s">
        <v>703</v>
      </c>
      <c r="G405" s="13">
        <v>5000</v>
      </c>
      <c r="H405" s="14">
        <v>5000</v>
      </c>
      <c r="I405" s="15">
        <v>10.95</v>
      </c>
      <c r="J405" s="16"/>
      <c r="K405" s="17">
        <v>54750</v>
      </c>
      <c r="L405" s="18">
        <v>46178</v>
      </c>
      <c r="M405" s="6" t="str">
        <f t="shared" si="18"/>
        <v>Schedule order</v>
      </c>
      <c r="N405" s="8">
        <f t="shared" ca="1" si="19"/>
        <v>23</v>
      </c>
      <c r="O405" s="8" t="str">
        <f t="shared" ca="1" si="20"/>
        <v>Lattest or shedule order</v>
      </c>
      <c r="P405" t="str">
        <f>VLOOKUP(C405,[1]Customer_Master!$A:$B,2,0)</f>
        <v>Group 1-Giridhar-Peenya</v>
      </c>
      <c r="Q405" t="str">
        <f>VLOOKUP(D405,[2]Template!$A:$D,3,0)</f>
        <v>LAPP</v>
      </c>
      <c r="R405" t="str">
        <f>VLOOKUP(D405,[2]Template!$A:$D,4,0)</f>
        <v>Lapp-Planned Stock General</v>
      </c>
    </row>
    <row r="406" spans="1:18" ht="13.5" customHeight="1" x14ac:dyDescent="0.25">
      <c r="A406" s="9">
        <v>46098</v>
      </c>
      <c r="B406" s="10" t="s">
        <v>788</v>
      </c>
      <c r="C406" s="11" t="s">
        <v>747</v>
      </c>
      <c r="D406" s="10" t="s">
        <v>658</v>
      </c>
      <c r="E406" s="12" t="s">
        <v>1072</v>
      </c>
      <c r="F406" s="12" t="s">
        <v>659</v>
      </c>
      <c r="G406" s="13">
        <v>500</v>
      </c>
      <c r="H406" s="14">
        <v>500</v>
      </c>
      <c r="I406" s="15">
        <v>52.23</v>
      </c>
      <c r="J406" s="16"/>
      <c r="K406" s="17">
        <v>26115</v>
      </c>
      <c r="L406" s="18">
        <v>46178</v>
      </c>
      <c r="M406" s="6" t="str">
        <f t="shared" si="18"/>
        <v>Schedule order</v>
      </c>
      <c r="N406" s="8">
        <f t="shared" ca="1" si="19"/>
        <v>23</v>
      </c>
      <c r="O406" s="8" t="str">
        <f t="shared" ca="1" si="20"/>
        <v>Lattest or shedule order</v>
      </c>
      <c r="P406" t="str">
        <f>VLOOKUP(C406,[1]Customer_Master!$A:$B,2,0)</f>
        <v>Group 1-Giridhar-Peenya</v>
      </c>
      <c r="Q406" t="str">
        <f>VLOOKUP(D406,[2]Template!$A:$D,3,0)</f>
        <v>LAPP</v>
      </c>
      <c r="R406" t="str">
        <f>VLOOKUP(D406,[2]Template!$A:$D,4,0)</f>
        <v>Lapp-Ace Group</v>
      </c>
    </row>
    <row r="407" spans="1:18" ht="13.5" customHeight="1" x14ac:dyDescent="0.25">
      <c r="A407" s="9">
        <v>46098</v>
      </c>
      <c r="B407" s="10" t="s">
        <v>788</v>
      </c>
      <c r="C407" s="11" t="s">
        <v>747</v>
      </c>
      <c r="D407" s="10" t="s">
        <v>333</v>
      </c>
      <c r="E407" s="12" t="s">
        <v>1072</v>
      </c>
      <c r="F407" s="12" t="s">
        <v>120</v>
      </c>
      <c r="G407" s="13">
        <v>1000</v>
      </c>
      <c r="H407" s="14">
        <v>1000</v>
      </c>
      <c r="I407" s="15">
        <v>41.4</v>
      </c>
      <c r="J407" s="16"/>
      <c r="K407" s="17">
        <v>41400</v>
      </c>
      <c r="L407" s="18">
        <v>46178</v>
      </c>
      <c r="M407" s="6" t="str">
        <f t="shared" si="18"/>
        <v>Schedule order</v>
      </c>
      <c r="N407" s="8">
        <f t="shared" ca="1" si="19"/>
        <v>23</v>
      </c>
      <c r="O407" s="8" t="str">
        <f t="shared" ca="1" si="20"/>
        <v>Lattest or shedule order</v>
      </c>
      <c r="P407" t="str">
        <f>VLOOKUP(C407,[1]Customer_Master!$A:$B,2,0)</f>
        <v>Group 1-Giridhar-Peenya</v>
      </c>
      <c r="Q407" t="str">
        <f>VLOOKUP(D407,[2]Template!$A:$D,3,0)</f>
        <v>LAPP</v>
      </c>
      <c r="R407" t="str">
        <f>VLOOKUP(D407,[2]Template!$A:$D,4,0)</f>
        <v>Lapp-Ace Group</v>
      </c>
    </row>
    <row r="408" spans="1:18" ht="13.5" customHeight="1" x14ac:dyDescent="0.25">
      <c r="A408" s="9">
        <v>46098</v>
      </c>
      <c r="B408" s="10" t="s">
        <v>788</v>
      </c>
      <c r="C408" s="11" t="s">
        <v>747</v>
      </c>
      <c r="D408" s="10" t="s">
        <v>362</v>
      </c>
      <c r="E408" s="12" t="s">
        <v>1072</v>
      </c>
      <c r="F408" s="12" t="s">
        <v>145</v>
      </c>
      <c r="G408" s="13">
        <v>1500</v>
      </c>
      <c r="H408" s="14">
        <v>1500</v>
      </c>
      <c r="I408" s="15">
        <v>47.4</v>
      </c>
      <c r="J408" s="16"/>
      <c r="K408" s="17">
        <v>71100</v>
      </c>
      <c r="L408" s="18">
        <v>46178</v>
      </c>
      <c r="M408" s="6" t="str">
        <f t="shared" si="18"/>
        <v>Schedule order</v>
      </c>
      <c r="N408" s="8">
        <f t="shared" ca="1" si="19"/>
        <v>23</v>
      </c>
      <c r="O408" s="8" t="str">
        <f t="shared" ca="1" si="20"/>
        <v>Lattest or shedule order</v>
      </c>
      <c r="P408" t="str">
        <f>VLOOKUP(C408,[1]Customer_Master!$A:$B,2,0)</f>
        <v>Group 1-Giridhar-Peenya</v>
      </c>
      <c r="Q408" t="str">
        <f>VLOOKUP(D408,[2]Template!$A:$D,3,0)</f>
        <v>LAPP</v>
      </c>
      <c r="R408" t="str">
        <f>VLOOKUP(D408,[2]Template!$A:$D,4,0)</f>
        <v>Lapp-Ace Group</v>
      </c>
    </row>
    <row r="409" spans="1:18" ht="13.5" customHeight="1" x14ac:dyDescent="0.25">
      <c r="A409" s="9">
        <v>46098</v>
      </c>
      <c r="B409" s="10" t="s">
        <v>788</v>
      </c>
      <c r="C409" s="11" t="s">
        <v>747</v>
      </c>
      <c r="D409" s="10" t="s">
        <v>741</v>
      </c>
      <c r="E409" s="12" t="s">
        <v>1072</v>
      </c>
      <c r="F409" s="12" t="s">
        <v>742</v>
      </c>
      <c r="G409" s="13">
        <v>500</v>
      </c>
      <c r="H409" s="14">
        <v>500</v>
      </c>
      <c r="I409" s="15">
        <v>553.77</v>
      </c>
      <c r="J409" s="16"/>
      <c r="K409" s="17">
        <v>276885</v>
      </c>
      <c r="L409" s="18">
        <v>46178</v>
      </c>
      <c r="M409" s="6" t="str">
        <f t="shared" si="18"/>
        <v>Schedule order</v>
      </c>
      <c r="N409" s="8">
        <f t="shared" ca="1" si="19"/>
        <v>23</v>
      </c>
      <c r="O409" s="8" t="str">
        <f t="shared" ca="1" si="20"/>
        <v>Lattest or shedule order</v>
      </c>
      <c r="P409" t="str">
        <f>VLOOKUP(C409,[1]Customer_Master!$A:$B,2,0)</f>
        <v>Group 1-Giridhar-Peenya</v>
      </c>
      <c r="Q409" t="str">
        <f>VLOOKUP(D409,[2]Template!$A:$D,3,0)</f>
        <v>LAPP</v>
      </c>
      <c r="R409" t="str">
        <f>VLOOKUP(D409,[2]Template!$A:$D,4,0)</f>
        <v>Lapp-Ace Group</v>
      </c>
    </row>
    <row r="410" spans="1:18" ht="13.5" customHeight="1" x14ac:dyDescent="0.25">
      <c r="A410" s="9">
        <v>46098</v>
      </c>
      <c r="B410" s="10" t="s">
        <v>788</v>
      </c>
      <c r="C410" s="11" t="s">
        <v>747</v>
      </c>
      <c r="D410" s="10" t="s">
        <v>331</v>
      </c>
      <c r="E410" s="12" t="s">
        <v>1072</v>
      </c>
      <c r="F410" s="12" t="s">
        <v>115</v>
      </c>
      <c r="G410" s="13">
        <v>100</v>
      </c>
      <c r="H410" s="14">
        <v>100</v>
      </c>
      <c r="I410" s="15">
        <v>227.65</v>
      </c>
      <c r="J410" s="16"/>
      <c r="K410" s="17">
        <v>22765</v>
      </c>
      <c r="L410" s="18">
        <v>46178</v>
      </c>
      <c r="M410" s="6" t="str">
        <f t="shared" si="18"/>
        <v>Schedule order</v>
      </c>
      <c r="N410" s="8">
        <f t="shared" ca="1" si="19"/>
        <v>23</v>
      </c>
      <c r="O410" s="8" t="str">
        <f t="shared" ca="1" si="20"/>
        <v>Lattest or shedule order</v>
      </c>
      <c r="P410" t="str">
        <f>VLOOKUP(C410,[1]Customer_Master!$A:$B,2,0)</f>
        <v>Group 1-Giridhar-Peenya</v>
      </c>
      <c r="Q410" t="str">
        <f>VLOOKUP(D410,[2]Template!$A:$D,3,0)</f>
        <v>LAPP</v>
      </c>
      <c r="R410" t="str">
        <f>VLOOKUP(D410,[2]Template!$A:$D,4,0)</f>
        <v>Lapp-Ace Group</v>
      </c>
    </row>
    <row r="411" spans="1:18" ht="13.5" customHeight="1" x14ac:dyDescent="0.25">
      <c r="A411" s="9">
        <v>46098</v>
      </c>
      <c r="B411" s="10" t="s">
        <v>788</v>
      </c>
      <c r="C411" s="11" t="s">
        <v>747</v>
      </c>
      <c r="D411" s="10" t="s">
        <v>785</v>
      </c>
      <c r="E411" s="12" t="s">
        <v>1072</v>
      </c>
      <c r="F411" s="12" t="s">
        <v>786</v>
      </c>
      <c r="G411" s="13">
        <v>1000</v>
      </c>
      <c r="H411" s="14">
        <v>1000</v>
      </c>
      <c r="I411" s="15">
        <v>71.02</v>
      </c>
      <c r="J411" s="16"/>
      <c r="K411" s="17">
        <v>71020</v>
      </c>
      <c r="L411" s="18">
        <v>46178</v>
      </c>
      <c r="M411" s="6" t="str">
        <f t="shared" si="18"/>
        <v>Schedule order</v>
      </c>
      <c r="N411" s="8">
        <f t="shared" ca="1" si="19"/>
        <v>23</v>
      </c>
      <c r="O411" s="8" t="str">
        <f t="shared" ca="1" si="20"/>
        <v>Lattest or shedule order</v>
      </c>
      <c r="P411" t="str">
        <f>VLOOKUP(C411,[1]Customer_Master!$A:$B,2,0)</f>
        <v>Group 1-Giridhar-Peenya</v>
      </c>
      <c r="Q411" t="str">
        <f>VLOOKUP(D411,[2]Template!$A:$D,3,0)</f>
        <v>LAPP</v>
      </c>
      <c r="R411" t="str">
        <f>VLOOKUP(D411,[2]Template!$A:$D,4,0)</f>
        <v>Lapp-Ace Group</v>
      </c>
    </row>
    <row r="412" spans="1:18" ht="13.5" customHeight="1" x14ac:dyDescent="0.25">
      <c r="A412" s="9">
        <v>46098</v>
      </c>
      <c r="B412" s="10" t="s">
        <v>788</v>
      </c>
      <c r="C412" s="11" t="s">
        <v>747</v>
      </c>
      <c r="D412" s="10" t="s">
        <v>342</v>
      </c>
      <c r="E412" s="12" t="s">
        <v>1072</v>
      </c>
      <c r="F412" s="12" t="s">
        <v>125</v>
      </c>
      <c r="G412" s="13">
        <v>2000</v>
      </c>
      <c r="H412" s="14">
        <v>2000</v>
      </c>
      <c r="I412" s="15">
        <v>81.900000000000006</v>
      </c>
      <c r="J412" s="16"/>
      <c r="K412" s="17">
        <v>163800</v>
      </c>
      <c r="L412" s="18">
        <v>46178</v>
      </c>
      <c r="M412" s="6" t="str">
        <f t="shared" si="18"/>
        <v>Schedule order</v>
      </c>
      <c r="N412" s="8">
        <f t="shared" ca="1" si="19"/>
        <v>23</v>
      </c>
      <c r="O412" s="8" t="str">
        <f t="shared" ca="1" si="20"/>
        <v>Lattest or shedule order</v>
      </c>
      <c r="P412" t="str">
        <f>VLOOKUP(C412,[1]Customer_Master!$A:$B,2,0)</f>
        <v>Group 1-Giridhar-Peenya</v>
      </c>
      <c r="Q412" t="str">
        <f>VLOOKUP(D412,[2]Template!$A:$D,3,0)</f>
        <v>LAPP</v>
      </c>
      <c r="R412" t="str">
        <f>VLOOKUP(D412,[2]Template!$A:$D,4,0)</f>
        <v>Lapp-Planned Stock General</v>
      </c>
    </row>
    <row r="413" spans="1:18" ht="13.5" customHeight="1" x14ac:dyDescent="0.25">
      <c r="A413" s="9">
        <v>46098</v>
      </c>
      <c r="B413" s="10" t="s">
        <v>788</v>
      </c>
      <c r="C413" s="11" t="s">
        <v>747</v>
      </c>
      <c r="D413" s="10" t="s">
        <v>512</v>
      </c>
      <c r="E413" s="12" t="s">
        <v>1072</v>
      </c>
      <c r="F413" s="12" t="s">
        <v>513</v>
      </c>
      <c r="G413" s="13">
        <v>1500</v>
      </c>
      <c r="H413" s="14">
        <v>1500</v>
      </c>
      <c r="I413" s="15">
        <v>58.69</v>
      </c>
      <c r="J413" s="16"/>
      <c r="K413" s="17">
        <v>88035</v>
      </c>
      <c r="L413" s="18">
        <v>46178</v>
      </c>
      <c r="M413" s="6" t="str">
        <f t="shared" si="18"/>
        <v>Schedule order</v>
      </c>
      <c r="N413" s="8">
        <f t="shared" ca="1" si="19"/>
        <v>23</v>
      </c>
      <c r="O413" s="8" t="str">
        <f t="shared" ca="1" si="20"/>
        <v>Lattest or shedule order</v>
      </c>
      <c r="P413" t="str">
        <f>VLOOKUP(C413,[1]Customer_Master!$A:$B,2,0)</f>
        <v>Group 1-Giridhar-Peenya</v>
      </c>
      <c r="Q413" t="str">
        <f>VLOOKUP(D413,[2]Template!$A:$D,3,0)</f>
        <v>LAPP</v>
      </c>
      <c r="R413" t="str">
        <f>VLOOKUP(D413,[2]Template!$A:$D,4,0)</f>
        <v>Lapp-Ace Group</v>
      </c>
    </row>
    <row r="414" spans="1:18" ht="13.5" customHeight="1" x14ac:dyDescent="0.25">
      <c r="A414" s="9">
        <v>46098</v>
      </c>
      <c r="B414" s="10" t="s">
        <v>788</v>
      </c>
      <c r="C414" s="11" t="s">
        <v>747</v>
      </c>
      <c r="D414" s="10" t="s">
        <v>316</v>
      </c>
      <c r="E414" s="12" t="s">
        <v>1072</v>
      </c>
      <c r="F414" s="12" t="s">
        <v>32</v>
      </c>
      <c r="G414" s="13">
        <v>200</v>
      </c>
      <c r="H414" s="14">
        <v>200</v>
      </c>
      <c r="I414" s="15">
        <v>91.46</v>
      </c>
      <c r="J414" s="16"/>
      <c r="K414" s="17">
        <v>18292</v>
      </c>
      <c r="L414" s="18">
        <v>46178</v>
      </c>
      <c r="M414" s="6" t="str">
        <f t="shared" si="18"/>
        <v>Schedule order</v>
      </c>
      <c r="N414" s="8">
        <f t="shared" ca="1" si="19"/>
        <v>23</v>
      </c>
      <c r="O414" s="8" t="str">
        <f t="shared" ca="1" si="20"/>
        <v>Lattest or shedule order</v>
      </c>
      <c r="P414" t="str">
        <f>VLOOKUP(C414,[1]Customer_Master!$A:$B,2,0)</f>
        <v>Group 1-Giridhar-Peenya</v>
      </c>
      <c r="Q414" t="str">
        <f>VLOOKUP(D414,[2]Template!$A:$D,3,0)</f>
        <v>LAPP</v>
      </c>
      <c r="R414" t="str">
        <f>VLOOKUP(D414,[2]Template!$A:$D,4,0)</f>
        <v>Lapp-Ace Group</v>
      </c>
    </row>
    <row r="415" spans="1:18" ht="13.5" customHeight="1" x14ac:dyDescent="0.25">
      <c r="A415" s="9">
        <v>46098</v>
      </c>
      <c r="B415" s="10" t="s">
        <v>788</v>
      </c>
      <c r="C415" s="11" t="s">
        <v>747</v>
      </c>
      <c r="D415" s="10" t="s">
        <v>334</v>
      </c>
      <c r="E415" s="12" t="s">
        <v>1072</v>
      </c>
      <c r="F415" s="12" t="s">
        <v>87</v>
      </c>
      <c r="G415" s="13">
        <v>300</v>
      </c>
      <c r="H415" s="14">
        <v>300</v>
      </c>
      <c r="I415" s="15">
        <v>33.590000000000003</v>
      </c>
      <c r="J415" s="16"/>
      <c r="K415" s="17">
        <v>10077</v>
      </c>
      <c r="L415" s="18">
        <v>46178</v>
      </c>
      <c r="M415" s="6" t="str">
        <f t="shared" si="18"/>
        <v>Schedule order</v>
      </c>
      <c r="N415" s="8">
        <f t="shared" ca="1" si="19"/>
        <v>23</v>
      </c>
      <c r="O415" s="8" t="str">
        <f t="shared" ca="1" si="20"/>
        <v>Lattest or shedule order</v>
      </c>
      <c r="P415" t="str">
        <f>VLOOKUP(C415,[1]Customer_Master!$A:$B,2,0)</f>
        <v>Group 1-Giridhar-Peenya</v>
      </c>
      <c r="Q415" t="str">
        <f>VLOOKUP(D415,[2]Template!$A:$D,3,0)</f>
        <v>LAPP</v>
      </c>
      <c r="R415" t="str">
        <f>VLOOKUP(D415,[2]Template!$A:$D,4,0)</f>
        <v>Lapp-Planned Stock General</v>
      </c>
    </row>
    <row r="416" spans="1:18" ht="13.5" customHeight="1" x14ac:dyDescent="0.25">
      <c r="A416" s="9">
        <v>46098</v>
      </c>
      <c r="B416" s="10" t="s">
        <v>788</v>
      </c>
      <c r="C416" s="11" t="s">
        <v>747</v>
      </c>
      <c r="D416" s="10" t="s">
        <v>357</v>
      </c>
      <c r="E416" s="12" t="s">
        <v>1072</v>
      </c>
      <c r="F416" s="12" t="s">
        <v>53</v>
      </c>
      <c r="G416" s="13">
        <v>300</v>
      </c>
      <c r="H416" s="14">
        <v>300</v>
      </c>
      <c r="I416" s="15">
        <v>20.46</v>
      </c>
      <c r="J416" s="16"/>
      <c r="K416" s="17">
        <v>6138</v>
      </c>
      <c r="L416" s="18">
        <v>46178</v>
      </c>
      <c r="M416" s="6" t="str">
        <f t="shared" si="18"/>
        <v>Schedule order</v>
      </c>
      <c r="N416" s="8">
        <f t="shared" ca="1" si="19"/>
        <v>23</v>
      </c>
      <c r="O416" s="8" t="str">
        <f t="shared" ca="1" si="20"/>
        <v>Lattest or shedule order</v>
      </c>
      <c r="P416" t="str">
        <f>VLOOKUP(C416,[1]Customer_Master!$A:$B,2,0)</f>
        <v>Group 1-Giridhar-Peenya</v>
      </c>
      <c r="Q416" t="str">
        <f>VLOOKUP(D416,[2]Template!$A:$D,3,0)</f>
        <v>LAPP</v>
      </c>
      <c r="R416" t="str">
        <f>VLOOKUP(D416,[2]Template!$A:$D,4,0)</f>
        <v>Lapp-Planned Stock General</v>
      </c>
    </row>
    <row r="417" spans="1:18" ht="13.5" customHeight="1" x14ac:dyDescent="0.25">
      <c r="A417" s="9">
        <v>46098</v>
      </c>
      <c r="B417" s="10" t="s">
        <v>788</v>
      </c>
      <c r="C417" s="11" t="s">
        <v>747</v>
      </c>
      <c r="D417" s="10" t="s">
        <v>356</v>
      </c>
      <c r="E417" s="12" t="s">
        <v>1072</v>
      </c>
      <c r="F417" s="12" t="s">
        <v>136</v>
      </c>
      <c r="G417" s="13">
        <v>1000</v>
      </c>
      <c r="H417" s="14">
        <v>1000</v>
      </c>
      <c r="I417" s="15">
        <v>33.68</v>
      </c>
      <c r="J417" s="16"/>
      <c r="K417" s="17">
        <v>33680</v>
      </c>
      <c r="L417" s="18">
        <v>46178</v>
      </c>
      <c r="M417" s="6" t="str">
        <f t="shared" si="18"/>
        <v>Schedule order</v>
      </c>
      <c r="N417" s="8">
        <f t="shared" ca="1" si="19"/>
        <v>23</v>
      </c>
      <c r="O417" s="8" t="str">
        <f t="shared" ca="1" si="20"/>
        <v>Lattest or shedule order</v>
      </c>
      <c r="P417" t="str">
        <f>VLOOKUP(C417,[1]Customer_Master!$A:$B,2,0)</f>
        <v>Group 1-Giridhar-Peenya</v>
      </c>
      <c r="Q417" t="str">
        <f>VLOOKUP(D417,[2]Template!$A:$D,3,0)</f>
        <v>LAPP</v>
      </c>
      <c r="R417" t="str">
        <f>VLOOKUP(D417,[2]Template!$A:$D,4,0)</f>
        <v>Lapp-Planned Stock General</v>
      </c>
    </row>
    <row r="418" spans="1:18" ht="13.5" customHeight="1" x14ac:dyDescent="0.25">
      <c r="A418" s="9">
        <v>46098</v>
      </c>
      <c r="B418" s="10" t="s">
        <v>788</v>
      </c>
      <c r="C418" s="11" t="s">
        <v>747</v>
      </c>
      <c r="D418" s="10" t="s">
        <v>650</v>
      </c>
      <c r="E418" s="12" t="s">
        <v>1072</v>
      </c>
      <c r="F418" s="12" t="s">
        <v>651</v>
      </c>
      <c r="G418" s="13">
        <v>100</v>
      </c>
      <c r="H418" s="14">
        <v>100</v>
      </c>
      <c r="I418" s="15">
        <v>136.66999999999999</v>
      </c>
      <c r="J418" s="16"/>
      <c r="K418" s="17">
        <v>13667</v>
      </c>
      <c r="L418" s="18">
        <v>46178</v>
      </c>
      <c r="M418" s="6" t="str">
        <f t="shared" si="18"/>
        <v>Schedule order</v>
      </c>
      <c r="N418" s="8">
        <f t="shared" ca="1" si="19"/>
        <v>23</v>
      </c>
      <c r="O418" s="8" t="str">
        <f t="shared" ca="1" si="20"/>
        <v>Lattest or shedule order</v>
      </c>
      <c r="P418" t="str">
        <f>VLOOKUP(C418,[1]Customer_Master!$A:$B,2,0)</f>
        <v>Group 1-Giridhar-Peenya</v>
      </c>
      <c r="Q418" t="str">
        <f>VLOOKUP(D418,[2]Template!$A:$D,3,0)</f>
        <v>LAPP</v>
      </c>
      <c r="R418" t="str">
        <f>VLOOKUP(D418,[2]Template!$A:$D,4,0)</f>
        <v>Lapp-Planned Stock General</v>
      </c>
    </row>
    <row r="419" spans="1:18" ht="13.5" customHeight="1" x14ac:dyDescent="0.25">
      <c r="A419" s="9">
        <v>46098</v>
      </c>
      <c r="B419" s="10" t="s">
        <v>788</v>
      </c>
      <c r="C419" s="11" t="s">
        <v>747</v>
      </c>
      <c r="D419" s="10" t="s">
        <v>354</v>
      </c>
      <c r="E419" s="12" t="s">
        <v>1072</v>
      </c>
      <c r="F419" s="12" t="s">
        <v>134</v>
      </c>
      <c r="G419" s="13">
        <v>400</v>
      </c>
      <c r="H419" s="14">
        <v>400</v>
      </c>
      <c r="I419" s="15">
        <v>141.47999999999999</v>
      </c>
      <c r="J419" s="16"/>
      <c r="K419" s="17">
        <v>56592</v>
      </c>
      <c r="L419" s="18">
        <v>46178</v>
      </c>
      <c r="M419" s="6" t="str">
        <f t="shared" si="18"/>
        <v>Schedule order</v>
      </c>
      <c r="N419" s="8">
        <f t="shared" ca="1" si="19"/>
        <v>23</v>
      </c>
      <c r="O419" s="8" t="str">
        <f t="shared" ca="1" si="20"/>
        <v>Lattest or shedule order</v>
      </c>
      <c r="P419" t="str">
        <f>VLOOKUP(C419,[1]Customer_Master!$A:$B,2,0)</f>
        <v>Group 1-Giridhar-Peenya</v>
      </c>
      <c r="Q419" t="str">
        <f>VLOOKUP(D419,[2]Template!$A:$D,3,0)</f>
        <v>LAPP</v>
      </c>
      <c r="R419" t="str">
        <f>VLOOKUP(D419,[2]Template!$A:$D,4,0)</f>
        <v>Lapp-Planned Stock General</v>
      </c>
    </row>
    <row r="420" spans="1:18" ht="13.5" customHeight="1" x14ac:dyDescent="0.25">
      <c r="A420" s="9">
        <v>46098</v>
      </c>
      <c r="B420" s="10" t="s">
        <v>788</v>
      </c>
      <c r="C420" s="11" t="s">
        <v>747</v>
      </c>
      <c r="D420" s="10" t="s">
        <v>404</v>
      </c>
      <c r="E420" s="12" t="s">
        <v>1072</v>
      </c>
      <c r="F420" s="12" t="s">
        <v>33</v>
      </c>
      <c r="G420" s="13">
        <v>100</v>
      </c>
      <c r="H420" s="14">
        <v>100</v>
      </c>
      <c r="I420" s="15">
        <v>195.15</v>
      </c>
      <c r="J420" s="16"/>
      <c r="K420" s="17">
        <v>19515</v>
      </c>
      <c r="L420" s="18">
        <v>46178</v>
      </c>
      <c r="M420" s="6" t="str">
        <f t="shared" si="18"/>
        <v>Schedule order</v>
      </c>
      <c r="N420" s="8">
        <f t="shared" ca="1" si="19"/>
        <v>23</v>
      </c>
      <c r="O420" s="8" t="str">
        <f t="shared" ca="1" si="20"/>
        <v>Lattest or shedule order</v>
      </c>
      <c r="P420" t="str">
        <f>VLOOKUP(C420,[1]Customer_Master!$A:$B,2,0)</f>
        <v>Group 1-Giridhar-Peenya</v>
      </c>
      <c r="Q420" t="str">
        <f>VLOOKUP(D420,[2]Template!$A:$D,3,0)</f>
        <v>LAPP</v>
      </c>
      <c r="R420" t="str">
        <f>VLOOKUP(D420,[2]Template!$A:$D,4,0)</f>
        <v>Lapp-Ace Group</v>
      </c>
    </row>
    <row r="421" spans="1:18" ht="13.5" customHeight="1" x14ac:dyDescent="0.25">
      <c r="A421" s="9">
        <v>46098</v>
      </c>
      <c r="B421" s="10" t="s">
        <v>789</v>
      </c>
      <c r="C421" s="11" t="s">
        <v>747</v>
      </c>
      <c r="D421" s="10" t="s">
        <v>317</v>
      </c>
      <c r="E421" s="12" t="s">
        <v>1072</v>
      </c>
      <c r="F421" s="12" t="s">
        <v>71</v>
      </c>
      <c r="G421" s="13">
        <v>6000</v>
      </c>
      <c r="H421" s="14">
        <v>6000</v>
      </c>
      <c r="I421" s="15">
        <v>7.87</v>
      </c>
      <c r="J421" s="16"/>
      <c r="K421" s="17">
        <v>47220</v>
      </c>
      <c r="L421" s="18">
        <v>46190</v>
      </c>
      <c r="M421" s="6" t="str">
        <f t="shared" si="18"/>
        <v>Schedule order</v>
      </c>
      <c r="N421" s="8">
        <f t="shared" ca="1" si="19"/>
        <v>35</v>
      </c>
      <c r="O421" s="8" t="str">
        <f t="shared" ca="1" si="20"/>
        <v>Lattest or shedule order</v>
      </c>
      <c r="P421" t="str">
        <f>VLOOKUP(C421,[1]Customer_Master!$A:$B,2,0)</f>
        <v>Group 1-Giridhar-Peenya</v>
      </c>
      <c r="Q421" t="str">
        <f>VLOOKUP(D421,[2]Template!$A:$D,3,0)</f>
        <v>LAPP</v>
      </c>
      <c r="R421" t="str">
        <f>VLOOKUP(D421,[2]Template!$A:$D,4,0)</f>
        <v>Lapp-Planned Stock General</v>
      </c>
    </row>
    <row r="422" spans="1:18" ht="13.5" customHeight="1" x14ac:dyDescent="0.25">
      <c r="A422" s="9">
        <v>46098</v>
      </c>
      <c r="B422" s="10" t="s">
        <v>789</v>
      </c>
      <c r="C422" s="11" t="s">
        <v>747</v>
      </c>
      <c r="D422" s="10" t="s">
        <v>648</v>
      </c>
      <c r="E422" s="12" t="s">
        <v>1072</v>
      </c>
      <c r="F422" s="12" t="s">
        <v>649</v>
      </c>
      <c r="G422" s="13">
        <v>8000</v>
      </c>
      <c r="H422" s="14">
        <v>8000</v>
      </c>
      <c r="I422" s="15">
        <v>10.95</v>
      </c>
      <c r="J422" s="16"/>
      <c r="K422" s="17">
        <v>87600</v>
      </c>
      <c r="L422" s="18">
        <v>46190</v>
      </c>
      <c r="M422" s="6" t="str">
        <f t="shared" si="18"/>
        <v>Schedule order</v>
      </c>
      <c r="N422" s="8">
        <f t="shared" ca="1" si="19"/>
        <v>35</v>
      </c>
      <c r="O422" s="8" t="str">
        <f t="shared" ca="1" si="20"/>
        <v>Lattest or shedule order</v>
      </c>
      <c r="P422" t="str">
        <f>VLOOKUP(C422,[1]Customer_Master!$A:$B,2,0)</f>
        <v>Group 1-Giridhar-Peenya</v>
      </c>
      <c r="Q422" t="str">
        <f>VLOOKUP(D422,[2]Template!$A:$D,3,0)</f>
        <v>LAPP</v>
      </c>
      <c r="R422" t="str">
        <f>VLOOKUP(D422,[2]Template!$A:$D,4,0)</f>
        <v>Lapp-Planned Stock General</v>
      </c>
    </row>
    <row r="423" spans="1:18" ht="13.5" customHeight="1" x14ac:dyDescent="0.25">
      <c r="A423" s="9">
        <v>46098</v>
      </c>
      <c r="B423" s="10" t="s">
        <v>789</v>
      </c>
      <c r="C423" s="11" t="s">
        <v>747</v>
      </c>
      <c r="D423" s="10" t="s">
        <v>336</v>
      </c>
      <c r="E423" s="12" t="s">
        <v>1072</v>
      </c>
      <c r="F423" s="12" t="s">
        <v>119</v>
      </c>
      <c r="G423" s="13">
        <v>1000</v>
      </c>
      <c r="H423" s="14">
        <v>1000</v>
      </c>
      <c r="I423" s="15">
        <v>54.04</v>
      </c>
      <c r="J423" s="16"/>
      <c r="K423" s="17">
        <v>54040</v>
      </c>
      <c r="L423" s="18">
        <v>46190</v>
      </c>
      <c r="M423" s="6" t="str">
        <f t="shared" si="18"/>
        <v>Schedule order</v>
      </c>
      <c r="N423" s="8">
        <f t="shared" ca="1" si="19"/>
        <v>35</v>
      </c>
      <c r="O423" s="8" t="str">
        <f t="shared" ca="1" si="20"/>
        <v>Lattest or shedule order</v>
      </c>
      <c r="P423" t="str">
        <f>VLOOKUP(C423,[1]Customer_Master!$A:$B,2,0)</f>
        <v>Group 1-Giridhar-Peenya</v>
      </c>
      <c r="Q423" t="str">
        <f>VLOOKUP(D423,[2]Template!$A:$D,3,0)</f>
        <v>LAPP</v>
      </c>
      <c r="R423" t="str">
        <f>VLOOKUP(D423,[2]Template!$A:$D,4,0)</f>
        <v>Lapp-Planned Stock General</v>
      </c>
    </row>
    <row r="424" spans="1:18" ht="13.5" customHeight="1" x14ac:dyDescent="0.25">
      <c r="A424" s="9">
        <v>46098</v>
      </c>
      <c r="B424" s="10" t="s">
        <v>789</v>
      </c>
      <c r="C424" s="11" t="s">
        <v>747</v>
      </c>
      <c r="D424" s="10" t="s">
        <v>360</v>
      </c>
      <c r="E424" s="12" t="s">
        <v>1072</v>
      </c>
      <c r="F424" s="12" t="s">
        <v>141</v>
      </c>
      <c r="G424" s="13">
        <v>700</v>
      </c>
      <c r="H424" s="14">
        <v>700</v>
      </c>
      <c r="I424" s="15">
        <v>81.900000000000006</v>
      </c>
      <c r="J424" s="16"/>
      <c r="K424" s="17">
        <v>57330</v>
      </c>
      <c r="L424" s="18">
        <v>46190</v>
      </c>
      <c r="M424" s="6" t="str">
        <f t="shared" si="18"/>
        <v>Schedule order</v>
      </c>
      <c r="N424" s="8">
        <f t="shared" ca="1" si="19"/>
        <v>35</v>
      </c>
      <c r="O424" s="8" t="str">
        <f t="shared" ca="1" si="20"/>
        <v>Lattest or shedule order</v>
      </c>
      <c r="P424" t="str">
        <f>VLOOKUP(C424,[1]Customer_Master!$A:$B,2,0)</f>
        <v>Group 1-Giridhar-Peenya</v>
      </c>
      <c r="Q424" t="str">
        <f>VLOOKUP(D424,[2]Template!$A:$D,3,0)</f>
        <v>LAPP</v>
      </c>
      <c r="R424" t="str">
        <f>VLOOKUP(D424,[2]Template!$A:$D,4,0)</f>
        <v>Lapp-Planned Stock General</v>
      </c>
    </row>
    <row r="425" spans="1:18" ht="13.5" customHeight="1" x14ac:dyDescent="0.25">
      <c r="A425" s="9">
        <v>46098</v>
      </c>
      <c r="B425" s="10" t="s">
        <v>789</v>
      </c>
      <c r="C425" s="11" t="s">
        <v>747</v>
      </c>
      <c r="D425" s="10" t="s">
        <v>654</v>
      </c>
      <c r="E425" s="12" t="s">
        <v>1072</v>
      </c>
      <c r="F425" s="12" t="s">
        <v>655</v>
      </c>
      <c r="G425" s="13">
        <v>7000</v>
      </c>
      <c r="H425" s="14">
        <v>7000</v>
      </c>
      <c r="I425" s="15">
        <v>28.51</v>
      </c>
      <c r="J425" s="16"/>
      <c r="K425" s="17">
        <v>199570</v>
      </c>
      <c r="L425" s="18">
        <v>46190</v>
      </c>
      <c r="M425" s="6" t="str">
        <f t="shared" si="18"/>
        <v>Schedule order</v>
      </c>
      <c r="N425" s="8">
        <f t="shared" ca="1" si="19"/>
        <v>35</v>
      </c>
      <c r="O425" s="8" t="str">
        <f t="shared" ca="1" si="20"/>
        <v>Lattest or shedule order</v>
      </c>
      <c r="P425" t="str">
        <f>VLOOKUP(C425,[1]Customer_Master!$A:$B,2,0)</f>
        <v>Group 1-Giridhar-Peenya</v>
      </c>
      <c r="Q425" t="str">
        <f>VLOOKUP(D425,[2]Template!$A:$D,3,0)</f>
        <v>LAPP</v>
      </c>
      <c r="R425" t="str">
        <f>VLOOKUP(D425,[2]Template!$A:$D,4,0)</f>
        <v>Lapp-Ace Group</v>
      </c>
    </row>
    <row r="426" spans="1:18" ht="13.5" customHeight="1" x14ac:dyDescent="0.25">
      <c r="A426" s="9">
        <v>46098</v>
      </c>
      <c r="B426" s="10" t="s">
        <v>789</v>
      </c>
      <c r="C426" s="11" t="s">
        <v>747</v>
      </c>
      <c r="D426" s="10" t="s">
        <v>656</v>
      </c>
      <c r="E426" s="12" t="s">
        <v>1072</v>
      </c>
      <c r="F426" s="12" t="s">
        <v>657</v>
      </c>
      <c r="G426" s="13">
        <v>1000</v>
      </c>
      <c r="H426" s="14">
        <v>1000</v>
      </c>
      <c r="I426" s="15">
        <v>29.75</v>
      </c>
      <c r="J426" s="16"/>
      <c r="K426" s="17">
        <v>29750</v>
      </c>
      <c r="L426" s="18">
        <v>46190</v>
      </c>
      <c r="M426" s="6" t="str">
        <f t="shared" si="18"/>
        <v>Schedule order</v>
      </c>
      <c r="N426" s="8">
        <f t="shared" ca="1" si="19"/>
        <v>35</v>
      </c>
      <c r="O426" s="8" t="str">
        <f t="shared" ca="1" si="20"/>
        <v>Lattest or shedule order</v>
      </c>
      <c r="P426" t="str">
        <f>VLOOKUP(C426,[1]Customer_Master!$A:$B,2,0)</f>
        <v>Group 1-Giridhar-Peenya</v>
      </c>
      <c r="Q426" t="str">
        <f>VLOOKUP(D426,[2]Template!$A:$D,3,0)</f>
        <v>LAPP</v>
      </c>
      <c r="R426" t="str">
        <f>VLOOKUP(D426,[2]Template!$A:$D,4,0)</f>
        <v>Lapp-Ace Group</v>
      </c>
    </row>
    <row r="427" spans="1:18" ht="13.5" customHeight="1" x14ac:dyDescent="0.25">
      <c r="A427" s="9">
        <v>46098</v>
      </c>
      <c r="B427" s="10" t="s">
        <v>789</v>
      </c>
      <c r="C427" s="11" t="s">
        <v>747</v>
      </c>
      <c r="D427" s="10" t="s">
        <v>782</v>
      </c>
      <c r="E427" s="12" t="s">
        <v>1072</v>
      </c>
      <c r="F427" s="12" t="s">
        <v>783</v>
      </c>
      <c r="G427" s="13">
        <v>500</v>
      </c>
      <c r="H427" s="14">
        <v>500</v>
      </c>
      <c r="I427" s="15">
        <v>38.700000000000003</v>
      </c>
      <c r="J427" s="16"/>
      <c r="K427" s="17">
        <v>19350</v>
      </c>
      <c r="L427" s="18">
        <v>46190</v>
      </c>
      <c r="M427" s="6" t="str">
        <f t="shared" si="18"/>
        <v>Schedule order</v>
      </c>
      <c r="N427" s="8">
        <f t="shared" ca="1" si="19"/>
        <v>35</v>
      </c>
      <c r="O427" s="8" t="str">
        <f t="shared" ca="1" si="20"/>
        <v>Lattest or shedule order</v>
      </c>
      <c r="P427" t="str">
        <f>VLOOKUP(C427,[1]Customer_Master!$A:$B,2,0)</f>
        <v>Group 1-Giridhar-Peenya</v>
      </c>
      <c r="Q427" t="str">
        <f>VLOOKUP(D427,[2]Template!$A:$D,3,0)</f>
        <v>LAPP</v>
      </c>
      <c r="R427" t="str">
        <f>VLOOKUP(D427,[2]Template!$A:$D,4,0)</f>
        <v>Lapp-Ace Group</v>
      </c>
    </row>
    <row r="428" spans="1:18" ht="13.5" customHeight="1" x14ac:dyDescent="0.25">
      <c r="A428" s="9">
        <v>46098</v>
      </c>
      <c r="B428" s="10" t="s">
        <v>789</v>
      </c>
      <c r="C428" s="11" t="s">
        <v>747</v>
      </c>
      <c r="D428" s="10" t="s">
        <v>702</v>
      </c>
      <c r="E428" s="12" t="s">
        <v>1072</v>
      </c>
      <c r="F428" s="12" t="s">
        <v>703</v>
      </c>
      <c r="G428" s="13">
        <v>5000</v>
      </c>
      <c r="H428" s="14">
        <v>5000</v>
      </c>
      <c r="I428" s="15">
        <v>10.95</v>
      </c>
      <c r="J428" s="16"/>
      <c r="K428" s="17">
        <v>54750</v>
      </c>
      <c r="L428" s="18">
        <v>46190</v>
      </c>
      <c r="M428" s="6" t="str">
        <f t="shared" si="18"/>
        <v>Schedule order</v>
      </c>
      <c r="N428" s="8">
        <f t="shared" ca="1" si="19"/>
        <v>35</v>
      </c>
      <c r="O428" s="8" t="str">
        <f t="shared" ca="1" si="20"/>
        <v>Lattest or shedule order</v>
      </c>
      <c r="P428" t="str">
        <f>VLOOKUP(C428,[1]Customer_Master!$A:$B,2,0)</f>
        <v>Group 1-Giridhar-Peenya</v>
      </c>
      <c r="Q428" t="str">
        <f>VLOOKUP(D428,[2]Template!$A:$D,3,0)</f>
        <v>LAPP</v>
      </c>
      <c r="R428" t="str">
        <f>VLOOKUP(D428,[2]Template!$A:$D,4,0)</f>
        <v>Lapp-Planned Stock General</v>
      </c>
    </row>
    <row r="429" spans="1:18" ht="13.5" customHeight="1" x14ac:dyDescent="0.25">
      <c r="A429" s="9">
        <v>46098</v>
      </c>
      <c r="B429" s="10" t="s">
        <v>789</v>
      </c>
      <c r="C429" s="11" t="s">
        <v>747</v>
      </c>
      <c r="D429" s="10" t="s">
        <v>658</v>
      </c>
      <c r="E429" s="12" t="s">
        <v>1072</v>
      </c>
      <c r="F429" s="12" t="s">
        <v>659</v>
      </c>
      <c r="G429" s="13">
        <v>500</v>
      </c>
      <c r="H429" s="14">
        <v>500</v>
      </c>
      <c r="I429" s="15">
        <v>52.23</v>
      </c>
      <c r="J429" s="16"/>
      <c r="K429" s="17">
        <v>26115</v>
      </c>
      <c r="L429" s="18">
        <v>46190</v>
      </c>
      <c r="M429" s="6" t="str">
        <f t="shared" si="18"/>
        <v>Schedule order</v>
      </c>
      <c r="N429" s="8">
        <f t="shared" ca="1" si="19"/>
        <v>35</v>
      </c>
      <c r="O429" s="8" t="str">
        <f t="shared" ca="1" si="20"/>
        <v>Lattest or shedule order</v>
      </c>
      <c r="P429" t="str">
        <f>VLOOKUP(C429,[1]Customer_Master!$A:$B,2,0)</f>
        <v>Group 1-Giridhar-Peenya</v>
      </c>
      <c r="Q429" t="str">
        <f>VLOOKUP(D429,[2]Template!$A:$D,3,0)</f>
        <v>LAPP</v>
      </c>
      <c r="R429" t="str">
        <f>VLOOKUP(D429,[2]Template!$A:$D,4,0)</f>
        <v>Lapp-Ace Group</v>
      </c>
    </row>
    <row r="430" spans="1:18" ht="13.5" customHeight="1" x14ac:dyDescent="0.25">
      <c r="A430" s="9">
        <v>46098</v>
      </c>
      <c r="B430" s="10" t="s">
        <v>789</v>
      </c>
      <c r="C430" s="11" t="s">
        <v>747</v>
      </c>
      <c r="D430" s="10" t="s">
        <v>333</v>
      </c>
      <c r="E430" s="12" t="s">
        <v>1072</v>
      </c>
      <c r="F430" s="12" t="s">
        <v>120</v>
      </c>
      <c r="G430" s="13">
        <v>1000</v>
      </c>
      <c r="H430" s="14">
        <v>1000</v>
      </c>
      <c r="I430" s="15">
        <v>41.4</v>
      </c>
      <c r="J430" s="16"/>
      <c r="K430" s="17">
        <v>41400</v>
      </c>
      <c r="L430" s="18">
        <v>46190</v>
      </c>
      <c r="M430" s="6" t="str">
        <f t="shared" si="18"/>
        <v>Schedule order</v>
      </c>
      <c r="N430" s="8">
        <f t="shared" ca="1" si="19"/>
        <v>35</v>
      </c>
      <c r="O430" s="8" t="str">
        <f t="shared" ca="1" si="20"/>
        <v>Lattest or shedule order</v>
      </c>
      <c r="P430" t="str">
        <f>VLOOKUP(C430,[1]Customer_Master!$A:$B,2,0)</f>
        <v>Group 1-Giridhar-Peenya</v>
      </c>
      <c r="Q430" t="str">
        <f>VLOOKUP(D430,[2]Template!$A:$D,3,0)</f>
        <v>LAPP</v>
      </c>
      <c r="R430" t="str">
        <f>VLOOKUP(D430,[2]Template!$A:$D,4,0)</f>
        <v>Lapp-Ace Group</v>
      </c>
    </row>
    <row r="431" spans="1:18" ht="13.5" customHeight="1" x14ac:dyDescent="0.25">
      <c r="A431" s="9">
        <v>46098</v>
      </c>
      <c r="B431" s="10" t="s">
        <v>789</v>
      </c>
      <c r="C431" s="11" t="s">
        <v>747</v>
      </c>
      <c r="D431" s="10" t="s">
        <v>362</v>
      </c>
      <c r="E431" s="12" t="s">
        <v>1072</v>
      </c>
      <c r="F431" s="12" t="s">
        <v>145</v>
      </c>
      <c r="G431" s="13">
        <v>1500</v>
      </c>
      <c r="H431" s="14">
        <v>1500</v>
      </c>
      <c r="I431" s="15">
        <v>47.4</v>
      </c>
      <c r="J431" s="16"/>
      <c r="K431" s="17">
        <v>71100</v>
      </c>
      <c r="L431" s="18">
        <v>46190</v>
      </c>
      <c r="M431" s="6" t="str">
        <f t="shared" si="18"/>
        <v>Schedule order</v>
      </c>
      <c r="N431" s="8">
        <f t="shared" ca="1" si="19"/>
        <v>35</v>
      </c>
      <c r="O431" s="8" t="str">
        <f t="shared" ca="1" si="20"/>
        <v>Lattest or shedule order</v>
      </c>
      <c r="P431" t="str">
        <f>VLOOKUP(C431,[1]Customer_Master!$A:$B,2,0)</f>
        <v>Group 1-Giridhar-Peenya</v>
      </c>
      <c r="Q431" t="str">
        <f>VLOOKUP(D431,[2]Template!$A:$D,3,0)</f>
        <v>LAPP</v>
      </c>
      <c r="R431" t="str">
        <f>VLOOKUP(D431,[2]Template!$A:$D,4,0)</f>
        <v>Lapp-Ace Group</v>
      </c>
    </row>
    <row r="432" spans="1:18" ht="13.5" customHeight="1" x14ac:dyDescent="0.25">
      <c r="A432" s="9">
        <v>46098</v>
      </c>
      <c r="B432" s="10" t="s">
        <v>789</v>
      </c>
      <c r="C432" s="11" t="s">
        <v>747</v>
      </c>
      <c r="D432" s="10" t="s">
        <v>785</v>
      </c>
      <c r="E432" s="12" t="s">
        <v>1072</v>
      </c>
      <c r="F432" s="12" t="s">
        <v>786</v>
      </c>
      <c r="G432" s="13">
        <v>500</v>
      </c>
      <c r="H432" s="14">
        <v>500</v>
      </c>
      <c r="I432" s="15">
        <v>71.02</v>
      </c>
      <c r="J432" s="16"/>
      <c r="K432" s="17">
        <v>35510</v>
      </c>
      <c r="L432" s="18">
        <v>46190</v>
      </c>
      <c r="M432" s="6" t="str">
        <f t="shared" si="18"/>
        <v>Schedule order</v>
      </c>
      <c r="N432" s="8">
        <f t="shared" ca="1" si="19"/>
        <v>35</v>
      </c>
      <c r="O432" s="8" t="str">
        <f t="shared" ca="1" si="20"/>
        <v>Lattest or shedule order</v>
      </c>
      <c r="P432" t="str">
        <f>VLOOKUP(C432,[1]Customer_Master!$A:$B,2,0)</f>
        <v>Group 1-Giridhar-Peenya</v>
      </c>
      <c r="Q432" t="str">
        <f>VLOOKUP(D432,[2]Template!$A:$D,3,0)</f>
        <v>LAPP</v>
      </c>
      <c r="R432" t="str">
        <f>VLOOKUP(D432,[2]Template!$A:$D,4,0)</f>
        <v>Lapp-Ace Group</v>
      </c>
    </row>
    <row r="433" spans="1:18" ht="13.5" customHeight="1" x14ac:dyDescent="0.25">
      <c r="A433" s="9">
        <v>46098</v>
      </c>
      <c r="B433" s="10" t="s">
        <v>789</v>
      </c>
      <c r="C433" s="11" t="s">
        <v>747</v>
      </c>
      <c r="D433" s="10" t="s">
        <v>342</v>
      </c>
      <c r="E433" s="12" t="s">
        <v>1072</v>
      </c>
      <c r="F433" s="12" t="s">
        <v>125</v>
      </c>
      <c r="G433" s="13">
        <v>2000</v>
      </c>
      <c r="H433" s="14">
        <v>2000</v>
      </c>
      <c r="I433" s="15">
        <v>81.900000000000006</v>
      </c>
      <c r="J433" s="16"/>
      <c r="K433" s="17">
        <v>163800</v>
      </c>
      <c r="L433" s="18">
        <v>46190</v>
      </c>
      <c r="M433" s="6" t="str">
        <f t="shared" si="18"/>
        <v>Schedule order</v>
      </c>
      <c r="N433" s="8">
        <f t="shared" ca="1" si="19"/>
        <v>35</v>
      </c>
      <c r="O433" s="8" t="str">
        <f t="shared" ca="1" si="20"/>
        <v>Lattest or shedule order</v>
      </c>
      <c r="P433" t="str">
        <f>VLOOKUP(C433,[1]Customer_Master!$A:$B,2,0)</f>
        <v>Group 1-Giridhar-Peenya</v>
      </c>
      <c r="Q433" t="str">
        <f>VLOOKUP(D433,[2]Template!$A:$D,3,0)</f>
        <v>LAPP</v>
      </c>
      <c r="R433" t="str">
        <f>VLOOKUP(D433,[2]Template!$A:$D,4,0)</f>
        <v>Lapp-Planned Stock General</v>
      </c>
    </row>
    <row r="434" spans="1:18" ht="13.5" customHeight="1" x14ac:dyDescent="0.25">
      <c r="A434" s="9">
        <v>46098</v>
      </c>
      <c r="B434" s="10" t="s">
        <v>789</v>
      </c>
      <c r="C434" s="11" t="s">
        <v>747</v>
      </c>
      <c r="D434" s="10" t="s">
        <v>512</v>
      </c>
      <c r="E434" s="12" t="s">
        <v>1072</v>
      </c>
      <c r="F434" s="12" t="s">
        <v>513</v>
      </c>
      <c r="G434" s="13">
        <v>1500</v>
      </c>
      <c r="H434" s="14">
        <v>1500</v>
      </c>
      <c r="I434" s="15">
        <v>58.69</v>
      </c>
      <c r="J434" s="16"/>
      <c r="K434" s="17">
        <v>88035</v>
      </c>
      <c r="L434" s="18">
        <v>46190</v>
      </c>
      <c r="M434" s="6" t="str">
        <f t="shared" si="18"/>
        <v>Schedule order</v>
      </c>
      <c r="N434" s="8">
        <f t="shared" ca="1" si="19"/>
        <v>35</v>
      </c>
      <c r="O434" s="8" t="str">
        <f t="shared" ca="1" si="20"/>
        <v>Lattest or shedule order</v>
      </c>
      <c r="P434" t="str">
        <f>VLOOKUP(C434,[1]Customer_Master!$A:$B,2,0)</f>
        <v>Group 1-Giridhar-Peenya</v>
      </c>
      <c r="Q434" t="str">
        <f>VLOOKUP(D434,[2]Template!$A:$D,3,0)</f>
        <v>LAPP</v>
      </c>
      <c r="R434" t="str">
        <f>VLOOKUP(D434,[2]Template!$A:$D,4,0)</f>
        <v>Lapp-Ace Group</v>
      </c>
    </row>
    <row r="435" spans="1:18" ht="13.5" customHeight="1" x14ac:dyDescent="0.25">
      <c r="A435" s="9">
        <v>46098</v>
      </c>
      <c r="B435" s="10" t="s">
        <v>789</v>
      </c>
      <c r="C435" s="11" t="s">
        <v>747</v>
      </c>
      <c r="D435" s="10" t="s">
        <v>316</v>
      </c>
      <c r="E435" s="12" t="s">
        <v>1072</v>
      </c>
      <c r="F435" s="12" t="s">
        <v>32</v>
      </c>
      <c r="G435" s="13">
        <v>200</v>
      </c>
      <c r="H435" s="14">
        <v>200</v>
      </c>
      <c r="I435" s="15">
        <v>91.46</v>
      </c>
      <c r="J435" s="16"/>
      <c r="K435" s="17">
        <v>18292</v>
      </c>
      <c r="L435" s="18">
        <v>46190</v>
      </c>
      <c r="M435" s="6" t="str">
        <f t="shared" si="18"/>
        <v>Schedule order</v>
      </c>
      <c r="N435" s="8">
        <f t="shared" ca="1" si="19"/>
        <v>35</v>
      </c>
      <c r="O435" s="8" t="str">
        <f t="shared" ca="1" si="20"/>
        <v>Lattest or shedule order</v>
      </c>
      <c r="P435" t="str">
        <f>VLOOKUP(C435,[1]Customer_Master!$A:$B,2,0)</f>
        <v>Group 1-Giridhar-Peenya</v>
      </c>
      <c r="Q435" t="str">
        <f>VLOOKUP(D435,[2]Template!$A:$D,3,0)</f>
        <v>LAPP</v>
      </c>
      <c r="R435" t="str">
        <f>VLOOKUP(D435,[2]Template!$A:$D,4,0)</f>
        <v>Lapp-Ace Group</v>
      </c>
    </row>
    <row r="436" spans="1:18" ht="13.5" customHeight="1" x14ac:dyDescent="0.25">
      <c r="A436" s="9">
        <v>46098</v>
      </c>
      <c r="B436" s="10" t="s">
        <v>789</v>
      </c>
      <c r="C436" s="11" t="s">
        <v>747</v>
      </c>
      <c r="D436" s="10" t="s">
        <v>334</v>
      </c>
      <c r="E436" s="12" t="s">
        <v>1072</v>
      </c>
      <c r="F436" s="12" t="s">
        <v>87</v>
      </c>
      <c r="G436" s="13">
        <v>200</v>
      </c>
      <c r="H436" s="14">
        <v>200</v>
      </c>
      <c r="I436" s="15">
        <v>33.590000000000003</v>
      </c>
      <c r="J436" s="16"/>
      <c r="K436" s="17">
        <v>6718</v>
      </c>
      <c r="L436" s="18">
        <v>46190</v>
      </c>
      <c r="M436" s="6" t="str">
        <f t="shared" si="18"/>
        <v>Schedule order</v>
      </c>
      <c r="N436" s="8">
        <f t="shared" ca="1" si="19"/>
        <v>35</v>
      </c>
      <c r="O436" s="8" t="str">
        <f t="shared" ca="1" si="20"/>
        <v>Lattest or shedule order</v>
      </c>
      <c r="P436" t="str">
        <f>VLOOKUP(C436,[1]Customer_Master!$A:$B,2,0)</f>
        <v>Group 1-Giridhar-Peenya</v>
      </c>
      <c r="Q436" t="str">
        <f>VLOOKUP(D436,[2]Template!$A:$D,3,0)</f>
        <v>LAPP</v>
      </c>
      <c r="R436" t="str">
        <f>VLOOKUP(D436,[2]Template!$A:$D,4,0)</f>
        <v>Lapp-Planned Stock General</v>
      </c>
    </row>
    <row r="437" spans="1:18" ht="13.5" customHeight="1" x14ac:dyDescent="0.25">
      <c r="A437" s="9">
        <v>46098</v>
      </c>
      <c r="B437" s="10" t="s">
        <v>789</v>
      </c>
      <c r="C437" s="11" t="s">
        <v>747</v>
      </c>
      <c r="D437" s="10" t="s">
        <v>357</v>
      </c>
      <c r="E437" s="12" t="s">
        <v>1072</v>
      </c>
      <c r="F437" s="12" t="s">
        <v>53</v>
      </c>
      <c r="G437" s="13">
        <v>300</v>
      </c>
      <c r="H437" s="14">
        <v>300</v>
      </c>
      <c r="I437" s="15">
        <v>20.46</v>
      </c>
      <c r="J437" s="16"/>
      <c r="K437" s="17">
        <v>6138</v>
      </c>
      <c r="L437" s="18">
        <v>46190</v>
      </c>
      <c r="M437" s="6" t="str">
        <f t="shared" si="18"/>
        <v>Schedule order</v>
      </c>
      <c r="N437" s="8">
        <f t="shared" ca="1" si="19"/>
        <v>35</v>
      </c>
      <c r="O437" s="8" t="str">
        <f t="shared" ca="1" si="20"/>
        <v>Lattest or shedule order</v>
      </c>
      <c r="P437" t="str">
        <f>VLOOKUP(C437,[1]Customer_Master!$A:$B,2,0)</f>
        <v>Group 1-Giridhar-Peenya</v>
      </c>
      <c r="Q437" t="str">
        <f>VLOOKUP(D437,[2]Template!$A:$D,3,0)</f>
        <v>LAPP</v>
      </c>
      <c r="R437" t="str">
        <f>VLOOKUP(D437,[2]Template!$A:$D,4,0)</f>
        <v>Lapp-Planned Stock General</v>
      </c>
    </row>
    <row r="438" spans="1:18" ht="13.5" customHeight="1" x14ac:dyDescent="0.25">
      <c r="A438" s="9">
        <v>46098</v>
      </c>
      <c r="B438" s="10" t="s">
        <v>789</v>
      </c>
      <c r="C438" s="11" t="s">
        <v>747</v>
      </c>
      <c r="D438" s="10" t="s">
        <v>356</v>
      </c>
      <c r="E438" s="12" t="s">
        <v>1072</v>
      </c>
      <c r="F438" s="12" t="s">
        <v>136</v>
      </c>
      <c r="G438" s="13">
        <v>1000</v>
      </c>
      <c r="H438" s="14">
        <v>1000</v>
      </c>
      <c r="I438" s="15">
        <v>33.68</v>
      </c>
      <c r="J438" s="16"/>
      <c r="K438" s="17">
        <v>33680</v>
      </c>
      <c r="L438" s="18">
        <v>46190</v>
      </c>
      <c r="M438" s="6" t="str">
        <f t="shared" si="18"/>
        <v>Schedule order</v>
      </c>
      <c r="N438" s="8">
        <f t="shared" ca="1" si="19"/>
        <v>35</v>
      </c>
      <c r="O438" s="8" t="str">
        <f t="shared" ca="1" si="20"/>
        <v>Lattest or shedule order</v>
      </c>
      <c r="P438" t="str">
        <f>VLOOKUP(C438,[1]Customer_Master!$A:$B,2,0)</f>
        <v>Group 1-Giridhar-Peenya</v>
      </c>
      <c r="Q438" t="str">
        <f>VLOOKUP(D438,[2]Template!$A:$D,3,0)</f>
        <v>LAPP</v>
      </c>
      <c r="R438" t="str">
        <f>VLOOKUP(D438,[2]Template!$A:$D,4,0)</f>
        <v>Lapp-Planned Stock General</v>
      </c>
    </row>
    <row r="439" spans="1:18" ht="13.5" customHeight="1" x14ac:dyDescent="0.25">
      <c r="A439" s="9">
        <v>46098</v>
      </c>
      <c r="B439" s="10" t="s">
        <v>789</v>
      </c>
      <c r="C439" s="11" t="s">
        <v>747</v>
      </c>
      <c r="D439" s="10" t="s">
        <v>650</v>
      </c>
      <c r="E439" s="12" t="s">
        <v>1072</v>
      </c>
      <c r="F439" s="12" t="s">
        <v>651</v>
      </c>
      <c r="G439" s="13">
        <v>100</v>
      </c>
      <c r="H439" s="14">
        <v>100</v>
      </c>
      <c r="I439" s="15">
        <v>136.66999999999999</v>
      </c>
      <c r="J439" s="16"/>
      <c r="K439" s="17">
        <v>13667</v>
      </c>
      <c r="L439" s="18">
        <v>46190</v>
      </c>
      <c r="M439" s="6" t="str">
        <f t="shared" si="18"/>
        <v>Schedule order</v>
      </c>
      <c r="N439" s="8">
        <f t="shared" ca="1" si="19"/>
        <v>35</v>
      </c>
      <c r="O439" s="8" t="str">
        <f t="shared" ca="1" si="20"/>
        <v>Lattest or shedule order</v>
      </c>
      <c r="P439" t="str">
        <f>VLOOKUP(C439,[1]Customer_Master!$A:$B,2,0)</f>
        <v>Group 1-Giridhar-Peenya</v>
      </c>
      <c r="Q439" t="str">
        <f>VLOOKUP(D439,[2]Template!$A:$D,3,0)</f>
        <v>LAPP</v>
      </c>
      <c r="R439" t="str">
        <f>VLOOKUP(D439,[2]Template!$A:$D,4,0)</f>
        <v>Lapp-Planned Stock General</v>
      </c>
    </row>
    <row r="440" spans="1:18" ht="13.5" customHeight="1" x14ac:dyDescent="0.25">
      <c r="A440" s="9">
        <v>46098</v>
      </c>
      <c r="B440" s="10" t="s">
        <v>789</v>
      </c>
      <c r="C440" s="11" t="s">
        <v>747</v>
      </c>
      <c r="D440" s="10" t="s">
        <v>354</v>
      </c>
      <c r="E440" s="12" t="s">
        <v>1072</v>
      </c>
      <c r="F440" s="12" t="s">
        <v>134</v>
      </c>
      <c r="G440" s="13">
        <v>400</v>
      </c>
      <c r="H440" s="14">
        <v>400</v>
      </c>
      <c r="I440" s="15">
        <v>141.28</v>
      </c>
      <c r="J440" s="16"/>
      <c r="K440" s="17">
        <v>56512</v>
      </c>
      <c r="L440" s="18">
        <v>46190</v>
      </c>
      <c r="M440" s="6" t="str">
        <f t="shared" si="18"/>
        <v>Schedule order</v>
      </c>
      <c r="N440" s="8">
        <f t="shared" ca="1" si="19"/>
        <v>35</v>
      </c>
      <c r="O440" s="8" t="str">
        <f t="shared" ca="1" si="20"/>
        <v>Lattest or shedule order</v>
      </c>
      <c r="P440" t="str">
        <f>VLOOKUP(C440,[1]Customer_Master!$A:$B,2,0)</f>
        <v>Group 1-Giridhar-Peenya</v>
      </c>
      <c r="Q440" t="str">
        <f>VLOOKUP(D440,[2]Template!$A:$D,3,0)</f>
        <v>LAPP</v>
      </c>
      <c r="R440" t="str">
        <f>VLOOKUP(D440,[2]Template!$A:$D,4,0)</f>
        <v>Lapp-Planned Stock General</v>
      </c>
    </row>
    <row r="441" spans="1:18" ht="13.5" customHeight="1" x14ac:dyDescent="0.25">
      <c r="A441" s="9">
        <v>46098</v>
      </c>
      <c r="B441" s="10" t="s">
        <v>757</v>
      </c>
      <c r="C441" s="11" t="s">
        <v>117</v>
      </c>
      <c r="D441" s="27" t="s">
        <v>686</v>
      </c>
      <c r="E441" s="12" t="s">
        <v>1072</v>
      </c>
      <c r="F441" s="12" t="s">
        <v>687</v>
      </c>
      <c r="G441" s="13">
        <v>70</v>
      </c>
      <c r="H441" s="14">
        <v>70</v>
      </c>
      <c r="I441" s="15">
        <v>595.86</v>
      </c>
      <c r="J441" s="21">
        <v>40</v>
      </c>
      <c r="K441" s="17">
        <v>25026.12</v>
      </c>
      <c r="L441" s="18">
        <v>46098</v>
      </c>
      <c r="M441" s="6" t="str">
        <f t="shared" si="18"/>
        <v>Due order</v>
      </c>
      <c r="N441" s="8">
        <f t="shared" ca="1" si="19"/>
        <v>-57</v>
      </c>
      <c r="O441" s="8" t="str">
        <f t="shared" ca="1" si="20"/>
        <v>With in 90 days</v>
      </c>
      <c r="P441" t="str">
        <f>VLOOKUP(C441,[1]Customer_Master!$A:$B,2,0)</f>
        <v>Group 1-Giridhar-Peenya</v>
      </c>
      <c r="Q441" t="str">
        <f>VLOOKUP(D441,[2]Template!$A:$D,3,0)</f>
        <v>LAPP</v>
      </c>
      <c r="R441" t="str">
        <f>VLOOKUP(D441,[2]Template!$A:$D,4,0)</f>
        <v>Lapp-Non Moving Stocks</v>
      </c>
    </row>
    <row r="442" spans="1:18" ht="13.5" customHeight="1" x14ac:dyDescent="0.25">
      <c r="A442" s="9">
        <v>46098</v>
      </c>
      <c r="B442" s="10" t="s">
        <v>792</v>
      </c>
      <c r="C442" s="11" t="s">
        <v>54</v>
      </c>
      <c r="D442" s="10" t="s">
        <v>790</v>
      </c>
      <c r="E442" s="12" t="s">
        <v>1072</v>
      </c>
      <c r="F442" s="12" t="s">
        <v>791</v>
      </c>
      <c r="G442" s="13">
        <v>4500</v>
      </c>
      <c r="H442" s="14">
        <v>119</v>
      </c>
      <c r="I442" s="15">
        <v>76.75</v>
      </c>
      <c r="J442" s="16"/>
      <c r="K442" s="17">
        <v>9133.25</v>
      </c>
      <c r="L442" s="18">
        <v>46101</v>
      </c>
      <c r="M442" s="6" t="str">
        <f t="shared" si="18"/>
        <v>Due order</v>
      </c>
      <c r="N442" s="8">
        <f t="shared" ca="1" si="19"/>
        <v>-54</v>
      </c>
      <c r="O442" s="8" t="str">
        <f t="shared" ca="1" si="20"/>
        <v>With in 90 days</v>
      </c>
      <c r="P442" t="str">
        <f>VLOOKUP(C442,[1]Customer_Master!$A:$B,2,0)</f>
        <v>Group 1-Giridhar-Peenya</v>
      </c>
      <c r="Q442" t="str">
        <f>VLOOKUP(D442,[2]Template!$A:$D,3,0)</f>
        <v>LAPP</v>
      </c>
      <c r="R442" t="str">
        <f>VLOOKUP(D442,[2]Template!$A:$D,4,0)</f>
        <v>Lapp-Rinac</v>
      </c>
    </row>
    <row r="443" spans="1:18" ht="13.5" customHeight="1" x14ac:dyDescent="0.25">
      <c r="A443" s="9">
        <v>46098</v>
      </c>
      <c r="B443" s="10" t="s">
        <v>793</v>
      </c>
      <c r="C443" s="11" t="s">
        <v>116</v>
      </c>
      <c r="D443" s="10" t="s">
        <v>794</v>
      </c>
      <c r="E443" s="12" t="s">
        <v>1072</v>
      </c>
      <c r="F443" s="12" t="s">
        <v>795</v>
      </c>
      <c r="G443" s="13">
        <v>30</v>
      </c>
      <c r="H443" s="14">
        <v>30</v>
      </c>
      <c r="I443" s="15">
        <v>1475.39</v>
      </c>
      <c r="J443" s="16"/>
      <c r="K443" s="17">
        <v>44261.7</v>
      </c>
      <c r="L443" s="18">
        <v>46136</v>
      </c>
      <c r="M443" s="6" t="str">
        <f t="shared" si="18"/>
        <v>Due order</v>
      </c>
      <c r="N443" s="8">
        <f t="shared" ca="1" si="19"/>
        <v>-19</v>
      </c>
      <c r="O443" s="8" t="str">
        <f t="shared" ca="1" si="20"/>
        <v>With in 90 days</v>
      </c>
      <c r="P443" t="str">
        <f>VLOOKUP(C443,[1]Customer_Master!$A:$B,2,0)</f>
        <v>Group-2 (Veeresh- Bomsdr+Hosur)</v>
      </c>
      <c r="Q443" t="str">
        <f>VLOOKUP(D443,[2]Template!$A:$D,3,0)</f>
        <v>LAPP</v>
      </c>
      <c r="R443" t="str">
        <f>VLOOKUP(D443,[2]Template!$A:$D,4,0)</f>
        <v>Lapp-Against Customer PO</v>
      </c>
    </row>
    <row r="444" spans="1:18" ht="13.5" customHeight="1" x14ac:dyDescent="0.25">
      <c r="A444" s="9">
        <v>46098</v>
      </c>
      <c r="B444" s="10" t="s">
        <v>907</v>
      </c>
      <c r="C444" s="11" t="s">
        <v>908</v>
      </c>
      <c r="D444" s="10" t="s">
        <v>909</v>
      </c>
      <c r="E444" s="12" t="s">
        <v>1072</v>
      </c>
      <c r="F444" s="12" t="s">
        <v>910</v>
      </c>
      <c r="G444" s="13">
        <v>30</v>
      </c>
      <c r="H444" s="14">
        <v>30</v>
      </c>
      <c r="I444" s="15">
        <v>1067.31</v>
      </c>
      <c r="J444" s="16"/>
      <c r="K444" s="17">
        <v>32019.3</v>
      </c>
      <c r="L444" s="18">
        <v>46098</v>
      </c>
      <c r="M444" s="6" t="str">
        <f t="shared" si="18"/>
        <v>Due order</v>
      </c>
      <c r="N444" s="8">
        <f t="shared" ca="1" si="19"/>
        <v>-57</v>
      </c>
      <c r="O444" s="8" t="str">
        <f t="shared" ca="1" si="20"/>
        <v>With in 90 days</v>
      </c>
      <c r="P444" t="str">
        <f>VLOOKUP(C444,[1]Customer_Master!$A:$B,2,0)</f>
        <v>Online Business</v>
      </c>
      <c r="Q444" t="str">
        <f>VLOOKUP(D444,[2]Template!$A:$D,3,0)</f>
        <v>LAPP</v>
      </c>
      <c r="R444" t="str">
        <f>VLOOKUP(D444,[2]Template!$A:$D,4,0)</f>
        <v>Lapp-Against Customer PO</v>
      </c>
    </row>
    <row r="445" spans="1:18" ht="13.5" customHeight="1" x14ac:dyDescent="0.25">
      <c r="A445" s="9">
        <v>46099</v>
      </c>
      <c r="B445" s="10" t="s">
        <v>761</v>
      </c>
      <c r="C445" s="11" t="s">
        <v>248</v>
      </c>
      <c r="D445" s="10" t="s">
        <v>315</v>
      </c>
      <c r="E445" s="12" t="s">
        <v>1072</v>
      </c>
      <c r="F445" s="12" t="s">
        <v>68</v>
      </c>
      <c r="G445" s="13">
        <v>100</v>
      </c>
      <c r="H445" s="14">
        <v>100</v>
      </c>
      <c r="I445" s="15">
        <v>72.52</v>
      </c>
      <c r="J445" s="16"/>
      <c r="K445" s="17">
        <v>7252</v>
      </c>
      <c r="L445" s="18">
        <v>46099</v>
      </c>
      <c r="M445" s="6" t="str">
        <f t="shared" si="18"/>
        <v>Due order</v>
      </c>
      <c r="N445" s="8">
        <f t="shared" ca="1" si="19"/>
        <v>-56</v>
      </c>
      <c r="O445" s="8" t="str">
        <f t="shared" ca="1" si="20"/>
        <v>With in 90 days</v>
      </c>
      <c r="P445" t="str">
        <f>VLOOKUP(C445,[1]Customer_Master!$A:$B,2,0)</f>
        <v>Group - 5 (Ananthapadmanabha)</v>
      </c>
      <c r="Q445" t="str">
        <f>VLOOKUP(D445,[2]Template!$A:$D,3,0)</f>
        <v>LAPP</v>
      </c>
      <c r="R445" t="str">
        <f>VLOOKUP(D445,[2]Template!$A:$D,4,0)</f>
        <v>Lapp-Ace Group</v>
      </c>
    </row>
    <row r="446" spans="1:18" ht="13.5" customHeight="1" x14ac:dyDescent="0.25">
      <c r="A446" s="9">
        <v>46099</v>
      </c>
      <c r="B446" s="10" t="s">
        <v>796</v>
      </c>
      <c r="C446" s="11" t="s">
        <v>805</v>
      </c>
      <c r="D446" s="10" t="s">
        <v>759</v>
      </c>
      <c r="E446" s="12" t="s">
        <v>1072</v>
      </c>
      <c r="F446" s="12" t="s">
        <v>760</v>
      </c>
      <c r="G446" s="13">
        <v>40</v>
      </c>
      <c r="H446" s="14">
        <v>40</v>
      </c>
      <c r="I446" s="15">
        <v>99.12</v>
      </c>
      <c r="J446" s="16"/>
      <c r="K446" s="17">
        <v>3964.8</v>
      </c>
      <c r="L446" s="18">
        <v>46122</v>
      </c>
      <c r="M446" s="6" t="str">
        <f t="shared" si="18"/>
        <v>Due order</v>
      </c>
      <c r="N446" s="8">
        <f t="shared" ca="1" si="19"/>
        <v>-33</v>
      </c>
      <c r="O446" s="8" t="str">
        <f t="shared" ca="1" si="20"/>
        <v>With in 90 days</v>
      </c>
      <c r="P446" t="str">
        <f>VLOOKUP(C446,[1]Customer_Master!$A:$B,2,0)</f>
        <v>Group-2 (Veeresh- Bomsdr+Hosur)</v>
      </c>
      <c r="Q446" t="str">
        <f>VLOOKUP(D446,[2]Template!$A:$D,3,0)</f>
        <v>LAPP</v>
      </c>
      <c r="R446" t="str">
        <f>VLOOKUP(D446,[2]Template!$A:$D,4,0)</f>
        <v>Lapp-Non Moving Stocks</v>
      </c>
    </row>
    <row r="447" spans="1:18" ht="13.5" customHeight="1" x14ac:dyDescent="0.25">
      <c r="A447" s="9">
        <v>46099</v>
      </c>
      <c r="B447" s="10" t="s">
        <v>762</v>
      </c>
      <c r="C447" s="11" t="s">
        <v>763</v>
      </c>
      <c r="D447" s="10" t="s">
        <v>764</v>
      </c>
      <c r="E447" s="12" t="s">
        <v>1072</v>
      </c>
      <c r="F447" s="12" t="s">
        <v>765</v>
      </c>
      <c r="G447" s="13">
        <v>50</v>
      </c>
      <c r="H447" s="14">
        <v>50</v>
      </c>
      <c r="I447" s="15">
        <v>76.11</v>
      </c>
      <c r="J447" s="16"/>
      <c r="K447" s="17">
        <v>3805.5</v>
      </c>
      <c r="L447" s="18">
        <v>46099</v>
      </c>
      <c r="M447" s="6" t="str">
        <f t="shared" si="18"/>
        <v>Due order</v>
      </c>
      <c r="N447" s="8">
        <f t="shared" ca="1" si="19"/>
        <v>-56</v>
      </c>
      <c r="O447" s="8" t="str">
        <f t="shared" ca="1" si="20"/>
        <v>With in 90 days</v>
      </c>
      <c r="P447" t="str">
        <f>VLOOKUP(C447,[1]Customer_Master!$A:$B,2,0)</f>
        <v>Group - 5 (Ananthapadmanabha)</v>
      </c>
      <c r="Q447" t="str">
        <f>VLOOKUP(D447,[2]Template!$A:$D,3,0)</f>
        <v>LAPP</v>
      </c>
      <c r="R447" t="str">
        <f>VLOOKUP(D447,[2]Template!$A:$D,4,0)</f>
        <v>Lapp-Non Moving Stocks</v>
      </c>
    </row>
    <row r="448" spans="1:18" ht="13.5" customHeight="1" x14ac:dyDescent="0.25">
      <c r="A448" s="9">
        <v>46099</v>
      </c>
      <c r="B448" s="10" t="s">
        <v>762</v>
      </c>
      <c r="C448" s="11" t="s">
        <v>763</v>
      </c>
      <c r="D448" s="10" t="s">
        <v>766</v>
      </c>
      <c r="E448" s="12" t="s">
        <v>1072</v>
      </c>
      <c r="F448" s="12" t="s">
        <v>767</v>
      </c>
      <c r="G448" s="13">
        <v>30</v>
      </c>
      <c r="H448" s="14">
        <v>30</v>
      </c>
      <c r="I448" s="15">
        <v>131.30000000000001</v>
      </c>
      <c r="J448" s="16"/>
      <c r="K448" s="17">
        <v>3939</v>
      </c>
      <c r="L448" s="18">
        <v>46099</v>
      </c>
      <c r="M448" s="6" t="str">
        <f t="shared" si="18"/>
        <v>Due order</v>
      </c>
      <c r="N448" s="8">
        <f t="shared" ca="1" si="19"/>
        <v>-56</v>
      </c>
      <c r="O448" s="8" t="str">
        <f t="shared" ca="1" si="20"/>
        <v>With in 90 days</v>
      </c>
      <c r="P448" t="str">
        <f>VLOOKUP(C448,[1]Customer_Master!$A:$B,2,0)</f>
        <v>Group - 5 (Ananthapadmanabha)</v>
      </c>
      <c r="Q448" t="str">
        <f>VLOOKUP(D448,[2]Template!$A:$D,3,0)</f>
        <v>LAPP</v>
      </c>
      <c r="R448" t="str">
        <f>VLOOKUP(D448,[2]Template!$A:$D,4,0)</f>
        <v>Lapp-Non Moving Stocks</v>
      </c>
    </row>
    <row r="449" spans="1:18" ht="13.5" customHeight="1" x14ac:dyDescent="0.25">
      <c r="A449" s="9">
        <v>46101</v>
      </c>
      <c r="B449" s="10" t="s">
        <v>806</v>
      </c>
      <c r="C449" s="11" t="s">
        <v>79</v>
      </c>
      <c r="D449" s="10" t="s">
        <v>324</v>
      </c>
      <c r="E449" s="12" t="s">
        <v>1072</v>
      </c>
      <c r="F449" s="12" t="s">
        <v>80</v>
      </c>
      <c r="G449" s="19">
        <v>176</v>
      </c>
      <c r="H449" s="20">
        <v>176</v>
      </c>
      <c r="I449" s="15">
        <v>2803</v>
      </c>
      <c r="J449" s="16"/>
      <c r="K449" s="17">
        <v>493328</v>
      </c>
      <c r="L449" s="18">
        <v>46265</v>
      </c>
      <c r="M449" s="6" t="str">
        <f t="shared" si="18"/>
        <v>Schedule order</v>
      </c>
      <c r="N449" s="8">
        <f t="shared" ca="1" si="19"/>
        <v>110</v>
      </c>
      <c r="O449" s="8" t="str">
        <f t="shared" ca="1" si="20"/>
        <v>Lattest or shedule order</v>
      </c>
      <c r="P449" t="str">
        <f>VLOOKUP(C449,[1]Customer_Master!$A:$B,2,0)</f>
        <v>Group-4 ( Office Account)</v>
      </c>
      <c r="Q449" t="str">
        <f>VLOOKUP(D449,[2]Template!$A:$D,3,0)</f>
        <v>EATON</v>
      </c>
      <c r="R449" t="str">
        <f>VLOOKUP(D449,[2]Template!$A:$D,4,0)</f>
        <v>Eaton-Faiveley-(R)</v>
      </c>
    </row>
    <row r="450" spans="1:18" ht="13.5" customHeight="1" x14ac:dyDescent="0.25">
      <c r="A450" s="9">
        <v>46101</v>
      </c>
      <c r="B450" s="10" t="s">
        <v>807</v>
      </c>
      <c r="C450" s="11" t="s">
        <v>697</v>
      </c>
      <c r="D450" s="10" t="s">
        <v>808</v>
      </c>
      <c r="E450" s="12" t="s">
        <v>1072</v>
      </c>
      <c r="F450" s="12" t="s">
        <v>809</v>
      </c>
      <c r="G450" s="13">
        <v>250</v>
      </c>
      <c r="H450" s="14">
        <v>250</v>
      </c>
      <c r="I450" s="15">
        <v>62.81</v>
      </c>
      <c r="J450" s="16"/>
      <c r="K450" s="17">
        <v>15702.5</v>
      </c>
      <c r="L450" s="18">
        <v>46127</v>
      </c>
      <c r="M450" s="6" t="str">
        <f t="shared" si="18"/>
        <v>Due order</v>
      </c>
      <c r="N450" s="8">
        <f t="shared" ca="1" si="19"/>
        <v>-28</v>
      </c>
      <c r="O450" s="8" t="str">
        <f t="shared" ca="1" si="20"/>
        <v>With in 90 days</v>
      </c>
      <c r="P450" t="str">
        <f>VLOOKUP(C450,[1]Customer_Master!$A:$B,2,0)</f>
        <v>Group-2 (Veeresh- Bomsdr+Hosur)</v>
      </c>
      <c r="Q450" t="str">
        <f>VLOOKUP(D450,[2]Template!$A:$D,3,0)</f>
        <v>LAPP</v>
      </c>
      <c r="R450" t="str">
        <f>VLOOKUP(D450,[2]Template!$A:$D,4,0)</f>
        <v>Lapp-Against Customer PO</v>
      </c>
    </row>
    <row r="451" spans="1:18" ht="13.5" customHeight="1" x14ac:dyDescent="0.25">
      <c r="A451" s="9">
        <v>46101</v>
      </c>
      <c r="B451" s="10" t="s">
        <v>810</v>
      </c>
      <c r="C451" s="11" t="s">
        <v>811</v>
      </c>
      <c r="D451" s="10" t="s">
        <v>524</v>
      </c>
      <c r="E451" s="12" t="s">
        <v>1072</v>
      </c>
      <c r="F451" s="12" t="s">
        <v>525</v>
      </c>
      <c r="G451" s="13">
        <v>400</v>
      </c>
      <c r="H451" s="14">
        <v>400</v>
      </c>
      <c r="I451" s="15">
        <v>92.8</v>
      </c>
      <c r="J451" s="16"/>
      <c r="K451" s="17">
        <v>37120</v>
      </c>
      <c r="L451" s="18">
        <v>46101</v>
      </c>
      <c r="M451" s="6" t="str">
        <f t="shared" ref="M451:M514" si="21">IF(L451&lt;DATE(2026,4,30),"Due order","Schedule order")</f>
        <v>Due order</v>
      </c>
      <c r="N451" s="8">
        <f t="shared" ref="N451:N514" ca="1" si="22">L451-TODAY()</f>
        <v>-54</v>
      </c>
      <c r="O451" s="8" t="str">
        <f t="shared" ref="O451:O514" ca="1" si="23">IF(N451&lt;-365,"More than 1 Year old",IF(N451&lt;-180," More than 180 days old",IF(N451&lt;-90,"More than 90 day old",IF(N451&lt;0,"With in 90 days","Lattest or shedule order"))))</f>
        <v>With in 90 days</v>
      </c>
      <c r="P451" t="str">
        <f>VLOOKUP(C451,[1]Customer_Master!$A:$B,2,0)</f>
        <v>Group-4 ( Office Account)</v>
      </c>
      <c r="Q451" t="str">
        <f>VLOOKUP(D451,[2]Template!$A:$D,3,0)</f>
        <v>LAPP</v>
      </c>
      <c r="R451" t="str">
        <f>VLOOKUP(D451,[2]Template!$A:$D,4,0)</f>
        <v>Lapp-Planned Stock General</v>
      </c>
    </row>
    <row r="452" spans="1:18" ht="13.5" customHeight="1" x14ac:dyDescent="0.25">
      <c r="A452" s="9">
        <v>46101</v>
      </c>
      <c r="B452" s="10" t="s">
        <v>810</v>
      </c>
      <c r="C452" s="11" t="s">
        <v>811</v>
      </c>
      <c r="D452" s="10" t="s">
        <v>812</v>
      </c>
      <c r="E452" s="12" t="s">
        <v>1072</v>
      </c>
      <c r="F452" s="12" t="s">
        <v>813</v>
      </c>
      <c r="G452" s="13">
        <v>300</v>
      </c>
      <c r="H452" s="14">
        <v>300</v>
      </c>
      <c r="I452" s="15">
        <v>75.16</v>
      </c>
      <c r="J452" s="16"/>
      <c r="K452" s="17">
        <v>22548</v>
      </c>
      <c r="L452" s="18">
        <v>46101</v>
      </c>
      <c r="M452" s="6" t="str">
        <f t="shared" si="21"/>
        <v>Due order</v>
      </c>
      <c r="N452" s="8">
        <f t="shared" ca="1" si="22"/>
        <v>-54</v>
      </c>
      <c r="O452" s="8" t="str">
        <f t="shared" ca="1" si="23"/>
        <v>With in 90 days</v>
      </c>
      <c r="P452" t="str">
        <f>VLOOKUP(C452,[1]Customer_Master!$A:$B,2,0)</f>
        <v>Group-4 ( Office Account)</v>
      </c>
      <c r="Q452" t="str">
        <f>VLOOKUP(D452,[2]Template!$A:$D,3,0)</f>
        <v>LAPP</v>
      </c>
      <c r="R452" t="str">
        <f>VLOOKUP(D452,[2]Template!$A:$D,4,0)</f>
        <v>Lapp-Titan</v>
      </c>
    </row>
    <row r="453" spans="1:18" ht="13.5" customHeight="1" x14ac:dyDescent="0.25">
      <c r="A453" s="9">
        <v>46101</v>
      </c>
      <c r="B453" s="10" t="s">
        <v>814</v>
      </c>
      <c r="C453" s="11" t="s">
        <v>815</v>
      </c>
      <c r="D453" s="10" t="s">
        <v>452</v>
      </c>
      <c r="E453" s="12" t="s">
        <v>1072</v>
      </c>
      <c r="F453" s="12" t="s">
        <v>278</v>
      </c>
      <c r="G453" s="13">
        <v>100</v>
      </c>
      <c r="H453" s="14">
        <v>100</v>
      </c>
      <c r="I453" s="15">
        <v>82.68</v>
      </c>
      <c r="J453" s="16"/>
      <c r="K453" s="17">
        <v>8268</v>
      </c>
      <c r="L453" s="18">
        <v>46101</v>
      </c>
      <c r="M453" s="6" t="str">
        <f t="shared" si="21"/>
        <v>Due order</v>
      </c>
      <c r="N453" s="8">
        <f t="shared" ca="1" si="22"/>
        <v>-54</v>
      </c>
      <c r="O453" s="8" t="str">
        <f t="shared" ca="1" si="23"/>
        <v>With in 90 days</v>
      </c>
      <c r="P453" t="str">
        <f>VLOOKUP(C453,[1]Customer_Master!$A:$B,2,0)</f>
        <v>Group 1-Giridhar-Peenya</v>
      </c>
      <c r="Q453" t="str">
        <f>VLOOKUP(D453,[2]Template!$A:$D,3,0)</f>
        <v>LAPP</v>
      </c>
      <c r="R453" t="str">
        <f>VLOOKUP(D453,[2]Template!$A:$D,4,0)</f>
        <v>Lapp-Planned Stock General</v>
      </c>
    </row>
    <row r="454" spans="1:18" ht="13.5" customHeight="1" x14ac:dyDescent="0.25">
      <c r="A454" s="9">
        <v>46101</v>
      </c>
      <c r="B454" s="10" t="s">
        <v>819</v>
      </c>
      <c r="C454" s="11" t="s">
        <v>820</v>
      </c>
      <c r="D454" s="10" t="s">
        <v>821</v>
      </c>
      <c r="E454" s="12" t="s">
        <v>1072</v>
      </c>
      <c r="F454" s="12" t="s">
        <v>822</v>
      </c>
      <c r="G454" s="13">
        <v>30</v>
      </c>
      <c r="H454" s="14">
        <v>30</v>
      </c>
      <c r="I454" s="15">
        <v>82.72</v>
      </c>
      <c r="J454" s="16"/>
      <c r="K454" s="17">
        <v>2481.6</v>
      </c>
      <c r="L454" s="18">
        <v>46101</v>
      </c>
      <c r="M454" s="6" t="str">
        <f t="shared" si="21"/>
        <v>Due order</v>
      </c>
      <c r="N454" s="8">
        <f t="shared" ca="1" si="22"/>
        <v>-54</v>
      </c>
      <c r="O454" s="8" t="str">
        <f t="shared" ca="1" si="23"/>
        <v>With in 90 days</v>
      </c>
      <c r="P454" t="str">
        <f>VLOOKUP(C454,[1]Customer_Master!$A:$B,2,0)</f>
        <v>Online Business</v>
      </c>
      <c r="Q454" t="str">
        <f>VLOOKUP(D454,[2]Template!$A:$D,3,0)</f>
        <v>LAPP</v>
      </c>
      <c r="R454" t="str">
        <f>VLOOKUP(D454,[2]Template!$A:$D,4,0)</f>
        <v>Lapp-Against Customer PO</v>
      </c>
    </row>
    <row r="455" spans="1:18" ht="13.5" customHeight="1" x14ac:dyDescent="0.25">
      <c r="A455" s="9">
        <v>46101</v>
      </c>
      <c r="B455" s="10" t="s">
        <v>819</v>
      </c>
      <c r="C455" s="11" t="s">
        <v>820</v>
      </c>
      <c r="D455" s="10" t="s">
        <v>595</v>
      </c>
      <c r="E455" s="12" t="s">
        <v>1072</v>
      </c>
      <c r="F455" s="12" t="s">
        <v>596</v>
      </c>
      <c r="G455" s="13">
        <v>100</v>
      </c>
      <c r="H455" s="14">
        <v>100</v>
      </c>
      <c r="I455" s="15">
        <v>16.71</v>
      </c>
      <c r="J455" s="16"/>
      <c r="K455" s="17">
        <v>1671</v>
      </c>
      <c r="L455" s="18">
        <v>46101</v>
      </c>
      <c r="M455" s="6" t="str">
        <f t="shared" si="21"/>
        <v>Due order</v>
      </c>
      <c r="N455" s="8">
        <f t="shared" ca="1" si="22"/>
        <v>-54</v>
      </c>
      <c r="O455" s="8" t="str">
        <f t="shared" ca="1" si="23"/>
        <v>With in 90 days</v>
      </c>
      <c r="P455" t="str">
        <f>VLOOKUP(C455,[1]Customer_Master!$A:$B,2,0)</f>
        <v>Online Business</v>
      </c>
      <c r="Q455" t="str">
        <f>VLOOKUP(D455,[2]Template!$A:$D,3,0)</f>
        <v>LAPP</v>
      </c>
      <c r="R455" t="str">
        <f>VLOOKUP(D455,[2]Template!$A:$D,4,0)</f>
        <v>Lapp-Planned Stock General</v>
      </c>
    </row>
    <row r="456" spans="1:18" ht="13.5" customHeight="1" x14ac:dyDescent="0.25">
      <c r="A456" s="9">
        <v>46101</v>
      </c>
      <c r="B456" s="10" t="s">
        <v>819</v>
      </c>
      <c r="C456" s="11" t="s">
        <v>820</v>
      </c>
      <c r="D456" s="10" t="s">
        <v>690</v>
      </c>
      <c r="E456" s="12" t="s">
        <v>1072</v>
      </c>
      <c r="F456" s="12" t="s">
        <v>1072</v>
      </c>
      <c r="G456" s="24">
        <v>1</v>
      </c>
      <c r="H456" s="25">
        <v>1</v>
      </c>
      <c r="I456" s="15">
        <v>800</v>
      </c>
      <c r="J456" s="16"/>
      <c r="K456" s="17">
        <v>800</v>
      </c>
      <c r="L456" s="18">
        <v>46101</v>
      </c>
      <c r="M456" s="6" t="str">
        <f t="shared" si="21"/>
        <v>Due order</v>
      </c>
      <c r="N456" s="8">
        <f t="shared" ca="1" si="22"/>
        <v>-54</v>
      </c>
      <c r="O456" s="8" t="str">
        <f t="shared" ca="1" si="23"/>
        <v>With in 90 days</v>
      </c>
      <c r="P456" t="str">
        <f>VLOOKUP(C456,[1]Customer_Master!$A:$B,2,0)</f>
        <v>Online Business</v>
      </c>
      <c r="Q456" t="str">
        <f>VLOOKUP(D456,[2]Template!$A:$D,3,0)</f>
        <v>LAPP</v>
      </c>
      <c r="R456" t="str">
        <f>VLOOKUP(D456,[2]Template!$A:$D,4,0)</f>
        <v>Lapp-Non Moving Stocks</v>
      </c>
    </row>
    <row r="457" spans="1:18" ht="13.5" customHeight="1" x14ac:dyDescent="0.25">
      <c r="A457" s="9">
        <v>46101</v>
      </c>
      <c r="B457" s="10" t="s">
        <v>823</v>
      </c>
      <c r="C457" s="11" t="s">
        <v>824</v>
      </c>
      <c r="D457" s="10" t="s">
        <v>825</v>
      </c>
      <c r="E457" s="12" t="s">
        <v>1072</v>
      </c>
      <c r="F457" s="12" t="s">
        <v>826</v>
      </c>
      <c r="G457" s="19">
        <v>1</v>
      </c>
      <c r="H457" s="20">
        <v>1</v>
      </c>
      <c r="I457" s="15">
        <v>1034</v>
      </c>
      <c r="J457" s="16"/>
      <c r="K457" s="17">
        <v>1034</v>
      </c>
      <c r="L457" s="18">
        <v>46101</v>
      </c>
      <c r="M457" s="6" t="str">
        <f t="shared" si="21"/>
        <v>Due order</v>
      </c>
      <c r="N457" s="8">
        <f t="shared" ca="1" si="22"/>
        <v>-54</v>
      </c>
      <c r="O457" s="8" t="str">
        <f t="shared" ca="1" si="23"/>
        <v>With in 90 days</v>
      </c>
      <c r="P457" t="str">
        <f>VLOOKUP(C457,[1]Customer_Master!$A:$B,2,0)</f>
        <v>Group 1-Giridhar-Peenya</v>
      </c>
      <c r="Q457" t="str">
        <f>VLOOKUP(D457,[2]Template!$A:$D,3,0)</f>
        <v>EATON</v>
      </c>
      <c r="R457" t="str">
        <f>VLOOKUP(D457,[2]Template!$A:$D,4,0)</f>
        <v>Eaton-Planned Stock Specific Customer</v>
      </c>
    </row>
    <row r="458" spans="1:18" ht="13.5" customHeight="1" x14ac:dyDescent="0.25">
      <c r="A458" s="9">
        <v>46101</v>
      </c>
      <c r="B458" s="10" t="s">
        <v>823</v>
      </c>
      <c r="C458" s="11" t="s">
        <v>824</v>
      </c>
      <c r="D458" s="27" t="s">
        <v>827</v>
      </c>
      <c r="E458" s="12" t="s">
        <v>1072</v>
      </c>
      <c r="F458" s="12" t="s">
        <v>828</v>
      </c>
      <c r="G458" s="19">
        <v>2</v>
      </c>
      <c r="H458" s="20">
        <v>1</v>
      </c>
      <c r="I458" s="15">
        <v>1148</v>
      </c>
      <c r="J458" s="16"/>
      <c r="K458" s="17">
        <v>1148</v>
      </c>
      <c r="L458" s="18">
        <v>46101</v>
      </c>
      <c r="M458" s="6" t="str">
        <f t="shared" si="21"/>
        <v>Due order</v>
      </c>
      <c r="N458" s="8">
        <f t="shared" ca="1" si="22"/>
        <v>-54</v>
      </c>
      <c r="O458" s="8" t="str">
        <f t="shared" ca="1" si="23"/>
        <v>With in 90 days</v>
      </c>
      <c r="P458" t="str">
        <f>VLOOKUP(C458,[1]Customer_Master!$A:$B,2,0)</f>
        <v>Group 1-Giridhar-Peenya</v>
      </c>
      <c r="Q458" t="str">
        <f>VLOOKUP(D458,[2]Template!$A:$D,3,0)</f>
        <v>EATON</v>
      </c>
      <c r="R458" t="str">
        <f>VLOOKUP(D458,[2]Template!$A:$D,4,0)</f>
        <v>Eaton-Non Moving Stock</v>
      </c>
    </row>
    <row r="459" spans="1:18" ht="13.5" customHeight="1" x14ac:dyDescent="0.25">
      <c r="A459" s="9">
        <v>46104</v>
      </c>
      <c r="B459" s="10" t="s">
        <v>829</v>
      </c>
      <c r="C459" s="11" t="s">
        <v>744</v>
      </c>
      <c r="D459" s="10" t="s">
        <v>830</v>
      </c>
      <c r="E459" s="12" t="s">
        <v>1072</v>
      </c>
      <c r="F459" s="12" t="s">
        <v>831</v>
      </c>
      <c r="G459" s="19">
        <v>1</v>
      </c>
      <c r="H459" s="20">
        <v>1</v>
      </c>
      <c r="I459" s="15">
        <v>3268.22</v>
      </c>
      <c r="J459" s="16"/>
      <c r="K459" s="17">
        <v>3268.22</v>
      </c>
      <c r="L459" s="18">
        <v>46104</v>
      </c>
      <c r="M459" s="6" t="str">
        <f t="shared" si="21"/>
        <v>Due order</v>
      </c>
      <c r="N459" s="8">
        <f t="shared" ca="1" si="22"/>
        <v>-51</v>
      </c>
      <c r="O459" s="8" t="str">
        <f t="shared" ca="1" si="23"/>
        <v>With in 90 days</v>
      </c>
      <c r="P459" t="str">
        <f>VLOOKUP(C459,[1]Customer_Master!$A:$B,2,0)</f>
        <v>Group 1-Giridhar-Peenya</v>
      </c>
      <c r="Q459" t="str">
        <f>VLOOKUP(D459,[2]Template!$A:$D,3,0)</f>
        <v>LAPP</v>
      </c>
      <c r="R459" t="str">
        <f>VLOOKUP(D459,[2]Template!$A:$D,4,0)</f>
        <v>Lapp-Against Customer PO</v>
      </c>
    </row>
    <row r="460" spans="1:18" ht="13.5" customHeight="1" x14ac:dyDescent="0.25">
      <c r="A460" s="9">
        <v>46104</v>
      </c>
      <c r="B460" s="10" t="s">
        <v>834</v>
      </c>
      <c r="C460" s="11" t="s">
        <v>54</v>
      </c>
      <c r="D460" s="10" t="s">
        <v>835</v>
      </c>
      <c r="E460" s="12" t="s">
        <v>1072</v>
      </c>
      <c r="F460" s="12" t="s">
        <v>836</v>
      </c>
      <c r="G460" s="19">
        <v>29</v>
      </c>
      <c r="H460" s="20">
        <v>29</v>
      </c>
      <c r="I460" s="15">
        <v>395.97</v>
      </c>
      <c r="J460" s="16"/>
      <c r="K460" s="17">
        <v>11483.13</v>
      </c>
      <c r="L460" s="18">
        <v>46104</v>
      </c>
      <c r="M460" s="6" t="str">
        <f t="shared" si="21"/>
        <v>Due order</v>
      </c>
      <c r="N460" s="8">
        <f t="shared" ca="1" si="22"/>
        <v>-51</v>
      </c>
      <c r="O460" s="8" t="str">
        <f t="shared" ca="1" si="23"/>
        <v>With in 90 days</v>
      </c>
      <c r="P460" t="str">
        <f>VLOOKUP(C460,[1]Customer_Master!$A:$B,2,0)</f>
        <v>Group 1-Giridhar-Peenya</v>
      </c>
      <c r="Q460" t="str">
        <f>VLOOKUP(D460,[2]Template!$A:$D,3,0)</f>
        <v>EATON</v>
      </c>
      <c r="R460" t="str">
        <f>VLOOKUP(D460,[2]Template!$A:$D,4,0)</f>
        <v>Eaton-Planned Stock Specific Customer</v>
      </c>
    </row>
    <row r="461" spans="1:18" ht="13.5" customHeight="1" x14ac:dyDescent="0.25">
      <c r="A461" s="9">
        <v>46104</v>
      </c>
      <c r="B461" s="10" t="s">
        <v>842</v>
      </c>
      <c r="C461" s="11" t="s">
        <v>843</v>
      </c>
      <c r="D461" s="10" t="s">
        <v>779</v>
      </c>
      <c r="E461" s="12" t="s">
        <v>1072</v>
      </c>
      <c r="F461" s="12" t="s">
        <v>780</v>
      </c>
      <c r="G461" s="13">
        <v>300</v>
      </c>
      <c r="H461" s="14">
        <v>300</v>
      </c>
      <c r="I461" s="15">
        <v>16.8</v>
      </c>
      <c r="J461" s="16"/>
      <c r="K461" s="17">
        <v>5040</v>
      </c>
      <c r="L461" s="18">
        <v>46104</v>
      </c>
      <c r="M461" s="6" t="str">
        <f t="shared" si="21"/>
        <v>Due order</v>
      </c>
      <c r="N461" s="8">
        <f t="shared" ca="1" si="22"/>
        <v>-51</v>
      </c>
      <c r="O461" s="8" t="str">
        <f t="shared" ca="1" si="23"/>
        <v>With in 90 days</v>
      </c>
      <c r="P461" t="str">
        <f>VLOOKUP(C461,[1]Customer_Master!$A:$B,2,0)</f>
        <v>Group-2 (Veeresh- Bomsdr+Hosur)</v>
      </c>
      <c r="Q461" t="str">
        <f>VLOOKUP(D461,[2]Template!$A:$D,3,0)</f>
        <v>LAPP</v>
      </c>
      <c r="R461" t="str">
        <f>VLOOKUP(D461,[2]Template!$A:$D,4,0)</f>
        <v>Lapp-Planned Stock General</v>
      </c>
    </row>
    <row r="462" spans="1:18" ht="13.5" customHeight="1" x14ac:dyDescent="0.25">
      <c r="A462" s="9">
        <v>46104</v>
      </c>
      <c r="B462" s="10" t="s">
        <v>844</v>
      </c>
      <c r="C462" s="11" t="s">
        <v>98</v>
      </c>
      <c r="D462" s="10" t="s">
        <v>845</v>
      </c>
      <c r="E462" s="12" t="s">
        <v>1072</v>
      </c>
      <c r="F462" s="12" t="s">
        <v>846</v>
      </c>
      <c r="G462" s="19">
        <v>54</v>
      </c>
      <c r="H462" s="20">
        <v>54</v>
      </c>
      <c r="I462" s="15">
        <v>952</v>
      </c>
      <c r="J462" s="16"/>
      <c r="K462" s="17">
        <v>51408</v>
      </c>
      <c r="L462" s="18">
        <v>46143</v>
      </c>
      <c r="M462" s="6" t="str">
        <f t="shared" si="21"/>
        <v>Schedule order</v>
      </c>
      <c r="N462" s="8">
        <f t="shared" ca="1" si="22"/>
        <v>-12</v>
      </c>
      <c r="O462" s="8" t="str">
        <f t="shared" ca="1" si="23"/>
        <v>With in 90 days</v>
      </c>
      <c r="P462" t="str">
        <f>VLOOKUP(C462,[1]Customer_Master!$A:$B,2,0)</f>
        <v>Group - 5 (Ananthapadmanabha)</v>
      </c>
      <c r="Q462" t="str">
        <f>VLOOKUP(D462,[2]Template!$A:$D,3,0)</f>
        <v>EATON</v>
      </c>
      <c r="R462" t="str">
        <f>VLOOKUP(D462,[2]Template!$A:$D,4,0)</f>
        <v>Eaton-ENRX Pvt Ltd</v>
      </c>
    </row>
    <row r="463" spans="1:18" ht="13.5" customHeight="1" x14ac:dyDescent="0.25">
      <c r="A463" s="9">
        <v>46104</v>
      </c>
      <c r="B463" s="10" t="s">
        <v>844</v>
      </c>
      <c r="C463" s="11" t="s">
        <v>98</v>
      </c>
      <c r="D463" s="10" t="s">
        <v>847</v>
      </c>
      <c r="E463" s="12" t="s">
        <v>1072</v>
      </c>
      <c r="F463" s="12" t="s">
        <v>848</v>
      </c>
      <c r="G463" s="19">
        <v>60</v>
      </c>
      <c r="H463" s="20">
        <v>44</v>
      </c>
      <c r="I463" s="15">
        <v>448</v>
      </c>
      <c r="J463" s="16"/>
      <c r="K463" s="17">
        <v>19712</v>
      </c>
      <c r="L463" s="18">
        <v>46143</v>
      </c>
      <c r="M463" s="6" t="str">
        <f t="shared" si="21"/>
        <v>Schedule order</v>
      </c>
      <c r="N463" s="8">
        <f t="shared" ca="1" si="22"/>
        <v>-12</v>
      </c>
      <c r="O463" s="8" t="str">
        <f t="shared" ca="1" si="23"/>
        <v>With in 90 days</v>
      </c>
      <c r="P463" t="str">
        <f>VLOOKUP(C463,[1]Customer_Master!$A:$B,2,0)</f>
        <v>Group - 5 (Ananthapadmanabha)</v>
      </c>
      <c r="Q463" t="str">
        <f>VLOOKUP(D463,[2]Template!$A:$D,3,0)</f>
        <v>EATON</v>
      </c>
      <c r="R463" t="str">
        <f>VLOOKUP(D463,[2]Template!$A:$D,4,0)</f>
        <v>Eaton-ETA Technology</v>
      </c>
    </row>
    <row r="464" spans="1:18" ht="13.5" customHeight="1" x14ac:dyDescent="0.25">
      <c r="A464" s="9">
        <v>46104</v>
      </c>
      <c r="B464" s="10" t="s">
        <v>844</v>
      </c>
      <c r="C464" s="11" t="s">
        <v>98</v>
      </c>
      <c r="D464" s="10" t="s">
        <v>851</v>
      </c>
      <c r="E464" s="12" t="s">
        <v>1072</v>
      </c>
      <c r="F464" s="12" t="s">
        <v>852</v>
      </c>
      <c r="G464" s="19">
        <v>196</v>
      </c>
      <c r="H464" s="20">
        <v>93</v>
      </c>
      <c r="I464" s="15">
        <v>168</v>
      </c>
      <c r="J464" s="16"/>
      <c r="K464" s="17">
        <v>15624</v>
      </c>
      <c r="L464" s="18">
        <v>46143</v>
      </c>
      <c r="M464" s="6" t="str">
        <f t="shared" si="21"/>
        <v>Schedule order</v>
      </c>
      <c r="N464" s="8">
        <f t="shared" ca="1" si="22"/>
        <v>-12</v>
      </c>
      <c r="O464" s="8" t="str">
        <f t="shared" ca="1" si="23"/>
        <v>With in 90 days</v>
      </c>
      <c r="P464" t="str">
        <f>VLOOKUP(C464,[1]Customer_Master!$A:$B,2,0)</f>
        <v>Group - 5 (Ananthapadmanabha)</v>
      </c>
      <c r="Q464" t="str">
        <f>VLOOKUP(D464,[2]Template!$A:$D,3,0)</f>
        <v>EATON</v>
      </c>
      <c r="R464" t="str">
        <f>VLOOKUP(D464,[2]Template!$A:$D,4,0)</f>
        <v>Eaton-ENRX Pvt Ltd</v>
      </c>
    </row>
    <row r="465" spans="1:18" ht="13.5" customHeight="1" x14ac:dyDescent="0.25">
      <c r="A465" s="9">
        <v>46105</v>
      </c>
      <c r="B465" s="10" t="s">
        <v>858</v>
      </c>
      <c r="C465" s="11" t="s">
        <v>585</v>
      </c>
      <c r="D465" s="10" t="s">
        <v>856</v>
      </c>
      <c r="E465" s="12" t="s">
        <v>1072</v>
      </c>
      <c r="F465" s="12" t="s">
        <v>857</v>
      </c>
      <c r="G465" s="13">
        <v>200</v>
      </c>
      <c r="H465" s="14">
        <v>200</v>
      </c>
      <c r="I465" s="15">
        <v>150.44999999999999</v>
      </c>
      <c r="J465" s="16"/>
      <c r="K465" s="17">
        <v>30090</v>
      </c>
      <c r="L465" s="18">
        <v>46127</v>
      </c>
      <c r="M465" s="6" t="str">
        <f t="shared" si="21"/>
        <v>Due order</v>
      </c>
      <c r="N465" s="8">
        <f t="shared" ca="1" si="22"/>
        <v>-28</v>
      </c>
      <c r="O465" s="8" t="str">
        <f t="shared" ca="1" si="23"/>
        <v>With in 90 days</v>
      </c>
      <c r="P465" t="str">
        <f>VLOOKUP(C465,[1]Customer_Master!$A:$B,2,0)</f>
        <v>Group-2 (Veeresh- Bomsdr+Hosur)</v>
      </c>
      <c r="Q465" t="str">
        <f>VLOOKUP(D465,[2]Template!$A:$D,3,0)</f>
        <v>LAPP</v>
      </c>
      <c r="R465" t="str">
        <f>VLOOKUP(D465,[2]Template!$A:$D,4,0)</f>
        <v>Lapp-Against Customer PO</v>
      </c>
    </row>
    <row r="466" spans="1:18" ht="13.5" customHeight="1" x14ac:dyDescent="0.25">
      <c r="A466" s="9">
        <v>46105</v>
      </c>
      <c r="B466" s="10" t="s">
        <v>858</v>
      </c>
      <c r="C466" s="11" t="s">
        <v>585</v>
      </c>
      <c r="D466" s="10" t="s">
        <v>854</v>
      </c>
      <c r="E466" s="12" t="s">
        <v>1072</v>
      </c>
      <c r="F466" s="12" t="s">
        <v>855</v>
      </c>
      <c r="G466" s="13">
        <v>100</v>
      </c>
      <c r="H466" s="14">
        <v>100</v>
      </c>
      <c r="I466" s="15">
        <v>233.92</v>
      </c>
      <c r="J466" s="16"/>
      <c r="K466" s="17">
        <v>23392</v>
      </c>
      <c r="L466" s="18">
        <v>46127</v>
      </c>
      <c r="M466" s="6" t="str">
        <f t="shared" si="21"/>
        <v>Due order</v>
      </c>
      <c r="N466" s="8">
        <f t="shared" ca="1" si="22"/>
        <v>-28</v>
      </c>
      <c r="O466" s="8" t="str">
        <f t="shared" ca="1" si="23"/>
        <v>With in 90 days</v>
      </c>
      <c r="P466" t="str">
        <f>VLOOKUP(C466,[1]Customer_Master!$A:$B,2,0)</f>
        <v>Group-2 (Veeresh- Bomsdr+Hosur)</v>
      </c>
      <c r="Q466" t="str">
        <f>VLOOKUP(D466,[2]Template!$A:$D,3,0)</f>
        <v>LAPP</v>
      </c>
      <c r="R466" t="str">
        <f>VLOOKUP(D466,[2]Template!$A:$D,4,0)</f>
        <v>Lapp-Non Moving Stocks</v>
      </c>
    </row>
    <row r="467" spans="1:18" ht="13.5" customHeight="1" x14ac:dyDescent="0.25">
      <c r="A467" s="9">
        <v>46105</v>
      </c>
      <c r="B467" s="10" t="s">
        <v>860</v>
      </c>
      <c r="C467" s="11" t="s">
        <v>209</v>
      </c>
      <c r="D467" s="27" t="s">
        <v>861</v>
      </c>
      <c r="E467" s="12" t="s">
        <v>1072</v>
      </c>
      <c r="F467" s="12" t="s">
        <v>862</v>
      </c>
      <c r="G467" s="13">
        <v>150</v>
      </c>
      <c r="H467" s="14">
        <v>150</v>
      </c>
      <c r="I467" s="15">
        <v>1181.23</v>
      </c>
      <c r="J467" s="16"/>
      <c r="K467" s="17">
        <v>177184.5</v>
      </c>
      <c r="L467" s="18">
        <v>46105</v>
      </c>
      <c r="M467" s="6" t="str">
        <f t="shared" si="21"/>
        <v>Due order</v>
      </c>
      <c r="N467" s="8">
        <f t="shared" ca="1" si="22"/>
        <v>-50</v>
      </c>
      <c r="O467" s="8" t="str">
        <f t="shared" ca="1" si="23"/>
        <v>With in 90 days</v>
      </c>
      <c r="P467" t="str">
        <f>VLOOKUP(C467,[1]Customer_Master!$A:$B,2,0)</f>
        <v>Group 1-Giridhar-Peenya</v>
      </c>
      <c r="Q467" t="str">
        <f>VLOOKUP(D467,[2]Template!$A:$D,3,0)</f>
        <v>LAPP</v>
      </c>
      <c r="R467" t="str">
        <f>VLOOKUP(D467,[2]Template!$A:$D,4,0)</f>
        <v>Lapp-Non Moving Stocks</v>
      </c>
    </row>
    <row r="468" spans="1:18" ht="13.5" customHeight="1" x14ac:dyDescent="0.25">
      <c r="A468" s="9">
        <v>46105</v>
      </c>
      <c r="B468" s="10" t="s">
        <v>865</v>
      </c>
      <c r="C468" s="11" t="s">
        <v>866</v>
      </c>
      <c r="D468" s="10" t="s">
        <v>867</v>
      </c>
      <c r="E468" s="12" t="s">
        <v>1072</v>
      </c>
      <c r="F468" s="12" t="s">
        <v>868</v>
      </c>
      <c r="G468" s="19">
        <v>155</v>
      </c>
      <c r="H468" s="20">
        <v>155</v>
      </c>
      <c r="I468" s="15">
        <v>159.19</v>
      </c>
      <c r="J468" s="16"/>
      <c r="K468" s="17">
        <v>24674.45</v>
      </c>
      <c r="L468" s="18">
        <v>46105</v>
      </c>
      <c r="M468" s="6" t="str">
        <f t="shared" si="21"/>
        <v>Due order</v>
      </c>
      <c r="N468" s="8">
        <f t="shared" ca="1" si="22"/>
        <v>-50</v>
      </c>
      <c r="O468" s="8" t="str">
        <f t="shared" ca="1" si="23"/>
        <v>With in 90 days</v>
      </c>
      <c r="P468" t="str">
        <f>VLOOKUP(C468,[1]Customer_Master!$A:$B,2,0)</f>
        <v>Group-4 ( Office Account)</v>
      </c>
      <c r="Q468" t="str">
        <f>VLOOKUP(D468,[2]Template!$A:$D,3,0)</f>
        <v>LAPP</v>
      </c>
      <c r="R468" t="str">
        <f>VLOOKUP(D468,[2]Template!$A:$D,4,0)</f>
        <v>Lapp-Against Customer PO</v>
      </c>
    </row>
    <row r="469" spans="1:18" ht="13.5" customHeight="1" x14ac:dyDescent="0.25">
      <c r="A469" s="9">
        <v>46105</v>
      </c>
      <c r="B469" s="10" t="s">
        <v>865</v>
      </c>
      <c r="C469" s="11" t="s">
        <v>866</v>
      </c>
      <c r="D469" s="10" t="s">
        <v>869</v>
      </c>
      <c r="E469" s="12" t="s">
        <v>1072</v>
      </c>
      <c r="F469" s="12" t="s">
        <v>870</v>
      </c>
      <c r="G469" s="19">
        <v>155</v>
      </c>
      <c r="H469" s="20">
        <v>155</v>
      </c>
      <c r="I469" s="15">
        <v>305.62</v>
      </c>
      <c r="J469" s="16"/>
      <c r="K469" s="17">
        <v>47371.1</v>
      </c>
      <c r="L469" s="18">
        <v>46105</v>
      </c>
      <c r="M469" s="6" t="str">
        <f t="shared" si="21"/>
        <v>Due order</v>
      </c>
      <c r="N469" s="8">
        <f t="shared" ca="1" si="22"/>
        <v>-50</v>
      </c>
      <c r="O469" s="8" t="str">
        <f t="shared" ca="1" si="23"/>
        <v>With in 90 days</v>
      </c>
      <c r="P469" t="str">
        <f>VLOOKUP(C469,[1]Customer_Master!$A:$B,2,0)</f>
        <v>Group-4 ( Office Account)</v>
      </c>
      <c r="Q469" t="str">
        <f>VLOOKUP(D469,[2]Template!$A:$D,3,0)</f>
        <v>LAPP</v>
      </c>
      <c r="R469" t="str">
        <f>VLOOKUP(D469,[2]Template!$A:$D,4,0)</f>
        <v>Lapp-Against Customer PO</v>
      </c>
    </row>
    <row r="470" spans="1:18" ht="13.5" customHeight="1" x14ac:dyDescent="0.25">
      <c r="A470" s="9">
        <v>46105</v>
      </c>
      <c r="B470" s="10" t="s">
        <v>865</v>
      </c>
      <c r="C470" s="11" t="s">
        <v>866</v>
      </c>
      <c r="D470" s="27" t="s">
        <v>871</v>
      </c>
      <c r="E470" s="12" t="s">
        <v>1072</v>
      </c>
      <c r="F470" s="12" t="s">
        <v>872</v>
      </c>
      <c r="G470" s="19">
        <v>2500</v>
      </c>
      <c r="H470" s="20">
        <v>500</v>
      </c>
      <c r="I470" s="15">
        <v>1.58</v>
      </c>
      <c r="J470" s="16"/>
      <c r="K470" s="17">
        <v>790</v>
      </c>
      <c r="L470" s="18">
        <v>46105</v>
      </c>
      <c r="M470" s="6" t="str">
        <f t="shared" si="21"/>
        <v>Due order</v>
      </c>
      <c r="N470" s="8">
        <f t="shared" ca="1" si="22"/>
        <v>-50</v>
      </c>
      <c r="O470" s="8" t="str">
        <f t="shared" ca="1" si="23"/>
        <v>With in 90 days</v>
      </c>
      <c r="P470" t="str">
        <f>VLOOKUP(C470,[1]Customer_Master!$A:$B,2,0)</f>
        <v>Group-4 ( Office Account)</v>
      </c>
      <c r="Q470" t="str">
        <f>VLOOKUP(D470,[2]Template!$A:$D,3,0)</f>
        <v>LAPP</v>
      </c>
      <c r="R470" t="str">
        <f>VLOOKUP(D470,[2]Template!$A:$D,4,0)</f>
        <v>Lapp-Non Moving Stocks</v>
      </c>
    </row>
    <row r="471" spans="1:18" ht="13.5" customHeight="1" x14ac:dyDescent="0.25">
      <c r="A471" s="9">
        <v>46105</v>
      </c>
      <c r="B471" s="10" t="s">
        <v>873</v>
      </c>
      <c r="C471" s="11" t="s">
        <v>98</v>
      </c>
      <c r="D471" s="10" t="s">
        <v>874</v>
      </c>
      <c r="E471" s="12" t="s">
        <v>1072</v>
      </c>
      <c r="F471" s="12" t="s">
        <v>875</v>
      </c>
      <c r="G471" s="19">
        <v>2</v>
      </c>
      <c r="H471" s="20">
        <v>2</v>
      </c>
      <c r="I471" s="15">
        <v>15.49</v>
      </c>
      <c r="J471" s="16"/>
      <c r="K471" s="17">
        <v>30.98</v>
      </c>
      <c r="L471" s="18">
        <v>46127</v>
      </c>
      <c r="M471" s="6" t="str">
        <f t="shared" si="21"/>
        <v>Due order</v>
      </c>
      <c r="N471" s="8">
        <f t="shared" ca="1" si="22"/>
        <v>-28</v>
      </c>
      <c r="O471" s="8" t="str">
        <f t="shared" ca="1" si="23"/>
        <v>With in 90 days</v>
      </c>
      <c r="P471" t="str">
        <f>VLOOKUP(C471,[1]Customer_Master!$A:$B,2,0)</f>
        <v>Group - 5 (Ananthapadmanabha)</v>
      </c>
      <c r="Q471" t="str">
        <f>VLOOKUP(D471,[2]Template!$A:$D,3,0)</f>
        <v>LAPP</v>
      </c>
      <c r="R471" t="str">
        <f>VLOOKUP(D471,[2]Template!$A:$D,4,0)</f>
        <v>Lapp-Against Customer PO</v>
      </c>
    </row>
    <row r="472" spans="1:18" ht="13.5" customHeight="1" x14ac:dyDescent="0.25">
      <c r="A472" s="9">
        <v>46106</v>
      </c>
      <c r="B472" s="10" t="s">
        <v>877</v>
      </c>
      <c r="C472" s="11" t="s">
        <v>645</v>
      </c>
      <c r="D472" s="10" t="s">
        <v>454</v>
      </c>
      <c r="E472" s="12" t="s">
        <v>1072</v>
      </c>
      <c r="F472" s="12" t="s">
        <v>244</v>
      </c>
      <c r="G472" s="13">
        <v>800</v>
      </c>
      <c r="H472" s="14">
        <v>800</v>
      </c>
      <c r="I472" s="15">
        <v>8.23</v>
      </c>
      <c r="J472" s="16"/>
      <c r="K472" s="17">
        <v>6584</v>
      </c>
      <c r="L472" s="18">
        <v>46127</v>
      </c>
      <c r="M472" s="6" t="str">
        <f t="shared" si="21"/>
        <v>Due order</v>
      </c>
      <c r="N472" s="8">
        <f t="shared" ca="1" si="22"/>
        <v>-28</v>
      </c>
      <c r="O472" s="8" t="str">
        <f t="shared" ca="1" si="23"/>
        <v>With in 90 days</v>
      </c>
      <c r="P472" t="str">
        <f>VLOOKUP(C472,[1]Customer_Master!$A:$B,2,0)</f>
        <v>Group - 5 (Ananthapadmanabha)</v>
      </c>
      <c r="Q472" t="str">
        <f>VLOOKUP(D472,[2]Template!$A:$D,3,0)</f>
        <v>LAPP</v>
      </c>
      <c r="R472" t="str">
        <f>VLOOKUP(D472,[2]Template!$A:$D,4,0)</f>
        <v>Lapp-Planned Stock General</v>
      </c>
    </row>
    <row r="473" spans="1:18" ht="13.5" customHeight="1" x14ac:dyDescent="0.25">
      <c r="A473" s="9">
        <v>46106</v>
      </c>
      <c r="B473" s="10" t="s">
        <v>877</v>
      </c>
      <c r="C473" s="11" t="s">
        <v>645</v>
      </c>
      <c r="D473" s="10" t="s">
        <v>878</v>
      </c>
      <c r="E473" s="12" t="s">
        <v>1072</v>
      </c>
      <c r="F473" s="12" t="s">
        <v>879</v>
      </c>
      <c r="G473" s="13">
        <v>800</v>
      </c>
      <c r="H473" s="14">
        <v>800</v>
      </c>
      <c r="I473" s="15">
        <v>8.23</v>
      </c>
      <c r="J473" s="16"/>
      <c r="K473" s="17">
        <v>6584</v>
      </c>
      <c r="L473" s="18">
        <v>46106</v>
      </c>
      <c r="M473" s="6" t="str">
        <f t="shared" si="21"/>
        <v>Due order</v>
      </c>
      <c r="N473" s="8">
        <f t="shared" ca="1" si="22"/>
        <v>-49</v>
      </c>
      <c r="O473" s="8" t="str">
        <f t="shared" ca="1" si="23"/>
        <v>With in 90 days</v>
      </c>
      <c r="P473" t="str">
        <f>VLOOKUP(C473,[1]Customer_Master!$A:$B,2,0)</f>
        <v>Group - 5 (Ananthapadmanabha)</v>
      </c>
      <c r="Q473" t="str">
        <f>VLOOKUP(D473,[2]Template!$A:$D,3,0)</f>
        <v>LAPP</v>
      </c>
      <c r="R473" t="str">
        <f>VLOOKUP(D473,[2]Template!$A:$D,4,0)</f>
        <v>Lapp-Planned Stock General</v>
      </c>
    </row>
    <row r="474" spans="1:18" ht="13.5" customHeight="1" x14ac:dyDescent="0.25">
      <c r="A474" s="9">
        <v>46107</v>
      </c>
      <c r="B474" s="10" t="s">
        <v>911</v>
      </c>
      <c r="C474" s="11" t="s">
        <v>76</v>
      </c>
      <c r="D474" s="10" t="s">
        <v>406</v>
      </c>
      <c r="E474" s="12" t="s">
        <v>1072</v>
      </c>
      <c r="F474" s="12" t="s">
        <v>133</v>
      </c>
      <c r="G474" s="19">
        <v>10</v>
      </c>
      <c r="H474" s="20">
        <v>10</v>
      </c>
      <c r="I474" s="15">
        <v>156</v>
      </c>
      <c r="J474" s="16"/>
      <c r="K474" s="17">
        <v>1560</v>
      </c>
      <c r="L474" s="18">
        <v>46179</v>
      </c>
      <c r="M474" s="6" t="str">
        <f t="shared" si="21"/>
        <v>Schedule order</v>
      </c>
      <c r="N474" s="8">
        <f t="shared" ca="1" si="22"/>
        <v>24</v>
      </c>
      <c r="O474" s="8" t="str">
        <f t="shared" ca="1" si="23"/>
        <v>Lattest or shedule order</v>
      </c>
      <c r="P474" t="str">
        <f>VLOOKUP(C474,[1]Customer_Master!$A:$B,2,0)</f>
        <v>Group 1-Giridhar-Peenya</v>
      </c>
      <c r="Q474" t="str">
        <f>VLOOKUP(D474,[2]Template!$A:$D,3,0)</f>
        <v>EATON</v>
      </c>
      <c r="R474" t="str">
        <f>VLOOKUP(D474,[2]Template!$A:$D,4,0)</f>
        <v>Eaton-Biesse</v>
      </c>
    </row>
    <row r="475" spans="1:18" ht="13.5" customHeight="1" x14ac:dyDescent="0.25">
      <c r="A475" s="9">
        <v>46107</v>
      </c>
      <c r="B475" s="10" t="s">
        <v>911</v>
      </c>
      <c r="C475" s="11" t="s">
        <v>76</v>
      </c>
      <c r="D475" s="10" t="s">
        <v>406</v>
      </c>
      <c r="E475" s="12" t="s">
        <v>1072</v>
      </c>
      <c r="F475" s="12" t="s">
        <v>133</v>
      </c>
      <c r="G475" s="19">
        <v>10</v>
      </c>
      <c r="H475" s="20">
        <v>10</v>
      </c>
      <c r="I475" s="15">
        <v>156</v>
      </c>
      <c r="J475" s="16"/>
      <c r="K475" s="17">
        <v>1560</v>
      </c>
      <c r="L475" s="18">
        <v>46213</v>
      </c>
      <c r="M475" s="6" t="str">
        <f t="shared" si="21"/>
        <v>Schedule order</v>
      </c>
      <c r="N475" s="8">
        <f t="shared" ca="1" si="22"/>
        <v>58</v>
      </c>
      <c r="O475" s="8" t="str">
        <f t="shared" ca="1" si="23"/>
        <v>Lattest or shedule order</v>
      </c>
      <c r="P475" t="str">
        <f>VLOOKUP(C475,[1]Customer_Master!$A:$B,2,0)</f>
        <v>Group 1-Giridhar-Peenya</v>
      </c>
      <c r="Q475" t="str">
        <f>VLOOKUP(D475,[2]Template!$A:$D,3,0)</f>
        <v>EATON</v>
      </c>
      <c r="R475" t="str">
        <f>VLOOKUP(D475,[2]Template!$A:$D,4,0)</f>
        <v>Eaton-Biesse</v>
      </c>
    </row>
    <row r="476" spans="1:18" ht="13.5" customHeight="1" x14ac:dyDescent="0.25">
      <c r="A476" s="9">
        <v>46107</v>
      </c>
      <c r="B476" s="10" t="s">
        <v>911</v>
      </c>
      <c r="C476" s="11" t="s">
        <v>76</v>
      </c>
      <c r="D476" s="10" t="s">
        <v>353</v>
      </c>
      <c r="E476" s="12" t="s">
        <v>1072</v>
      </c>
      <c r="F476" s="12" t="s">
        <v>92</v>
      </c>
      <c r="G476" s="19">
        <v>29</v>
      </c>
      <c r="H476" s="20">
        <v>29</v>
      </c>
      <c r="I476" s="15">
        <v>1353</v>
      </c>
      <c r="J476" s="16"/>
      <c r="K476" s="17">
        <v>39237</v>
      </c>
      <c r="L476" s="18">
        <v>46220</v>
      </c>
      <c r="M476" s="6" t="str">
        <f t="shared" si="21"/>
        <v>Schedule order</v>
      </c>
      <c r="N476" s="8">
        <f t="shared" ca="1" si="22"/>
        <v>65</v>
      </c>
      <c r="O476" s="8" t="str">
        <f t="shared" ca="1" si="23"/>
        <v>Lattest or shedule order</v>
      </c>
      <c r="P476" t="str">
        <f>VLOOKUP(C476,[1]Customer_Master!$A:$B,2,0)</f>
        <v>Group 1-Giridhar-Peenya</v>
      </c>
      <c r="Q476" t="str">
        <f>VLOOKUP(D476,[2]Template!$A:$D,3,0)</f>
        <v>EATON</v>
      </c>
      <c r="R476" t="str">
        <f>VLOOKUP(D476,[2]Template!$A:$D,4,0)</f>
        <v>Eaton-Biesse</v>
      </c>
    </row>
    <row r="477" spans="1:18" ht="13.5" customHeight="1" x14ac:dyDescent="0.25">
      <c r="A477" s="9">
        <v>46107</v>
      </c>
      <c r="B477" s="10" t="s">
        <v>911</v>
      </c>
      <c r="C477" s="11" t="s">
        <v>76</v>
      </c>
      <c r="D477" s="10" t="s">
        <v>353</v>
      </c>
      <c r="E477" s="12" t="s">
        <v>1072</v>
      </c>
      <c r="F477" s="12" t="s">
        <v>92</v>
      </c>
      <c r="G477" s="19">
        <v>10</v>
      </c>
      <c r="H477" s="20">
        <v>10</v>
      </c>
      <c r="I477" s="15">
        <v>1353</v>
      </c>
      <c r="J477" s="16"/>
      <c r="K477" s="17">
        <v>13530</v>
      </c>
      <c r="L477" s="18">
        <v>46251</v>
      </c>
      <c r="M477" s="6" t="str">
        <f t="shared" si="21"/>
        <v>Schedule order</v>
      </c>
      <c r="N477" s="8">
        <f t="shared" ca="1" si="22"/>
        <v>96</v>
      </c>
      <c r="O477" s="8" t="str">
        <f t="shared" ca="1" si="23"/>
        <v>Lattest or shedule order</v>
      </c>
      <c r="P477" t="str">
        <f>VLOOKUP(C477,[1]Customer_Master!$A:$B,2,0)</f>
        <v>Group 1-Giridhar-Peenya</v>
      </c>
      <c r="Q477" t="str">
        <f>VLOOKUP(D477,[2]Template!$A:$D,3,0)</f>
        <v>EATON</v>
      </c>
      <c r="R477" t="str">
        <f>VLOOKUP(D477,[2]Template!$A:$D,4,0)</f>
        <v>Eaton-Biesse</v>
      </c>
    </row>
    <row r="478" spans="1:18" ht="13.5" customHeight="1" x14ac:dyDescent="0.25">
      <c r="A478" s="9">
        <v>46107</v>
      </c>
      <c r="B478" s="10" t="s">
        <v>911</v>
      </c>
      <c r="C478" s="11" t="s">
        <v>76</v>
      </c>
      <c r="D478" s="10" t="s">
        <v>1073</v>
      </c>
      <c r="E478" s="12" t="s">
        <v>1072</v>
      </c>
      <c r="F478" s="12" t="s">
        <v>1074</v>
      </c>
      <c r="G478" s="19">
        <v>54</v>
      </c>
      <c r="H478" s="20">
        <v>54</v>
      </c>
      <c r="I478" s="15">
        <v>187</v>
      </c>
      <c r="J478" s="16"/>
      <c r="K478" s="17">
        <v>10098</v>
      </c>
      <c r="L478" s="18">
        <v>46221</v>
      </c>
      <c r="M478" s="6" t="str">
        <f t="shared" si="21"/>
        <v>Schedule order</v>
      </c>
      <c r="N478" s="8">
        <f t="shared" ca="1" si="22"/>
        <v>66</v>
      </c>
      <c r="O478" s="8" t="str">
        <f t="shared" ca="1" si="23"/>
        <v>Lattest or shedule order</v>
      </c>
      <c r="P478" t="str">
        <f>VLOOKUP(C478,[1]Customer_Master!$A:$B,2,0)</f>
        <v>Group 1-Giridhar-Peenya</v>
      </c>
      <c r="Q478" t="str">
        <f>VLOOKUP(D478,[2]Template!$A:$D,3,0)</f>
        <v>EATON</v>
      </c>
      <c r="R478" t="str">
        <f>VLOOKUP(D478,[2]Template!$A:$D,4,0)</f>
        <v>Eaton-Biesse</v>
      </c>
    </row>
    <row r="479" spans="1:18" ht="13.5" customHeight="1" x14ac:dyDescent="0.25">
      <c r="A479" s="9">
        <v>46107</v>
      </c>
      <c r="B479" s="10" t="s">
        <v>911</v>
      </c>
      <c r="C479" s="11" t="s">
        <v>76</v>
      </c>
      <c r="D479" s="10" t="s">
        <v>1073</v>
      </c>
      <c r="E479" s="12" t="s">
        <v>1072</v>
      </c>
      <c r="F479" s="12" t="s">
        <v>1074</v>
      </c>
      <c r="G479" s="19">
        <v>32</v>
      </c>
      <c r="H479" s="20">
        <v>32</v>
      </c>
      <c r="I479" s="15">
        <v>187</v>
      </c>
      <c r="J479" s="16"/>
      <c r="K479" s="17">
        <v>5984</v>
      </c>
      <c r="L479" s="18">
        <v>46244</v>
      </c>
      <c r="M479" s="6" t="str">
        <f t="shared" si="21"/>
        <v>Schedule order</v>
      </c>
      <c r="N479" s="8">
        <f t="shared" ca="1" si="22"/>
        <v>89</v>
      </c>
      <c r="O479" s="8" t="str">
        <f t="shared" ca="1" si="23"/>
        <v>Lattest or shedule order</v>
      </c>
      <c r="P479" t="str">
        <f>VLOOKUP(C479,[1]Customer_Master!$A:$B,2,0)</f>
        <v>Group 1-Giridhar-Peenya</v>
      </c>
      <c r="Q479" t="str">
        <f>VLOOKUP(D479,[2]Template!$A:$D,3,0)</f>
        <v>EATON</v>
      </c>
      <c r="R479" t="str">
        <f>VLOOKUP(D479,[2]Template!$A:$D,4,0)</f>
        <v>Eaton-Biesse</v>
      </c>
    </row>
    <row r="480" spans="1:18" ht="13.5" customHeight="1" x14ac:dyDescent="0.25">
      <c r="A480" s="9">
        <v>46107</v>
      </c>
      <c r="B480" s="10" t="s">
        <v>912</v>
      </c>
      <c r="C480" s="11" t="s">
        <v>76</v>
      </c>
      <c r="D480" s="10" t="s">
        <v>359</v>
      </c>
      <c r="E480" s="12" t="s">
        <v>1072</v>
      </c>
      <c r="F480" s="12" t="s">
        <v>93</v>
      </c>
      <c r="G480" s="19">
        <v>36</v>
      </c>
      <c r="H480" s="20">
        <v>36</v>
      </c>
      <c r="I480" s="15">
        <v>135</v>
      </c>
      <c r="J480" s="16"/>
      <c r="K480" s="17">
        <v>4860</v>
      </c>
      <c r="L480" s="18">
        <v>46232</v>
      </c>
      <c r="M480" s="6" t="str">
        <f t="shared" si="21"/>
        <v>Schedule order</v>
      </c>
      <c r="N480" s="8">
        <f t="shared" ca="1" si="22"/>
        <v>77</v>
      </c>
      <c r="O480" s="8" t="str">
        <f t="shared" ca="1" si="23"/>
        <v>Lattest or shedule order</v>
      </c>
      <c r="P480" t="str">
        <f>VLOOKUP(C480,[1]Customer_Master!$A:$B,2,0)</f>
        <v>Group 1-Giridhar-Peenya</v>
      </c>
      <c r="Q480" t="str">
        <f>VLOOKUP(D480,[2]Template!$A:$D,3,0)</f>
        <v>EATON</v>
      </c>
      <c r="R480" t="str">
        <f>VLOOKUP(D480,[2]Template!$A:$D,4,0)</f>
        <v>Eaton-Biesse</v>
      </c>
    </row>
    <row r="481" spans="1:18" ht="13.5" customHeight="1" x14ac:dyDescent="0.25">
      <c r="A481" s="9">
        <v>46107</v>
      </c>
      <c r="B481" s="10" t="s">
        <v>915</v>
      </c>
      <c r="C481" s="11" t="s">
        <v>916</v>
      </c>
      <c r="D481" s="10" t="s">
        <v>917</v>
      </c>
      <c r="E481" s="12" t="s">
        <v>1072</v>
      </c>
      <c r="F481" s="12" t="s">
        <v>918</v>
      </c>
      <c r="G481" s="13">
        <v>100</v>
      </c>
      <c r="H481" s="14">
        <v>100</v>
      </c>
      <c r="I481" s="15">
        <v>89.36</v>
      </c>
      <c r="J481" s="16"/>
      <c r="K481" s="17">
        <v>8936</v>
      </c>
      <c r="L481" s="18">
        <v>46107</v>
      </c>
      <c r="M481" s="6" t="str">
        <f t="shared" si="21"/>
        <v>Due order</v>
      </c>
      <c r="N481" s="8">
        <f t="shared" ca="1" si="22"/>
        <v>-48</v>
      </c>
      <c r="O481" s="8" t="str">
        <f t="shared" ca="1" si="23"/>
        <v>With in 90 days</v>
      </c>
      <c r="P481" t="str">
        <f>VLOOKUP(C481,[1]Customer_Master!$A:$B,2,0)</f>
        <v>Group 1-Giridhar-Peenya</v>
      </c>
      <c r="Q481" t="str">
        <f>VLOOKUP(D481,[2]Template!$A:$D,3,0)</f>
        <v>LAPP</v>
      </c>
      <c r="R481" t="str">
        <f>VLOOKUP(D481,[2]Template!$A:$D,4,0)</f>
        <v>Lapp-Against Customer PO</v>
      </c>
    </row>
    <row r="482" spans="1:18" ht="13.5" customHeight="1" x14ac:dyDescent="0.25">
      <c r="A482" s="9">
        <v>46108</v>
      </c>
      <c r="B482" s="10" t="s">
        <v>923</v>
      </c>
      <c r="C482" s="11" t="s">
        <v>76</v>
      </c>
      <c r="D482" s="10" t="s">
        <v>326</v>
      </c>
      <c r="E482" s="12" t="s">
        <v>1072</v>
      </c>
      <c r="F482" s="12" t="s">
        <v>95</v>
      </c>
      <c r="G482" s="13">
        <v>600</v>
      </c>
      <c r="H482" s="14">
        <v>600</v>
      </c>
      <c r="I482" s="15">
        <v>93</v>
      </c>
      <c r="J482" s="16"/>
      <c r="K482" s="17">
        <v>55800</v>
      </c>
      <c r="L482" s="18">
        <v>46149</v>
      </c>
      <c r="M482" s="6" t="str">
        <f t="shared" si="21"/>
        <v>Schedule order</v>
      </c>
      <c r="N482" s="8">
        <f t="shared" ca="1" si="22"/>
        <v>-6</v>
      </c>
      <c r="O482" s="8" t="str">
        <f t="shared" ca="1" si="23"/>
        <v>With in 90 days</v>
      </c>
      <c r="P482" t="str">
        <f>VLOOKUP(C482,[1]Customer_Master!$A:$B,2,0)</f>
        <v>Group 1-Giridhar-Peenya</v>
      </c>
      <c r="Q482" t="str">
        <f>VLOOKUP(D482,[2]Template!$A:$D,3,0)</f>
        <v>LAPP</v>
      </c>
      <c r="R482" t="str">
        <f>VLOOKUP(D482,[2]Template!$A:$D,4,0)</f>
        <v>Lapp-Planned Stock General</v>
      </c>
    </row>
    <row r="483" spans="1:18" ht="13.5" customHeight="1" x14ac:dyDescent="0.25">
      <c r="A483" s="9">
        <v>46108</v>
      </c>
      <c r="B483" s="10" t="s">
        <v>926</v>
      </c>
      <c r="C483" s="11" t="s">
        <v>13</v>
      </c>
      <c r="D483" s="10" t="s">
        <v>927</v>
      </c>
      <c r="E483" s="26" t="s">
        <v>928</v>
      </c>
      <c r="F483" s="12" t="s">
        <v>929</v>
      </c>
      <c r="G483" s="19">
        <v>50</v>
      </c>
      <c r="H483" s="20">
        <v>50</v>
      </c>
      <c r="I483" s="15">
        <v>2803</v>
      </c>
      <c r="J483" s="16"/>
      <c r="K483" s="17">
        <v>140150</v>
      </c>
      <c r="L483" s="18">
        <v>46242</v>
      </c>
      <c r="M483" s="6" t="str">
        <f t="shared" si="21"/>
        <v>Schedule order</v>
      </c>
      <c r="N483" s="8">
        <f t="shared" ca="1" si="22"/>
        <v>87</v>
      </c>
      <c r="O483" s="8" t="str">
        <f t="shared" ca="1" si="23"/>
        <v>Lattest or shedule order</v>
      </c>
      <c r="P483" t="str">
        <f>VLOOKUP(C483,[1]Customer_Master!$A:$B,2,0)</f>
        <v>Group-2 (Veeresh- Bomsdr+Hosur)</v>
      </c>
      <c r="Q483" t="str">
        <f>VLOOKUP(D483,[2]Template!$A:$D,3,0)</f>
        <v>EATON</v>
      </c>
      <c r="R483" t="str">
        <f>VLOOKUP(D483,[2]Template!$A:$D,4,0)</f>
        <v>Eaton-Faiveley-Non E70</v>
      </c>
    </row>
    <row r="484" spans="1:18" ht="13.5" customHeight="1" x14ac:dyDescent="0.25">
      <c r="A484" s="9">
        <v>46108</v>
      </c>
      <c r="B484" s="10" t="s">
        <v>926</v>
      </c>
      <c r="C484" s="11" t="s">
        <v>13</v>
      </c>
      <c r="D484" s="10" t="s">
        <v>930</v>
      </c>
      <c r="E484" s="26" t="s">
        <v>931</v>
      </c>
      <c r="F484" s="12" t="s">
        <v>932</v>
      </c>
      <c r="G484" s="19">
        <v>50</v>
      </c>
      <c r="H484" s="20">
        <v>50</v>
      </c>
      <c r="I484" s="15">
        <v>3166</v>
      </c>
      <c r="J484" s="16"/>
      <c r="K484" s="17">
        <v>158300</v>
      </c>
      <c r="L484" s="18">
        <v>46242</v>
      </c>
      <c r="M484" s="6" t="str">
        <f t="shared" si="21"/>
        <v>Schedule order</v>
      </c>
      <c r="N484" s="8">
        <f t="shared" ca="1" si="22"/>
        <v>87</v>
      </c>
      <c r="O484" s="8" t="str">
        <f t="shared" ca="1" si="23"/>
        <v>Lattest or shedule order</v>
      </c>
      <c r="P484" t="str">
        <f>VLOOKUP(C484,[1]Customer_Master!$A:$B,2,0)</f>
        <v>Group-2 (Veeresh- Bomsdr+Hosur)</v>
      </c>
      <c r="Q484" t="str">
        <f>VLOOKUP(D484,[2]Template!$A:$D,3,0)</f>
        <v>EATON</v>
      </c>
      <c r="R484" t="str">
        <f>VLOOKUP(D484,[2]Template!$A:$D,4,0)</f>
        <v>Eaton-Faiveley Others</v>
      </c>
    </row>
    <row r="485" spans="1:18" ht="13.5" customHeight="1" x14ac:dyDescent="0.25">
      <c r="A485" s="9">
        <v>46108</v>
      </c>
      <c r="B485" s="10" t="s">
        <v>926</v>
      </c>
      <c r="C485" s="11" t="s">
        <v>13</v>
      </c>
      <c r="D485" s="10" t="s">
        <v>386</v>
      </c>
      <c r="E485" s="26" t="s">
        <v>175</v>
      </c>
      <c r="F485" s="12" t="s">
        <v>176</v>
      </c>
      <c r="G485" s="19">
        <v>20</v>
      </c>
      <c r="H485" s="20">
        <v>20</v>
      </c>
      <c r="I485" s="15">
        <v>9023</v>
      </c>
      <c r="J485" s="16"/>
      <c r="K485" s="17">
        <v>180460</v>
      </c>
      <c r="L485" s="18">
        <v>46246</v>
      </c>
      <c r="M485" s="6" t="str">
        <f t="shared" si="21"/>
        <v>Schedule order</v>
      </c>
      <c r="N485" s="8">
        <f t="shared" ca="1" si="22"/>
        <v>91</v>
      </c>
      <c r="O485" s="8" t="str">
        <f t="shared" ca="1" si="23"/>
        <v>Lattest or shedule order</v>
      </c>
      <c r="P485" t="str">
        <f>VLOOKUP(C485,[1]Customer_Master!$A:$B,2,0)</f>
        <v>Group-2 (Veeresh- Bomsdr+Hosur)</v>
      </c>
      <c r="Q485" t="str">
        <f>VLOOKUP(D485,[2]Template!$A:$D,3,0)</f>
        <v>EATON</v>
      </c>
      <c r="R485" t="str">
        <f>VLOOKUP(D485,[2]Template!$A:$D,4,0)</f>
        <v>Eaton-Faiveley-Non E70</v>
      </c>
    </row>
    <row r="486" spans="1:18" ht="13.5" customHeight="1" x14ac:dyDescent="0.25">
      <c r="A486" s="9">
        <v>46108</v>
      </c>
      <c r="B486" s="10" t="s">
        <v>935</v>
      </c>
      <c r="C486" s="11" t="s">
        <v>936</v>
      </c>
      <c r="D486" s="10" t="s">
        <v>937</v>
      </c>
      <c r="E486" s="12" t="s">
        <v>1072</v>
      </c>
      <c r="F486" s="12" t="s">
        <v>938</v>
      </c>
      <c r="G486" s="22">
        <v>10</v>
      </c>
      <c r="H486" s="23">
        <v>10</v>
      </c>
      <c r="I486" s="15">
        <v>741.99</v>
      </c>
      <c r="J486" s="16"/>
      <c r="K486" s="17">
        <v>7419.9</v>
      </c>
      <c r="L486" s="18">
        <v>46108</v>
      </c>
      <c r="M486" s="6" t="str">
        <f t="shared" si="21"/>
        <v>Due order</v>
      </c>
      <c r="N486" s="8">
        <f t="shared" ca="1" si="22"/>
        <v>-47</v>
      </c>
      <c r="O486" s="8" t="str">
        <f t="shared" ca="1" si="23"/>
        <v>With in 90 days</v>
      </c>
      <c r="P486" t="str">
        <f>VLOOKUP(C486,[1]Customer_Master!$A:$B,2,0)</f>
        <v>Group - 5 (Ananthapadmanabha)</v>
      </c>
      <c r="Q486" t="str">
        <f>VLOOKUP(D486,[2]Template!$A:$D,3,0)</f>
        <v>LAPP</v>
      </c>
      <c r="R486" t="str">
        <f>VLOOKUP(D486,[2]Template!$A:$D,4,0)</f>
        <v>Lapp-Non Moving Stocks</v>
      </c>
    </row>
    <row r="487" spans="1:18" ht="13.5" customHeight="1" x14ac:dyDescent="0.25">
      <c r="A487" s="9">
        <v>46109</v>
      </c>
      <c r="B487" s="10" t="s">
        <v>943</v>
      </c>
      <c r="C487" s="11" t="s">
        <v>944</v>
      </c>
      <c r="D487" s="10" t="s">
        <v>945</v>
      </c>
      <c r="E487" s="12" t="s">
        <v>1072</v>
      </c>
      <c r="F487" s="12" t="s">
        <v>946</v>
      </c>
      <c r="G487" s="13">
        <v>200</v>
      </c>
      <c r="H487" s="14">
        <v>100</v>
      </c>
      <c r="I487" s="15">
        <v>233.41</v>
      </c>
      <c r="J487" s="16"/>
      <c r="K487" s="17">
        <v>23341</v>
      </c>
      <c r="L487" s="18">
        <v>46109</v>
      </c>
      <c r="M487" s="6" t="str">
        <f t="shared" si="21"/>
        <v>Due order</v>
      </c>
      <c r="N487" s="8">
        <f t="shared" ca="1" si="22"/>
        <v>-46</v>
      </c>
      <c r="O487" s="8" t="str">
        <f t="shared" ca="1" si="23"/>
        <v>With in 90 days</v>
      </c>
      <c r="P487" t="str">
        <f>VLOOKUP(C487,[1]Customer_Master!$A:$B,2,0)</f>
        <v>Group-2 (Veeresh- Bomsdr+Hosur)</v>
      </c>
      <c r="Q487" t="str">
        <f>VLOOKUP(D487,[2]Template!$A:$D,3,0)</f>
        <v>LAPP</v>
      </c>
      <c r="R487" t="str">
        <f>VLOOKUP(D487,[2]Template!$A:$D,4,0)</f>
        <v>Lapp-Non Moving Stocks</v>
      </c>
    </row>
    <row r="488" spans="1:18" ht="13.5" customHeight="1" x14ac:dyDescent="0.25">
      <c r="A488" s="9">
        <v>46109</v>
      </c>
      <c r="B488" s="10" t="s">
        <v>951</v>
      </c>
      <c r="C488" s="11" t="s">
        <v>581</v>
      </c>
      <c r="D488" s="10" t="s">
        <v>952</v>
      </c>
      <c r="E488" s="12" t="s">
        <v>1072</v>
      </c>
      <c r="F488" s="12" t="s">
        <v>953</v>
      </c>
      <c r="G488" s="22">
        <v>50</v>
      </c>
      <c r="H488" s="23">
        <v>20</v>
      </c>
      <c r="I488" s="15">
        <v>15.1</v>
      </c>
      <c r="J488" s="16"/>
      <c r="K488" s="17">
        <v>302</v>
      </c>
      <c r="L488" s="18">
        <v>46139</v>
      </c>
      <c r="M488" s="6" t="str">
        <f t="shared" si="21"/>
        <v>Due order</v>
      </c>
      <c r="N488" s="8">
        <f t="shared" ca="1" si="22"/>
        <v>-16</v>
      </c>
      <c r="O488" s="8" t="str">
        <f t="shared" ca="1" si="23"/>
        <v>With in 90 days</v>
      </c>
      <c r="P488" t="str">
        <f>VLOOKUP(C488,[1]Customer_Master!$A:$B,2,0)</f>
        <v>Group 1-Giridhar-Peenya</v>
      </c>
      <c r="Q488" t="str">
        <f>VLOOKUP(D488,[2]Template!$A:$D,3,0)</f>
        <v>LAPP</v>
      </c>
      <c r="R488" t="str">
        <f>VLOOKUP(D488,[2]Template!$A:$D,4,0)</f>
        <v>Lapp-Against Customer PO</v>
      </c>
    </row>
    <row r="489" spans="1:18" ht="13.5" customHeight="1" x14ac:dyDescent="0.25">
      <c r="A489" s="9">
        <v>46111</v>
      </c>
      <c r="B489" s="10" t="s">
        <v>954</v>
      </c>
      <c r="C489" s="11" t="s">
        <v>96</v>
      </c>
      <c r="D489" s="10" t="s">
        <v>572</v>
      </c>
      <c r="E489" s="12" t="s">
        <v>1072</v>
      </c>
      <c r="F489" s="12" t="s">
        <v>573</v>
      </c>
      <c r="G489" s="19">
        <v>254</v>
      </c>
      <c r="H489" s="20">
        <v>149</v>
      </c>
      <c r="I489" s="15">
        <v>444</v>
      </c>
      <c r="J489" s="16"/>
      <c r="K489" s="17">
        <v>66156</v>
      </c>
      <c r="L489" s="18">
        <v>46162</v>
      </c>
      <c r="M489" s="6" t="str">
        <f t="shared" si="21"/>
        <v>Schedule order</v>
      </c>
      <c r="N489" s="8">
        <f t="shared" ca="1" si="22"/>
        <v>7</v>
      </c>
      <c r="O489" s="8" t="str">
        <f t="shared" ca="1" si="23"/>
        <v>Lattest or shedule order</v>
      </c>
      <c r="P489" t="str">
        <f>VLOOKUP(C489,[1]Customer_Master!$A:$B,2,0)</f>
        <v>Group - 5 (Ananthapadmanabha)</v>
      </c>
      <c r="Q489" t="str">
        <f>VLOOKUP(D489,[2]Template!$A:$D,3,0)</f>
        <v>LAPP</v>
      </c>
      <c r="R489" t="str">
        <f>VLOOKUP(D489,[2]Template!$A:$D,4,0)</f>
        <v>Lapp-Against Customer PO</v>
      </c>
    </row>
    <row r="490" spans="1:18" ht="13.5" customHeight="1" x14ac:dyDescent="0.25">
      <c r="A490" s="9">
        <v>46111</v>
      </c>
      <c r="B490" s="10" t="s">
        <v>957</v>
      </c>
      <c r="C490" s="11" t="s">
        <v>697</v>
      </c>
      <c r="D490" s="10" t="s">
        <v>958</v>
      </c>
      <c r="E490" s="12" t="s">
        <v>1072</v>
      </c>
      <c r="F490" s="12" t="s">
        <v>959</v>
      </c>
      <c r="G490" s="13">
        <v>25</v>
      </c>
      <c r="H490" s="14">
        <v>25</v>
      </c>
      <c r="I490" s="15">
        <v>883.41</v>
      </c>
      <c r="J490" s="16"/>
      <c r="K490" s="17">
        <v>22085.25</v>
      </c>
      <c r="L490" s="18">
        <v>46203</v>
      </c>
      <c r="M490" s="6" t="str">
        <f t="shared" si="21"/>
        <v>Schedule order</v>
      </c>
      <c r="N490" s="8">
        <f t="shared" ca="1" si="22"/>
        <v>48</v>
      </c>
      <c r="O490" s="8" t="str">
        <f t="shared" ca="1" si="23"/>
        <v>Lattest or shedule order</v>
      </c>
      <c r="P490" t="str">
        <f>VLOOKUP(C490,[1]Customer_Master!$A:$B,2,0)</f>
        <v>Group-2 (Veeresh- Bomsdr+Hosur)</v>
      </c>
      <c r="Q490" t="str">
        <f>VLOOKUP(D490,[2]Template!$A:$D,3,0)</f>
        <v>LAPP</v>
      </c>
      <c r="R490" t="str">
        <f>VLOOKUP(D490,[2]Template!$A:$D,4,0)</f>
        <v>Lapp-Non Moving Stocks</v>
      </c>
    </row>
    <row r="491" spans="1:18" ht="13.5" customHeight="1" x14ac:dyDescent="0.25">
      <c r="A491" s="9">
        <v>46111</v>
      </c>
      <c r="B491" s="10" t="s">
        <v>957</v>
      </c>
      <c r="C491" s="11" t="s">
        <v>697</v>
      </c>
      <c r="D491" s="10" t="s">
        <v>960</v>
      </c>
      <c r="E491" s="12" t="s">
        <v>1072</v>
      </c>
      <c r="F491" s="12" t="s">
        <v>961</v>
      </c>
      <c r="G491" s="13">
        <v>10</v>
      </c>
      <c r="H491" s="14">
        <v>10</v>
      </c>
      <c r="I491" s="15">
        <v>528.52</v>
      </c>
      <c r="J491" s="16"/>
      <c r="K491" s="17">
        <v>5285.2</v>
      </c>
      <c r="L491" s="18">
        <v>46203</v>
      </c>
      <c r="M491" s="6" t="str">
        <f t="shared" si="21"/>
        <v>Schedule order</v>
      </c>
      <c r="N491" s="8">
        <f t="shared" ca="1" si="22"/>
        <v>48</v>
      </c>
      <c r="O491" s="8" t="str">
        <f t="shared" ca="1" si="23"/>
        <v>Lattest or shedule order</v>
      </c>
      <c r="P491" t="str">
        <f>VLOOKUP(C491,[1]Customer_Master!$A:$B,2,0)</f>
        <v>Group-2 (Veeresh- Bomsdr+Hosur)</v>
      </c>
      <c r="Q491" t="str">
        <f>VLOOKUP(D491,[2]Template!$A:$D,3,0)</f>
        <v>LAPP</v>
      </c>
      <c r="R491" t="str">
        <f>VLOOKUP(D491,[2]Template!$A:$D,4,0)</f>
        <v>Lapp-Non Moving Stocks</v>
      </c>
    </row>
    <row r="492" spans="1:18" ht="13.5" customHeight="1" x14ac:dyDescent="0.25">
      <c r="A492" s="9">
        <v>46111</v>
      </c>
      <c r="B492" s="10" t="s">
        <v>957</v>
      </c>
      <c r="C492" s="11" t="s">
        <v>697</v>
      </c>
      <c r="D492" s="27" t="s">
        <v>962</v>
      </c>
      <c r="E492" s="12" t="s">
        <v>1072</v>
      </c>
      <c r="F492" s="26" t="s">
        <v>963</v>
      </c>
      <c r="G492" s="13">
        <v>25</v>
      </c>
      <c r="H492" s="14">
        <v>25</v>
      </c>
      <c r="I492" s="15">
        <v>714.05</v>
      </c>
      <c r="J492" s="16"/>
      <c r="K492" s="17">
        <v>17851.25</v>
      </c>
      <c r="L492" s="18">
        <v>46203</v>
      </c>
      <c r="M492" s="6" t="str">
        <f t="shared" si="21"/>
        <v>Schedule order</v>
      </c>
      <c r="N492" s="8">
        <f t="shared" ca="1" si="22"/>
        <v>48</v>
      </c>
      <c r="O492" s="8" t="str">
        <f t="shared" ca="1" si="23"/>
        <v>Lattest or shedule order</v>
      </c>
      <c r="P492" t="str">
        <f>VLOOKUP(C492,[1]Customer_Master!$A:$B,2,0)</f>
        <v>Group-2 (Veeresh- Bomsdr+Hosur)</v>
      </c>
      <c r="Q492" t="str">
        <f>VLOOKUP(D492,[2]Template!$A:$D,3,0)</f>
        <v>LAPP</v>
      </c>
      <c r="R492" t="str">
        <f>VLOOKUP(D492,[2]Template!$A:$D,4,0)</f>
        <v>Lapp-Non Moving Stocks</v>
      </c>
    </row>
    <row r="493" spans="1:18" ht="13.5" customHeight="1" x14ac:dyDescent="0.25">
      <c r="A493" s="9">
        <v>46111</v>
      </c>
      <c r="B493" s="10" t="s">
        <v>957</v>
      </c>
      <c r="C493" s="11" t="s">
        <v>697</v>
      </c>
      <c r="D493" s="10" t="s">
        <v>964</v>
      </c>
      <c r="E493" s="12" t="s">
        <v>1072</v>
      </c>
      <c r="F493" s="12" t="s">
        <v>965</v>
      </c>
      <c r="G493" s="19">
        <v>5</v>
      </c>
      <c r="H493" s="20">
        <v>5</v>
      </c>
      <c r="I493" s="15">
        <v>3822.25</v>
      </c>
      <c r="J493" s="16"/>
      <c r="K493" s="17">
        <v>19111.25</v>
      </c>
      <c r="L493" s="18">
        <v>46203</v>
      </c>
      <c r="M493" s="6" t="str">
        <f t="shared" si="21"/>
        <v>Schedule order</v>
      </c>
      <c r="N493" s="8">
        <f t="shared" ca="1" si="22"/>
        <v>48</v>
      </c>
      <c r="O493" s="8" t="str">
        <f t="shared" ca="1" si="23"/>
        <v>Lattest or shedule order</v>
      </c>
      <c r="P493" t="str">
        <f>VLOOKUP(C493,[1]Customer_Master!$A:$B,2,0)</f>
        <v>Group-2 (Veeresh- Bomsdr+Hosur)</v>
      </c>
      <c r="Q493" t="str">
        <f>VLOOKUP(D493,[2]Template!$A:$D,3,0)</f>
        <v>LAPP</v>
      </c>
      <c r="R493" t="str">
        <f>VLOOKUP(D493,[2]Template!$A:$D,4,0)</f>
        <v>Lapp-Against Customer PO</v>
      </c>
    </row>
    <row r="494" spans="1:18" ht="13.5" customHeight="1" x14ac:dyDescent="0.25">
      <c r="A494" s="9">
        <v>46111</v>
      </c>
      <c r="B494" s="10" t="s">
        <v>957</v>
      </c>
      <c r="C494" s="11" t="s">
        <v>697</v>
      </c>
      <c r="D494" s="10" t="s">
        <v>470</v>
      </c>
      <c r="E494" s="12" t="s">
        <v>1072</v>
      </c>
      <c r="F494" s="12" t="s">
        <v>471</v>
      </c>
      <c r="G494" s="13">
        <v>10</v>
      </c>
      <c r="H494" s="14">
        <v>10</v>
      </c>
      <c r="I494" s="15">
        <v>104.09</v>
      </c>
      <c r="J494" s="16"/>
      <c r="K494" s="17">
        <v>1040.9000000000001</v>
      </c>
      <c r="L494" s="18">
        <v>46203</v>
      </c>
      <c r="M494" s="6" t="str">
        <f t="shared" si="21"/>
        <v>Schedule order</v>
      </c>
      <c r="N494" s="8">
        <f t="shared" ca="1" si="22"/>
        <v>48</v>
      </c>
      <c r="O494" s="8" t="str">
        <f t="shared" ca="1" si="23"/>
        <v>Lattest or shedule order</v>
      </c>
      <c r="P494" t="str">
        <f>VLOOKUP(C494,[1]Customer_Master!$A:$B,2,0)</f>
        <v>Group-2 (Veeresh- Bomsdr+Hosur)</v>
      </c>
      <c r="Q494" t="str">
        <f>VLOOKUP(D494,[2]Template!$A:$D,3,0)</f>
        <v>LAPP</v>
      </c>
      <c r="R494" t="str">
        <f>VLOOKUP(D494,[2]Template!$A:$D,4,0)</f>
        <v>Lapp-Planned Stock General</v>
      </c>
    </row>
    <row r="495" spans="1:18" ht="13.5" customHeight="1" x14ac:dyDescent="0.25">
      <c r="A495" s="9">
        <v>46111</v>
      </c>
      <c r="B495" s="10" t="s">
        <v>957</v>
      </c>
      <c r="C495" s="11" t="s">
        <v>697</v>
      </c>
      <c r="D495" s="10" t="s">
        <v>816</v>
      </c>
      <c r="E495" s="12" t="s">
        <v>1072</v>
      </c>
      <c r="F495" s="12" t="s">
        <v>817</v>
      </c>
      <c r="G495" s="13">
        <v>20</v>
      </c>
      <c r="H495" s="14">
        <v>20</v>
      </c>
      <c r="I495" s="15">
        <v>216.89</v>
      </c>
      <c r="J495" s="16"/>
      <c r="K495" s="17">
        <v>4337.8</v>
      </c>
      <c r="L495" s="18">
        <v>46203</v>
      </c>
      <c r="M495" s="6" t="str">
        <f t="shared" si="21"/>
        <v>Schedule order</v>
      </c>
      <c r="N495" s="8">
        <f t="shared" ca="1" si="22"/>
        <v>48</v>
      </c>
      <c r="O495" s="8" t="str">
        <f t="shared" ca="1" si="23"/>
        <v>Lattest or shedule order</v>
      </c>
      <c r="P495" t="str">
        <f>VLOOKUP(C495,[1]Customer_Master!$A:$B,2,0)</f>
        <v>Group-2 (Veeresh- Bomsdr+Hosur)</v>
      </c>
      <c r="Q495" t="str">
        <f>VLOOKUP(D495,[2]Template!$A:$D,3,0)</f>
        <v>LAPP</v>
      </c>
      <c r="R495" t="str">
        <f>VLOOKUP(D495,[2]Template!$A:$D,4,0)</f>
        <v>Lapp-Against Customer PO</v>
      </c>
    </row>
    <row r="496" spans="1:18" ht="13.5" customHeight="1" x14ac:dyDescent="0.25">
      <c r="A496" s="9">
        <v>46111</v>
      </c>
      <c r="B496" s="10" t="s">
        <v>957</v>
      </c>
      <c r="C496" s="11" t="s">
        <v>697</v>
      </c>
      <c r="D496" s="27" t="s">
        <v>966</v>
      </c>
      <c r="E496" s="12" t="s">
        <v>1072</v>
      </c>
      <c r="F496" s="26" t="s">
        <v>967</v>
      </c>
      <c r="G496" s="13">
        <v>10</v>
      </c>
      <c r="H496" s="14">
        <v>10</v>
      </c>
      <c r="I496" s="15">
        <v>252.86</v>
      </c>
      <c r="J496" s="16"/>
      <c r="K496" s="17">
        <v>2528.6</v>
      </c>
      <c r="L496" s="18">
        <v>46203</v>
      </c>
      <c r="M496" s="6" t="str">
        <f t="shared" si="21"/>
        <v>Schedule order</v>
      </c>
      <c r="N496" s="8">
        <f t="shared" ca="1" si="22"/>
        <v>48</v>
      </c>
      <c r="O496" s="8" t="str">
        <f t="shared" ca="1" si="23"/>
        <v>Lattest or shedule order</v>
      </c>
      <c r="P496" t="str">
        <f>VLOOKUP(C496,[1]Customer_Master!$A:$B,2,0)</f>
        <v>Group-2 (Veeresh- Bomsdr+Hosur)</v>
      </c>
      <c r="Q496" t="str">
        <f>VLOOKUP(D496,[2]Template!$A:$D,3,0)</f>
        <v>LAPP</v>
      </c>
      <c r="R496" t="str">
        <f>VLOOKUP(D496,[2]Template!$A:$D,4,0)</f>
        <v>Lapp-Non Moving Stocks</v>
      </c>
    </row>
    <row r="497" spans="1:18" ht="13.5" customHeight="1" x14ac:dyDescent="0.25">
      <c r="A497" s="9">
        <v>46111</v>
      </c>
      <c r="B497" s="10" t="s">
        <v>957</v>
      </c>
      <c r="C497" s="11" t="s">
        <v>697</v>
      </c>
      <c r="D497" s="10" t="s">
        <v>905</v>
      </c>
      <c r="E497" s="12" t="s">
        <v>1072</v>
      </c>
      <c r="F497" s="12" t="s">
        <v>906</v>
      </c>
      <c r="G497" s="13">
        <v>80</v>
      </c>
      <c r="H497" s="14">
        <v>80</v>
      </c>
      <c r="I497" s="15">
        <v>197.01</v>
      </c>
      <c r="J497" s="16"/>
      <c r="K497" s="17">
        <v>15760.8</v>
      </c>
      <c r="L497" s="18">
        <v>46203</v>
      </c>
      <c r="M497" s="6" t="str">
        <f t="shared" si="21"/>
        <v>Schedule order</v>
      </c>
      <c r="N497" s="8">
        <f t="shared" ca="1" si="22"/>
        <v>48</v>
      </c>
      <c r="O497" s="8" t="str">
        <f t="shared" ca="1" si="23"/>
        <v>Lattest or shedule order</v>
      </c>
      <c r="P497" t="str">
        <f>VLOOKUP(C497,[1]Customer_Master!$A:$B,2,0)</f>
        <v>Group-2 (Veeresh- Bomsdr+Hosur)</v>
      </c>
      <c r="Q497" t="str">
        <f>VLOOKUP(D497,[2]Template!$A:$D,3,0)</f>
        <v>LAPP</v>
      </c>
      <c r="R497" t="str">
        <f>VLOOKUP(D497,[2]Template!$A:$D,4,0)</f>
        <v>Lapp-Against Customer PO</v>
      </c>
    </row>
    <row r="498" spans="1:18" ht="13.5" customHeight="1" x14ac:dyDescent="0.25">
      <c r="A498" s="9">
        <v>46111</v>
      </c>
      <c r="B498" s="10" t="s">
        <v>957</v>
      </c>
      <c r="C498" s="11" t="s">
        <v>697</v>
      </c>
      <c r="D498" s="10" t="s">
        <v>968</v>
      </c>
      <c r="E498" s="12" t="s">
        <v>1072</v>
      </c>
      <c r="F498" s="12" t="s">
        <v>969</v>
      </c>
      <c r="G498" s="13">
        <v>285</v>
      </c>
      <c r="H498" s="14">
        <v>285</v>
      </c>
      <c r="I498" s="15">
        <v>1149.08</v>
      </c>
      <c r="J498" s="16"/>
      <c r="K498" s="17">
        <v>327487.8</v>
      </c>
      <c r="L498" s="18">
        <v>46203</v>
      </c>
      <c r="M498" s="6" t="str">
        <f t="shared" si="21"/>
        <v>Schedule order</v>
      </c>
      <c r="N498" s="8">
        <f t="shared" ca="1" si="22"/>
        <v>48</v>
      </c>
      <c r="O498" s="8" t="str">
        <f t="shared" ca="1" si="23"/>
        <v>Lattest or shedule order</v>
      </c>
      <c r="P498" t="str">
        <f>VLOOKUP(C498,[1]Customer_Master!$A:$B,2,0)</f>
        <v>Group-2 (Veeresh- Bomsdr+Hosur)</v>
      </c>
      <c r="Q498" t="str">
        <f>VLOOKUP(D498,[2]Template!$A:$D,3,0)</f>
        <v>LAPP</v>
      </c>
      <c r="R498" t="str">
        <f>VLOOKUP(D498,[2]Template!$A:$D,4,0)</f>
        <v>Lapp-Non Moving Stocks</v>
      </c>
    </row>
    <row r="499" spans="1:18" ht="13.5" customHeight="1" x14ac:dyDescent="0.25">
      <c r="A499" s="9">
        <v>46111</v>
      </c>
      <c r="B499" s="10" t="s">
        <v>957</v>
      </c>
      <c r="C499" s="11" t="s">
        <v>697</v>
      </c>
      <c r="D499" s="10" t="s">
        <v>654</v>
      </c>
      <c r="E499" s="12" t="s">
        <v>1072</v>
      </c>
      <c r="F499" s="12" t="s">
        <v>655</v>
      </c>
      <c r="G499" s="13">
        <v>20</v>
      </c>
      <c r="H499" s="14">
        <v>20</v>
      </c>
      <c r="I499" s="15">
        <v>33.020000000000003</v>
      </c>
      <c r="J499" s="16"/>
      <c r="K499" s="17">
        <v>660.4</v>
      </c>
      <c r="L499" s="18">
        <v>46203</v>
      </c>
      <c r="M499" s="6" t="str">
        <f t="shared" si="21"/>
        <v>Schedule order</v>
      </c>
      <c r="N499" s="8">
        <f t="shared" ca="1" si="22"/>
        <v>48</v>
      </c>
      <c r="O499" s="8" t="str">
        <f t="shared" ca="1" si="23"/>
        <v>Lattest or shedule order</v>
      </c>
      <c r="P499" t="str">
        <f>VLOOKUP(C499,[1]Customer_Master!$A:$B,2,0)</f>
        <v>Group-2 (Veeresh- Bomsdr+Hosur)</v>
      </c>
      <c r="Q499" t="str">
        <f>VLOOKUP(D499,[2]Template!$A:$D,3,0)</f>
        <v>LAPP</v>
      </c>
      <c r="R499" t="str">
        <f>VLOOKUP(D499,[2]Template!$A:$D,4,0)</f>
        <v>Lapp-Ace Group</v>
      </c>
    </row>
    <row r="500" spans="1:18" ht="13.5" customHeight="1" x14ac:dyDescent="0.25">
      <c r="A500" s="9">
        <v>46111</v>
      </c>
      <c r="B500" s="10" t="s">
        <v>957</v>
      </c>
      <c r="C500" s="11" t="s">
        <v>697</v>
      </c>
      <c r="D500" s="10" t="s">
        <v>970</v>
      </c>
      <c r="E500" s="12" t="s">
        <v>1072</v>
      </c>
      <c r="F500" s="12" t="s">
        <v>971</v>
      </c>
      <c r="G500" s="13">
        <v>40</v>
      </c>
      <c r="H500" s="14">
        <v>40</v>
      </c>
      <c r="I500" s="15">
        <v>181.67</v>
      </c>
      <c r="J500" s="16"/>
      <c r="K500" s="17">
        <v>7266.8</v>
      </c>
      <c r="L500" s="18">
        <v>46203</v>
      </c>
      <c r="M500" s="6" t="str">
        <f t="shared" si="21"/>
        <v>Schedule order</v>
      </c>
      <c r="N500" s="8">
        <f t="shared" ca="1" si="22"/>
        <v>48</v>
      </c>
      <c r="O500" s="8" t="str">
        <f t="shared" ca="1" si="23"/>
        <v>Lattest or shedule order</v>
      </c>
      <c r="P500" t="str">
        <f>VLOOKUP(C500,[1]Customer_Master!$A:$B,2,0)</f>
        <v>Group-2 (Veeresh- Bomsdr+Hosur)</v>
      </c>
      <c r="Q500" t="str">
        <f>VLOOKUP(D500,[2]Template!$A:$D,3,0)</f>
        <v>LAPP</v>
      </c>
      <c r="R500" t="str">
        <f>VLOOKUP(D500,[2]Template!$A:$D,4,0)</f>
        <v>Lapp-Planned Stock General</v>
      </c>
    </row>
    <row r="501" spans="1:18" ht="13.5" customHeight="1" x14ac:dyDescent="0.25">
      <c r="A501" s="9">
        <v>46111</v>
      </c>
      <c r="B501" s="10" t="s">
        <v>957</v>
      </c>
      <c r="C501" s="11" t="s">
        <v>697</v>
      </c>
      <c r="D501" s="10" t="s">
        <v>684</v>
      </c>
      <c r="E501" s="12" t="s">
        <v>1072</v>
      </c>
      <c r="F501" s="12" t="s">
        <v>685</v>
      </c>
      <c r="G501" s="13">
        <v>160</v>
      </c>
      <c r="H501" s="14">
        <v>160</v>
      </c>
      <c r="I501" s="15">
        <v>76.34</v>
      </c>
      <c r="J501" s="16"/>
      <c r="K501" s="17">
        <v>12214.4</v>
      </c>
      <c r="L501" s="18">
        <v>46203</v>
      </c>
      <c r="M501" s="6" t="str">
        <f t="shared" si="21"/>
        <v>Schedule order</v>
      </c>
      <c r="N501" s="8">
        <f t="shared" ca="1" si="22"/>
        <v>48</v>
      </c>
      <c r="O501" s="8" t="str">
        <f t="shared" ca="1" si="23"/>
        <v>Lattest or shedule order</v>
      </c>
      <c r="P501" t="str">
        <f>VLOOKUP(C501,[1]Customer_Master!$A:$B,2,0)</f>
        <v>Group-2 (Veeresh- Bomsdr+Hosur)</v>
      </c>
      <c r="Q501" t="str">
        <f>VLOOKUP(D501,[2]Template!$A:$D,3,0)</f>
        <v>LAPP</v>
      </c>
      <c r="R501" t="str">
        <f>VLOOKUP(D501,[2]Template!$A:$D,4,0)</f>
        <v>Lapp-Planned Stock General</v>
      </c>
    </row>
    <row r="502" spans="1:18" ht="13.5" customHeight="1" x14ac:dyDescent="0.25">
      <c r="A502" s="9">
        <v>46111</v>
      </c>
      <c r="B502" s="10" t="s">
        <v>957</v>
      </c>
      <c r="C502" s="11" t="s">
        <v>697</v>
      </c>
      <c r="D502" s="27" t="s">
        <v>972</v>
      </c>
      <c r="E502" s="12" t="s">
        <v>1072</v>
      </c>
      <c r="F502" s="12" t="s">
        <v>973</v>
      </c>
      <c r="G502" s="13">
        <v>100</v>
      </c>
      <c r="H502" s="14">
        <v>100</v>
      </c>
      <c r="I502" s="15">
        <v>355.85</v>
      </c>
      <c r="J502" s="16"/>
      <c r="K502" s="17">
        <v>35585</v>
      </c>
      <c r="L502" s="18">
        <v>46203</v>
      </c>
      <c r="M502" s="6" t="str">
        <f t="shared" si="21"/>
        <v>Schedule order</v>
      </c>
      <c r="N502" s="8">
        <f t="shared" ca="1" si="22"/>
        <v>48</v>
      </c>
      <c r="O502" s="8" t="str">
        <f t="shared" ca="1" si="23"/>
        <v>Lattest or shedule order</v>
      </c>
      <c r="P502" t="str">
        <f>VLOOKUP(C502,[1]Customer_Master!$A:$B,2,0)</f>
        <v>Group-2 (Veeresh- Bomsdr+Hosur)</v>
      </c>
      <c r="Q502" t="str">
        <f>VLOOKUP(D502,[2]Template!$A:$D,3,0)</f>
        <v>LAPP</v>
      </c>
      <c r="R502" t="str">
        <f>VLOOKUP(D502,[2]Template!$A:$D,4,0)</f>
        <v>Lapp-Against Customer PO</v>
      </c>
    </row>
    <row r="503" spans="1:18" ht="13.5" customHeight="1" x14ac:dyDescent="0.25">
      <c r="A503" s="9">
        <v>46111</v>
      </c>
      <c r="B503" s="10" t="s">
        <v>957</v>
      </c>
      <c r="C503" s="11" t="s">
        <v>697</v>
      </c>
      <c r="D503" s="10" t="s">
        <v>974</v>
      </c>
      <c r="E503" s="12" t="s">
        <v>1072</v>
      </c>
      <c r="F503" s="12" t="s">
        <v>975</v>
      </c>
      <c r="G503" s="13">
        <v>110</v>
      </c>
      <c r="H503" s="14">
        <v>110</v>
      </c>
      <c r="I503" s="15">
        <v>215.29</v>
      </c>
      <c r="J503" s="16"/>
      <c r="K503" s="17">
        <v>23681.9</v>
      </c>
      <c r="L503" s="18">
        <v>46203</v>
      </c>
      <c r="M503" s="6" t="str">
        <f t="shared" si="21"/>
        <v>Schedule order</v>
      </c>
      <c r="N503" s="8">
        <f t="shared" ca="1" si="22"/>
        <v>48</v>
      </c>
      <c r="O503" s="8" t="str">
        <f t="shared" ca="1" si="23"/>
        <v>Lattest or shedule order</v>
      </c>
      <c r="P503" t="str">
        <f>VLOOKUP(C503,[1]Customer_Master!$A:$B,2,0)</f>
        <v>Group-2 (Veeresh- Bomsdr+Hosur)</v>
      </c>
      <c r="Q503" t="str">
        <f>VLOOKUP(D503,[2]Template!$A:$D,3,0)</f>
        <v>LAPP</v>
      </c>
      <c r="R503" t="str">
        <f>VLOOKUP(D503,[2]Template!$A:$D,4,0)</f>
        <v>Lapp-Against Customer PO</v>
      </c>
    </row>
    <row r="504" spans="1:18" ht="13.5" customHeight="1" x14ac:dyDescent="0.25">
      <c r="A504" s="9">
        <v>46111</v>
      </c>
      <c r="B504" s="10" t="s">
        <v>957</v>
      </c>
      <c r="C504" s="11" t="s">
        <v>697</v>
      </c>
      <c r="D504" s="10" t="s">
        <v>976</v>
      </c>
      <c r="E504" s="12" t="s">
        <v>1072</v>
      </c>
      <c r="F504" s="12" t="s">
        <v>977</v>
      </c>
      <c r="G504" s="13">
        <v>30</v>
      </c>
      <c r="H504" s="14">
        <v>30</v>
      </c>
      <c r="I504" s="15">
        <v>4020.86</v>
      </c>
      <c r="J504" s="16"/>
      <c r="K504" s="17">
        <v>120625.8</v>
      </c>
      <c r="L504" s="18">
        <v>46203</v>
      </c>
      <c r="M504" s="6" t="str">
        <f t="shared" si="21"/>
        <v>Schedule order</v>
      </c>
      <c r="N504" s="8">
        <f t="shared" ca="1" si="22"/>
        <v>48</v>
      </c>
      <c r="O504" s="8" t="str">
        <f t="shared" ca="1" si="23"/>
        <v>Lattest or shedule order</v>
      </c>
      <c r="P504" t="str">
        <f>VLOOKUP(C504,[1]Customer_Master!$A:$B,2,0)</f>
        <v>Group-2 (Veeresh- Bomsdr+Hosur)</v>
      </c>
      <c r="Q504" t="str">
        <f>VLOOKUP(D504,[2]Template!$A:$D,3,0)</f>
        <v>LAPP</v>
      </c>
      <c r="R504" t="str">
        <f>VLOOKUP(D504,[2]Template!$A:$D,4,0)</f>
        <v>Lapp-Against Customer PO</v>
      </c>
    </row>
    <row r="505" spans="1:18" ht="13.5" customHeight="1" x14ac:dyDescent="0.25">
      <c r="A505" s="9">
        <v>46111</v>
      </c>
      <c r="B505" s="10" t="s">
        <v>957</v>
      </c>
      <c r="C505" s="11" t="s">
        <v>697</v>
      </c>
      <c r="D505" s="10" t="s">
        <v>688</v>
      </c>
      <c r="E505" s="12" t="s">
        <v>1072</v>
      </c>
      <c r="F505" s="12" t="s">
        <v>689</v>
      </c>
      <c r="G505" s="13">
        <v>80</v>
      </c>
      <c r="H505" s="14">
        <v>80</v>
      </c>
      <c r="I505" s="15">
        <v>103.6</v>
      </c>
      <c r="J505" s="16"/>
      <c r="K505" s="17">
        <v>8288</v>
      </c>
      <c r="L505" s="18">
        <v>46203</v>
      </c>
      <c r="M505" s="6" t="str">
        <f t="shared" si="21"/>
        <v>Schedule order</v>
      </c>
      <c r="N505" s="8">
        <f t="shared" ca="1" si="22"/>
        <v>48</v>
      </c>
      <c r="O505" s="8" t="str">
        <f t="shared" ca="1" si="23"/>
        <v>Lattest or shedule order</v>
      </c>
      <c r="P505" t="str">
        <f>VLOOKUP(C505,[1]Customer_Master!$A:$B,2,0)</f>
        <v>Group-2 (Veeresh- Bomsdr+Hosur)</v>
      </c>
      <c r="Q505" t="str">
        <f>VLOOKUP(D505,[2]Template!$A:$D,3,0)</f>
        <v>LAPP</v>
      </c>
      <c r="R505" t="str">
        <f>VLOOKUP(D505,[2]Template!$A:$D,4,0)</f>
        <v>Lapp-Planned Stock General</v>
      </c>
    </row>
    <row r="506" spans="1:18" ht="13.5" customHeight="1" x14ac:dyDescent="0.25">
      <c r="A506" s="9">
        <v>46111</v>
      </c>
      <c r="B506" s="10" t="s">
        <v>957</v>
      </c>
      <c r="C506" s="11" t="s">
        <v>697</v>
      </c>
      <c r="D506" s="27" t="s">
        <v>978</v>
      </c>
      <c r="E506" s="12" t="s">
        <v>1072</v>
      </c>
      <c r="F506" s="26" t="s">
        <v>979</v>
      </c>
      <c r="G506" s="13">
        <v>20</v>
      </c>
      <c r="H506" s="14">
        <v>20</v>
      </c>
      <c r="I506" s="15">
        <v>1542.33</v>
      </c>
      <c r="J506" s="16"/>
      <c r="K506" s="17">
        <v>30846.6</v>
      </c>
      <c r="L506" s="18">
        <v>46203</v>
      </c>
      <c r="M506" s="6" t="str">
        <f t="shared" si="21"/>
        <v>Schedule order</v>
      </c>
      <c r="N506" s="8">
        <f t="shared" ca="1" si="22"/>
        <v>48</v>
      </c>
      <c r="O506" s="8" t="str">
        <f t="shared" ca="1" si="23"/>
        <v>Lattest or shedule order</v>
      </c>
      <c r="P506" t="str">
        <f>VLOOKUP(C506,[1]Customer_Master!$A:$B,2,0)</f>
        <v>Group-2 (Veeresh- Bomsdr+Hosur)</v>
      </c>
      <c r="Q506" t="str">
        <f>VLOOKUP(D506,[2]Template!$A:$D,3,0)</f>
        <v>LAPP</v>
      </c>
      <c r="R506" t="str">
        <f>VLOOKUP(D506,[2]Template!$A:$D,4,0)</f>
        <v>Lapp-Against Customer PO</v>
      </c>
    </row>
    <row r="507" spans="1:18" ht="13.5" customHeight="1" x14ac:dyDescent="0.25">
      <c r="A507" s="9">
        <v>46111</v>
      </c>
      <c r="B507" s="10" t="s">
        <v>957</v>
      </c>
      <c r="C507" s="11" t="s">
        <v>697</v>
      </c>
      <c r="D507" s="10" t="s">
        <v>887</v>
      </c>
      <c r="E507" s="12" t="s">
        <v>1072</v>
      </c>
      <c r="F507" s="12" t="s">
        <v>888</v>
      </c>
      <c r="G507" s="13">
        <v>180</v>
      </c>
      <c r="H507" s="14">
        <v>180</v>
      </c>
      <c r="I507" s="15">
        <v>224.89</v>
      </c>
      <c r="J507" s="16"/>
      <c r="K507" s="17">
        <v>40480.199999999997</v>
      </c>
      <c r="L507" s="18">
        <v>46203</v>
      </c>
      <c r="M507" s="6" t="str">
        <f t="shared" si="21"/>
        <v>Schedule order</v>
      </c>
      <c r="N507" s="8">
        <f t="shared" ca="1" si="22"/>
        <v>48</v>
      </c>
      <c r="O507" s="8" t="str">
        <f t="shared" ca="1" si="23"/>
        <v>Lattest or shedule order</v>
      </c>
      <c r="P507" t="str">
        <f>VLOOKUP(C507,[1]Customer_Master!$A:$B,2,0)</f>
        <v>Group-2 (Veeresh- Bomsdr+Hosur)</v>
      </c>
      <c r="Q507" t="str">
        <f>VLOOKUP(D507,[2]Template!$A:$D,3,0)</f>
        <v>LAPP</v>
      </c>
      <c r="R507" t="str">
        <f>VLOOKUP(D507,[2]Template!$A:$D,4,0)</f>
        <v>Lapp-Non Moving Stocks</v>
      </c>
    </row>
    <row r="508" spans="1:18" ht="13.5" customHeight="1" x14ac:dyDescent="0.25">
      <c r="A508" s="9">
        <v>46111</v>
      </c>
      <c r="B508" s="10" t="s">
        <v>957</v>
      </c>
      <c r="C508" s="11" t="s">
        <v>697</v>
      </c>
      <c r="D508" s="10" t="s">
        <v>524</v>
      </c>
      <c r="E508" s="12" t="s">
        <v>1072</v>
      </c>
      <c r="F508" s="12" t="s">
        <v>525</v>
      </c>
      <c r="G508" s="13">
        <v>80</v>
      </c>
      <c r="H508" s="14">
        <v>80</v>
      </c>
      <c r="I508" s="15">
        <v>127.39</v>
      </c>
      <c r="J508" s="16"/>
      <c r="K508" s="17">
        <v>10191.200000000001</v>
      </c>
      <c r="L508" s="18">
        <v>46203</v>
      </c>
      <c r="M508" s="6" t="str">
        <f t="shared" si="21"/>
        <v>Schedule order</v>
      </c>
      <c r="N508" s="8">
        <f t="shared" ca="1" si="22"/>
        <v>48</v>
      </c>
      <c r="O508" s="8" t="str">
        <f t="shared" ca="1" si="23"/>
        <v>Lattest or shedule order</v>
      </c>
      <c r="P508" t="str">
        <f>VLOOKUP(C508,[1]Customer_Master!$A:$B,2,0)</f>
        <v>Group-2 (Veeresh- Bomsdr+Hosur)</v>
      </c>
      <c r="Q508" t="str">
        <f>VLOOKUP(D508,[2]Template!$A:$D,3,0)</f>
        <v>LAPP</v>
      </c>
      <c r="R508" t="str">
        <f>VLOOKUP(D508,[2]Template!$A:$D,4,0)</f>
        <v>Lapp-Planned Stock General</v>
      </c>
    </row>
    <row r="509" spans="1:18" ht="13.5" customHeight="1" x14ac:dyDescent="0.25">
      <c r="A509" s="9">
        <v>46111</v>
      </c>
      <c r="B509" s="10" t="s">
        <v>957</v>
      </c>
      <c r="C509" s="11" t="s">
        <v>697</v>
      </c>
      <c r="D509" s="10" t="s">
        <v>980</v>
      </c>
      <c r="E509" s="12" t="s">
        <v>1072</v>
      </c>
      <c r="F509" s="12" t="s">
        <v>981</v>
      </c>
      <c r="G509" s="13">
        <v>100</v>
      </c>
      <c r="H509" s="14">
        <v>100</v>
      </c>
      <c r="I509" s="15">
        <v>328.19</v>
      </c>
      <c r="J509" s="16"/>
      <c r="K509" s="17">
        <v>32819</v>
      </c>
      <c r="L509" s="18">
        <v>46203</v>
      </c>
      <c r="M509" s="6" t="str">
        <f t="shared" si="21"/>
        <v>Schedule order</v>
      </c>
      <c r="N509" s="8">
        <f t="shared" ca="1" si="22"/>
        <v>48</v>
      </c>
      <c r="O509" s="8" t="str">
        <f t="shared" ca="1" si="23"/>
        <v>Lattest or shedule order</v>
      </c>
      <c r="P509" t="str">
        <f>VLOOKUP(C509,[1]Customer_Master!$A:$B,2,0)</f>
        <v>Group-2 (Veeresh- Bomsdr+Hosur)</v>
      </c>
      <c r="Q509" t="str">
        <f>VLOOKUP(D509,[2]Template!$A:$D,3,0)</f>
        <v>LAPP</v>
      </c>
      <c r="R509" t="str">
        <f>VLOOKUP(D509,[2]Template!$A:$D,4,0)</f>
        <v>Lapp-Non Moving Stocks</v>
      </c>
    </row>
    <row r="510" spans="1:18" ht="13.5" customHeight="1" x14ac:dyDescent="0.25">
      <c r="A510" s="9">
        <v>46111</v>
      </c>
      <c r="B510" s="10" t="s">
        <v>957</v>
      </c>
      <c r="C510" s="11" t="s">
        <v>697</v>
      </c>
      <c r="D510" s="10" t="s">
        <v>891</v>
      </c>
      <c r="E510" s="12" t="s">
        <v>1072</v>
      </c>
      <c r="F510" s="12" t="s">
        <v>892</v>
      </c>
      <c r="G510" s="13">
        <v>160</v>
      </c>
      <c r="H510" s="14">
        <v>160</v>
      </c>
      <c r="I510" s="15">
        <v>700.53</v>
      </c>
      <c r="J510" s="16"/>
      <c r="K510" s="17">
        <v>112084.8</v>
      </c>
      <c r="L510" s="18">
        <v>46203</v>
      </c>
      <c r="M510" s="6" t="str">
        <f t="shared" si="21"/>
        <v>Schedule order</v>
      </c>
      <c r="N510" s="8">
        <f t="shared" ca="1" si="22"/>
        <v>48</v>
      </c>
      <c r="O510" s="8" t="str">
        <f t="shared" ca="1" si="23"/>
        <v>Lattest or shedule order</v>
      </c>
      <c r="P510" t="str">
        <f>VLOOKUP(C510,[1]Customer_Master!$A:$B,2,0)</f>
        <v>Group-2 (Veeresh- Bomsdr+Hosur)</v>
      </c>
      <c r="Q510" t="str">
        <f>VLOOKUP(D510,[2]Template!$A:$D,3,0)</f>
        <v>LAPP</v>
      </c>
      <c r="R510" t="str">
        <f>VLOOKUP(D510,[2]Template!$A:$D,4,0)</f>
        <v>Lapp-Against Customer PO</v>
      </c>
    </row>
    <row r="511" spans="1:18" ht="13.5" customHeight="1" x14ac:dyDescent="0.25">
      <c r="A511" s="9">
        <v>46111</v>
      </c>
      <c r="B511" s="10" t="s">
        <v>957</v>
      </c>
      <c r="C511" s="11" t="s">
        <v>697</v>
      </c>
      <c r="D511" s="10" t="s">
        <v>903</v>
      </c>
      <c r="E511" s="12" t="s">
        <v>1072</v>
      </c>
      <c r="F511" s="12" t="s">
        <v>904</v>
      </c>
      <c r="G511" s="13">
        <v>70</v>
      </c>
      <c r="H511" s="14">
        <v>70</v>
      </c>
      <c r="I511" s="15">
        <v>95.48</v>
      </c>
      <c r="J511" s="16"/>
      <c r="K511" s="17">
        <v>6683.6</v>
      </c>
      <c r="L511" s="18">
        <v>46203</v>
      </c>
      <c r="M511" s="6" t="str">
        <f t="shared" si="21"/>
        <v>Schedule order</v>
      </c>
      <c r="N511" s="8">
        <f t="shared" ca="1" si="22"/>
        <v>48</v>
      </c>
      <c r="O511" s="8" t="str">
        <f t="shared" ca="1" si="23"/>
        <v>Lattest or shedule order</v>
      </c>
      <c r="P511" t="str">
        <f>VLOOKUP(C511,[1]Customer_Master!$A:$B,2,0)</f>
        <v>Group-2 (Veeresh- Bomsdr+Hosur)</v>
      </c>
      <c r="Q511" t="str">
        <f>VLOOKUP(D511,[2]Template!$A:$D,3,0)</f>
        <v>LAPP</v>
      </c>
      <c r="R511" t="str">
        <f>VLOOKUP(D511,[2]Template!$A:$D,4,0)</f>
        <v>Lapp-Planned Stock General</v>
      </c>
    </row>
    <row r="512" spans="1:18" ht="13.5" customHeight="1" x14ac:dyDescent="0.25">
      <c r="A512" s="9">
        <v>46111</v>
      </c>
      <c r="B512" s="10" t="s">
        <v>957</v>
      </c>
      <c r="C512" s="11" t="s">
        <v>697</v>
      </c>
      <c r="D512" s="10" t="s">
        <v>982</v>
      </c>
      <c r="E512" s="12" t="s">
        <v>1072</v>
      </c>
      <c r="F512" s="12" t="s">
        <v>983</v>
      </c>
      <c r="G512" s="13">
        <v>180</v>
      </c>
      <c r="H512" s="14">
        <v>180</v>
      </c>
      <c r="I512" s="15">
        <v>131.07</v>
      </c>
      <c r="J512" s="16"/>
      <c r="K512" s="17">
        <v>23592.6</v>
      </c>
      <c r="L512" s="18">
        <v>46203</v>
      </c>
      <c r="M512" s="6" t="str">
        <f t="shared" si="21"/>
        <v>Schedule order</v>
      </c>
      <c r="N512" s="8">
        <f t="shared" ca="1" si="22"/>
        <v>48</v>
      </c>
      <c r="O512" s="8" t="str">
        <f t="shared" ca="1" si="23"/>
        <v>Lattest or shedule order</v>
      </c>
      <c r="P512" t="str">
        <f>VLOOKUP(C512,[1]Customer_Master!$A:$B,2,0)</f>
        <v>Group-2 (Veeresh- Bomsdr+Hosur)</v>
      </c>
      <c r="Q512" t="str">
        <f>VLOOKUP(D512,[2]Template!$A:$D,3,0)</f>
        <v>LAPP</v>
      </c>
      <c r="R512" t="str">
        <f>VLOOKUP(D512,[2]Template!$A:$D,4,0)</f>
        <v>Lapp-Planned Stock General</v>
      </c>
    </row>
    <row r="513" spans="1:18" ht="13.5" customHeight="1" x14ac:dyDescent="0.25">
      <c r="A513" s="9">
        <v>46111</v>
      </c>
      <c r="B513" s="10" t="s">
        <v>957</v>
      </c>
      <c r="C513" s="11" t="s">
        <v>697</v>
      </c>
      <c r="D513" s="27" t="s">
        <v>984</v>
      </c>
      <c r="E513" s="12" t="s">
        <v>1072</v>
      </c>
      <c r="F513" s="12" t="s">
        <v>985</v>
      </c>
      <c r="G513" s="13">
        <v>10</v>
      </c>
      <c r="H513" s="14">
        <v>10</v>
      </c>
      <c r="I513" s="15">
        <v>450.2</v>
      </c>
      <c r="J513" s="16"/>
      <c r="K513" s="17">
        <v>4502</v>
      </c>
      <c r="L513" s="18">
        <v>46203</v>
      </c>
      <c r="M513" s="6" t="str">
        <f t="shared" si="21"/>
        <v>Schedule order</v>
      </c>
      <c r="N513" s="8">
        <f t="shared" ca="1" si="22"/>
        <v>48</v>
      </c>
      <c r="O513" s="8" t="str">
        <f t="shared" ca="1" si="23"/>
        <v>Lattest or shedule order</v>
      </c>
      <c r="P513" t="str">
        <f>VLOOKUP(C513,[1]Customer_Master!$A:$B,2,0)</f>
        <v>Group-2 (Veeresh- Bomsdr+Hosur)</v>
      </c>
      <c r="Q513" t="str">
        <f>VLOOKUP(D513,[2]Template!$A:$D,3,0)</f>
        <v>LAPP</v>
      </c>
      <c r="R513" t="str">
        <f>VLOOKUP(D513,[2]Template!$A:$D,4,0)</f>
        <v>Lapp-Non Moving Stocks</v>
      </c>
    </row>
    <row r="514" spans="1:18" ht="13.5" customHeight="1" x14ac:dyDescent="0.25">
      <c r="A514" s="9">
        <v>46111</v>
      </c>
      <c r="B514" s="10" t="s">
        <v>957</v>
      </c>
      <c r="C514" s="11" t="s">
        <v>697</v>
      </c>
      <c r="D514" s="10" t="s">
        <v>448</v>
      </c>
      <c r="E514" s="12" t="s">
        <v>1072</v>
      </c>
      <c r="F514" s="12" t="s">
        <v>183</v>
      </c>
      <c r="G514" s="13">
        <v>70</v>
      </c>
      <c r="H514" s="14">
        <v>70</v>
      </c>
      <c r="I514" s="15">
        <v>80.47</v>
      </c>
      <c r="J514" s="16"/>
      <c r="K514" s="17">
        <v>5632.9</v>
      </c>
      <c r="L514" s="18">
        <v>46203</v>
      </c>
      <c r="M514" s="6" t="str">
        <f t="shared" si="21"/>
        <v>Schedule order</v>
      </c>
      <c r="N514" s="8">
        <f t="shared" ca="1" si="22"/>
        <v>48</v>
      </c>
      <c r="O514" s="8" t="str">
        <f t="shared" ca="1" si="23"/>
        <v>Lattest or shedule order</v>
      </c>
      <c r="P514" t="str">
        <f>VLOOKUP(C514,[1]Customer_Master!$A:$B,2,0)</f>
        <v>Group-2 (Veeresh- Bomsdr+Hosur)</v>
      </c>
      <c r="Q514" t="str">
        <f>VLOOKUP(D514,[2]Template!$A:$D,3,0)</f>
        <v>LAPP</v>
      </c>
      <c r="R514" t="str">
        <f>VLOOKUP(D514,[2]Template!$A:$D,4,0)</f>
        <v>Lapp-Planned Stock General</v>
      </c>
    </row>
    <row r="515" spans="1:18" ht="13.5" customHeight="1" x14ac:dyDescent="0.25">
      <c r="A515" s="9">
        <v>46111</v>
      </c>
      <c r="B515" s="10" t="s">
        <v>957</v>
      </c>
      <c r="C515" s="11" t="s">
        <v>697</v>
      </c>
      <c r="D515" s="10" t="s">
        <v>518</v>
      </c>
      <c r="E515" s="12" t="s">
        <v>1072</v>
      </c>
      <c r="F515" s="12" t="s">
        <v>519</v>
      </c>
      <c r="G515" s="13">
        <v>55</v>
      </c>
      <c r="H515" s="14">
        <v>55</v>
      </c>
      <c r="I515" s="15">
        <v>84.84</v>
      </c>
      <c r="J515" s="16"/>
      <c r="K515" s="17">
        <v>4666.2</v>
      </c>
      <c r="L515" s="18">
        <v>46203</v>
      </c>
      <c r="M515" s="6" t="str">
        <f t="shared" ref="M515:M578" si="24">IF(L515&lt;DATE(2026,4,30),"Due order","Schedule order")</f>
        <v>Schedule order</v>
      </c>
      <c r="N515" s="8">
        <f t="shared" ref="N515:N578" ca="1" si="25">L515-TODAY()</f>
        <v>48</v>
      </c>
      <c r="O515" s="8" t="str">
        <f t="shared" ref="O515:O578" ca="1" si="26">IF(N515&lt;-365,"More than 1 Year old",IF(N515&lt;-180," More than 180 days old",IF(N515&lt;-90,"More than 90 day old",IF(N515&lt;0,"With in 90 days","Lattest or shedule order"))))</f>
        <v>Lattest or shedule order</v>
      </c>
      <c r="P515" t="str">
        <f>VLOOKUP(C515,[1]Customer_Master!$A:$B,2,0)</f>
        <v>Group-2 (Veeresh- Bomsdr+Hosur)</v>
      </c>
      <c r="Q515" t="str">
        <f>VLOOKUP(D515,[2]Template!$A:$D,3,0)</f>
        <v>LAPP</v>
      </c>
      <c r="R515" t="str">
        <f>VLOOKUP(D515,[2]Template!$A:$D,4,0)</f>
        <v>Lapp-Rinac</v>
      </c>
    </row>
    <row r="516" spans="1:18" ht="13.5" customHeight="1" x14ac:dyDescent="0.25">
      <c r="A516" s="9">
        <v>46111</v>
      </c>
      <c r="B516" s="10" t="s">
        <v>957</v>
      </c>
      <c r="C516" s="11" t="s">
        <v>697</v>
      </c>
      <c r="D516" s="10" t="s">
        <v>341</v>
      </c>
      <c r="E516" s="12" t="s">
        <v>1072</v>
      </c>
      <c r="F516" s="12" t="s">
        <v>121</v>
      </c>
      <c r="G516" s="13">
        <v>10</v>
      </c>
      <c r="H516" s="14">
        <v>10</v>
      </c>
      <c r="I516" s="15">
        <v>184.59</v>
      </c>
      <c r="J516" s="16"/>
      <c r="K516" s="17">
        <v>1845.9</v>
      </c>
      <c r="L516" s="18">
        <v>46203</v>
      </c>
      <c r="M516" s="6" t="str">
        <f t="shared" si="24"/>
        <v>Schedule order</v>
      </c>
      <c r="N516" s="8">
        <f t="shared" ca="1" si="25"/>
        <v>48</v>
      </c>
      <c r="O516" s="8" t="str">
        <f t="shared" ca="1" si="26"/>
        <v>Lattest or shedule order</v>
      </c>
      <c r="P516" t="str">
        <f>VLOOKUP(C516,[1]Customer_Master!$A:$B,2,0)</f>
        <v>Group-2 (Veeresh- Bomsdr+Hosur)</v>
      </c>
      <c r="Q516" t="str">
        <f>VLOOKUP(D516,[2]Template!$A:$D,3,0)</f>
        <v>LAPP</v>
      </c>
      <c r="R516" t="str">
        <f>VLOOKUP(D516,[2]Template!$A:$D,4,0)</f>
        <v>Lapp-Planned Stock General</v>
      </c>
    </row>
    <row r="517" spans="1:18" ht="13.5" customHeight="1" x14ac:dyDescent="0.25">
      <c r="A517" s="9">
        <v>46111</v>
      </c>
      <c r="B517" s="10" t="s">
        <v>957</v>
      </c>
      <c r="C517" s="11" t="s">
        <v>697</v>
      </c>
      <c r="D517" s="10" t="s">
        <v>739</v>
      </c>
      <c r="E517" s="12" t="s">
        <v>1072</v>
      </c>
      <c r="F517" s="12" t="s">
        <v>740</v>
      </c>
      <c r="G517" s="13">
        <v>20</v>
      </c>
      <c r="H517" s="14">
        <v>20</v>
      </c>
      <c r="I517" s="15">
        <v>133.12</v>
      </c>
      <c r="J517" s="16"/>
      <c r="K517" s="17">
        <v>2662.4</v>
      </c>
      <c r="L517" s="18">
        <v>46203</v>
      </c>
      <c r="M517" s="6" t="str">
        <f t="shared" si="24"/>
        <v>Schedule order</v>
      </c>
      <c r="N517" s="8">
        <f t="shared" ca="1" si="25"/>
        <v>48</v>
      </c>
      <c r="O517" s="8" t="str">
        <f t="shared" ca="1" si="26"/>
        <v>Lattest or shedule order</v>
      </c>
      <c r="P517" t="str">
        <f>VLOOKUP(C517,[1]Customer_Master!$A:$B,2,0)</f>
        <v>Group-2 (Veeresh- Bomsdr+Hosur)</v>
      </c>
      <c r="Q517" t="str">
        <f>VLOOKUP(D517,[2]Template!$A:$D,3,0)</f>
        <v>LAPP</v>
      </c>
      <c r="R517" t="str">
        <f>VLOOKUP(D517,[2]Template!$A:$D,4,0)</f>
        <v>Lapp-AMS Group</v>
      </c>
    </row>
    <row r="518" spans="1:18" ht="13.5" customHeight="1" x14ac:dyDescent="0.25">
      <c r="A518" s="9">
        <v>46111</v>
      </c>
      <c r="B518" s="10" t="s">
        <v>957</v>
      </c>
      <c r="C518" s="11" t="s">
        <v>697</v>
      </c>
      <c r="D518" s="10" t="s">
        <v>417</v>
      </c>
      <c r="E518" s="12" t="s">
        <v>1072</v>
      </c>
      <c r="F518" s="12" t="s">
        <v>195</v>
      </c>
      <c r="G518" s="13">
        <v>40</v>
      </c>
      <c r="H518" s="14">
        <v>40</v>
      </c>
      <c r="I518" s="15">
        <v>59.27</v>
      </c>
      <c r="J518" s="16"/>
      <c r="K518" s="17">
        <v>2370.8000000000002</v>
      </c>
      <c r="L518" s="18">
        <v>46203</v>
      </c>
      <c r="M518" s="6" t="str">
        <f t="shared" si="24"/>
        <v>Schedule order</v>
      </c>
      <c r="N518" s="8">
        <f t="shared" ca="1" si="25"/>
        <v>48</v>
      </c>
      <c r="O518" s="8" t="str">
        <f t="shared" ca="1" si="26"/>
        <v>Lattest or shedule order</v>
      </c>
      <c r="P518" t="str">
        <f>VLOOKUP(C518,[1]Customer_Master!$A:$B,2,0)</f>
        <v>Group-2 (Veeresh- Bomsdr+Hosur)</v>
      </c>
      <c r="Q518" t="str">
        <f>VLOOKUP(D518,[2]Template!$A:$D,3,0)</f>
        <v>LAPP</v>
      </c>
      <c r="R518" t="str">
        <f>VLOOKUP(D518,[2]Template!$A:$D,4,0)</f>
        <v>Lapp-Rinac</v>
      </c>
    </row>
    <row r="519" spans="1:18" ht="13.5" customHeight="1" x14ac:dyDescent="0.25">
      <c r="A519" s="9">
        <v>46111</v>
      </c>
      <c r="B519" s="10" t="s">
        <v>957</v>
      </c>
      <c r="C519" s="11" t="s">
        <v>697</v>
      </c>
      <c r="D519" s="10" t="s">
        <v>363</v>
      </c>
      <c r="E519" s="12" t="s">
        <v>1072</v>
      </c>
      <c r="F519" s="12" t="s">
        <v>114</v>
      </c>
      <c r="G519" s="13">
        <v>70</v>
      </c>
      <c r="H519" s="14">
        <v>70</v>
      </c>
      <c r="I519" s="15">
        <v>175.87</v>
      </c>
      <c r="J519" s="16"/>
      <c r="K519" s="17">
        <v>12310.9</v>
      </c>
      <c r="L519" s="18">
        <v>46203</v>
      </c>
      <c r="M519" s="6" t="str">
        <f t="shared" si="24"/>
        <v>Schedule order</v>
      </c>
      <c r="N519" s="8">
        <f t="shared" ca="1" si="25"/>
        <v>48</v>
      </c>
      <c r="O519" s="8" t="str">
        <f t="shared" ca="1" si="26"/>
        <v>Lattest or shedule order</v>
      </c>
      <c r="P519" t="str">
        <f>VLOOKUP(C519,[1]Customer_Master!$A:$B,2,0)</f>
        <v>Group-2 (Veeresh- Bomsdr+Hosur)</v>
      </c>
      <c r="Q519" t="str">
        <f>VLOOKUP(D519,[2]Template!$A:$D,3,0)</f>
        <v>LAPP</v>
      </c>
      <c r="R519" t="str">
        <f>VLOOKUP(D519,[2]Template!$A:$D,4,0)</f>
        <v>Lapp-Planned Stock General</v>
      </c>
    </row>
    <row r="520" spans="1:18" ht="13.5" customHeight="1" x14ac:dyDescent="0.25">
      <c r="A520" s="9">
        <v>46111</v>
      </c>
      <c r="B520" s="10" t="s">
        <v>957</v>
      </c>
      <c r="C520" s="11" t="s">
        <v>697</v>
      </c>
      <c r="D520" s="27" t="s">
        <v>698</v>
      </c>
      <c r="E520" s="12" t="s">
        <v>1072</v>
      </c>
      <c r="F520" s="26" t="s">
        <v>699</v>
      </c>
      <c r="G520" s="13">
        <v>20</v>
      </c>
      <c r="H520" s="14">
        <v>20</v>
      </c>
      <c r="I520" s="15">
        <v>228.93</v>
      </c>
      <c r="J520" s="16"/>
      <c r="K520" s="17">
        <v>4578.6000000000004</v>
      </c>
      <c r="L520" s="18">
        <v>46203</v>
      </c>
      <c r="M520" s="6" t="str">
        <f t="shared" si="24"/>
        <v>Schedule order</v>
      </c>
      <c r="N520" s="8">
        <f t="shared" ca="1" si="25"/>
        <v>48</v>
      </c>
      <c r="O520" s="8" t="str">
        <f t="shared" ca="1" si="26"/>
        <v>Lattest or shedule order</v>
      </c>
      <c r="P520" t="str">
        <f>VLOOKUP(C520,[1]Customer_Master!$A:$B,2,0)</f>
        <v>Group-2 (Veeresh- Bomsdr+Hosur)</v>
      </c>
      <c r="Q520" t="str">
        <f>VLOOKUP(D520,[2]Template!$A:$D,3,0)</f>
        <v>LAPP</v>
      </c>
      <c r="R520" t="str">
        <f>VLOOKUP(D520,[2]Template!$A:$D,4,0)</f>
        <v>Lapp-Non Moving Stocks</v>
      </c>
    </row>
    <row r="521" spans="1:18" ht="13.5" customHeight="1" x14ac:dyDescent="0.25">
      <c r="A521" s="9">
        <v>46111</v>
      </c>
      <c r="B521" s="10" t="s">
        <v>957</v>
      </c>
      <c r="C521" s="11" t="s">
        <v>697</v>
      </c>
      <c r="D521" s="27" t="s">
        <v>986</v>
      </c>
      <c r="E521" s="12" t="s">
        <v>1072</v>
      </c>
      <c r="F521" s="26" t="s">
        <v>987</v>
      </c>
      <c r="G521" s="13">
        <v>30</v>
      </c>
      <c r="H521" s="14">
        <v>30</v>
      </c>
      <c r="I521" s="15">
        <v>357.64</v>
      </c>
      <c r="J521" s="16"/>
      <c r="K521" s="17">
        <v>10729.2</v>
      </c>
      <c r="L521" s="18">
        <v>46203</v>
      </c>
      <c r="M521" s="6" t="str">
        <f t="shared" si="24"/>
        <v>Schedule order</v>
      </c>
      <c r="N521" s="8">
        <f t="shared" ca="1" si="25"/>
        <v>48</v>
      </c>
      <c r="O521" s="8" t="str">
        <f t="shared" ca="1" si="26"/>
        <v>Lattest or shedule order</v>
      </c>
      <c r="P521" t="str">
        <f>VLOOKUP(C521,[1]Customer_Master!$A:$B,2,0)</f>
        <v>Group-2 (Veeresh- Bomsdr+Hosur)</v>
      </c>
      <c r="Q521" t="str">
        <f>VLOOKUP(D521,[2]Template!$A:$D,3,0)</f>
        <v>LAPP</v>
      </c>
      <c r="R521" t="str">
        <f>VLOOKUP(D521,[2]Template!$A:$D,4,0)</f>
        <v>Lapp-Non Moving Stocks</v>
      </c>
    </row>
    <row r="522" spans="1:18" ht="13.5" customHeight="1" x14ac:dyDescent="0.25">
      <c r="A522" s="9">
        <v>46111</v>
      </c>
      <c r="B522" s="10" t="s">
        <v>957</v>
      </c>
      <c r="C522" s="11" t="s">
        <v>697</v>
      </c>
      <c r="D522" s="10" t="s">
        <v>242</v>
      </c>
      <c r="E522" s="12" t="s">
        <v>1072</v>
      </c>
      <c r="F522" s="12" t="s">
        <v>1072</v>
      </c>
      <c r="G522" s="19">
        <v>1</v>
      </c>
      <c r="H522" s="20">
        <v>1</v>
      </c>
      <c r="I522" s="15">
        <v>19276.5</v>
      </c>
      <c r="J522" s="16"/>
      <c r="K522" s="17">
        <v>19276.5</v>
      </c>
      <c r="L522" s="18">
        <v>46111</v>
      </c>
      <c r="M522" s="6" t="str">
        <f t="shared" si="24"/>
        <v>Due order</v>
      </c>
      <c r="N522" s="8">
        <f t="shared" ca="1" si="25"/>
        <v>-44</v>
      </c>
      <c r="O522" s="8" t="str">
        <f t="shared" ca="1" si="26"/>
        <v>With in 90 days</v>
      </c>
      <c r="P522" t="str">
        <f>VLOOKUP(C522,[1]Customer_Master!$A:$B,2,0)</f>
        <v>Group-2 (Veeresh- Bomsdr+Hosur)</v>
      </c>
      <c r="Q522" t="str">
        <f>VLOOKUP(D522,[2]Template!$A:$D,3,0)</f>
        <v>LAPP</v>
      </c>
      <c r="R522" t="str">
        <f>VLOOKUP(D522,[2]Template!$A:$D,4,0)</f>
        <v>Lapp-Against Customer PO</v>
      </c>
    </row>
    <row r="523" spans="1:18" ht="13.5" customHeight="1" x14ac:dyDescent="0.25">
      <c r="A523" s="9">
        <v>46111</v>
      </c>
      <c r="B523" s="10" t="s">
        <v>990</v>
      </c>
      <c r="C523" s="11" t="s">
        <v>279</v>
      </c>
      <c r="D523" s="10" t="s">
        <v>603</v>
      </c>
      <c r="E523" s="12" t="s">
        <v>1072</v>
      </c>
      <c r="F523" s="12" t="s">
        <v>604</v>
      </c>
      <c r="G523" s="22">
        <v>1</v>
      </c>
      <c r="H523" s="23">
        <v>1</v>
      </c>
      <c r="I523" s="15">
        <v>70.33</v>
      </c>
      <c r="J523" s="16"/>
      <c r="K523" s="17">
        <v>70.33</v>
      </c>
      <c r="L523" s="18">
        <v>46161</v>
      </c>
      <c r="M523" s="6" t="str">
        <f t="shared" si="24"/>
        <v>Schedule order</v>
      </c>
      <c r="N523" s="8">
        <f t="shared" ca="1" si="25"/>
        <v>6</v>
      </c>
      <c r="O523" s="8" t="str">
        <f t="shared" ca="1" si="26"/>
        <v>Lattest or shedule order</v>
      </c>
      <c r="P523" t="str">
        <f>VLOOKUP(C523,[1]Customer_Master!$A:$B,2,0)</f>
        <v>Group 1-Giridhar-Peenya</v>
      </c>
      <c r="Q523" t="str">
        <f>VLOOKUP(D523,[2]Template!$A:$D,3,0)</f>
        <v>LAPP</v>
      </c>
      <c r="R523" t="str">
        <f>VLOOKUP(D523,[2]Template!$A:$D,4,0)</f>
        <v>Lapp-Against Customer PO</v>
      </c>
    </row>
    <row r="524" spans="1:18" ht="13.5" customHeight="1" x14ac:dyDescent="0.25">
      <c r="A524" s="9">
        <v>46111</v>
      </c>
      <c r="B524" s="10" t="s">
        <v>991</v>
      </c>
      <c r="C524" s="11" t="s">
        <v>704</v>
      </c>
      <c r="D524" s="27" t="s">
        <v>992</v>
      </c>
      <c r="E524" s="12" t="s">
        <v>1072</v>
      </c>
      <c r="F524" s="26" t="s">
        <v>993</v>
      </c>
      <c r="G524" s="13">
        <v>300</v>
      </c>
      <c r="H524" s="14">
        <v>300</v>
      </c>
      <c r="I524" s="15">
        <v>453.41</v>
      </c>
      <c r="J524" s="16"/>
      <c r="K524" s="17">
        <v>136023</v>
      </c>
      <c r="L524" s="18">
        <v>46118</v>
      </c>
      <c r="M524" s="6" t="str">
        <f t="shared" si="24"/>
        <v>Due order</v>
      </c>
      <c r="N524" s="8">
        <f t="shared" ca="1" si="25"/>
        <v>-37</v>
      </c>
      <c r="O524" s="8" t="str">
        <f t="shared" ca="1" si="26"/>
        <v>With in 90 days</v>
      </c>
      <c r="P524" t="str">
        <f>VLOOKUP(C524,[1]Customer_Master!$A:$B,2,0)</f>
        <v>Group 1-Giridhar-Peenya</v>
      </c>
      <c r="Q524" t="str">
        <f>VLOOKUP(D524,[2]Template!$A:$D,3,0)</f>
        <v>LAPP</v>
      </c>
      <c r="R524" t="str">
        <f>VLOOKUP(D524,[2]Template!$A:$D,4,0)</f>
        <v>Lapp-Non Moving Stocks</v>
      </c>
    </row>
    <row r="525" spans="1:18" ht="13.5" customHeight="1" x14ac:dyDescent="0.25">
      <c r="A525" s="9">
        <v>46111</v>
      </c>
      <c r="B525" s="10" t="s">
        <v>991</v>
      </c>
      <c r="C525" s="11" t="s">
        <v>704</v>
      </c>
      <c r="D525" s="27" t="s">
        <v>994</v>
      </c>
      <c r="E525" s="12" t="s">
        <v>1072</v>
      </c>
      <c r="F525" s="26" t="s">
        <v>995</v>
      </c>
      <c r="G525" s="13">
        <v>200</v>
      </c>
      <c r="H525" s="14">
        <v>200</v>
      </c>
      <c r="I525" s="15">
        <v>345.16</v>
      </c>
      <c r="J525" s="16"/>
      <c r="K525" s="17">
        <v>69032</v>
      </c>
      <c r="L525" s="18">
        <v>46118</v>
      </c>
      <c r="M525" s="6" t="str">
        <f t="shared" si="24"/>
        <v>Due order</v>
      </c>
      <c r="N525" s="8">
        <f t="shared" ca="1" si="25"/>
        <v>-37</v>
      </c>
      <c r="O525" s="8" t="str">
        <f t="shared" ca="1" si="26"/>
        <v>With in 90 days</v>
      </c>
      <c r="P525" t="str">
        <f>VLOOKUP(C525,[1]Customer_Master!$A:$B,2,0)</f>
        <v>Group 1-Giridhar-Peenya</v>
      </c>
      <c r="Q525" t="str">
        <f>VLOOKUP(D525,[2]Template!$A:$D,3,0)</f>
        <v>LAPP</v>
      </c>
      <c r="R525" t="str">
        <f>VLOOKUP(D525,[2]Template!$A:$D,4,0)</f>
        <v>Lapp-Non Moving Stocks</v>
      </c>
    </row>
    <row r="526" spans="1:18" ht="13.5" customHeight="1" x14ac:dyDescent="0.25">
      <c r="A526" s="9">
        <v>46111</v>
      </c>
      <c r="B526" s="10" t="s">
        <v>991</v>
      </c>
      <c r="C526" s="11" t="s">
        <v>704</v>
      </c>
      <c r="D526" s="10" t="s">
        <v>996</v>
      </c>
      <c r="E526" s="12" t="s">
        <v>1072</v>
      </c>
      <c r="F526" s="12" t="s">
        <v>997</v>
      </c>
      <c r="G526" s="13">
        <v>300</v>
      </c>
      <c r="H526" s="14">
        <v>300</v>
      </c>
      <c r="I526" s="15">
        <v>155.91999999999999</v>
      </c>
      <c r="J526" s="16"/>
      <c r="K526" s="17">
        <v>46776</v>
      </c>
      <c r="L526" s="18">
        <v>46118</v>
      </c>
      <c r="M526" s="6" t="str">
        <f t="shared" si="24"/>
        <v>Due order</v>
      </c>
      <c r="N526" s="8">
        <f t="shared" ca="1" si="25"/>
        <v>-37</v>
      </c>
      <c r="O526" s="8" t="str">
        <f t="shared" ca="1" si="26"/>
        <v>With in 90 days</v>
      </c>
      <c r="P526" t="str">
        <f>VLOOKUP(C526,[1]Customer_Master!$A:$B,2,0)</f>
        <v>Group 1-Giridhar-Peenya</v>
      </c>
      <c r="Q526" t="str">
        <f>VLOOKUP(D526,[2]Template!$A:$D,3,0)</f>
        <v>LAPP</v>
      </c>
      <c r="R526" t="str">
        <f>VLOOKUP(D526,[2]Template!$A:$D,4,0)</f>
        <v>Lapp-Non Moving Stocks</v>
      </c>
    </row>
    <row r="527" spans="1:18" ht="13.5" customHeight="1" x14ac:dyDescent="0.25">
      <c r="A527" s="9">
        <v>46111</v>
      </c>
      <c r="B527" s="10" t="s">
        <v>991</v>
      </c>
      <c r="C527" s="11" t="s">
        <v>704</v>
      </c>
      <c r="D527" s="10" t="s">
        <v>998</v>
      </c>
      <c r="E527" s="12" t="s">
        <v>1072</v>
      </c>
      <c r="F527" s="12" t="s">
        <v>999</v>
      </c>
      <c r="G527" s="13">
        <v>350</v>
      </c>
      <c r="H527" s="14">
        <v>350</v>
      </c>
      <c r="I527" s="15">
        <v>276.24</v>
      </c>
      <c r="J527" s="16"/>
      <c r="K527" s="17">
        <v>96684</v>
      </c>
      <c r="L527" s="18">
        <v>46118</v>
      </c>
      <c r="M527" s="6" t="str">
        <f t="shared" si="24"/>
        <v>Due order</v>
      </c>
      <c r="N527" s="8">
        <f t="shared" ca="1" si="25"/>
        <v>-37</v>
      </c>
      <c r="O527" s="8" t="str">
        <f t="shared" ca="1" si="26"/>
        <v>With in 90 days</v>
      </c>
      <c r="P527" t="str">
        <f>VLOOKUP(C527,[1]Customer_Master!$A:$B,2,0)</f>
        <v>Group 1-Giridhar-Peenya</v>
      </c>
      <c r="Q527" t="str">
        <f>VLOOKUP(D527,[2]Template!$A:$D,3,0)</f>
        <v>LAPP</v>
      </c>
      <c r="R527" t="str">
        <f>VLOOKUP(D527,[2]Template!$A:$D,4,0)</f>
        <v>Lapp-Non Moving Stocks</v>
      </c>
    </row>
    <row r="528" spans="1:18" ht="13.5" customHeight="1" x14ac:dyDescent="0.25">
      <c r="A528" s="9">
        <v>46111</v>
      </c>
      <c r="B528" s="10" t="s">
        <v>991</v>
      </c>
      <c r="C528" s="11" t="s">
        <v>704</v>
      </c>
      <c r="D528" s="10" t="s">
        <v>884</v>
      </c>
      <c r="E528" s="12" t="s">
        <v>1072</v>
      </c>
      <c r="F528" s="12" t="s">
        <v>885</v>
      </c>
      <c r="G528" s="13">
        <v>540</v>
      </c>
      <c r="H528" s="14">
        <v>540</v>
      </c>
      <c r="I528" s="15">
        <v>23.92</v>
      </c>
      <c r="J528" s="16"/>
      <c r="K528" s="17">
        <v>12916.8</v>
      </c>
      <c r="L528" s="18">
        <v>46118</v>
      </c>
      <c r="M528" s="6" t="str">
        <f t="shared" si="24"/>
        <v>Due order</v>
      </c>
      <c r="N528" s="8">
        <f t="shared" ca="1" si="25"/>
        <v>-37</v>
      </c>
      <c r="O528" s="8" t="str">
        <f t="shared" ca="1" si="26"/>
        <v>With in 90 days</v>
      </c>
      <c r="P528" t="str">
        <f>VLOOKUP(C528,[1]Customer_Master!$A:$B,2,0)</f>
        <v>Group 1-Giridhar-Peenya</v>
      </c>
      <c r="Q528" t="str">
        <f>VLOOKUP(D528,[2]Template!$A:$D,3,0)</f>
        <v>LAPP</v>
      </c>
      <c r="R528" t="str">
        <f>VLOOKUP(D528,[2]Template!$A:$D,4,0)</f>
        <v>Lapp Infra</v>
      </c>
    </row>
    <row r="529" spans="1:18" ht="13.5" customHeight="1" x14ac:dyDescent="0.25">
      <c r="A529" s="9">
        <v>46111</v>
      </c>
      <c r="B529" s="10" t="s">
        <v>991</v>
      </c>
      <c r="C529" s="11" t="s">
        <v>704</v>
      </c>
      <c r="D529" s="10" t="s">
        <v>416</v>
      </c>
      <c r="E529" s="12" t="s">
        <v>1072</v>
      </c>
      <c r="F529" s="12" t="s">
        <v>203</v>
      </c>
      <c r="G529" s="13">
        <v>300</v>
      </c>
      <c r="H529" s="14">
        <v>300</v>
      </c>
      <c r="I529" s="15">
        <v>1706.07</v>
      </c>
      <c r="J529" s="16"/>
      <c r="K529" s="17">
        <v>511821</v>
      </c>
      <c r="L529" s="18">
        <v>46118</v>
      </c>
      <c r="M529" s="6" t="str">
        <f t="shared" si="24"/>
        <v>Due order</v>
      </c>
      <c r="N529" s="8">
        <f t="shared" ca="1" si="25"/>
        <v>-37</v>
      </c>
      <c r="O529" s="8" t="str">
        <f t="shared" ca="1" si="26"/>
        <v>With in 90 days</v>
      </c>
      <c r="P529" t="str">
        <f>VLOOKUP(C529,[1]Customer_Master!$A:$B,2,0)</f>
        <v>Group 1-Giridhar-Peenya</v>
      </c>
      <c r="Q529" t="str">
        <f>VLOOKUP(D529,[2]Template!$A:$D,3,0)</f>
        <v>LAPP</v>
      </c>
      <c r="R529" t="str">
        <f>VLOOKUP(D529,[2]Template!$A:$D,4,0)</f>
        <v>Lapp-Against Customer PO</v>
      </c>
    </row>
    <row r="530" spans="1:18" ht="13.5" customHeight="1" x14ac:dyDescent="0.25">
      <c r="A530" s="9">
        <v>46111</v>
      </c>
      <c r="B530" s="10" t="s">
        <v>991</v>
      </c>
      <c r="C530" s="11" t="s">
        <v>704</v>
      </c>
      <c r="D530" s="10" t="s">
        <v>1000</v>
      </c>
      <c r="E530" s="12" t="s">
        <v>1072</v>
      </c>
      <c r="F530" s="12" t="s">
        <v>1001</v>
      </c>
      <c r="G530" s="13">
        <v>100</v>
      </c>
      <c r="H530" s="14">
        <v>100</v>
      </c>
      <c r="I530" s="15">
        <v>1889.72</v>
      </c>
      <c r="J530" s="16"/>
      <c r="K530" s="17">
        <v>188972</v>
      </c>
      <c r="L530" s="18">
        <v>46118</v>
      </c>
      <c r="M530" s="6" t="str">
        <f t="shared" si="24"/>
        <v>Due order</v>
      </c>
      <c r="N530" s="8">
        <f t="shared" ca="1" si="25"/>
        <v>-37</v>
      </c>
      <c r="O530" s="8" t="str">
        <f t="shared" ca="1" si="26"/>
        <v>With in 90 days</v>
      </c>
      <c r="P530" t="str">
        <f>VLOOKUP(C530,[1]Customer_Master!$A:$B,2,0)</f>
        <v>Group 1-Giridhar-Peenya</v>
      </c>
      <c r="Q530" t="str">
        <f>VLOOKUP(D530,[2]Template!$A:$D,3,0)</f>
        <v>LAPP</v>
      </c>
      <c r="R530" t="str">
        <f>VLOOKUP(D530,[2]Template!$A:$D,4,0)</f>
        <v>Lapp-Non Moving Stocks</v>
      </c>
    </row>
    <row r="531" spans="1:18" ht="13.5" customHeight="1" x14ac:dyDescent="0.25">
      <c r="A531" s="9">
        <v>46111</v>
      </c>
      <c r="B531" s="10" t="s">
        <v>991</v>
      </c>
      <c r="C531" s="11" t="s">
        <v>704</v>
      </c>
      <c r="D531" s="10" t="s">
        <v>1002</v>
      </c>
      <c r="E531" s="12" t="s">
        <v>1072</v>
      </c>
      <c r="F531" s="12" t="s">
        <v>1003</v>
      </c>
      <c r="G531" s="13">
        <v>100</v>
      </c>
      <c r="H531" s="14">
        <v>100</v>
      </c>
      <c r="I531" s="15">
        <v>1061.29</v>
      </c>
      <c r="J531" s="16"/>
      <c r="K531" s="17">
        <v>106129</v>
      </c>
      <c r="L531" s="18">
        <v>46118</v>
      </c>
      <c r="M531" s="6" t="str">
        <f t="shared" si="24"/>
        <v>Due order</v>
      </c>
      <c r="N531" s="8">
        <f t="shared" ca="1" si="25"/>
        <v>-37</v>
      </c>
      <c r="O531" s="8" t="str">
        <f t="shared" ca="1" si="26"/>
        <v>With in 90 days</v>
      </c>
      <c r="P531" t="str">
        <f>VLOOKUP(C531,[1]Customer_Master!$A:$B,2,0)</f>
        <v>Group 1-Giridhar-Peenya</v>
      </c>
      <c r="Q531" t="str">
        <f>VLOOKUP(D531,[2]Template!$A:$D,3,0)</f>
        <v>LAPP</v>
      </c>
      <c r="R531" t="str">
        <f>VLOOKUP(D531,[2]Template!$A:$D,4,0)</f>
        <v>Lapp-Non Moving Stocks</v>
      </c>
    </row>
    <row r="532" spans="1:18" ht="13.5" customHeight="1" x14ac:dyDescent="0.25">
      <c r="A532" s="9">
        <v>46111</v>
      </c>
      <c r="B532" s="10" t="s">
        <v>991</v>
      </c>
      <c r="C532" s="11" t="s">
        <v>704</v>
      </c>
      <c r="D532" s="10" t="s">
        <v>1004</v>
      </c>
      <c r="E532" s="12" t="s">
        <v>1072</v>
      </c>
      <c r="F532" s="12" t="s">
        <v>1005</v>
      </c>
      <c r="G532" s="13">
        <v>100</v>
      </c>
      <c r="H532" s="14">
        <v>100</v>
      </c>
      <c r="I532" s="15">
        <v>1466.13</v>
      </c>
      <c r="J532" s="16"/>
      <c r="K532" s="17">
        <v>146613</v>
      </c>
      <c r="L532" s="18">
        <v>46118</v>
      </c>
      <c r="M532" s="6" t="str">
        <f t="shared" si="24"/>
        <v>Due order</v>
      </c>
      <c r="N532" s="8">
        <f t="shared" ca="1" si="25"/>
        <v>-37</v>
      </c>
      <c r="O532" s="8" t="str">
        <f t="shared" ca="1" si="26"/>
        <v>With in 90 days</v>
      </c>
      <c r="P532" t="str">
        <f>VLOOKUP(C532,[1]Customer_Master!$A:$B,2,0)</f>
        <v>Group 1-Giridhar-Peenya</v>
      </c>
      <c r="Q532" t="str">
        <f>VLOOKUP(D532,[2]Template!$A:$D,3,0)</f>
        <v>LAPP</v>
      </c>
      <c r="R532" t="str">
        <f>VLOOKUP(D532,[2]Template!$A:$D,4,0)</f>
        <v>Lapp-Against Customer PO</v>
      </c>
    </row>
    <row r="533" spans="1:18" ht="13.5" customHeight="1" x14ac:dyDescent="0.25">
      <c r="A533" s="9">
        <v>46111</v>
      </c>
      <c r="B533" s="10" t="s">
        <v>1006</v>
      </c>
      <c r="C533" s="11" t="s">
        <v>1007</v>
      </c>
      <c r="D533" s="10" t="s">
        <v>452</v>
      </c>
      <c r="E533" s="12" t="s">
        <v>1072</v>
      </c>
      <c r="F533" s="12" t="s">
        <v>278</v>
      </c>
      <c r="G533" s="13">
        <v>100</v>
      </c>
      <c r="H533" s="14">
        <v>100</v>
      </c>
      <c r="I533" s="15">
        <v>85.99</v>
      </c>
      <c r="J533" s="21">
        <v>2</v>
      </c>
      <c r="K533" s="17">
        <v>8427.02</v>
      </c>
      <c r="L533" s="18">
        <v>46111</v>
      </c>
      <c r="M533" s="6" t="str">
        <f t="shared" si="24"/>
        <v>Due order</v>
      </c>
      <c r="N533" s="8">
        <f t="shared" ca="1" si="25"/>
        <v>-44</v>
      </c>
      <c r="O533" s="8" t="str">
        <f t="shared" ca="1" si="26"/>
        <v>With in 90 days</v>
      </c>
      <c r="P533" t="str">
        <f>VLOOKUP(C533,[1]Customer_Master!$A:$B,2,0)</f>
        <v>Group 1-Giridhar-Peenya</v>
      </c>
      <c r="Q533" t="str">
        <f>VLOOKUP(D533,[2]Template!$A:$D,3,0)</f>
        <v>LAPP</v>
      </c>
      <c r="R533" t="str">
        <f>VLOOKUP(D533,[2]Template!$A:$D,4,0)</f>
        <v>Lapp-Planned Stock General</v>
      </c>
    </row>
    <row r="534" spans="1:18" ht="13.5" customHeight="1" x14ac:dyDescent="0.25">
      <c r="A534" s="9">
        <v>46111</v>
      </c>
      <c r="B534" s="10" t="s">
        <v>1008</v>
      </c>
      <c r="C534" s="11" t="s">
        <v>853</v>
      </c>
      <c r="D534" s="10" t="s">
        <v>1009</v>
      </c>
      <c r="E534" s="12" t="s">
        <v>1072</v>
      </c>
      <c r="F534" s="12" t="s">
        <v>1010</v>
      </c>
      <c r="G534" s="19">
        <v>4</v>
      </c>
      <c r="H534" s="20">
        <v>4</v>
      </c>
      <c r="I534" s="15">
        <v>1182.72</v>
      </c>
      <c r="J534" s="16"/>
      <c r="K534" s="17">
        <v>4730.88</v>
      </c>
      <c r="L534" s="18">
        <v>46111</v>
      </c>
      <c r="M534" s="6" t="str">
        <f t="shared" si="24"/>
        <v>Due order</v>
      </c>
      <c r="N534" s="8">
        <f t="shared" ca="1" si="25"/>
        <v>-44</v>
      </c>
      <c r="O534" s="8" t="str">
        <f t="shared" ca="1" si="26"/>
        <v>With in 90 days</v>
      </c>
      <c r="P534" t="str">
        <f>VLOOKUP(C534,[1]Customer_Master!$A:$B,2,0)</f>
        <v>Group-4 ( Office Account)</v>
      </c>
      <c r="Q534" t="str">
        <f>VLOOKUP(D534,[2]Template!$A:$D,3,0)</f>
        <v>LAPP</v>
      </c>
      <c r="R534" t="str">
        <f>VLOOKUP(D534,[2]Template!$A:$D,4,0)</f>
        <v>Lapp-Against Customer PO</v>
      </c>
    </row>
    <row r="535" spans="1:18" ht="13.5" customHeight="1" x14ac:dyDescent="0.25">
      <c r="A535" s="9">
        <v>46111</v>
      </c>
      <c r="B535" s="10" t="s">
        <v>1008</v>
      </c>
      <c r="C535" s="11" t="s">
        <v>853</v>
      </c>
      <c r="D535" s="10" t="s">
        <v>1011</v>
      </c>
      <c r="E535" s="12" t="s">
        <v>1072</v>
      </c>
      <c r="F535" s="12" t="s">
        <v>1012</v>
      </c>
      <c r="G535" s="19">
        <v>22</v>
      </c>
      <c r="H535" s="20">
        <v>22</v>
      </c>
      <c r="I535" s="15">
        <v>512.16</v>
      </c>
      <c r="J535" s="16"/>
      <c r="K535" s="17">
        <v>11267.52</v>
      </c>
      <c r="L535" s="18">
        <v>46111</v>
      </c>
      <c r="M535" s="6" t="str">
        <f t="shared" si="24"/>
        <v>Due order</v>
      </c>
      <c r="N535" s="8">
        <f t="shared" ca="1" si="25"/>
        <v>-44</v>
      </c>
      <c r="O535" s="8" t="str">
        <f t="shared" ca="1" si="26"/>
        <v>With in 90 days</v>
      </c>
      <c r="P535" t="str">
        <f>VLOOKUP(C535,[1]Customer_Master!$A:$B,2,0)</f>
        <v>Group-4 ( Office Account)</v>
      </c>
      <c r="Q535" t="str">
        <f>VLOOKUP(D535,[2]Template!$A:$D,3,0)</f>
        <v>LAPP</v>
      </c>
      <c r="R535" t="str">
        <f>VLOOKUP(D535,[2]Template!$A:$D,4,0)</f>
        <v>Lapp-Against Customer PO</v>
      </c>
    </row>
    <row r="536" spans="1:18" ht="13.5" customHeight="1" x14ac:dyDescent="0.25">
      <c r="A536" s="9">
        <v>46111</v>
      </c>
      <c r="B536" s="10" t="s">
        <v>1013</v>
      </c>
      <c r="C536" s="11" t="s">
        <v>1014</v>
      </c>
      <c r="D536" s="27" t="s">
        <v>1015</v>
      </c>
      <c r="E536" s="12" t="s">
        <v>1072</v>
      </c>
      <c r="F536" s="26" t="s">
        <v>1016</v>
      </c>
      <c r="G536" s="13">
        <v>100</v>
      </c>
      <c r="H536" s="14">
        <v>100</v>
      </c>
      <c r="I536" s="15">
        <v>109.58</v>
      </c>
      <c r="J536" s="16"/>
      <c r="K536" s="17">
        <v>10958</v>
      </c>
      <c r="L536" s="18">
        <v>46111</v>
      </c>
      <c r="M536" s="6" t="str">
        <f t="shared" si="24"/>
        <v>Due order</v>
      </c>
      <c r="N536" s="8">
        <f t="shared" ca="1" si="25"/>
        <v>-44</v>
      </c>
      <c r="O536" s="8" t="str">
        <f t="shared" ca="1" si="26"/>
        <v>With in 90 days</v>
      </c>
      <c r="P536" t="str">
        <f>VLOOKUP(C536,[1]Customer_Master!$A:$B,2,0)</f>
        <v>Group-4 ( Office Account)</v>
      </c>
      <c r="Q536" t="str">
        <f>VLOOKUP(D536,[2]Template!$A:$D,3,0)</f>
        <v>LAPP</v>
      </c>
      <c r="R536" t="str">
        <f>VLOOKUP(D536,[2]Template!$A:$D,4,0)</f>
        <v>Lapp-Non Moving Stocks</v>
      </c>
    </row>
    <row r="537" spans="1:18" ht="13.5" customHeight="1" x14ac:dyDescent="0.25">
      <c r="A537" s="9">
        <v>46111</v>
      </c>
      <c r="B537" s="10" t="s">
        <v>1013</v>
      </c>
      <c r="C537" s="11" t="s">
        <v>1014</v>
      </c>
      <c r="D537" s="27" t="s">
        <v>1017</v>
      </c>
      <c r="E537" s="12" t="s">
        <v>1072</v>
      </c>
      <c r="F537" s="12" t="s">
        <v>1018</v>
      </c>
      <c r="G537" s="13">
        <v>100</v>
      </c>
      <c r="H537" s="14">
        <v>100</v>
      </c>
      <c r="I537" s="15">
        <v>165.99</v>
      </c>
      <c r="J537" s="16"/>
      <c r="K537" s="17">
        <v>16599</v>
      </c>
      <c r="L537" s="18">
        <v>46111</v>
      </c>
      <c r="M537" s="6" t="str">
        <f t="shared" si="24"/>
        <v>Due order</v>
      </c>
      <c r="N537" s="8">
        <f t="shared" ca="1" si="25"/>
        <v>-44</v>
      </c>
      <c r="O537" s="8" t="str">
        <f t="shared" ca="1" si="26"/>
        <v>With in 90 days</v>
      </c>
      <c r="P537" t="str">
        <f>VLOOKUP(C537,[1]Customer_Master!$A:$B,2,0)</f>
        <v>Group-4 ( Office Account)</v>
      </c>
      <c r="Q537" t="str">
        <f>VLOOKUP(D537,[2]Template!$A:$D,3,0)</f>
        <v>LAPP</v>
      </c>
      <c r="R537" t="str">
        <f>VLOOKUP(D537,[2]Template!$A:$D,4,0)</f>
        <v>Lapp-Non Moving Stocks</v>
      </c>
    </row>
    <row r="538" spans="1:18" ht="13.5" customHeight="1" x14ac:dyDescent="0.25">
      <c r="A538" s="9">
        <v>46112</v>
      </c>
      <c r="B538" s="10" t="s">
        <v>1019</v>
      </c>
      <c r="C538" s="11" t="s">
        <v>285</v>
      </c>
      <c r="D538" s="10" t="s">
        <v>486</v>
      </c>
      <c r="E538" s="12" t="s">
        <v>1072</v>
      </c>
      <c r="F538" s="12" t="s">
        <v>487</v>
      </c>
      <c r="G538" s="22">
        <v>25000</v>
      </c>
      <c r="H538" s="23">
        <v>25000</v>
      </c>
      <c r="I538" s="15">
        <v>49.41</v>
      </c>
      <c r="J538" s="16"/>
      <c r="K538" s="17">
        <v>1235250</v>
      </c>
      <c r="L538" s="18">
        <v>46112</v>
      </c>
      <c r="M538" s="6" t="str">
        <f t="shared" si="24"/>
        <v>Due order</v>
      </c>
      <c r="N538" s="8">
        <f t="shared" ca="1" si="25"/>
        <v>-43</v>
      </c>
      <c r="O538" s="8" t="str">
        <f t="shared" ca="1" si="26"/>
        <v>With in 90 days</v>
      </c>
      <c r="P538" t="str">
        <f>VLOOKUP(C538,[1]Customer_Master!$A:$B,2,0)</f>
        <v>Online Business</v>
      </c>
      <c r="Q538" t="str">
        <f>VLOOKUP(D538,[2]Template!$A:$D,3,0)</f>
        <v>LAPP</v>
      </c>
      <c r="R538" t="str">
        <f>VLOOKUP(D538,[2]Template!$A:$D,4,0)</f>
        <v>Lapp-Planned Stock General</v>
      </c>
    </row>
    <row r="539" spans="1:18" ht="13.5" customHeight="1" x14ac:dyDescent="0.25">
      <c r="A539" s="9">
        <v>46112</v>
      </c>
      <c r="B539" s="10" t="s">
        <v>1019</v>
      </c>
      <c r="C539" s="11" t="s">
        <v>285</v>
      </c>
      <c r="D539" s="10" t="s">
        <v>340</v>
      </c>
      <c r="E539" s="12" t="s">
        <v>1072</v>
      </c>
      <c r="F539" s="12" t="s">
        <v>126</v>
      </c>
      <c r="G539" s="22">
        <v>25000</v>
      </c>
      <c r="H539" s="23">
        <v>21100</v>
      </c>
      <c r="I539" s="15">
        <v>5.65</v>
      </c>
      <c r="J539" s="16"/>
      <c r="K539" s="17">
        <v>119215</v>
      </c>
      <c r="L539" s="18">
        <v>46112</v>
      </c>
      <c r="M539" s="6" t="str">
        <f t="shared" si="24"/>
        <v>Due order</v>
      </c>
      <c r="N539" s="8">
        <f t="shared" ca="1" si="25"/>
        <v>-43</v>
      </c>
      <c r="O539" s="8" t="str">
        <f t="shared" ca="1" si="26"/>
        <v>With in 90 days</v>
      </c>
      <c r="P539" t="str">
        <f>VLOOKUP(C539,[1]Customer_Master!$A:$B,2,0)</f>
        <v>Online Business</v>
      </c>
      <c r="Q539" t="str">
        <f>VLOOKUP(D539,[2]Template!$A:$D,3,0)</f>
        <v>LAPP</v>
      </c>
      <c r="R539" t="str">
        <f>VLOOKUP(D539,[2]Template!$A:$D,4,0)</f>
        <v>Lapp-Non Moving Stocks</v>
      </c>
    </row>
    <row r="540" spans="1:18" ht="13.5" customHeight="1" x14ac:dyDescent="0.25">
      <c r="A540" s="9">
        <v>46118</v>
      </c>
      <c r="B540" s="10" t="s">
        <v>1020</v>
      </c>
      <c r="C540" s="11" t="s">
        <v>76</v>
      </c>
      <c r="D540" s="10" t="s">
        <v>1021</v>
      </c>
      <c r="E540" s="12" t="s">
        <v>1072</v>
      </c>
      <c r="F540" s="12" t="s">
        <v>1022</v>
      </c>
      <c r="G540" s="19">
        <v>1000</v>
      </c>
      <c r="H540" s="20">
        <v>1000</v>
      </c>
      <c r="I540" s="15">
        <v>31</v>
      </c>
      <c r="J540" s="16"/>
      <c r="K540" s="17">
        <v>31000</v>
      </c>
      <c r="L540" s="18">
        <v>46181</v>
      </c>
      <c r="M540" s="6" t="str">
        <f t="shared" si="24"/>
        <v>Schedule order</v>
      </c>
      <c r="N540" s="8">
        <f t="shared" ca="1" si="25"/>
        <v>26</v>
      </c>
      <c r="O540" s="8" t="str">
        <f t="shared" ca="1" si="26"/>
        <v>Lattest or shedule order</v>
      </c>
      <c r="P540" t="str">
        <f>VLOOKUP(C540,[1]Customer_Master!$A:$B,2,0)</f>
        <v>Group 1-Giridhar-Peenya</v>
      </c>
      <c r="Q540" t="str">
        <f>VLOOKUP(D540,[2]Template!$A:$D,3,0)</f>
        <v>EATON</v>
      </c>
      <c r="R540" t="str">
        <f>VLOOKUP(D540,[2]Template!$A:$D,4,0)</f>
        <v>Eaton-Biesse</v>
      </c>
    </row>
    <row r="541" spans="1:18" ht="13.5" customHeight="1" x14ac:dyDescent="0.25">
      <c r="A541" s="9">
        <v>46118</v>
      </c>
      <c r="B541" s="10" t="s">
        <v>1020</v>
      </c>
      <c r="C541" s="11" t="s">
        <v>76</v>
      </c>
      <c r="D541" s="10" t="s">
        <v>1023</v>
      </c>
      <c r="E541" s="12" t="s">
        <v>1072</v>
      </c>
      <c r="F541" s="12" t="s">
        <v>1024</v>
      </c>
      <c r="G541" s="19">
        <v>300</v>
      </c>
      <c r="H541" s="20">
        <v>300</v>
      </c>
      <c r="I541" s="15">
        <v>55</v>
      </c>
      <c r="J541" s="16"/>
      <c r="K541" s="17">
        <v>16500</v>
      </c>
      <c r="L541" s="18">
        <v>46165</v>
      </c>
      <c r="M541" s="6" t="str">
        <f t="shared" si="24"/>
        <v>Schedule order</v>
      </c>
      <c r="N541" s="8">
        <f t="shared" ca="1" si="25"/>
        <v>10</v>
      </c>
      <c r="O541" s="8" t="str">
        <f t="shared" ca="1" si="26"/>
        <v>Lattest or shedule order</v>
      </c>
      <c r="P541" t="str">
        <f>VLOOKUP(C541,[1]Customer_Master!$A:$B,2,0)</f>
        <v>Group 1-Giridhar-Peenya</v>
      </c>
      <c r="Q541" t="str">
        <f>VLOOKUP(D541,[2]Template!$A:$D,3,0)</f>
        <v>EATON</v>
      </c>
      <c r="R541" t="str">
        <f>VLOOKUP(D541,[2]Template!$A:$D,4,0)</f>
        <v>Eaton-Biesse</v>
      </c>
    </row>
    <row r="542" spans="1:18" ht="13.5" customHeight="1" x14ac:dyDescent="0.25">
      <c r="A542" s="9">
        <v>46118</v>
      </c>
      <c r="B542" s="10" t="s">
        <v>1025</v>
      </c>
      <c r="C542" s="11" t="s">
        <v>76</v>
      </c>
      <c r="D542" s="10" t="s">
        <v>349</v>
      </c>
      <c r="E542" s="12" t="s">
        <v>1072</v>
      </c>
      <c r="F542" s="12" t="s">
        <v>88</v>
      </c>
      <c r="G542" s="19">
        <v>142</v>
      </c>
      <c r="H542" s="20">
        <v>142</v>
      </c>
      <c r="I542" s="15">
        <v>284</v>
      </c>
      <c r="J542" s="16"/>
      <c r="K542" s="17">
        <v>40328</v>
      </c>
      <c r="L542" s="18">
        <v>46252</v>
      </c>
      <c r="M542" s="6" t="str">
        <f t="shared" si="24"/>
        <v>Schedule order</v>
      </c>
      <c r="N542" s="8">
        <f t="shared" ca="1" si="25"/>
        <v>97</v>
      </c>
      <c r="O542" s="8" t="str">
        <f t="shared" ca="1" si="26"/>
        <v>Lattest or shedule order</v>
      </c>
      <c r="P542" t="str">
        <f>VLOOKUP(C542,[1]Customer_Master!$A:$B,2,0)</f>
        <v>Group 1-Giridhar-Peenya</v>
      </c>
      <c r="Q542" t="str">
        <f>VLOOKUP(D542,[2]Template!$A:$D,3,0)</f>
        <v>EATON</v>
      </c>
      <c r="R542" t="str">
        <f>VLOOKUP(D542,[2]Template!$A:$D,4,0)</f>
        <v>Eaton-Biesse</v>
      </c>
    </row>
    <row r="543" spans="1:18" ht="13.5" customHeight="1" x14ac:dyDescent="0.25">
      <c r="A543" s="9">
        <v>46118</v>
      </c>
      <c r="B543" s="10" t="s">
        <v>1025</v>
      </c>
      <c r="C543" s="11" t="s">
        <v>76</v>
      </c>
      <c r="D543" s="10" t="s">
        <v>349</v>
      </c>
      <c r="E543" s="12" t="s">
        <v>1072</v>
      </c>
      <c r="F543" s="12" t="s">
        <v>88</v>
      </c>
      <c r="G543" s="19">
        <v>10</v>
      </c>
      <c r="H543" s="20">
        <v>10</v>
      </c>
      <c r="I543" s="15">
        <v>284</v>
      </c>
      <c r="J543" s="16"/>
      <c r="K543" s="17">
        <v>2840</v>
      </c>
      <c r="L543" s="18">
        <v>46283</v>
      </c>
      <c r="M543" s="6" t="str">
        <f t="shared" si="24"/>
        <v>Schedule order</v>
      </c>
      <c r="N543" s="8">
        <f t="shared" ca="1" si="25"/>
        <v>128</v>
      </c>
      <c r="O543" s="8" t="str">
        <f t="shared" ca="1" si="26"/>
        <v>Lattest or shedule order</v>
      </c>
      <c r="P543" t="str">
        <f>VLOOKUP(C543,[1]Customer_Master!$A:$B,2,0)</f>
        <v>Group 1-Giridhar-Peenya</v>
      </c>
      <c r="Q543" t="str">
        <f>VLOOKUP(D543,[2]Template!$A:$D,3,0)</f>
        <v>EATON</v>
      </c>
      <c r="R543" t="str">
        <f>VLOOKUP(D543,[2]Template!$A:$D,4,0)</f>
        <v>Eaton-Biesse</v>
      </c>
    </row>
    <row r="544" spans="1:18" ht="13.5" customHeight="1" x14ac:dyDescent="0.25">
      <c r="A544" s="9">
        <v>46118</v>
      </c>
      <c r="B544" s="10" t="s">
        <v>1025</v>
      </c>
      <c r="C544" s="11" t="s">
        <v>76</v>
      </c>
      <c r="D544" s="10" t="s">
        <v>325</v>
      </c>
      <c r="E544" s="12" t="s">
        <v>1072</v>
      </c>
      <c r="F544" s="12" t="s">
        <v>77</v>
      </c>
      <c r="G544" s="19">
        <v>163</v>
      </c>
      <c r="H544" s="20">
        <v>163</v>
      </c>
      <c r="I544" s="15">
        <v>241</v>
      </c>
      <c r="J544" s="16"/>
      <c r="K544" s="17">
        <v>39283</v>
      </c>
      <c r="L544" s="18">
        <v>46256</v>
      </c>
      <c r="M544" s="6" t="str">
        <f t="shared" si="24"/>
        <v>Schedule order</v>
      </c>
      <c r="N544" s="8">
        <f t="shared" ca="1" si="25"/>
        <v>101</v>
      </c>
      <c r="O544" s="8" t="str">
        <f t="shared" ca="1" si="26"/>
        <v>Lattest or shedule order</v>
      </c>
      <c r="P544" t="str">
        <f>VLOOKUP(C544,[1]Customer_Master!$A:$B,2,0)</f>
        <v>Group 1-Giridhar-Peenya</v>
      </c>
      <c r="Q544" t="str">
        <f>VLOOKUP(D544,[2]Template!$A:$D,3,0)</f>
        <v>EATON</v>
      </c>
      <c r="R544" t="str">
        <f>VLOOKUP(D544,[2]Template!$A:$D,4,0)</f>
        <v>Eaton-Biesse</v>
      </c>
    </row>
    <row r="545" spans="1:18" ht="13.5" customHeight="1" x14ac:dyDescent="0.25">
      <c r="A545" s="9">
        <v>46118</v>
      </c>
      <c r="B545" s="10" t="s">
        <v>1025</v>
      </c>
      <c r="C545" s="11" t="s">
        <v>76</v>
      </c>
      <c r="D545" s="10" t="s">
        <v>351</v>
      </c>
      <c r="E545" s="12" t="s">
        <v>1072</v>
      </c>
      <c r="F545" s="12" t="s">
        <v>101</v>
      </c>
      <c r="G545" s="19">
        <v>90</v>
      </c>
      <c r="H545" s="20">
        <v>90</v>
      </c>
      <c r="I545" s="15">
        <v>333</v>
      </c>
      <c r="J545" s="16"/>
      <c r="K545" s="17">
        <v>29970</v>
      </c>
      <c r="L545" s="18">
        <v>46230</v>
      </c>
      <c r="M545" s="6" t="str">
        <f t="shared" si="24"/>
        <v>Schedule order</v>
      </c>
      <c r="N545" s="8">
        <f t="shared" ca="1" si="25"/>
        <v>75</v>
      </c>
      <c r="O545" s="8" t="str">
        <f t="shared" ca="1" si="26"/>
        <v>Lattest or shedule order</v>
      </c>
      <c r="P545" t="str">
        <f>VLOOKUP(C545,[1]Customer_Master!$A:$B,2,0)</f>
        <v>Group 1-Giridhar-Peenya</v>
      </c>
      <c r="Q545" t="str">
        <f>VLOOKUP(D545,[2]Template!$A:$D,3,0)</f>
        <v>EATON</v>
      </c>
      <c r="R545" t="str">
        <f>VLOOKUP(D545,[2]Template!$A:$D,4,0)</f>
        <v>Eaton-Biesse</v>
      </c>
    </row>
    <row r="546" spans="1:18" ht="13.5" customHeight="1" x14ac:dyDescent="0.25">
      <c r="A546" s="9">
        <v>46118</v>
      </c>
      <c r="B546" s="10" t="s">
        <v>1026</v>
      </c>
      <c r="C546" s="11" t="s">
        <v>76</v>
      </c>
      <c r="D546" s="10" t="s">
        <v>358</v>
      </c>
      <c r="E546" s="12" t="s">
        <v>1072</v>
      </c>
      <c r="F546" s="12" t="s">
        <v>113</v>
      </c>
      <c r="G546" s="19">
        <v>16</v>
      </c>
      <c r="H546" s="20">
        <v>16</v>
      </c>
      <c r="I546" s="15">
        <v>165</v>
      </c>
      <c r="J546" s="16"/>
      <c r="K546" s="17">
        <v>2640</v>
      </c>
      <c r="L546" s="18">
        <v>46246</v>
      </c>
      <c r="M546" s="6" t="str">
        <f t="shared" si="24"/>
        <v>Schedule order</v>
      </c>
      <c r="N546" s="8">
        <f t="shared" ca="1" si="25"/>
        <v>91</v>
      </c>
      <c r="O546" s="8" t="str">
        <f t="shared" ca="1" si="26"/>
        <v>Lattest or shedule order</v>
      </c>
      <c r="P546" t="str">
        <f>VLOOKUP(C546,[1]Customer_Master!$A:$B,2,0)</f>
        <v>Group 1-Giridhar-Peenya</v>
      </c>
      <c r="Q546" t="str">
        <f>VLOOKUP(D546,[2]Template!$A:$D,3,0)</f>
        <v>EATON</v>
      </c>
      <c r="R546" t="str">
        <f>VLOOKUP(D546,[2]Template!$A:$D,4,0)</f>
        <v>Eaton-Biesse</v>
      </c>
    </row>
    <row r="547" spans="1:18" ht="13.5" customHeight="1" x14ac:dyDescent="0.25">
      <c r="A547" s="9">
        <v>46118</v>
      </c>
      <c r="B547" s="10" t="s">
        <v>1026</v>
      </c>
      <c r="C547" s="11" t="s">
        <v>76</v>
      </c>
      <c r="D547" s="10" t="s">
        <v>358</v>
      </c>
      <c r="E547" s="12" t="s">
        <v>1072</v>
      </c>
      <c r="F547" s="12" t="s">
        <v>113</v>
      </c>
      <c r="G547" s="19">
        <v>10</v>
      </c>
      <c r="H547" s="20">
        <v>10</v>
      </c>
      <c r="I547" s="15">
        <v>165</v>
      </c>
      <c r="J547" s="16"/>
      <c r="K547" s="17">
        <v>1650</v>
      </c>
      <c r="L547" s="18">
        <v>46275</v>
      </c>
      <c r="M547" s="6" t="str">
        <f t="shared" si="24"/>
        <v>Schedule order</v>
      </c>
      <c r="N547" s="8">
        <f t="shared" ca="1" si="25"/>
        <v>120</v>
      </c>
      <c r="O547" s="8" t="str">
        <f t="shared" ca="1" si="26"/>
        <v>Lattest or shedule order</v>
      </c>
      <c r="P547" t="str">
        <f>VLOOKUP(C547,[1]Customer_Master!$A:$B,2,0)</f>
        <v>Group 1-Giridhar-Peenya</v>
      </c>
      <c r="Q547" t="str">
        <f>VLOOKUP(D547,[2]Template!$A:$D,3,0)</f>
        <v>EATON</v>
      </c>
      <c r="R547" t="str">
        <f>VLOOKUP(D547,[2]Template!$A:$D,4,0)</f>
        <v>Eaton-Biesse</v>
      </c>
    </row>
    <row r="548" spans="1:18" ht="13.5" customHeight="1" x14ac:dyDescent="0.25">
      <c r="A548" s="9">
        <v>46118</v>
      </c>
      <c r="B548" s="10" t="s">
        <v>1026</v>
      </c>
      <c r="C548" s="11" t="s">
        <v>76</v>
      </c>
      <c r="D548" s="10" t="s">
        <v>359</v>
      </c>
      <c r="E548" s="12" t="s">
        <v>1072</v>
      </c>
      <c r="F548" s="12" t="s">
        <v>93</v>
      </c>
      <c r="G548" s="19">
        <v>40</v>
      </c>
      <c r="H548" s="20">
        <v>40</v>
      </c>
      <c r="I548" s="15">
        <v>135</v>
      </c>
      <c r="J548" s="16"/>
      <c r="K548" s="17">
        <v>5400</v>
      </c>
      <c r="L548" s="18">
        <v>46258</v>
      </c>
      <c r="M548" s="6" t="str">
        <f t="shared" si="24"/>
        <v>Schedule order</v>
      </c>
      <c r="N548" s="8">
        <f t="shared" ca="1" si="25"/>
        <v>103</v>
      </c>
      <c r="O548" s="8" t="str">
        <f t="shared" ca="1" si="26"/>
        <v>Lattest or shedule order</v>
      </c>
      <c r="P548" t="str">
        <f>VLOOKUP(C548,[1]Customer_Master!$A:$B,2,0)</f>
        <v>Group 1-Giridhar-Peenya</v>
      </c>
      <c r="Q548" t="str">
        <f>VLOOKUP(D548,[2]Template!$A:$D,3,0)</f>
        <v>EATON</v>
      </c>
      <c r="R548" t="str">
        <f>VLOOKUP(D548,[2]Template!$A:$D,4,0)</f>
        <v>Eaton-Biesse</v>
      </c>
    </row>
    <row r="549" spans="1:18" ht="13.5" customHeight="1" x14ac:dyDescent="0.25">
      <c r="A549" s="9">
        <v>46118</v>
      </c>
      <c r="B549" s="10" t="s">
        <v>1027</v>
      </c>
      <c r="C549" s="11" t="s">
        <v>248</v>
      </c>
      <c r="D549" s="10" t="s">
        <v>722</v>
      </c>
      <c r="E549" s="12" t="s">
        <v>1072</v>
      </c>
      <c r="F549" s="12" t="s">
        <v>723</v>
      </c>
      <c r="G549" s="13">
        <v>75</v>
      </c>
      <c r="H549" s="14">
        <v>75</v>
      </c>
      <c r="I549" s="15">
        <v>394.63</v>
      </c>
      <c r="J549" s="16"/>
      <c r="K549" s="17">
        <v>29597.25</v>
      </c>
      <c r="L549" s="18">
        <v>46118</v>
      </c>
      <c r="M549" s="6" t="str">
        <f t="shared" si="24"/>
        <v>Due order</v>
      </c>
      <c r="N549" s="8">
        <f t="shared" ca="1" si="25"/>
        <v>-37</v>
      </c>
      <c r="O549" s="8" t="str">
        <f t="shared" ca="1" si="26"/>
        <v>With in 90 days</v>
      </c>
      <c r="P549" t="str">
        <f>VLOOKUP(C549,[1]Customer_Master!$A:$B,2,0)</f>
        <v>Group - 5 (Ananthapadmanabha)</v>
      </c>
      <c r="Q549" t="str">
        <f>VLOOKUP(D549,[2]Template!$A:$D,3,0)</f>
        <v>LAPP</v>
      </c>
      <c r="R549" t="str">
        <f>VLOOKUP(D549,[2]Template!$A:$D,4,0)</f>
        <v>Lapp-Non Moving Stocks</v>
      </c>
    </row>
    <row r="550" spans="1:18" ht="13.5" customHeight="1" x14ac:dyDescent="0.25">
      <c r="A550" s="9">
        <v>46118</v>
      </c>
      <c r="B550" s="10" t="s">
        <v>1028</v>
      </c>
      <c r="C550" s="11" t="s">
        <v>54</v>
      </c>
      <c r="D550" s="10" t="s">
        <v>790</v>
      </c>
      <c r="E550" s="12" t="s">
        <v>1072</v>
      </c>
      <c r="F550" s="12" t="s">
        <v>791</v>
      </c>
      <c r="G550" s="13">
        <v>1050</v>
      </c>
      <c r="H550" s="14">
        <v>50</v>
      </c>
      <c r="I550" s="15">
        <v>76.75</v>
      </c>
      <c r="J550" s="16"/>
      <c r="K550" s="17">
        <v>3837.5</v>
      </c>
      <c r="L550" s="18">
        <v>46118</v>
      </c>
      <c r="M550" s="6" t="str">
        <f t="shared" si="24"/>
        <v>Due order</v>
      </c>
      <c r="N550" s="8">
        <f t="shared" ca="1" si="25"/>
        <v>-37</v>
      </c>
      <c r="O550" s="8" t="str">
        <f t="shared" ca="1" si="26"/>
        <v>With in 90 days</v>
      </c>
      <c r="P550" t="str">
        <f>VLOOKUP(C550,[1]Customer_Master!$A:$B,2,0)</f>
        <v>Group 1-Giridhar-Peenya</v>
      </c>
      <c r="Q550" t="str">
        <f>VLOOKUP(D550,[2]Template!$A:$D,3,0)</f>
        <v>LAPP</v>
      </c>
      <c r="R550" t="str">
        <f>VLOOKUP(D550,[2]Template!$A:$D,4,0)</f>
        <v>Lapp-Rinac</v>
      </c>
    </row>
    <row r="551" spans="1:18" ht="13.5" customHeight="1" x14ac:dyDescent="0.25">
      <c r="A551" s="9">
        <v>46118</v>
      </c>
      <c r="B551" s="10" t="s">
        <v>1029</v>
      </c>
      <c r="C551" s="11" t="s">
        <v>54</v>
      </c>
      <c r="D551" s="10" t="s">
        <v>1030</v>
      </c>
      <c r="E551" s="12" t="s">
        <v>1072</v>
      </c>
      <c r="F551" s="12" t="s">
        <v>1031</v>
      </c>
      <c r="G551" s="19">
        <v>250</v>
      </c>
      <c r="H551" s="20">
        <v>53</v>
      </c>
      <c r="I551" s="15">
        <v>101.4</v>
      </c>
      <c r="J551" s="16"/>
      <c r="K551" s="17">
        <v>5374.2</v>
      </c>
      <c r="L551" s="18">
        <v>46118</v>
      </c>
      <c r="M551" s="6" t="str">
        <f t="shared" si="24"/>
        <v>Due order</v>
      </c>
      <c r="N551" s="8">
        <f t="shared" ca="1" si="25"/>
        <v>-37</v>
      </c>
      <c r="O551" s="8" t="str">
        <f t="shared" ca="1" si="26"/>
        <v>With in 90 days</v>
      </c>
      <c r="P551" t="str">
        <f>VLOOKUP(C551,[1]Customer_Master!$A:$B,2,0)</f>
        <v>Group 1-Giridhar-Peenya</v>
      </c>
      <c r="Q551" t="str">
        <f>VLOOKUP(D551,[2]Template!$A:$D,3,0)</f>
        <v>EATON</v>
      </c>
      <c r="R551" t="str">
        <f>VLOOKUP(D551,[2]Template!$A:$D,4,0)</f>
        <v>Eaton-Rinac</v>
      </c>
    </row>
    <row r="552" spans="1:18" ht="13.5" customHeight="1" x14ac:dyDescent="0.25">
      <c r="A552" s="9">
        <v>46118</v>
      </c>
      <c r="B552" s="10" t="s">
        <v>1029</v>
      </c>
      <c r="C552" s="11" t="s">
        <v>54</v>
      </c>
      <c r="D552" s="10" t="s">
        <v>420</v>
      </c>
      <c r="E552" s="12" t="s">
        <v>1072</v>
      </c>
      <c r="F552" s="12" t="s">
        <v>186</v>
      </c>
      <c r="G552" s="19">
        <v>200</v>
      </c>
      <c r="H552" s="20">
        <v>200</v>
      </c>
      <c r="I552" s="15">
        <v>446.13</v>
      </c>
      <c r="J552" s="16"/>
      <c r="K552" s="17">
        <v>89226</v>
      </c>
      <c r="L552" s="18">
        <v>46118</v>
      </c>
      <c r="M552" s="6" t="str">
        <f t="shared" si="24"/>
        <v>Due order</v>
      </c>
      <c r="N552" s="8">
        <f t="shared" ca="1" si="25"/>
        <v>-37</v>
      </c>
      <c r="O552" s="8" t="str">
        <f t="shared" ca="1" si="26"/>
        <v>With in 90 days</v>
      </c>
      <c r="P552" t="str">
        <f>VLOOKUP(C552,[1]Customer_Master!$A:$B,2,0)</f>
        <v>Group 1-Giridhar-Peenya</v>
      </c>
      <c r="Q552" t="str">
        <f>VLOOKUP(D552,[2]Template!$A:$D,3,0)</f>
        <v>EATON</v>
      </c>
      <c r="R552" t="str">
        <f>VLOOKUP(D552,[2]Template!$A:$D,4,0)</f>
        <v>Eaton-Rinac</v>
      </c>
    </row>
    <row r="553" spans="1:18" ht="13.5" customHeight="1" x14ac:dyDescent="0.25">
      <c r="A553" s="9">
        <v>46118</v>
      </c>
      <c r="B553" s="10" t="s">
        <v>1029</v>
      </c>
      <c r="C553" s="11" t="s">
        <v>54</v>
      </c>
      <c r="D553" s="10" t="s">
        <v>400</v>
      </c>
      <c r="E553" s="12" t="s">
        <v>1072</v>
      </c>
      <c r="F553" s="12" t="s">
        <v>142</v>
      </c>
      <c r="G553" s="19">
        <v>200</v>
      </c>
      <c r="H553" s="20">
        <v>200</v>
      </c>
      <c r="I553" s="15">
        <v>649.73</v>
      </c>
      <c r="J553" s="16"/>
      <c r="K553" s="17">
        <v>129946</v>
      </c>
      <c r="L553" s="18">
        <v>46118</v>
      </c>
      <c r="M553" s="6" t="str">
        <f t="shared" si="24"/>
        <v>Due order</v>
      </c>
      <c r="N553" s="8">
        <f t="shared" ca="1" si="25"/>
        <v>-37</v>
      </c>
      <c r="O553" s="8" t="str">
        <f t="shared" ca="1" si="26"/>
        <v>With in 90 days</v>
      </c>
      <c r="P553" t="str">
        <f>VLOOKUP(C553,[1]Customer_Master!$A:$B,2,0)</f>
        <v>Group 1-Giridhar-Peenya</v>
      </c>
      <c r="Q553" t="str">
        <f>VLOOKUP(D553,[2]Template!$A:$D,3,0)</f>
        <v>EATON</v>
      </c>
      <c r="R553" t="str">
        <f>VLOOKUP(D553,[2]Template!$A:$D,4,0)</f>
        <v>Eaton-Rinac</v>
      </c>
    </row>
    <row r="554" spans="1:18" ht="13.5" customHeight="1" x14ac:dyDescent="0.25">
      <c r="A554" s="9">
        <v>46118</v>
      </c>
      <c r="B554" s="10" t="s">
        <v>1032</v>
      </c>
      <c r="C554" s="11" t="s">
        <v>58</v>
      </c>
      <c r="D554" s="10" t="s">
        <v>1033</v>
      </c>
      <c r="E554" s="12" t="s">
        <v>1072</v>
      </c>
      <c r="F554" s="12" t="s">
        <v>1034</v>
      </c>
      <c r="G554" s="13">
        <v>300</v>
      </c>
      <c r="H554" s="14">
        <v>300</v>
      </c>
      <c r="I554" s="15">
        <v>740.86</v>
      </c>
      <c r="J554" s="16"/>
      <c r="K554" s="17">
        <v>222258</v>
      </c>
      <c r="L554" s="18">
        <v>46118</v>
      </c>
      <c r="M554" s="6" t="str">
        <f t="shared" si="24"/>
        <v>Due order</v>
      </c>
      <c r="N554" s="8">
        <f t="shared" ca="1" si="25"/>
        <v>-37</v>
      </c>
      <c r="O554" s="8" t="str">
        <f t="shared" ca="1" si="26"/>
        <v>With in 90 days</v>
      </c>
      <c r="P554" t="str">
        <f>VLOOKUP(C554,[1]Customer_Master!$A:$B,2,0)</f>
        <v>Group 1-Giridhar-Peenya</v>
      </c>
      <c r="Q554" t="str">
        <f>VLOOKUP(D554,[2]Template!$A:$D,3,0)</f>
        <v>LAPP</v>
      </c>
      <c r="R554" t="str">
        <f>VLOOKUP(D554,[2]Template!$A:$D,4,0)</f>
        <v>Lapp-Against Customer PO</v>
      </c>
    </row>
    <row r="555" spans="1:18" ht="13.5" customHeight="1" x14ac:dyDescent="0.25">
      <c r="A555" s="9">
        <v>46118</v>
      </c>
      <c r="B555" s="10" t="s">
        <v>1032</v>
      </c>
      <c r="C555" s="11" t="s">
        <v>58</v>
      </c>
      <c r="D555" s="10" t="s">
        <v>427</v>
      </c>
      <c r="E555" s="12" t="s">
        <v>1072</v>
      </c>
      <c r="F555" s="12" t="s">
        <v>254</v>
      </c>
      <c r="G555" s="13">
        <v>200</v>
      </c>
      <c r="H555" s="14">
        <v>200</v>
      </c>
      <c r="I555" s="15">
        <v>292.77999999999997</v>
      </c>
      <c r="J555" s="16"/>
      <c r="K555" s="17">
        <v>58556</v>
      </c>
      <c r="L555" s="18">
        <v>46118</v>
      </c>
      <c r="M555" s="6" t="str">
        <f t="shared" si="24"/>
        <v>Due order</v>
      </c>
      <c r="N555" s="8">
        <f t="shared" ca="1" si="25"/>
        <v>-37</v>
      </c>
      <c r="O555" s="8" t="str">
        <f t="shared" ca="1" si="26"/>
        <v>With in 90 days</v>
      </c>
      <c r="P555" t="str">
        <f>VLOOKUP(C555,[1]Customer_Master!$A:$B,2,0)</f>
        <v>Group 1-Giridhar-Peenya</v>
      </c>
      <c r="Q555" t="str">
        <f>VLOOKUP(D555,[2]Template!$A:$D,3,0)</f>
        <v>LAPP</v>
      </c>
      <c r="R555" t="str">
        <f>VLOOKUP(D555,[2]Template!$A:$D,4,0)</f>
        <v>Lapp-Against Customer PO</v>
      </c>
    </row>
    <row r="556" spans="1:18" ht="13.5" customHeight="1" x14ac:dyDescent="0.25">
      <c r="A556" s="9">
        <v>46118</v>
      </c>
      <c r="B556" s="10" t="s">
        <v>1032</v>
      </c>
      <c r="C556" s="11" t="s">
        <v>58</v>
      </c>
      <c r="D556" s="10" t="s">
        <v>1035</v>
      </c>
      <c r="E556" s="12" t="s">
        <v>1072</v>
      </c>
      <c r="F556" s="12" t="s">
        <v>1036</v>
      </c>
      <c r="G556" s="13">
        <v>300</v>
      </c>
      <c r="H556" s="14">
        <v>300</v>
      </c>
      <c r="I556" s="15">
        <v>194.6</v>
      </c>
      <c r="J556" s="16"/>
      <c r="K556" s="17">
        <v>58380</v>
      </c>
      <c r="L556" s="18">
        <v>46118</v>
      </c>
      <c r="M556" s="6" t="str">
        <f t="shared" si="24"/>
        <v>Due order</v>
      </c>
      <c r="N556" s="8">
        <f t="shared" ca="1" si="25"/>
        <v>-37</v>
      </c>
      <c r="O556" s="8" t="str">
        <f t="shared" ca="1" si="26"/>
        <v>With in 90 days</v>
      </c>
      <c r="P556" t="str">
        <f>VLOOKUP(C556,[1]Customer_Master!$A:$B,2,0)</f>
        <v>Group 1-Giridhar-Peenya</v>
      </c>
      <c r="Q556" t="str">
        <f>VLOOKUP(D556,[2]Template!$A:$D,3,0)</f>
        <v>LAPP</v>
      </c>
      <c r="R556" t="str">
        <f>VLOOKUP(D556,[2]Template!$A:$D,4,0)</f>
        <v>Lapp-Against Customer PO</v>
      </c>
    </row>
    <row r="557" spans="1:18" ht="13.5" customHeight="1" x14ac:dyDescent="0.25">
      <c r="A557" s="9">
        <v>46118</v>
      </c>
      <c r="B557" s="10" t="s">
        <v>1041</v>
      </c>
      <c r="C557" s="11" t="s">
        <v>127</v>
      </c>
      <c r="D557" s="27" t="s">
        <v>732</v>
      </c>
      <c r="E557" s="12" t="s">
        <v>1072</v>
      </c>
      <c r="F557" s="26" t="s">
        <v>733</v>
      </c>
      <c r="G557" s="13">
        <v>100</v>
      </c>
      <c r="H557" s="14">
        <v>100</v>
      </c>
      <c r="I557" s="15">
        <v>86.86</v>
      </c>
      <c r="J557" s="21">
        <v>35</v>
      </c>
      <c r="K557" s="17">
        <v>5645.9</v>
      </c>
      <c r="L557" s="18">
        <v>46118</v>
      </c>
      <c r="M557" s="6" t="str">
        <f t="shared" si="24"/>
        <v>Due order</v>
      </c>
      <c r="N557" s="8">
        <f t="shared" ca="1" si="25"/>
        <v>-37</v>
      </c>
      <c r="O557" s="8" t="str">
        <f t="shared" ca="1" si="26"/>
        <v>With in 90 days</v>
      </c>
      <c r="P557" t="str">
        <f>VLOOKUP(C557,[1]Customer_Master!$A:$B,2,0)</f>
        <v>Group 1-Giridhar-Peenya</v>
      </c>
      <c r="Q557" t="str">
        <f>VLOOKUP(D557,[2]Template!$A:$D,3,0)</f>
        <v>LAPP</v>
      </c>
      <c r="R557" t="str">
        <f>VLOOKUP(D557,[2]Template!$A:$D,4,0)</f>
        <v>Lapp-Non Moving Stocks</v>
      </c>
    </row>
    <row r="558" spans="1:18" ht="13.5" customHeight="1" x14ac:dyDescent="0.25">
      <c r="A558" s="9">
        <v>46118</v>
      </c>
      <c r="B558" s="10" t="s">
        <v>1041</v>
      </c>
      <c r="C558" s="11" t="s">
        <v>127</v>
      </c>
      <c r="D558" s="10" t="s">
        <v>481</v>
      </c>
      <c r="E558" s="12" t="s">
        <v>1072</v>
      </c>
      <c r="F558" s="12" t="s">
        <v>482</v>
      </c>
      <c r="G558" s="22">
        <v>100</v>
      </c>
      <c r="H558" s="23">
        <v>100</v>
      </c>
      <c r="I558" s="15">
        <v>17.239999999999998</v>
      </c>
      <c r="J558" s="21">
        <v>35</v>
      </c>
      <c r="K558" s="17">
        <v>1120.5999999999999</v>
      </c>
      <c r="L558" s="18">
        <v>46118</v>
      </c>
      <c r="M558" s="6" t="str">
        <f t="shared" si="24"/>
        <v>Due order</v>
      </c>
      <c r="N558" s="8">
        <f t="shared" ca="1" si="25"/>
        <v>-37</v>
      </c>
      <c r="O558" s="8" t="str">
        <f t="shared" ca="1" si="26"/>
        <v>With in 90 days</v>
      </c>
      <c r="P558" t="str">
        <f>VLOOKUP(C558,[1]Customer_Master!$A:$B,2,0)</f>
        <v>Group 1-Giridhar-Peenya</v>
      </c>
      <c r="Q558" t="str">
        <f>VLOOKUP(D558,[2]Template!$A:$D,3,0)</f>
        <v>LAPP</v>
      </c>
      <c r="R558" t="str">
        <f>VLOOKUP(D558,[2]Template!$A:$D,4,0)</f>
        <v>Lapp-Non Moving Stocks</v>
      </c>
    </row>
    <row r="559" spans="1:18" ht="13.5" customHeight="1" x14ac:dyDescent="0.25">
      <c r="A559" s="9">
        <v>46118</v>
      </c>
      <c r="B559" s="10" t="s">
        <v>1041</v>
      </c>
      <c r="C559" s="11" t="s">
        <v>127</v>
      </c>
      <c r="D559" s="27" t="s">
        <v>466</v>
      </c>
      <c r="E559" s="12" t="s">
        <v>1072</v>
      </c>
      <c r="F559" s="12" t="s">
        <v>295</v>
      </c>
      <c r="G559" s="19">
        <v>100</v>
      </c>
      <c r="H559" s="20">
        <v>100</v>
      </c>
      <c r="I559" s="15">
        <v>42.24</v>
      </c>
      <c r="J559" s="21">
        <v>35</v>
      </c>
      <c r="K559" s="17">
        <v>2745.6</v>
      </c>
      <c r="L559" s="18">
        <v>46118</v>
      </c>
      <c r="M559" s="6" t="str">
        <f t="shared" si="24"/>
        <v>Due order</v>
      </c>
      <c r="N559" s="8">
        <f t="shared" ca="1" si="25"/>
        <v>-37</v>
      </c>
      <c r="O559" s="8" t="str">
        <f t="shared" ca="1" si="26"/>
        <v>With in 90 days</v>
      </c>
      <c r="P559" t="str">
        <f>VLOOKUP(C559,[1]Customer_Master!$A:$B,2,0)</f>
        <v>Group 1-Giridhar-Peenya</v>
      </c>
      <c r="Q559" t="str">
        <f>VLOOKUP(D559,[2]Template!$A:$D,3,0)</f>
        <v>LAPP</v>
      </c>
      <c r="R559" t="str">
        <f>VLOOKUP(D559,[2]Template!$A:$D,4,0)</f>
        <v>Lapp-Non Moving Stocks</v>
      </c>
    </row>
    <row r="560" spans="1:18" ht="13.5" customHeight="1" x14ac:dyDescent="0.25">
      <c r="A560" s="9">
        <v>46118</v>
      </c>
      <c r="B560" s="10" t="s">
        <v>1042</v>
      </c>
      <c r="C560" s="11" t="s">
        <v>738</v>
      </c>
      <c r="D560" s="10" t="s">
        <v>419</v>
      </c>
      <c r="E560" s="12" t="s">
        <v>1072</v>
      </c>
      <c r="F560" s="12" t="s">
        <v>207</v>
      </c>
      <c r="G560" s="22">
        <v>100</v>
      </c>
      <c r="H560" s="23">
        <v>100</v>
      </c>
      <c r="I560" s="15">
        <v>34.01</v>
      </c>
      <c r="J560" s="16"/>
      <c r="K560" s="17">
        <v>3401</v>
      </c>
      <c r="L560" s="18">
        <v>46118</v>
      </c>
      <c r="M560" s="6" t="str">
        <f t="shared" si="24"/>
        <v>Due order</v>
      </c>
      <c r="N560" s="8">
        <f t="shared" ca="1" si="25"/>
        <v>-37</v>
      </c>
      <c r="O560" s="8" t="str">
        <f t="shared" ca="1" si="26"/>
        <v>With in 90 days</v>
      </c>
      <c r="P560" t="str">
        <f>VLOOKUP(C560,[1]Customer_Master!$A:$B,2,0)</f>
        <v>Group 1-Giridhar-Peenya</v>
      </c>
      <c r="Q560" t="str">
        <f>VLOOKUP(D560,[2]Template!$A:$D,3,0)</f>
        <v>LAPP</v>
      </c>
      <c r="R560" t="str">
        <f>VLOOKUP(D560,[2]Template!$A:$D,4,0)</f>
        <v>Lapp-Ace Group</v>
      </c>
    </row>
    <row r="561" spans="1:18" ht="13.5" customHeight="1" x14ac:dyDescent="0.25">
      <c r="A561" s="9">
        <v>46118</v>
      </c>
      <c r="B561" s="10" t="s">
        <v>1043</v>
      </c>
      <c r="C561" s="11" t="s">
        <v>75</v>
      </c>
      <c r="D561" s="10" t="s">
        <v>629</v>
      </c>
      <c r="E561" s="12" t="s">
        <v>1072</v>
      </c>
      <c r="F561" s="12" t="s">
        <v>630</v>
      </c>
      <c r="G561" s="13">
        <v>50</v>
      </c>
      <c r="H561" s="14">
        <v>50</v>
      </c>
      <c r="I561" s="15">
        <v>91.63</v>
      </c>
      <c r="J561" s="16"/>
      <c r="K561" s="17">
        <v>4581.5</v>
      </c>
      <c r="L561" s="18">
        <v>46118</v>
      </c>
      <c r="M561" s="6" t="str">
        <f t="shared" si="24"/>
        <v>Due order</v>
      </c>
      <c r="N561" s="8">
        <f t="shared" ca="1" si="25"/>
        <v>-37</v>
      </c>
      <c r="O561" s="8" t="str">
        <f t="shared" ca="1" si="26"/>
        <v>With in 90 days</v>
      </c>
      <c r="P561" t="str">
        <f>VLOOKUP(C561,[1]Customer_Master!$A:$B,2,0)</f>
        <v>Group 1-Giridhar-Peenya</v>
      </c>
      <c r="Q561" t="str">
        <f>VLOOKUP(D561,[2]Template!$A:$D,3,0)</f>
        <v>LAPP</v>
      </c>
      <c r="R561" t="str">
        <f>VLOOKUP(D561,[2]Template!$A:$D,4,0)</f>
        <v>Lapp-Non Moving Stocks</v>
      </c>
    </row>
    <row r="562" spans="1:18" ht="13.5" customHeight="1" x14ac:dyDescent="0.25">
      <c r="A562" s="9">
        <v>46119</v>
      </c>
      <c r="B562" s="10" t="s">
        <v>1076</v>
      </c>
      <c r="C562" s="11" t="s">
        <v>79</v>
      </c>
      <c r="D562" s="10" t="s">
        <v>324</v>
      </c>
      <c r="E562" s="12" t="s">
        <v>1072</v>
      </c>
      <c r="F562" s="12" t="s">
        <v>80</v>
      </c>
      <c r="G562" s="19">
        <v>251</v>
      </c>
      <c r="H562" s="20">
        <v>251</v>
      </c>
      <c r="I562" s="15">
        <v>2803</v>
      </c>
      <c r="J562" s="16"/>
      <c r="K562" s="17">
        <v>703553</v>
      </c>
      <c r="L562" s="18">
        <v>46276</v>
      </c>
      <c r="M562" s="6" t="str">
        <f t="shared" si="24"/>
        <v>Schedule order</v>
      </c>
      <c r="N562" s="8">
        <f t="shared" ca="1" si="25"/>
        <v>121</v>
      </c>
      <c r="O562" s="8" t="str">
        <f t="shared" ca="1" si="26"/>
        <v>Lattest or shedule order</v>
      </c>
      <c r="P562" t="str">
        <f>VLOOKUP(C562,[1]Customer_Master!$A:$B,2,0)</f>
        <v>Group-4 ( Office Account)</v>
      </c>
      <c r="Q562" t="str">
        <f>VLOOKUP(D562,[2]Template!$A:$D,3,0)</f>
        <v>EATON</v>
      </c>
      <c r="R562" t="str">
        <f>VLOOKUP(D562,[2]Template!$A:$D,4,0)</f>
        <v>Eaton-Faiveley-(R)</v>
      </c>
    </row>
    <row r="563" spans="1:18" ht="13.5" customHeight="1" x14ac:dyDescent="0.25">
      <c r="A563" s="9">
        <v>46119</v>
      </c>
      <c r="B563" s="10" t="s">
        <v>1045</v>
      </c>
      <c r="C563" s="11" t="s">
        <v>96</v>
      </c>
      <c r="D563" s="10" t="s">
        <v>568</v>
      </c>
      <c r="E563" s="12" t="s">
        <v>1072</v>
      </c>
      <c r="F563" s="12" t="s">
        <v>569</v>
      </c>
      <c r="G563" s="22">
        <v>200</v>
      </c>
      <c r="H563" s="23">
        <v>139</v>
      </c>
      <c r="I563" s="15">
        <v>901</v>
      </c>
      <c r="J563" s="16"/>
      <c r="K563" s="17">
        <v>125239</v>
      </c>
      <c r="L563" s="18">
        <v>46162</v>
      </c>
      <c r="M563" s="6" t="str">
        <f t="shared" si="24"/>
        <v>Schedule order</v>
      </c>
      <c r="N563" s="8">
        <f t="shared" ca="1" si="25"/>
        <v>7</v>
      </c>
      <c r="O563" s="8" t="str">
        <f t="shared" ca="1" si="26"/>
        <v>Lattest or shedule order</v>
      </c>
      <c r="P563" t="str">
        <f>VLOOKUP(C563,[1]Customer_Master!$A:$B,2,0)</f>
        <v>Group - 5 (Ananthapadmanabha)</v>
      </c>
      <c r="Q563" t="str">
        <f>VLOOKUP(D563,[2]Template!$A:$D,3,0)</f>
        <v>LAPP</v>
      </c>
      <c r="R563" t="str">
        <f>VLOOKUP(D563,[2]Template!$A:$D,4,0)</f>
        <v>Lapp-Non Moving Stocks</v>
      </c>
    </row>
    <row r="564" spans="1:18" ht="13.5" customHeight="1" x14ac:dyDescent="0.25">
      <c r="A564" s="9">
        <v>46119</v>
      </c>
      <c r="B564" s="10" t="s">
        <v>1045</v>
      </c>
      <c r="C564" s="11" t="s">
        <v>96</v>
      </c>
      <c r="D564" s="10" t="s">
        <v>955</v>
      </c>
      <c r="E564" s="12" t="s">
        <v>1072</v>
      </c>
      <c r="F564" s="12" t="s">
        <v>956</v>
      </c>
      <c r="G564" s="19">
        <v>50</v>
      </c>
      <c r="H564" s="20">
        <v>48</v>
      </c>
      <c r="I564" s="15">
        <v>143.33000000000001</v>
      </c>
      <c r="J564" s="16"/>
      <c r="K564" s="17">
        <v>6879.84</v>
      </c>
      <c r="L564" s="18">
        <v>46162</v>
      </c>
      <c r="M564" s="6" t="str">
        <f t="shared" si="24"/>
        <v>Schedule order</v>
      </c>
      <c r="N564" s="8">
        <f t="shared" ca="1" si="25"/>
        <v>7</v>
      </c>
      <c r="O564" s="8" t="str">
        <f t="shared" ca="1" si="26"/>
        <v>Lattest or shedule order</v>
      </c>
      <c r="P564" t="str">
        <f>VLOOKUP(C564,[1]Customer_Master!$A:$B,2,0)</f>
        <v>Group - 5 (Ananthapadmanabha)</v>
      </c>
      <c r="Q564" t="str">
        <f>VLOOKUP(D564,[2]Template!$A:$D,3,0)</f>
        <v>LAPP</v>
      </c>
      <c r="R564" t="str">
        <f>VLOOKUP(D564,[2]Template!$A:$D,4,0)</f>
        <v>Lapp-Against Customer PO</v>
      </c>
    </row>
    <row r="565" spans="1:18" ht="13.5" customHeight="1" x14ac:dyDescent="0.25">
      <c r="A565" s="9">
        <v>46119</v>
      </c>
      <c r="B565" s="10" t="s">
        <v>1046</v>
      </c>
      <c r="C565" s="11" t="s">
        <v>876</v>
      </c>
      <c r="D565" s="27" t="s">
        <v>425</v>
      </c>
      <c r="E565" s="12" t="s">
        <v>1072</v>
      </c>
      <c r="F565" s="26" t="s">
        <v>250</v>
      </c>
      <c r="G565" s="13">
        <v>10</v>
      </c>
      <c r="H565" s="14">
        <v>10</v>
      </c>
      <c r="I565" s="15">
        <v>1066.47</v>
      </c>
      <c r="J565" s="16"/>
      <c r="K565" s="17">
        <v>10664.7</v>
      </c>
      <c r="L565" s="18">
        <v>46119</v>
      </c>
      <c r="M565" s="6" t="str">
        <f t="shared" si="24"/>
        <v>Due order</v>
      </c>
      <c r="N565" s="8">
        <f t="shared" ca="1" si="25"/>
        <v>-36</v>
      </c>
      <c r="O565" s="8" t="str">
        <f t="shared" ca="1" si="26"/>
        <v>With in 90 days</v>
      </c>
      <c r="P565" t="str">
        <f>VLOOKUP(C565,[1]Customer_Master!$A:$B,2,0)</f>
        <v>Group 1-Giridhar-Peenya</v>
      </c>
      <c r="Q565" t="str">
        <f>VLOOKUP(D565,[2]Template!$A:$D,3,0)</f>
        <v>LAPP</v>
      </c>
      <c r="R565" t="str">
        <f>VLOOKUP(D565,[2]Template!$A:$D,4,0)</f>
        <v>Lapp-Non Moving Stocks</v>
      </c>
    </row>
    <row r="566" spans="1:18" ht="13.5" customHeight="1" x14ac:dyDescent="0.25">
      <c r="A566" s="9">
        <v>46119</v>
      </c>
      <c r="B566" s="10" t="s">
        <v>1046</v>
      </c>
      <c r="C566" s="11" t="s">
        <v>876</v>
      </c>
      <c r="D566" s="10" t="s">
        <v>1047</v>
      </c>
      <c r="E566" s="12" t="s">
        <v>1072</v>
      </c>
      <c r="F566" s="12" t="s">
        <v>1077</v>
      </c>
      <c r="G566" s="13">
        <v>10</v>
      </c>
      <c r="H566" s="14">
        <v>10</v>
      </c>
      <c r="I566" s="15">
        <v>1651.9</v>
      </c>
      <c r="J566" s="16"/>
      <c r="K566" s="17">
        <v>16519</v>
      </c>
      <c r="L566" s="18">
        <v>46119</v>
      </c>
      <c r="M566" s="6" t="str">
        <f t="shared" si="24"/>
        <v>Due order</v>
      </c>
      <c r="N566" s="8">
        <f t="shared" ca="1" si="25"/>
        <v>-36</v>
      </c>
      <c r="O566" s="8" t="str">
        <f t="shared" ca="1" si="26"/>
        <v>With in 90 days</v>
      </c>
      <c r="P566" t="str">
        <f>VLOOKUP(C566,[1]Customer_Master!$A:$B,2,0)</f>
        <v>Group 1-Giridhar-Peenya</v>
      </c>
      <c r="Q566" t="str">
        <f>VLOOKUP(D566,[2]Template!$A:$D,3,0)</f>
        <v>LAPP</v>
      </c>
      <c r="R566" t="str">
        <f>VLOOKUP(D566,[2]Template!$A:$D,4,0)</f>
        <v>Lapp-Non Moving Stocks</v>
      </c>
    </row>
    <row r="567" spans="1:18" ht="13.5" customHeight="1" x14ac:dyDescent="0.25">
      <c r="A567" s="9">
        <v>46119</v>
      </c>
      <c r="B567" s="10" t="s">
        <v>1046</v>
      </c>
      <c r="C567" s="11" t="s">
        <v>876</v>
      </c>
      <c r="D567" s="10" t="s">
        <v>690</v>
      </c>
      <c r="E567" s="12" t="s">
        <v>1072</v>
      </c>
      <c r="F567" s="12" t="s">
        <v>1072</v>
      </c>
      <c r="G567" s="24">
        <v>2</v>
      </c>
      <c r="H567" s="25">
        <v>2</v>
      </c>
      <c r="I567" s="15">
        <v>800</v>
      </c>
      <c r="J567" s="16"/>
      <c r="K567" s="17">
        <v>1600</v>
      </c>
      <c r="L567" s="18">
        <v>46119</v>
      </c>
      <c r="M567" s="6" t="str">
        <f t="shared" si="24"/>
        <v>Due order</v>
      </c>
      <c r="N567" s="8">
        <f t="shared" ca="1" si="25"/>
        <v>-36</v>
      </c>
      <c r="O567" s="8" t="str">
        <f t="shared" ca="1" si="26"/>
        <v>With in 90 days</v>
      </c>
      <c r="P567" t="str">
        <f>VLOOKUP(C567,[1]Customer_Master!$A:$B,2,0)</f>
        <v>Group 1-Giridhar-Peenya</v>
      </c>
      <c r="Q567" t="str">
        <f>VLOOKUP(D567,[2]Template!$A:$D,3,0)</f>
        <v>LAPP</v>
      </c>
      <c r="R567" t="str">
        <f>VLOOKUP(D567,[2]Template!$A:$D,4,0)</f>
        <v>Lapp-Non Moving Stocks</v>
      </c>
    </row>
    <row r="568" spans="1:18" ht="13.5" customHeight="1" x14ac:dyDescent="0.25">
      <c r="A568" s="9">
        <v>46119</v>
      </c>
      <c r="B568" s="10" t="s">
        <v>1046</v>
      </c>
      <c r="C568" s="11" t="s">
        <v>876</v>
      </c>
      <c r="D568" s="10" t="s">
        <v>242</v>
      </c>
      <c r="E568" s="12" t="s">
        <v>1072</v>
      </c>
      <c r="F568" s="12" t="s">
        <v>1072</v>
      </c>
      <c r="G568" s="19">
        <v>1</v>
      </c>
      <c r="H568" s="20">
        <v>1</v>
      </c>
      <c r="I568" s="15">
        <v>904.5</v>
      </c>
      <c r="J568" s="16"/>
      <c r="K568" s="17">
        <v>904.5</v>
      </c>
      <c r="L568" s="18">
        <v>46119</v>
      </c>
      <c r="M568" s="6" t="str">
        <f t="shared" si="24"/>
        <v>Due order</v>
      </c>
      <c r="N568" s="8">
        <f t="shared" ca="1" si="25"/>
        <v>-36</v>
      </c>
      <c r="O568" s="8" t="str">
        <f t="shared" ca="1" si="26"/>
        <v>With in 90 days</v>
      </c>
      <c r="P568" t="str">
        <f>VLOOKUP(C568,[1]Customer_Master!$A:$B,2,0)</f>
        <v>Group 1-Giridhar-Peenya</v>
      </c>
      <c r="Q568" t="str">
        <f>VLOOKUP(D568,[2]Template!$A:$D,3,0)</f>
        <v>LAPP</v>
      </c>
      <c r="R568" t="str">
        <f>VLOOKUP(D568,[2]Template!$A:$D,4,0)</f>
        <v>Lapp-Against Customer PO</v>
      </c>
    </row>
    <row r="569" spans="1:18" ht="13.5" customHeight="1" x14ac:dyDescent="0.25">
      <c r="A569" s="9">
        <v>46119</v>
      </c>
      <c r="B569" s="10" t="s">
        <v>1078</v>
      </c>
      <c r="C569" s="11" t="s">
        <v>139</v>
      </c>
      <c r="D569" s="10" t="s">
        <v>1079</v>
      </c>
      <c r="E569" s="12" t="s">
        <v>1072</v>
      </c>
      <c r="F569" s="12" t="s">
        <v>1080</v>
      </c>
      <c r="G569" s="13">
        <v>100</v>
      </c>
      <c r="H569" s="14">
        <v>100</v>
      </c>
      <c r="I569" s="15">
        <v>19.38</v>
      </c>
      <c r="J569" s="16"/>
      <c r="K569" s="17">
        <v>1938</v>
      </c>
      <c r="L569" s="18">
        <v>46122</v>
      </c>
      <c r="M569" s="6" t="str">
        <f t="shared" si="24"/>
        <v>Due order</v>
      </c>
      <c r="N569" s="8">
        <f t="shared" ca="1" si="25"/>
        <v>-33</v>
      </c>
      <c r="O569" s="8" t="str">
        <f t="shared" ca="1" si="26"/>
        <v>With in 90 days</v>
      </c>
      <c r="P569" t="str">
        <f>VLOOKUP(C569,[1]Customer_Master!$A:$B,2,0)</f>
        <v>Group 1-Giridhar-Peenya</v>
      </c>
      <c r="Q569" t="str">
        <f>VLOOKUP(D569,[2]Template!$A:$D,3,0)</f>
        <v>LAPP</v>
      </c>
      <c r="R569" t="str">
        <f>VLOOKUP(D569,[2]Template!$A:$D,4,0)</f>
        <v>Lapp-Planned Stock General</v>
      </c>
    </row>
    <row r="570" spans="1:18" ht="13.5" customHeight="1" x14ac:dyDescent="0.25">
      <c r="A570" s="9">
        <v>46119</v>
      </c>
      <c r="B570" s="10" t="s">
        <v>1049</v>
      </c>
      <c r="C570" s="11" t="s">
        <v>140</v>
      </c>
      <c r="D570" s="10" t="s">
        <v>428</v>
      </c>
      <c r="E570" s="12" t="s">
        <v>1072</v>
      </c>
      <c r="F570" s="12" t="s">
        <v>257</v>
      </c>
      <c r="G570" s="13">
        <v>300</v>
      </c>
      <c r="H570" s="14">
        <v>100</v>
      </c>
      <c r="I570" s="15">
        <v>15.94</v>
      </c>
      <c r="J570" s="16"/>
      <c r="K570" s="17">
        <v>1594</v>
      </c>
      <c r="L570" s="18">
        <v>46119</v>
      </c>
      <c r="M570" s="6" t="str">
        <f t="shared" si="24"/>
        <v>Due order</v>
      </c>
      <c r="N570" s="8">
        <f t="shared" ca="1" si="25"/>
        <v>-36</v>
      </c>
      <c r="O570" s="8" t="str">
        <f t="shared" ca="1" si="26"/>
        <v>With in 90 days</v>
      </c>
      <c r="P570" t="str">
        <f>VLOOKUP(C570,[1]Customer_Master!$A:$B,2,0)</f>
        <v>Group-2 (Veeresh- Bomsdr+Hosur)</v>
      </c>
      <c r="Q570" t="str">
        <f>VLOOKUP(D570,[2]Template!$A:$D,3,0)</f>
        <v>LAPP</v>
      </c>
      <c r="R570" t="str">
        <f>VLOOKUP(D570,[2]Template!$A:$D,4,0)</f>
        <v>Lapp-Against Customer PO</v>
      </c>
    </row>
    <row r="571" spans="1:18" ht="13.5" customHeight="1" x14ac:dyDescent="0.25">
      <c r="A571" s="9">
        <v>46119</v>
      </c>
      <c r="B571" s="10" t="s">
        <v>1050</v>
      </c>
      <c r="C571" s="11" t="s">
        <v>91</v>
      </c>
      <c r="D571" s="10" t="s">
        <v>1051</v>
      </c>
      <c r="E571" s="12" t="s">
        <v>1072</v>
      </c>
      <c r="F571" s="12" t="s">
        <v>1084</v>
      </c>
      <c r="G571" s="19">
        <v>54</v>
      </c>
      <c r="H571" s="20">
        <v>43</v>
      </c>
      <c r="I571" s="15">
        <v>1476.75</v>
      </c>
      <c r="J571" s="16"/>
      <c r="K571" s="17">
        <v>63500.25</v>
      </c>
      <c r="L571" s="18">
        <v>46193</v>
      </c>
      <c r="M571" s="6" t="str">
        <f t="shared" si="24"/>
        <v>Schedule order</v>
      </c>
      <c r="N571" s="8">
        <f t="shared" ca="1" si="25"/>
        <v>38</v>
      </c>
      <c r="O571" s="8" t="str">
        <f t="shared" ca="1" si="26"/>
        <v>Lattest or shedule order</v>
      </c>
      <c r="P571" t="str">
        <f>VLOOKUP(C571,[1]Customer_Master!$A:$B,2,0)</f>
        <v>Group-2 (Veeresh- Bomsdr+Hosur)</v>
      </c>
      <c r="Q571" t="str">
        <f>VLOOKUP(D571,[2]Template!$A:$D,3,0)</f>
        <v>LAPP</v>
      </c>
      <c r="R571" t="str">
        <f>VLOOKUP(D571,[2]Template!$A:$D,4,0)</f>
        <v>Lapp-Against Customer PO</v>
      </c>
    </row>
    <row r="572" spans="1:18" ht="13.5" customHeight="1" x14ac:dyDescent="0.25">
      <c r="A572" s="9">
        <v>46119</v>
      </c>
      <c r="B572" s="10" t="s">
        <v>1053</v>
      </c>
      <c r="C572" s="11" t="s">
        <v>236</v>
      </c>
      <c r="D572" s="10" t="s">
        <v>598</v>
      </c>
      <c r="E572" s="12" t="s">
        <v>1072</v>
      </c>
      <c r="F572" s="12" t="s">
        <v>599</v>
      </c>
      <c r="G572" s="19">
        <v>35</v>
      </c>
      <c r="H572" s="20">
        <v>35</v>
      </c>
      <c r="I572" s="15">
        <v>38</v>
      </c>
      <c r="J572" s="16"/>
      <c r="K572" s="17">
        <v>1330</v>
      </c>
      <c r="L572" s="18">
        <v>46132</v>
      </c>
      <c r="M572" s="6" t="str">
        <f t="shared" si="24"/>
        <v>Due order</v>
      </c>
      <c r="N572" s="8">
        <f t="shared" ca="1" si="25"/>
        <v>-23</v>
      </c>
      <c r="O572" s="8" t="str">
        <f t="shared" ca="1" si="26"/>
        <v>With in 90 days</v>
      </c>
      <c r="P572" t="str">
        <f>VLOOKUP(C572,[1]Customer_Master!$A:$B,2,0)</f>
        <v>Group 1-Giridhar-Peenya</v>
      </c>
      <c r="Q572" t="str">
        <f>VLOOKUP(D572,[2]Template!$A:$D,3,0)</f>
        <v>EATON</v>
      </c>
      <c r="R572" t="str">
        <f>VLOOKUP(D572,[2]Template!$A:$D,4,0)</f>
        <v>Eaton-ENRX Pvt Ltd</v>
      </c>
    </row>
    <row r="573" spans="1:18" ht="13.5" customHeight="1" x14ac:dyDescent="0.25">
      <c r="A573" s="9">
        <v>46119</v>
      </c>
      <c r="B573" s="10" t="s">
        <v>1053</v>
      </c>
      <c r="C573" s="11" t="s">
        <v>236</v>
      </c>
      <c r="D573" s="10" t="s">
        <v>589</v>
      </c>
      <c r="E573" s="12" t="s">
        <v>1072</v>
      </c>
      <c r="F573" s="12" t="s">
        <v>590</v>
      </c>
      <c r="G573" s="19">
        <v>41</v>
      </c>
      <c r="H573" s="20">
        <v>41</v>
      </c>
      <c r="I573" s="15">
        <v>33.6</v>
      </c>
      <c r="J573" s="16"/>
      <c r="K573" s="17">
        <v>1377.6</v>
      </c>
      <c r="L573" s="18">
        <v>46132</v>
      </c>
      <c r="M573" s="6" t="str">
        <f t="shared" si="24"/>
        <v>Due order</v>
      </c>
      <c r="N573" s="8">
        <f t="shared" ca="1" si="25"/>
        <v>-23</v>
      </c>
      <c r="O573" s="8" t="str">
        <f t="shared" ca="1" si="26"/>
        <v>With in 90 days</v>
      </c>
      <c r="P573" t="str">
        <f>VLOOKUP(C573,[1]Customer_Master!$A:$B,2,0)</f>
        <v>Group 1-Giridhar-Peenya</v>
      </c>
      <c r="Q573" t="str">
        <f>VLOOKUP(D573,[2]Template!$A:$D,3,0)</f>
        <v>EATON</v>
      </c>
      <c r="R573" t="str">
        <f>VLOOKUP(D573,[2]Template!$A:$D,4,0)</f>
        <v>Eaton-ETA Technology</v>
      </c>
    </row>
    <row r="574" spans="1:18" ht="13.5" customHeight="1" x14ac:dyDescent="0.25">
      <c r="A574" s="9">
        <v>46120</v>
      </c>
      <c r="B574" s="10" t="s">
        <v>1054</v>
      </c>
      <c r="C574" s="11" t="s">
        <v>1055</v>
      </c>
      <c r="D574" s="10" t="s">
        <v>1056</v>
      </c>
      <c r="E574" s="12" t="s">
        <v>1072</v>
      </c>
      <c r="F574" s="12" t="s">
        <v>1087</v>
      </c>
      <c r="G574" s="19">
        <v>60</v>
      </c>
      <c r="H574" s="20">
        <v>60</v>
      </c>
      <c r="I574" s="15">
        <v>310.06</v>
      </c>
      <c r="J574" s="16"/>
      <c r="K574" s="17">
        <v>18603.599999999999</v>
      </c>
      <c r="L574" s="18">
        <v>46135</v>
      </c>
      <c r="M574" s="6" t="str">
        <f t="shared" si="24"/>
        <v>Due order</v>
      </c>
      <c r="N574" s="8">
        <f t="shared" ca="1" si="25"/>
        <v>-20</v>
      </c>
      <c r="O574" s="8" t="str">
        <f t="shared" ca="1" si="26"/>
        <v>With in 90 days</v>
      </c>
      <c r="P574" t="str">
        <f>VLOOKUP(C574,[1]Customer_Master!$A:$B,2,0)</f>
        <v>Group-2 (Veeresh- Bomsdr+Hosur)</v>
      </c>
      <c r="Q574" t="str">
        <f>VLOOKUP(D574,[2]Template!$A:$D,3,0)</f>
        <v>LAPP</v>
      </c>
      <c r="R574" t="str">
        <f>VLOOKUP(D574,[2]Template!$A:$D,4,0)</f>
        <v>Lapp-Against Customer PO</v>
      </c>
    </row>
    <row r="575" spans="1:18" ht="13.5" customHeight="1" x14ac:dyDescent="0.25">
      <c r="A575" s="9">
        <v>46120</v>
      </c>
      <c r="B575" s="10" t="s">
        <v>1054</v>
      </c>
      <c r="C575" s="11" t="s">
        <v>1055</v>
      </c>
      <c r="D575" s="10" t="s">
        <v>1057</v>
      </c>
      <c r="E575" s="12" t="s">
        <v>1072</v>
      </c>
      <c r="F575" s="12" t="s">
        <v>1088</v>
      </c>
      <c r="G575" s="19">
        <v>60</v>
      </c>
      <c r="H575" s="20">
        <v>60</v>
      </c>
      <c r="I575" s="15">
        <v>356.08</v>
      </c>
      <c r="J575" s="16"/>
      <c r="K575" s="17">
        <v>21364.799999999999</v>
      </c>
      <c r="L575" s="18">
        <v>46135</v>
      </c>
      <c r="M575" s="6" t="str">
        <f t="shared" si="24"/>
        <v>Due order</v>
      </c>
      <c r="N575" s="8">
        <f t="shared" ca="1" si="25"/>
        <v>-20</v>
      </c>
      <c r="O575" s="8" t="str">
        <f t="shared" ca="1" si="26"/>
        <v>With in 90 days</v>
      </c>
      <c r="P575" t="str">
        <f>VLOOKUP(C575,[1]Customer_Master!$A:$B,2,0)</f>
        <v>Group-2 (Veeresh- Bomsdr+Hosur)</v>
      </c>
      <c r="Q575" t="str">
        <f>VLOOKUP(D575,[2]Template!$A:$D,3,0)</f>
        <v>LAPP</v>
      </c>
      <c r="R575" t="str">
        <f>VLOOKUP(D575,[2]Template!$A:$D,4,0)</f>
        <v>Lapp-Against Customer PO</v>
      </c>
    </row>
    <row r="576" spans="1:18" ht="13.5" customHeight="1" x14ac:dyDescent="0.25">
      <c r="A576" s="9">
        <v>46120</v>
      </c>
      <c r="B576" s="10" t="s">
        <v>1054</v>
      </c>
      <c r="C576" s="11" t="s">
        <v>1055</v>
      </c>
      <c r="D576" s="27" t="s">
        <v>1058</v>
      </c>
      <c r="E576" s="12" t="s">
        <v>1072</v>
      </c>
      <c r="F576" s="12" t="s">
        <v>1089</v>
      </c>
      <c r="G576" s="19">
        <v>30</v>
      </c>
      <c r="H576" s="20">
        <v>30</v>
      </c>
      <c r="I576" s="15">
        <v>463.48</v>
      </c>
      <c r="J576" s="16"/>
      <c r="K576" s="17">
        <v>13904.4</v>
      </c>
      <c r="L576" s="18">
        <v>46135</v>
      </c>
      <c r="M576" s="6" t="str">
        <f t="shared" si="24"/>
        <v>Due order</v>
      </c>
      <c r="N576" s="8">
        <f t="shared" ca="1" si="25"/>
        <v>-20</v>
      </c>
      <c r="O576" s="8" t="str">
        <f t="shared" ca="1" si="26"/>
        <v>With in 90 days</v>
      </c>
      <c r="P576" t="str">
        <f>VLOOKUP(C576,[1]Customer_Master!$A:$B,2,0)</f>
        <v>Group-2 (Veeresh- Bomsdr+Hosur)</v>
      </c>
      <c r="Q576" t="str">
        <f>VLOOKUP(D576,[2]Template!$A:$D,3,0)</f>
        <v>LAPP</v>
      </c>
      <c r="R576" t="str">
        <f>VLOOKUP(D576,[2]Template!$A:$D,4,0)</f>
        <v>Lapp-Non Moving Stocks</v>
      </c>
    </row>
    <row r="577" spans="1:18" ht="13.5" customHeight="1" x14ac:dyDescent="0.25">
      <c r="A577" s="9">
        <v>46120</v>
      </c>
      <c r="B577" s="10" t="s">
        <v>1054</v>
      </c>
      <c r="C577" s="11" t="s">
        <v>1055</v>
      </c>
      <c r="D577" s="10" t="s">
        <v>1059</v>
      </c>
      <c r="E577" s="12" t="s">
        <v>1072</v>
      </c>
      <c r="F577" s="12" t="s">
        <v>1090</v>
      </c>
      <c r="G577" s="19">
        <v>16</v>
      </c>
      <c r="H577" s="20">
        <v>16</v>
      </c>
      <c r="I577" s="15">
        <v>2121.11</v>
      </c>
      <c r="J577" s="16"/>
      <c r="K577" s="17">
        <v>33937.760000000002</v>
      </c>
      <c r="L577" s="18">
        <v>46135</v>
      </c>
      <c r="M577" s="6" t="str">
        <f t="shared" si="24"/>
        <v>Due order</v>
      </c>
      <c r="N577" s="8">
        <f t="shared" ca="1" si="25"/>
        <v>-20</v>
      </c>
      <c r="O577" s="8" t="str">
        <f t="shared" ca="1" si="26"/>
        <v>With in 90 days</v>
      </c>
      <c r="P577" t="str">
        <f>VLOOKUP(C577,[1]Customer_Master!$A:$B,2,0)</f>
        <v>Group-2 (Veeresh- Bomsdr+Hosur)</v>
      </c>
      <c r="Q577" t="str">
        <f>VLOOKUP(D577,[2]Template!$A:$D,3,0)</f>
        <v>LAPP</v>
      </c>
      <c r="R577" t="str">
        <f>VLOOKUP(D577,[2]Template!$A:$D,4,0)</f>
        <v>Lapp-Against Customer PO</v>
      </c>
    </row>
    <row r="578" spans="1:18" ht="13.5" customHeight="1" x14ac:dyDescent="0.25">
      <c r="A578" s="9">
        <v>46120</v>
      </c>
      <c r="B578" s="10" t="s">
        <v>1054</v>
      </c>
      <c r="C578" s="11" t="s">
        <v>1055</v>
      </c>
      <c r="D578" s="10" t="s">
        <v>1060</v>
      </c>
      <c r="E578" s="12" t="s">
        <v>1072</v>
      </c>
      <c r="F578" s="12" t="s">
        <v>1091</v>
      </c>
      <c r="G578" s="19">
        <v>20</v>
      </c>
      <c r="H578" s="20">
        <v>20</v>
      </c>
      <c r="I578" s="15">
        <v>1187.96</v>
      </c>
      <c r="J578" s="16"/>
      <c r="K578" s="17">
        <v>23759.200000000001</v>
      </c>
      <c r="L578" s="18">
        <v>46135</v>
      </c>
      <c r="M578" s="6" t="str">
        <f t="shared" si="24"/>
        <v>Due order</v>
      </c>
      <c r="N578" s="8">
        <f t="shared" ca="1" si="25"/>
        <v>-20</v>
      </c>
      <c r="O578" s="8" t="str">
        <f t="shared" ca="1" si="26"/>
        <v>With in 90 days</v>
      </c>
      <c r="P578" t="str">
        <f>VLOOKUP(C578,[1]Customer_Master!$A:$B,2,0)</f>
        <v>Group-2 (Veeresh- Bomsdr+Hosur)</v>
      </c>
      <c r="Q578" t="str">
        <f>VLOOKUP(D578,[2]Template!$A:$D,3,0)</f>
        <v>LAPP</v>
      </c>
      <c r="R578" t="str">
        <f>VLOOKUP(D578,[2]Template!$A:$D,4,0)</f>
        <v>Lapp-Against Customer PO</v>
      </c>
    </row>
    <row r="579" spans="1:18" ht="13.5" customHeight="1" x14ac:dyDescent="0.25">
      <c r="A579" s="9">
        <v>46120</v>
      </c>
      <c r="B579" s="10" t="s">
        <v>1061</v>
      </c>
      <c r="C579" s="11" t="s">
        <v>1062</v>
      </c>
      <c r="D579" s="10" t="s">
        <v>448</v>
      </c>
      <c r="E579" s="12" t="s">
        <v>1072</v>
      </c>
      <c r="F579" s="12" t="s">
        <v>183</v>
      </c>
      <c r="G579" s="13">
        <v>500</v>
      </c>
      <c r="H579" s="14">
        <v>500</v>
      </c>
      <c r="I579" s="15">
        <v>87.16</v>
      </c>
      <c r="J579" s="16"/>
      <c r="K579" s="17">
        <v>43580</v>
      </c>
      <c r="L579" s="18">
        <v>46120</v>
      </c>
      <c r="M579" s="6" t="str">
        <f t="shared" ref="M579:M642" si="27">IF(L579&lt;DATE(2026,4,30),"Due order","Schedule order")</f>
        <v>Due order</v>
      </c>
      <c r="N579" s="8">
        <f t="shared" ref="N579:N642" ca="1" si="28">L579-TODAY()</f>
        <v>-35</v>
      </c>
      <c r="O579" s="8" t="str">
        <f t="shared" ref="O579:O642" ca="1" si="29">IF(N579&lt;-365,"More than 1 Year old",IF(N579&lt;-180," More than 180 days old",IF(N579&lt;-90,"More than 90 day old",IF(N579&lt;0,"With in 90 days","Lattest or shedule order"))))</f>
        <v>With in 90 days</v>
      </c>
      <c r="P579" t="str">
        <f>VLOOKUP(C579,[1]Customer_Master!$A:$B,2,0)</f>
        <v>Group - 5 (Ananthapadmanabha)</v>
      </c>
      <c r="Q579" t="str">
        <f>VLOOKUP(D579,[2]Template!$A:$D,3,0)</f>
        <v>LAPP</v>
      </c>
      <c r="R579" t="str">
        <f>VLOOKUP(D579,[2]Template!$A:$D,4,0)</f>
        <v>Lapp-Planned Stock General</v>
      </c>
    </row>
    <row r="580" spans="1:18" ht="13.5" customHeight="1" x14ac:dyDescent="0.25">
      <c r="A580" s="9">
        <v>46120</v>
      </c>
      <c r="B580" s="10" t="s">
        <v>1061</v>
      </c>
      <c r="C580" s="11" t="s">
        <v>1062</v>
      </c>
      <c r="D580" s="10" t="s">
        <v>856</v>
      </c>
      <c r="E580" s="12" t="s">
        <v>1072</v>
      </c>
      <c r="F580" s="12" t="s">
        <v>857</v>
      </c>
      <c r="G580" s="13">
        <v>104</v>
      </c>
      <c r="H580" s="14">
        <v>104</v>
      </c>
      <c r="I580" s="15">
        <v>150.44999999999999</v>
      </c>
      <c r="J580" s="16"/>
      <c r="K580" s="17">
        <v>15646.8</v>
      </c>
      <c r="L580" s="18">
        <v>46120</v>
      </c>
      <c r="M580" s="6" t="str">
        <f t="shared" si="27"/>
        <v>Due order</v>
      </c>
      <c r="N580" s="8">
        <f t="shared" ca="1" si="28"/>
        <v>-35</v>
      </c>
      <c r="O580" s="8" t="str">
        <f t="shared" ca="1" si="29"/>
        <v>With in 90 days</v>
      </c>
      <c r="P580" t="str">
        <f>VLOOKUP(C580,[1]Customer_Master!$A:$B,2,0)</f>
        <v>Group - 5 (Ananthapadmanabha)</v>
      </c>
      <c r="Q580" t="str">
        <f>VLOOKUP(D580,[2]Template!$A:$D,3,0)</f>
        <v>LAPP</v>
      </c>
      <c r="R580" t="str">
        <f>VLOOKUP(D580,[2]Template!$A:$D,4,0)</f>
        <v>Lapp-Against Customer PO</v>
      </c>
    </row>
    <row r="581" spans="1:18" ht="13.5" customHeight="1" x14ac:dyDescent="0.25">
      <c r="A581" s="9">
        <v>46120</v>
      </c>
      <c r="B581" s="10" t="s">
        <v>1061</v>
      </c>
      <c r="C581" s="11" t="s">
        <v>1062</v>
      </c>
      <c r="D581" s="10" t="s">
        <v>921</v>
      </c>
      <c r="E581" s="12" t="s">
        <v>1072</v>
      </c>
      <c r="F581" s="12" t="s">
        <v>922</v>
      </c>
      <c r="G581" s="13">
        <v>500</v>
      </c>
      <c r="H581" s="14">
        <v>500</v>
      </c>
      <c r="I581" s="15">
        <v>234.53</v>
      </c>
      <c r="J581" s="16"/>
      <c r="K581" s="17">
        <v>117265</v>
      </c>
      <c r="L581" s="18">
        <v>46120</v>
      </c>
      <c r="M581" s="6" t="str">
        <f t="shared" si="27"/>
        <v>Due order</v>
      </c>
      <c r="N581" s="8">
        <f t="shared" ca="1" si="28"/>
        <v>-35</v>
      </c>
      <c r="O581" s="8" t="str">
        <f t="shared" ca="1" si="29"/>
        <v>With in 90 days</v>
      </c>
      <c r="P581" t="str">
        <f>VLOOKUP(C581,[1]Customer_Master!$A:$B,2,0)</f>
        <v>Group - 5 (Ananthapadmanabha)</v>
      </c>
      <c r="Q581" t="str">
        <f>VLOOKUP(D581,[2]Template!$A:$D,3,0)</f>
        <v>LAPP</v>
      </c>
      <c r="R581" t="str">
        <f>VLOOKUP(D581,[2]Template!$A:$D,4,0)</f>
        <v>Lapp-Titan</v>
      </c>
    </row>
    <row r="582" spans="1:18" ht="13.5" customHeight="1" x14ac:dyDescent="0.25">
      <c r="A582" s="9">
        <v>46120</v>
      </c>
      <c r="B582" s="10" t="s">
        <v>1063</v>
      </c>
      <c r="C582" s="11" t="s">
        <v>1064</v>
      </c>
      <c r="D582" s="27" t="s">
        <v>1065</v>
      </c>
      <c r="E582" s="12" t="s">
        <v>1072</v>
      </c>
      <c r="F582" s="26" t="s">
        <v>1066</v>
      </c>
      <c r="G582" s="13">
        <v>200</v>
      </c>
      <c r="H582" s="14">
        <v>200</v>
      </c>
      <c r="I582" s="15">
        <v>182.35</v>
      </c>
      <c r="J582" s="16"/>
      <c r="K582" s="17">
        <v>36470</v>
      </c>
      <c r="L582" s="18">
        <v>46120</v>
      </c>
      <c r="M582" s="6" t="str">
        <f t="shared" si="27"/>
        <v>Due order</v>
      </c>
      <c r="N582" s="8">
        <f t="shared" ca="1" si="28"/>
        <v>-35</v>
      </c>
      <c r="O582" s="8" t="str">
        <f t="shared" ca="1" si="29"/>
        <v>With in 90 days</v>
      </c>
      <c r="P582" t="str">
        <f>VLOOKUP(C582,[1]Customer_Master!$A:$B,2,0)</f>
        <v>Group - 5 (Ananthapadmanabha)</v>
      </c>
      <c r="Q582" t="str">
        <f>VLOOKUP(D582,[2]Template!$A:$D,3,0)</f>
        <v>LAPP</v>
      </c>
      <c r="R582" t="str">
        <f>VLOOKUP(D582,[2]Template!$A:$D,4,0)</f>
        <v>Lapp-Non Moving Stocks</v>
      </c>
    </row>
    <row r="583" spans="1:18" ht="13.5" customHeight="1" x14ac:dyDescent="0.25">
      <c r="A583" s="9">
        <v>46121</v>
      </c>
      <c r="B583" s="10" t="s">
        <v>1092</v>
      </c>
      <c r="C583" s="11" t="s">
        <v>94</v>
      </c>
      <c r="D583" s="27" t="s">
        <v>966</v>
      </c>
      <c r="E583" s="12" t="s">
        <v>1072</v>
      </c>
      <c r="F583" s="26" t="s">
        <v>967</v>
      </c>
      <c r="G583" s="13">
        <v>100</v>
      </c>
      <c r="H583" s="14">
        <v>100</v>
      </c>
      <c r="I583" s="15">
        <v>393.97</v>
      </c>
      <c r="J583" s="16"/>
      <c r="K583" s="17">
        <v>39397</v>
      </c>
      <c r="L583" s="18">
        <v>46127</v>
      </c>
      <c r="M583" s="6" t="str">
        <f t="shared" si="27"/>
        <v>Due order</v>
      </c>
      <c r="N583" s="8">
        <f t="shared" ca="1" si="28"/>
        <v>-28</v>
      </c>
      <c r="O583" s="8" t="str">
        <f t="shared" ca="1" si="29"/>
        <v>With in 90 days</v>
      </c>
      <c r="P583" t="str">
        <f>VLOOKUP(C583,[1]Customer_Master!$A:$B,2,0)</f>
        <v>Group 1-Giridhar-Peenya</v>
      </c>
      <c r="Q583" t="str">
        <f>VLOOKUP(D583,[2]Template!$A:$D,3,0)</f>
        <v>LAPP</v>
      </c>
      <c r="R583" t="str">
        <f>VLOOKUP(D583,[2]Template!$A:$D,4,0)</f>
        <v>Lapp-Non Moving Stocks</v>
      </c>
    </row>
    <row r="584" spans="1:18" ht="13.5" customHeight="1" x14ac:dyDescent="0.25">
      <c r="A584" s="9">
        <v>46121</v>
      </c>
      <c r="B584" s="10" t="s">
        <v>1093</v>
      </c>
      <c r="C584" s="11" t="s">
        <v>1094</v>
      </c>
      <c r="D584" s="27" t="s">
        <v>1095</v>
      </c>
      <c r="E584" s="12" t="s">
        <v>1072</v>
      </c>
      <c r="F584" s="12" t="s">
        <v>1096</v>
      </c>
      <c r="G584" s="19">
        <v>100</v>
      </c>
      <c r="H584" s="20">
        <v>100</v>
      </c>
      <c r="I584" s="15">
        <v>133.05000000000001</v>
      </c>
      <c r="J584" s="16"/>
      <c r="K584" s="17">
        <v>13305</v>
      </c>
      <c r="L584" s="18">
        <v>46121</v>
      </c>
      <c r="M584" s="6" t="str">
        <f t="shared" si="27"/>
        <v>Due order</v>
      </c>
      <c r="N584" s="8">
        <f t="shared" ca="1" si="28"/>
        <v>-34</v>
      </c>
      <c r="O584" s="8" t="str">
        <f t="shared" ca="1" si="29"/>
        <v>With in 90 days</v>
      </c>
      <c r="P584" t="str">
        <f>VLOOKUP(C584,[1]Customer_Master!$A:$B,2,0)</f>
        <v>Group-4 ( Office Account)</v>
      </c>
      <c r="Q584" t="str">
        <f>VLOOKUP(D584,[2]Template!$A:$D,3,0)</f>
        <v>LAPP</v>
      </c>
      <c r="R584" t="str">
        <f>VLOOKUP(D584,[2]Template!$A:$D,4,0)</f>
        <v>Lapp-Non Moving Stocks</v>
      </c>
    </row>
    <row r="585" spans="1:18" ht="13.5" customHeight="1" x14ac:dyDescent="0.25">
      <c r="A585" s="9">
        <v>46122</v>
      </c>
      <c r="B585" s="10" t="s">
        <v>1097</v>
      </c>
      <c r="C585" s="11" t="s">
        <v>76</v>
      </c>
      <c r="D585" s="10" t="s">
        <v>412</v>
      </c>
      <c r="E585" s="12" t="s">
        <v>1072</v>
      </c>
      <c r="F585" s="12" t="s">
        <v>146</v>
      </c>
      <c r="G585" s="19">
        <v>10</v>
      </c>
      <c r="H585" s="20">
        <v>10</v>
      </c>
      <c r="I585" s="15">
        <v>94</v>
      </c>
      <c r="J585" s="16"/>
      <c r="K585" s="17">
        <v>940</v>
      </c>
      <c r="L585" s="18">
        <v>46226</v>
      </c>
      <c r="M585" s="6" t="str">
        <f t="shared" si="27"/>
        <v>Schedule order</v>
      </c>
      <c r="N585" s="8">
        <f t="shared" ca="1" si="28"/>
        <v>71</v>
      </c>
      <c r="O585" s="8" t="str">
        <f t="shared" ca="1" si="29"/>
        <v>Lattest or shedule order</v>
      </c>
      <c r="P585" t="str">
        <f>VLOOKUP(C585,[1]Customer_Master!$A:$B,2,0)</f>
        <v>Group 1-Giridhar-Peenya</v>
      </c>
      <c r="Q585" t="str">
        <f>VLOOKUP(D585,[2]Template!$A:$D,3,0)</f>
        <v>EATON</v>
      </c>
      <c r="R585" t="str">
        <f>VLOOKUP(D585,[2]Template!$A:$D,4,0)</f>
        <v>Eaton-Biesse</v>
      </c>
    </row>
    <row r="586" spans="1:18" ht="13.5" customHeight="1" x14ac:dyDescent="0.25">
      <c r="A586" s="9">
        <v>46122</v>
      </c>
      <c r="B586" s="10" t="s">
        <v>1097</v>
      </c>
      <c r="C586" s="11" t="s">
        <v>76</v>
      </c>
      <c r="D586" s="10" t="s">
        <v>366</v>
      </c>
      <c r="E586" s="12" t="s">
        <v>1072</v>
      </c>
      <c r="F586" s="12" t="s">
        <v>104</v>
      </c>
      <c r="G586" s="19">
        <v>270</v>
      </c>
      <c r="H586" s="20">
        <v>270</v>
      </c>
      <c r="I586" s="15">
        <v>25</v>
      </c>
      <c r="J586" s="16"/>
      <c r="K586" s="17">
        <v>6750</v>
      </c>
      <c r="L586" s="18">
        <v>46178</v>
      </c>
      <c r="M586" s="6" t="str">
        <f t="shared" si="27"/>
        <v>Schedule order</v>
      </c>
      <c r="N586" s="8">
        <f t="shared" ca="1" si="28"/>
        <v>23</v>
      </c>
      <c r="O586" s="8" t="str">
        <f t="shared" ca="1" si="29"/>
        <v>Lattest or shedule order</v>
      </c>
      <c r="P586" t="str">
        <f>VLOOKUP(C586,[1]Customer_Master!$A:$B,2,0)</f>
        <v>Group 1-Giridhar-Peenya</v>
      </c>
      <c r="Q586" t="str">
        <f>VLOOKUP(D586,[2]Template!$A:$D,3,0)</f>
        <v>EATON</v>
      </c>
      <c r="R586" t="str">
        <f>VLOOKUP(D586,[2]Template!$A:$D,4,0)</f>
        <v>Eaton-Biesse</v>
      </c>
    </row>
    <row r="587" spans="1:18" ht="13.5" customHeight="1" x14ac:dyDescent="0.25">
      <c r="A587" s="9">
        <v>46122</v>
      </c>
      <c r="B587" s="10" t="s">
        <v>1097</v>
      </c>
      <c r="C587" s="11" t="s">
        <v>76</v>
      </c>
      <c r="D587" s="10" t="s">
        <v>332</v>
      </c>
      <c r="E587" s="12" t="s">
        <v>1072</v>
      </c>
      <c r="F587" s="12" t="s">
        <v>105</v>
      </c>
      <c r="G587" s="19">
        <v>10</v>
      </c>
      <c r="H587" s="20">
        <v>10</v>
      </c>
      <c r="I587" s="15">
        <v>1210</v>
      </c>
      <c r="J587" s="16"/>
      <c r="K587" s="17">
        <v>12100</v>
      </c>
      <c r="L587" s="18">
        <v>46247</v>
      </c>
      <c r="M587" s="6" t="str">
        <f t="shared" si="27"/>
        <v>Schedule order</v>
      </c>
      <c r="N587" s="8">
        <f t="shared" ca="1" si="28"/>
        <v>92</v>
      </c>
      <c r="O587" s="8" t="str">
        <f t="shared" ca="1" si="29"/>
        <v>Lattest or shedule order</v>
      </c>
      <c r="P587" t="str">
        <f>VLOOKUP(C587,[1]Customer_Master!$A:$B,2,0)</f>
        <v>Group 1-Giridhar-Peenya</v>
      </c>
      <c r="Q587" t="str">
        <f>VLOOKUP(D587,[2]Template!$A:$D,3,0)</f>
        <v>EATON</v>
      </c>
      <c r="R587" t="str">
        <f>VLOOKUP(D587,[2]Template!$A:$D,4,0)</f>
        <v>Eaton-Biesse</v>
      </c>
    </row>
    <row r="588" spans="1:18" ht="13.5" customHeight="1" x14ac:dyDescent="0.25">
      <c r="A588" s="9">
        <v>46122</v>
      </c>
      <c r="B588" s="10" t="s">
        <v>1097</v>
      </c>
      <c r="C588" s="11" t="s">
        <v>76</v>
      </c>
      <c r="D588" s="10" t="s">
        <v>367</v>
      </c>
      <c r="E588" s="12" t="s">
        <v>1072</v>
      </c>
      <c r="F588" s="12" t="s">
        <v>106</v>
      </c>
      <c r="G588" s="19">
        <v>100</v>
      </c>
      <c r="H588" s="20">
        <v>100</v>
      </c>
      <c r="I588" s="15">
        <v>118</v>
      </c>
      <c r="J588" s="16"/>
      <c r="K588" s="17">
        <v>11800</v>
      </c>
      <c r="L588" s="18">
        <v>46268</v>
      </c>
      <c r="M588" s="6" t="str">
        <f t="shared" si="27"/>
        <v>Schedule order</v>
      </c>
      <c r="N588" s="8">
        <f t="shared" ca="1" si="28"/>
        <v>113</v>
      </c>
      <c r="O588" s="8" t="str">
        <f t="shared" ca="1" si="29"/>
        <v>Lattest or shedule order</v>
      </c>
      <c r="P588" t="str">
        <f>VLOOKUP(C588,[1]Customer_Master!$A:$B,2,0)</f>
        <v>Group 1-Giridhar-Peenya</v>
      </c>
      <c r="Q588" t="str">
        <f>VLOOKUP(D588,[2]Template!$A:$D,3,0)</f>
        <v>EATON</v>
      </c>
      <c r="R588" t="str">
        <f>VLOOKUP(D588,[2]Template!$A:$D,4,0)</f>
        <v>Eaton-Biesse</v>
      </c>
    </row>
    <row r="589" spans="1:18" ht="13.5" customHeight="1" x14ac:dyDescent="0.25">
      <c r="A589" s="9">
        <v>46122</v>
      </c>
      <c r="B589" s="10" t="s">
        <v>1097</v>
      </c>
      <c r="C589" s="11" t="s">
        <v>76</v>
      </c>
      <c r="D589" s="10" t="s">
        <v>346</v>
      </c>
      <c r="E589" s="12" t="s">
        <v>1072</v>
      </c>
      <c r="F589" s="12" t="s">
        <v>129</v>
      </c>
      <c r="G589" s="19">
        <v>100</v>
      </c>
      <c r="H589" s="20">
        <v>100</v>
      </c>
      <c r="I589" s="15">
        <v>48</v>
      </c>
      <c r="J589" s="16"/>
      <c r="K589" s="17">
        <v>4800</v>
      </c>
      <c r="L589" s="18">
        <v>46255</v>
      </c>
      <c r="M589" s="6" t="str">
        <f t="shared" si="27"/>
        <v>Schedule order</v>
      </c>
      <c r="N589" s="8">
        <f t="shared" ca="1" si="28"/>
        <v>100</v>
      </c>
      <c r="O589" s="8" t="str">
        <f t="shared" ca="1" si="29"/>
        <v>Lattest or shedule order</v>
      </c>
      <c r="P589" t="str">
        <f>VLOOKUP(C589,[1]Customer_Master!$A:$B,2,0)</f>
        <v>Group 1-Giridhar-Peenya</v>
      </c>
      <c r="Q589" t="str">
        <f>VLOOKUP(D589,[2]Template!$A:$D,3,0)</f>
        <v>EATON</v>
      </c>
      <c r="R589" t="str">
        <f>VLOOKUP(D589,[2]Template!$A:$D,4,0)</f>
        <v>Eaton-Biesse</v>
      </c>
    </row>
    <row r="590" spans="1:18" ht="13.5" customHeight="1" x14ac:dyDescent="0.25">
      <c r="A590" s="9">
        <v>46122</v>
      </c>
      <c r="B590" s="10" t="s">
        <v>1097</v>
      </c>
      <c r="C590" s="11" t="s">
        <v>76</v>
      </c>
      <c r="D590" s="10" t="s">
        <v>329</v>
      </c>
      <c r="E590" s="12" t="s">
        <v>1072</v>
      </c>
      <c r="F590" s="12" t="s">
        <v>109</v>
      </c>
      <c r="G590" s="19">
        <v>47</v>
      </c>
      <c r="H590" s="20">
        <v>47</v>
      </c>
      <c r="I590" s="15">
        <v>372</v>
      </c>
      <c r="J590" s="16"/>
      <c r="K590" s="17">
        <v>17484</v>
      </c>
      <c r="L590" s="18">
        <v>46254</v>
      </c>
      <c r="M590" s="6" t="str">
        <f t="shared" si="27"/>
        <v>Schedule order</v>
      </c>
      <c r="N590" s="8">
        <f t="shared" ca="1" si="28"/>
        <v>99</v>
      </c>
      <c r="O590" s="8" t="str">
        <f t="shared" ca="1" si="29"/>
        <v>Lattest or shedule order</v>
      </c>
      <c r="P590" t="str">
        <f>VLOOKUP(C590,[1]Customer_Master!$A:$B,2,0)</f>
        <v>Group 1-Giridhar-Peenya</v>
      </c>
      <c r="Q590" t="str">
        <f>VLOOKUP(D590,[2]Template!$A:$D,3,0)</f>
        <v>EATON</v>
      </c>
      <c r="R590" t="str">
        <f>VLOOKUP(D590,[2]Template!$A:$D,4,0)</f>
        <v>Eaton-Biesse</v>
      </c>
    </row>
    <row r="591" spans="1:18" ht="13.5" customHeight="1" x14ac:dyDescent="0.25">
      <c r="A591" s="9">
        <v>46122</v>
      </c>
      <c r="B591" s="10" t="s">
        <v>1625</v>
      </c>
      <c r="C591" s="11" t="s">
        <v>13</v>
      </c>
      <c r="D591" s="10" t="s">
        <v>396</v>
      </c>
      <c r="E591" s="12" t="s">
        <v>192</v>
      </c>
      <c r="F591" s="12" t="s">
        <v>193</v>
      </c>
      <c r="G591" s="19">
        <v>14</v>
      </c>
      <c r="H591" s="20">
        <v>7</v>
      </c>
      <c r="I591" s="15">
        <v>2803</v>
      </c>
      <c r="J591" s="16"/>
      <c r="K591" s="17">
        <v>19621</v>
      </c>
      <c r="L591" s="18">
        <v>46155</v>
      </c>
      <c r="M591" s="6" t="str">
        <f t="shared" si="27"/>
        <v>Schedule order</v>
      </c>
      <c r="N591" s="8">
        <f t="shared" ca="1" si="28"/>
        <v>0</v>
      </c>
      <c r="O591" s="8" t="str">
        <f t="shared" ca="1" si="29"/>
        <v>Lattest or shedule order</v>
      </c>
      <c r="P591" t="str">
        <f>VLOOKUP(C591,[1]Customer_Master!$A:$B,2,0)</f>
        <v>Group-2 (Veeresh- Bomsdr+Hosur)</v>
      </c>
      <c r="Q591" t="str">
        <f>VLOOKUP(D591,[2]Template!$A:$D,3,0)</f>
        <v>EATON</v>
      </c>
      <c r="R591" t="str">
        <f>VLOOKUP(D591,[2]Template!$A:$D,4,0)</f>
        <v>Eaton-Faiveley-Non E70</v>
      </c>
    </row>
    <row r="592" spans="1:18" ht="13.5" customHeight="1" x14ac:dyDescent="0.25">
      <c r="A592" s="9">
        <v>46122</v>
      </c>
      <c r="B592" s="10" t="s">
        <v>1098</v>
      </c>
      <c r="C592" s="11" t="s">
        <v>585</v>
      </c>
      <c r="D592" s="10" t="s">
        <v>1099</v>
      </c>
      <c r="E592" s="12" t="s">
        <v>1072</v>
      </c>
      <c r="F592" s="12" t="s">
        <v>1100</v>
      </c>
      <c r="G592" s="13">
        <v>17</v>
      </c>
      <c r="H592" s="14">
        <v>17</v>
      </c>
      <c r="I592" s="15">
        <v>17951.900000000001</v>
      </c>
      <c r="J592" s="16"/>
      <c r="K592" s="17">
        <v>305182.3</v>
      </c>
      <c r="L592" s="18">
        <v>46122</v>
      </c>
      <c r="M592" s="6" t="str">
        <f t="shared" si="27"/>
        <v>Due order</v>
      </c>
      <c r="N592" s="8">
        <f t="shared" ca="1" si="28"/>
        <v>-33</v>
      </c>
      <c r="O592" s="8" t="str">
        <f t="shared" ca="1" si="29"/>
        <v>With in 90 days</v>
      </c>
      <c r="P592" t="str">
        <f>VLOOKUP(C592,[1]Customer_Master!$A:$B,2,0)</f>
        <v>Group-2 (Veeresh- Bomsdr+Hosur)</v>
      </c>
      <c r="Q592" t="str">
        <f>VLOOKUP(D592,[2]Template!$A:$D,3,0)</f>
        <v>LAPP</v>
      </c>
      <c r="R592" t="str">
        <f>VLOOKUP(D592,[2]Template!$A:$D,4,0)</f>
        <v>Lapp-Against Customer PO</v>
      </c>
    </row>
    <row r="593" spans="1:18" ht="13.5" customHeight="1" x14ac:dyDescent="0.25">
      <c r="A593" s="9">
        <v>46122</v>
      </c>
      <c r="B593" s="10" t="s">
        <v>1101</v>
      </c>
      <c r="C593" s="11" t="s">
        <v>194</v>
      </c>
      <c r="D593" s="27" t="s">
        <v>1102</v>
      </c>
      <c r="E593" s="12" t="s">
        <v>1072</v>
      </c>
      <c r="F593" s="12" t="s">
        <v>1103</v>
      </c>
      <c r="G593" s="19">
        <v>10</v>
      </c>
      <c r="H593" s="20">
        <v>10</v>
      </c>
      <c r="I593" s="15">
        <v>1099</v>
      </c>
      <c r="J593" s="16"/>
      <c r="K593" s="17">
        <v>10990</v>
      </c>
      <c r="L593" s="18">
        <v>46147</v>
      </c>
      <c r="M593" s="6" t="str">
        <f t="shared" si="27"/>
        <v>Schedule order</v>
      </c>
      <c r="N593" s="8">
        <f t="shared" ca="1" si="28"/>
        <v>-8</v>
      </c>
      <c r="O593" s="8" t="str">
        <f t="shared" ca="1" si="29"/>
        <v>With in 90 days</v>
      </c>
      <c r="P593" t="str">
        <f>VLOOKUP(C593,[1]Customer_Master!$A:$B,2,0)</f>
        <v>Group 1-Giridhar-Peenya</v>
      </c>
      <c r="Q593" t="str">
        <f>VLOOKUP(D593,[2]Template!$A:$D,3,0)</f>
        <v>EATON</v>
      </c>
      <c r="R593" t="str">
        <f>VLOOKUP(D593,[2]Template!$A:$D,4,0)</f>
        <v>Eaton-Non Moving Stock</v>
      </c>
    </row>
    <row r="594" spans="1:18" ht="13.5" customHeight="1" x14ac:dyDescent="0.25">
      <c r="A594" s="9">
        <v>46122</v>
      </c>
      <c r="B594" s="10" t="s">
        <v>1101</v>
      </c>
      <c r="C594" s="11" t="s">
        <v>194</v>
      </c>
      <c r="D594" s="10" t="s">
        <v>456</v>
      </c>
      <c r="E594" s="12" t="s">
        <v>1072</v>
      </c>
      <c r="F594" s="12" t="s">
        <v>284</v>
      </c>
      <c r="G594" s="19">
        <v>40</v>
      </c>
      <c r="H594" s="20">
        <v>40</v>
      </c>
      <c r="I594" s="15">
        <v>991</v>
      </c>
      <c r="J594" s="16"/>
      <c r="K594" s="17">
        <v>39640</v>
      </c>
      <c r="L594" s="18">
        <v>46147</v>
      </c>
      <c r="M594" s="6" t="str">
        <f t="shared" si="27"/>
        <v>Schedule order</v>
      </c>
      <c r="N594" s="8">
        <f t="shared" ca="1" si="28"/>
        <v>-8</v>
      </c>
      <c r="O594" s="8" t="str">
        <f t="shared" ca="1" si="29"/>
        <v>With in 90 days</v>
      </c>
      <c r="P594" t="str">
        <f>VLOOKUP(C594,[1]Customer_Master!$A:$B,2,0)</f>
        <v>Group 1-Giridhar-Peenya</v>
      </c>
      <c r="Q594" t="str">
        <f>VLOOKUP(D594,[2]Template!$A:$D,3,0)</f>
        <v>EATON</v>
      </c>
      <c r="R594" t="str">
        <f>VLOOKUP(D594,[2]Template!$A:$D,4,0)</f>
        <v>Eaton-Non Moving Stock</v>
      </c>
    </row>
    <row r="595" spans="1:18" ht="13.5" customHeight="1" x14ac:dyDescent="0.25">
      <c r="A595" s="9">
        <v>46122</v>
      </c>
      <c r="B595" s="10" t="s">
        <v>1104</v>
      </c>
      <c r="C595" s="11" t="s">
        <v>859</v>
      </c>
      <c r="D595" s="27" t="s">
        <v>797</v>
      </c>
      <c r="E595" s="12" t="s">
        <v>1072</v>
      </c>
      <c r="F595" s="12" t="s">
        <v>798</v>
      </c>
      <c r="G595" s="13">
        <v>40</v>
      </c>
      <c r="H595" s="14">
        <v>40</v>
      </c>
      <c r="I595" s="15">
        <v>152.97999999999999</v>
      </c>
      <c r="J595" s="16"/>
      <c r="K595" s="17">
        <v>6119.2</v>
      </c>
      <c r="L595" s="18">
        <v>46122</v>
      </c>
      <c r="M595" s="6" t="str">
        <f t="shared" si="27"/>
        <v>Due order</v>
      </c>
      <c r="N595" s="8">
        <f t="shared" ca="1" si="28"/>
        <v>-33</v>
      </c>
      <c r="O595" s="8" t="str">
        <f t="shared" ca="1" si="29"/>
        <v>With in 90 days</v>
      </c>
      <c r="P595" t="str">
        <f>VLOOKUP(C595,[1]Customer_Master!$A:$B,2,0)</f>
        <v>Group-2 (Veeresh- Bomsdr+Hosur)</v>
      </c>
      <c r="Q595" t="str">
        <f>VLOOKUP(D595,[2]Template!$A:$D,3,0)</f>
        <v>LAPP</v>
      </c>
      <c r="R595" t="str">
        <f>VLOOKUP(D595,[2]Template!$A:$D,4,0)</f>
        <v>Lapp-Against Customer PO</v>
      </c>
    </row>
    <row r="596" spans="1:18" ht="13.5" customHeight="1" x14ac:dyDescent="0.25">
      <c r="A596" s="9">
        <v>46122</v>
      </c>
      <c r="B596" s="10" t="s">
        <v>1105</v>
      </c>
      <c r="C596" s="11" t="s">
        <v>676</v>
      </c>
      <c r="D596" s="10" t="s">
        <v>1106</v>
      </c>
      <c r="E596" s="12" t="s">
        <v>1072</v>
      </c>
      <c r="F596" s="12" t="s">
        <v>1107</v>
      </c>
      <c r="G596" s="19">
        <v>3</v>
      </c>
      <c r="H596" s="20">
        <v>3</v>
      </c>
      <c r="I596" s="15">
        <v>1610</v>
      </c>
      <c r="J596" s="16"/>
      <c r="K596" s="17">
        <v>4830</v>
      </c>
      <c r="L596" s="18">
        <v>46122</v>
      </c>
      <c r="M596" s="6" t="str">
        <f t="shared" si="27"/>
        <v>Due order</v>
      </c>
      <c r="N596" s="8">
        <f t="shared" ca="1" si="28"/>
        <v>-33</v>
      </c>
      <c r="O596" s="8" t="str">
        <f t="shared" ca="1" si="29"/>
        <v>With in 90 days</v>
      </c>
      <c r="P596" t="str">
        <f>VLOOKUP(C596,[1]Customer_Master!$A:$B,2,0)</f>
        <v>Group-2 (Veeresh- Bomsdr+Hosur)</v>
      </c>
      <c r="Q596" t="str">
        <f>VLOOKUP(D596,[2]Template!$A:$D,3,0)</f>
        <v>MENNEKES</v>
      </c>
      <c r="R596" t="str">
        <f>VLOOKUP(D596,[2]Template!$A:$D,4,0)</f>
        <v>MENNEKES</v>
      </c>
    </row>
    <row r="597" spans="1:18" ht="13.5" customHeight="1" x14ac:dyDescent="0.25">
      <c r="A597" s="9">
        <v>46122</v>
      </c>
      <c r="B597" s="10" t="s">
        <v>1109</v>
      </c>
      <c r="C597" s="11" t="s">
        <v>576</v>
      </c>
      <c r="D597" s="10" t="s">
        <v>1110</v>
      </c>
      <c r="E597" s="12" t="s">
        <v>1072</v>
      </c>
      <c r="F597" s="12" t="s">
        <v>1111</v>
      </c>
      <c r="G597" s="13">
        <v>1800</v>
      </c>
      <c r="H597" s="14">
        <v>1800</v>
      </c>
      <c r="I597" s="15">
        <v>9.1999999999999993</v>
      </c>
      <c r="J597" s="16"/>
      <c r="K597" s="17">
        <v>16560</v>
      </c>
      <c r="L597" s="18">
        <v>46122</v>
      </c>
      <c r="M597" s="6" t="str">
        <f t="shared" si="27"/>
        <v>Due order</v>
      </c>
      <c r="N597" s="8">
        <f t="shared" ca="1" si="28"/>
        <v>-33</v>
      </c>
      <c r="O597" s="8" t="str">
        <f t="shared" ca="1" si="29"/>
        <v>With in 90 days</v>
      </c>
      <c r="P597" t="str">
        <f>VLOOKUP(C597,[1]Customer_Master!$A:$B,2,0)</f>
        <v>Group-2 (Veeresh- Bomsdr+Hosur)</v>
      </c>
      <c r="Q597" t="str">
        <f>VLOOKUP(D597,[2]Template!$A:$D,3,0)</f>
        <v>LAPP</v>
      </c>
      <c r="R597" t="str">
        <f>VLOOKUP(D597,[2]Template!$A:$D,4,0)</f>
        <v>Lapp-Non Moving Stocks</v>
      </c>
    </row>
    <row r="598" spans="1:18" ht="13.5" customHeight="1" x14ac:dyDescent="0.25">
      <c r="A598" s="9">
        <v>46122</v>
      </c>
      <c r="B598" s="10" t="s">
        <v>1109</v>
      </c>
      <c r="C598" s="11" t="s">
        <v>576</v>
      </c>
      <c r="D598" s="10" t="s">
        <v>1112</v>
      </c>
      <c r="E598" s="12" t="s">
        <v>1072</v>
      </c>
      <c r="F598" s="12" t="s">
        <v>1113</v>
      </c>
      <c r="G598" s="13">
        <v>500</v>
      </c>
      <c r="H598" s="14">
        <v>500</v>
      </c>
      <c r="I598" s="15">
        <v>9.1999999999999993</v>
      </c>
      <c r="J598" s="16"/>
      <c r="K598" s="17">
        <v>4600</v>
      </c>
      <c r="L598" s="18">
        <v>46122</v>
      </c>
      <c r="M598" s="6" t="str">
        <f t="shared" si="27"/>
        <v>Due order</v>
      </c>
      <c r="N598" s="8">
        <f t="shared" ca="1" si="28"/>
        <v>-33</v>
      </c>
      <c r="O598" s="8" t="str">
        <f t="shared" ca="1" si="29"/>
        <v>With in 90 days</v>
      </c>
      <c r="P598" t="str">
        <f>VLOOKUP(C598,[1]Customer_Master!$A:$B,2,0)</f>
        <v>Group-2 (Veeresh- Bomsdr+Hosur)</v>
      </c>
      <c r="Q598" t="str">
        <f>VLOOKUP(D598,[2]Template!$A:$D,3,0)</f>
        <v>LAPP</v>
      </c>
      <c r="R598" t="str">
        <f>VLOOKUP(D598,[2]Template!$A:$D,4,0)</f>
        <v>Lapp-Non Moving Stocks</v>
      </c>
    </row>
    <row r="599" spans="1:18" ht="13.5" customHeight="1" x14ac:dyDescent="0.25">
      <c r="A599" s="9">
        <v>46122</v>
      </c>
      <c r="B599" s="10" t="s">
        <v>1109</v>
      </c>
      <c r="C599" s="11" t="s">
        <v>576</v>
      </c>
      <c r="D599" s="27" t="s">
        <v>1114</v>
      </c>
      <c r="E599" s="12" t="s">
        <v>1072</v>
      </c>
      <c r="F599" s="12" t="s">
        <v>1115</v>
      </c>
      <c r="G599" s="13">
        <v>500</v>
      </c>
      <c r="H599" s="14">
        <v>500</v>
      </c>
      <c r="I599" s="15">
        <v>24.38</v>
      </c>
      <c r="J599" s="16"/>
      <c r="K599" s="17">
        <v>12190</v>
      </c>
      <c r="L599" s="18">
        <v>46122</v>
      </c>
      <c r="M599" s="6" t="str">
        <f t="shared" si="27"/>
        <v>Due order</v>
      </c>
      <c r="N599" s="8">
        <f t="shared" ca="1" si="28"/>
        <v>-33</v>
      </c>
      <c r="O599" s="8" t="str">
        <f t="shared" ca="1" si="29"/>
        <v>With in 90 days</v>
      </c>
      <c r="P599" t="str">
        <f>VLOOKUP(C599,[1]Customer_Master!$A:$B,2,0)</f>
        <v>Group-2 (Veeresh- Bomsdr+Hosur)</v>
      </c>
      <c r="Q599" t="str">
        <f>VLOOKUP(D599,[2]Template!$A:$D,3,0)</f>
        <v>LAPP</v>
      </c>
      <c r="R599" t="str">
        <f>VLOOKUP(D599,[2]Template!$A:$D,4,0)</f>
        <v>Lapp-Non Moving Stocks</v>
      </c>
    </row>
    <row r="600" spans="1:18" ht="13.5" customHeight="1" x14ac:dyDescent="0.25">
      <c r="A600" s="9">
        <v>46122</v>
      </c>
      <c r="B600" s="10" t="s">
        <v>1109</v>
      </c>
      <c r="C600" s="11" t="s">
        <v>576</v>
      </c>
      <c r="D600" s="10" t="s">
        <v>1116</v>
      </c>
      <c r="E600" s="12" t="s">
        <v>1072</v>
      </c>
      <c r="F600" s="12" t="s">
        <v>1117</v>
      </c>
      <c r="G600" s="13">
        <v>500</v>
      </c>
      <c r="H600" s="14">
        <v>500</v>
      </c>
      <c r="I600" s="15">
        <v>24.38</v>
      </c>
      <c r="J600" s="16"/>
      <c r="K600" s="17">
        <v>12190</v>
      </c>
      <c r="L600" s="18">
        <v>46122</v>
      </c>
      <c r="M600" s="6" t="str">
        <f t="shared" si="27"/>
        <v>Due order</v>
      </c>
      <c r="N600" s="8">
        <f t="shared" ca="1" si="28"/>
        <v>-33</v>
      </c>
      <c r="O600" s="8" t="str">
        <f t="shared" ca="1" si="29"/>
        <v>With in 90 days</v>
      </c>
      <c r="P600" t="str">
        <f>VLOOKUP(C600,[1]Customer_Master!$A:$B,2,0)</f>
        <v>Group-2 (Veeresh- Bomsdr+Hosur)</v>
      </c>
      <c r="Q600" t="str">
        <f>VLOOKUP(D600,[2]Template!$A:$D,3,0)</f>
        <v>LAPP</v>
      </c>
      <c r="R600" t="str">
        <f>VLOOKUP(D600,[2]Template!$A:$D,4,0)</f>
        <v>Lapp-Non Moving Stocks</v>
      </c>
    </row>
    <row r="601" spans="1:18" ht="13.5" customHeight="1" x14ac:dyDescent="0.25">
      <c r="A601" s="9">
        <v>46122</v>
      </c>
      <c r="B601" s="10" t="s">
        <v>1109</v>
      </c>
      <c r="C601" s="11" t="s">
        <v>576</v>
      </c>
      <c r="D601" s="10" t="s">
        <v>1118</v>
      </c>
      <c r="E601" s="12" t="s">
        <v>1072</v>
      </c>
      <c r="F601" s="12" t="s">
        <v>1119</v>
      </c>
      <c r="G601" s="13">
        <v>500</v>
      </c>
      <c r="H601" s="14">
        <v>500</v>
      </c>
      <c r="I601" s="15">
        <v>24.38</v>
      </c>
      <c r="J601" s="16"/>
      <c r="K601" s="17">
        <v>12190</v>
      </c>
      <c r="L601" s="18">
        <v>46122</v>
      </c>
      <c r="M601" s="6" t="str">
        <f t="shared" si="27"/>
        <v>Due order</v>
      </c>
      <c r="N601" s="8">
        <f t="shared" ca="1" si="28"/>
        <v>-33</v>
      </c>
      <c r="O601" s="8" t="str">
        <f t="shared" ca="1" si="29"/>
        <v>With in 90 days</v>
      </c>
      <c r="P601" t="str">
        <f>VLOOKUP(C601,[1]Customer_Master!$A:$B,2,0)</f>
        <v>Group-2 (Veeresh- Bomsdr+Hosur)</v>
      </c>
      <c r="Q601" t="str">
        <f>VLOOKUP(D601,[2]Template!$A:$D,3,0)</f>
        <v>LAPP</v>
      </c>
      <c r="R601" t="str">
        <f>VLOOKUP(D601,[2]Template!$A:$D,4,0)</f>
        <v>Lapp-Non Moving Stocks</v>
      </c>
    </row>
    <row r="602" spans="1:18" ht="13.5" customHeight="1" x14ac:dyDescent="0.25">
      <c r="A602" s="9">
        <v>46122</v>
      </c>
      <c r="B602" s="10" t="s">
        <v>1109</v>
      </c>
      <c r="C602" s="11" t="s">
        <v>576</v>
      </c>
      <c r="D602" s="27" t="s">
        <v>1120</v>
      </c>
      <c r="E602" s="12" t="s">
        <v>1072</v>
      </c>
      <c r="F602" s="12" t="s">
        <v>1121</v>
      </c>
      <c r="G602" s="13">
        <v>200</v>
      </c>
      <c r="H602" s="14">
        <v>200</v>
      </c>
      <c r="I602" s="15">
        <v>24.38</v>
      </c>
      <c r="J602" s="16"/>
      <c r="K602" s="17">
        <v>4876</v>
      </c>
      <c r="L602" s="18">
        <v>46122</v>
      </c>
      <c r="M602" s="6" t="str">
        <f t="shared" si="27"/>
        <v>Due order</v>
      </c>
      <c r="N602" s="8">
        <f t="shared" ca="1" si="28"/>
        <v>-33</v>
      </c>
      <c r="O602" s="8" t="str">
        <f t="shared" ca="1" si="29"/>
        <v>With in 90 days</v>
      </c>
      <c r="P602" t="str">
        <f>VLOOKUP(C602,[1]Customer_Master!$A:$B,2,0)</f>
        <v>Group-2 (Veeresh- Bomsdr+Hosur)</v>
      </c>
      <c r="Q602" t="str">
        <f>VLOOKUP(D602,[2]Template!$A:$D,3,0)</f>
        <v>LAPP</v>
      </c>
      <c r="R602" t="str">
        <f>VLOOKUP(D602,[2]Template!$A:$D,4,0)</f>
        <v>Lapp-Non Moving Stocks</v>
      </c>
    </row>
    <row r="603" spans="1:18" ht="13.5" customHeight="1" x14ac:dyDescent="0.25">
      <c r="A603" s="9">
        <v>46122</v>
      </c>
      <c r="B603" s="10" t="s">
        <v>1109</v>
      </c>
      <c r="C603" s="11" t="s">
        <v>576</v>
      </c>
      <c r="D603" s="10" t="s">
        <v>1122</v>
      </c>
      <c r="E603" s="12" t="s">
        <v>1072</v>
      </c>
      <c r="F603" s="12" t="s">
        <v>1123</v>
      </c>
      <c r="G603" s="13">
        <v>500</v>
      </c>
      <c r="H603" s="14">
        <v>500</v>
      </c>
      <c r="I603" s="15">
        <v>24.38</v>
      </c>
      <c r="J603" s="16"/>
      <c r="K603" s="17">
        <v>12190</v>
      </c>
      <c r="L603" s="18">
        <v>46122</v>
      </c>
      <c r="M603" s="6" t="str">
        <f t="shared" si="27"/>
        <v>Due order</v>
      </c>
      <c r="N603" s="8">
        <f t="shared" ca="1" si="28"/>
        <v>-33</v>
      </c>
      <c r="O603" s="8" t="str">
        <f t="shared" ca="1" si="29"/>
        <v>With in 90 days</v>
      </c>
      <c r="P603" t="str">
        <f>VLOOKUP(C603,[1]Customer_Master!$A:$B,2,0)</f>
        <v>Group-2 (Veeresh- Bomsdr+Hosur)</v>
      </c>
      <c r="Q603" t="str">
        <f>VLOOKUP(D603,[2]Template!$A:$D,3,0)</f>
        <v>LAPP</v>
      </c>
      <c r="R603" t="str">
        <f>VLOOKUP(D603,[2]Template!$A:$D,4,0)</f>
        <v>Lapp-Non Moving Stocks</v>
      </c>
    </row>
    <row r="604" spans="1:18" ht="13.5" customHeight="1" x14ac:dyDescent="0.25">
      <c r="A604" s="9">
        <v>46122</v>
      </c>
      <c r="B604" s="10" t="s">
        <v>1109</v>
      </c>
      <c r="C604" s="11" t="s">
        <v>576</v>
      </c>
      <c r="D604" s="10" t="s">
        <v>1124</v>
      </c>
      <c r="E604" s="12" t="s">
        <v>1072</v>
      </c>
      <c r="F604" s="12" t="s">
        <v>1125</v>
      </c>
      <c r="G604" s="13">
        <v>300</v>
      </c>
      <c r="H604" s="14">
        <v>300</v>
      </c>
      <c r="I604" s="15">
        <v>40.36</v>
      </c>
      <c r="J604" s="16"/>
      <c r="K604" s="17">
        <v>12108</v>
      </c>
      <c r="L604" s="18">
        <v>46122</v>
      </c>
      <c r="M604" s="6" t="str">
        <f t="shared" si="27"/>
        <v>Due order</v>
      </c>
      <c r="N604" s="8">
        <f t="shared" ca="1" si="28"/>
        <v>-33</v>
      </c>
      <c r="O604" s="8" t="str">
        <f t="shared" ca="1" si="29"/>
        <v>With in 90 days</v>
      </c>
      <c r="P604" t="str">
        <f>VLOOKUP(C604,[1]Customer_Master!$A:$B,2,0)</f>
        <v>Group-2 (Veeresh- Bomsdr+Hosur)</v>
      </c>
      <c r="Q604" t="str">
        <f>VLOOKUP(D604,[2]Template!$A:$D,3,0)</f>
        <v>LAPP</v>
      </c>
      <c r="R604" t="str">
        <f>VLOOKUP(D604,[2]Template!$A:$D,4,0)</f>
        <v>Lapp-Non Moving Stocks</v>
      </c>
    </row>
    <row r="605" spans="1:18" ht="13.5" customHeight="1" x14ac:dyDescent="0.25">
      <c r="A605" s="9">
        <v>46122</v>
      </c>
      <c r="B605" s="10" t="s">
        <v>1109</v>
      </c>
      <c r="C605" s="11" t="s">
        <v>576</v>
      </c>
      <c r="D605" s="10" t="s">
        <v>1126</v>
      </c>
      <c r="E605" s="12" t="s">
        <v>1072</v>
      </c>
      <c r="F605" s="12" t="s">
        <v>1127</v>
      </c>
      <c r="G605" s="13">
        <v>300</v>
      </c>
      <c r="H605" s="14">
        <v>300</v>
      </c>
      <c r="I605" s="15">
        <v>40.36</v>
      </c>
      <c r="J605" s="16"/>
      <c r="K605" s="17">
        <v>12108</v>
      </c>
      <c r="L605" s="18">
        <v>46122</v>
      </c>
      <c r="M605" s="6" t="str">
        <f t="shared" si="27"/>
        <v>Due order</v>
      </c>
      <c r="N605" s="8">
        <f t="shared" ca="1" si="28"/>
        <v>-33</v>
      </c>
      <c r="O605" s="8" t="str">
        <f t="shared" ca="1" si="29"/>
        <v>With in 90 days</v>
      </c>
      <c r="P605" t="str">
        <f>VLOOKUP(C605,[1]Customer_Master!$A:$B,2,0)</f>
        <v>Group-2 (Veeresh- Bomsdr+Hosur)</v>
      </c>
      <c r="Q605" t="str">
        <f>VLOOKUP(D605,[2]Template!$A:$D,3,0)</f>
        <v>LAPP</v>
      </c>
      <c r="R605" t="str">
        <f>VLOOKUP(D605,[2]Template!$A:$D,4,0)</f>
        <v>Lapp-Non Moving Stocks</v>
      </c>
    </row>
    <row r="606" spans="1:18" ht="13.5" customHeight="1" x14ac:dyDescent="0.25">
      <c r="A606" s="9">
        <v>46122</v>
      </c>
      <c r="B606" s="10" t="s">
        <v>1109</v>
      </c>
      <c r="C606" s="11" t="s">
        <v>576</v>
      </c>
      <c r="D606" s="10" t="s">
        <v>1128</v>
      </c>
      <c r="E606" s="12" t="s">
        <v>1072</v>
      </c>
      <c r="F606" s="12" t="s">
        <v>1129</v>
      </c>
      <c r="G606" s="13">
        <v>300</v>
      </c>
      <c r="H606" s="14">
        <v>300</v>
      </c>
      <c r="I606" s="15">
        <v>40.36</v>
      </c>
      <c r="J606" s="16"/>
      <c r="K606" s="17">
        <v>12108</v>
      </c>
      <c r="L606" s="18">
        <v>46122</v>
      </c>
      <c r="M606" s="6" t="str">
        <f t="shared" si="27"/>
        <v>Due order</v>
      </c>
      <c r="N606" s="8">
        <f t="shared" ca="1" si="28"/>
        <v>-33</v>
      </c>
      <c r="O606" s="8" t="str">
        <f t="shared" ca="1" si="29"/>
        <v>With in 90 days</v>
      </c>
      <c r="P606" t="str">
        <f>VLOOKUP(C606,[1]Customer_Master!$A:$B,2,0)</f>
        <v>Group-2 (Veeresh- Bomsdr+Hosur)</v>
      </c>
      <c r="Q606" t="str">
        <f>VLOOKUP(D606,[2]Template!$A:$D,3,0)</f>
        <v>LAPP</v>
      </c>
      <c r="R606" t="str">
        <f>VLOOKUP(D606,[2]Template!$A:$D,4,0)</f>
        <v>Lapp-Non Moving Stocks</v>
      </c>
    </row>
    <row r="607" spans="1:18" ht="13.5" customHeight="1" x14ac:dyDescent="0.25">
      <c r="A607" s="9">
        <v>46122</v>
      </c>
      <c r="B607" s="10" t="s">
        <v>1109</v>
      </c>
      <c r="C607" s="11" t="s">
        <v>576</v>
      </c>
      <c r="D607" s="10" t="s">
        <v>1130</v>
      </c>
      <c r="E607" s="12" t="s">
        <v>1072</v>
      </c>
      <c r="F607" s="12" t="s">
        <v>1131</v>
      </c>
      <c r="G607" s="13">
        <v>500</v>
      </c>
      <c r="H607" s="14">
        <v>500</v>
      </c>
      <c r="I607" s="15">
        <v>40.36</v>
      </c>
      <c r="J607" s="16"/>
      <c r="K607" s="17">
        <v>20180</v>
      </c>
      <c r="L607" s="18">
        <v>46122</v>
      </c>
      <c r="M607" s="6" t="str">
        <f t="shared" si="27"/>
        <v>Due order</v>
      </c>
      <c r="N607" s="8">
        <f t="shared" ca="1" si="28"/>
        <v>-33</v>
      </c>
      <c r="O607" s="8" t="str">
        <f t="shared" ca="1" si="29"/>
        <v>With in 90 days</v>
      </c>
      <c r="P607" t="str">
        <f>VLOOKUP(C607,[1]Customer_Master!$A:$B,2,0)</f>
        <v>Group-2 (Veeresh- Bomsdr+Hosur)</v>
      </c>
      <c r="Q607" t="str">
        <f>VLOOKUP(D607,[2]Template!$A:$D,3,0)</f>
        <v>LAPP</v>
      </c>
      <c r="R607" t="str">
        <f>VLOOKUP(D607,[2]Template!$A:$D,4,0)</f>
        <v>Lapp-Non Moving Stocks</v>
      </c>
    </row>
    <row r="608" spans="1:18" ht="13.5" customHeight="1" x14ac:dyDescent="0.25">
      <c r="A608" s="9">
        <v>46122</v>
      </c>
      <c r="B608" s="10" t="s">
        <v>1109</v>
      </c>
      <c r="C608" s="11" t="s">
        <v>576</v>
      </c>
      <c r="D608" s="27" t="s">
        <v>1132</v>
      </c>
      <c r="E608" s="12" t="s">
        <v>1072</v>
      </c>
      <c r="F608" s="12" t="s">
        <v>1133</v>
      </c>
      <c r="G608" s="13">
        <v>100</v>
      </c>
      <c r="H608" s="14">
        <v>100</v>
      </c>
      <c r="I608" s="15">
        <v>62.06</v>
      </c>
      <c r="J608" s="16"/>
      <c r="K608" s="17">
        <v>6206</v>
      </c>
      <c r="L608" s="18">
        <v>46122</v>
      </c>
      <c r="M608" s="6" t="str">
        <f t="shared" si="27"/>
        <v>Due order</v>
      </c>
      <c r="N608" s="8">
        <f t="shared" ca="1" si="28"/>
        <v>-33</v>
      </c>
      <c r="O608" s="8" t="str">
        <f t="shared" ca="1" si="29"/>
        <v>With in 90 days</v>
      </c>
      <c r="P608" t="str">
        <f>VLOOKUP(C608,[1]Customer_Master!$A:$B,2,0)</f>
        <v>Group-2 (Veeresh- Bomsdr+Hosur)</v>
      </c>
      <c r="Q608" t="str">
        <f>VLOOKUP(D608,[2]Template!$A:$D,3,0)</f>
        <v>LAPP</v>
      </c>
      <c r="R608" t="str">
        <f>VLOOKUP(D608,[2]Template!$A:$D,4,0)</f>
        <v>Lapp-Non Moving Stocks</v>
      </c>
    </row>
    <row r="609" spans="1:18" ht="13.5" customHeight="1" x14ac:dyDescent="0.25">
      <c r="A609" s="9">
        <v>46122</v>
      </c>
      <c r="B609" s="10" t="s">
        <v>1109</v>
      </c>
      <c r="C609" s="11" t="s">
        <v>576</v>
      </c>
      <c r="D609" s="10" t="s">
        <v>1134</v>
      </c>
      <c r="E609" s="12" t="s">
        <v>1072</v>
      </c>
      <c r="F609" s="12" t="s">
        <v>1135</v>
      </c>
      <c r="G609" s="13">
        <v>100</v>
      </c>
      <c r="H609" s="14">
        <v>100</v>
      </c>
      <c r="I609" s="15">
        <v>62.06</v>
      </c>
      <c r="J609" s="16"/>
      <c r="K609" s="17">
        <v>6206</v>
      </c>
      <c r="L609" s="18">
        <v>46122</v>
      </c>
      <c r="M609" s="6" t="str">
        <f t="shared" si="27"/>
        <v>Due order</v>
      </c>
      <c r="N609" s="8">
        <f t="shared" ca="1" si="28"/>
        <v>-33</v>
      </c>
      <c r="O609" s="8" t="str">
        <f t="shared" ca="1" si="29"/>
        <v>With in 90 days</v>
      </c>
      <c r="P609" t="str">
        <f>VLOOKUP(C609,[1]Customer_Master!$A:$B,2,0)</f>
        <v>Group-2 (Veeresh- Bomsdr+Hosur)</v>
      </c>
      <c r="Q609" t="str">
        <f>VLOOKUP(D609,[2]Template!$A:$D,3,0)</f>
        <v>LAPP</v>
      </c>
      <c r="R609" t="str">
        <f>VLOOKUP(D609,[2]Template!$A:$D,4,0)</f>
        <v>Lapp-Non Moving Stocks</v>
      </c>
    </row>
    <row r="610" spans="1:18" ht="13.5" customHeight="1" x14ac:dyDescent="0.25">
      <c r="A610" s="9">
        <v>46122</v>
      </c>
      <c r="B610" s="10" t="s">
        <v>1109</v>
      </c>
      <c r="C610" s="11" t="s">
        <v>576</v>
      </c>
      <c r="D610" s="10" t="s">
        <v>1136</v>
      </c>
      <c r="E610" s="12" t="s">
        <v>1072</v>
      </c>
      <c r="F610" s="12" t="s">
        <v>1137</v>
      </c>
      <c r="G610" s="13">
        <v>100</v>
      </c>
      <c r="H610" s="14">
        <v>100</v>
      </c>
      <c r="I610" s="15">
        <v>62.06</v>
      </c>
      <c r="J610" s="16"/>
      <c r="K610" s="17">
        <v>6206</v>
      </c>
      <c r="L610" s="18">
        <v>46122</v>
      </c>
      <c r="M610" s="6" t="str">
        <f t="shared" si="27"/>
        <v>Due order</v>
      </c>
      <c r="N610" s="8">
        <f t="shared" ca="1" si="28"/>
        <v>-33</v>
      </c>
      <c r="O610" s="8" t="str">
        <f t="shared" ca="1" si="29"/>
        <v>With in 90 days</v>
      </c>
      <c r="P610" t="str">
        <f>VLOOKUP(C610,[1]Customer_Master!$A:$B,2,0)</f>
        <v>Group-2 (Veeresh- Bomsdr+Hosur)</v>
      </c>
      <c r="Q610" t="str">
        <f>VLOOKUP(D610,[2]Template!$A:$D,3,0)</f>
        <v>LAPP</v>
      </c>
      <c r="R610" t="str">
        <f>VLOOKUP(D610,[2]Template!$A:$D,4,0)</f>
        <v>Lapp-Non Moving Stocks</v>
      </c>
    </row>
    <row r="611" spans="1:18" ht="13.5" customHeight="1" x14ac:dyDescent="0.25">
      <c r="A611" s="9">
        <v>46122</v>
      </c>
      <c r="B611" s="10" t="s">
        <v>1109</v>
      </c>
      <c r="C611" s="11" t="s">
        <v>576</v>
      </c>
      <c r="D611" s="10" t="s">
        <v>1138</v>
      </c>
      <c r="E611" s="12" t="s">
        <v>1072</v>
      </c>
      <c r="F611" s="12" t="s">
        <v>1139</v>
      </c>
      <c r="G611" s="13">
        <v>100</v>
      </c>
      <c r="H611" s="14">
        <v>100</v>
      </c>
      <c r="I611" s="15">
        <v>62.06</v>
      </c>
      <c r="J611" s="16"/>
      <c r="K611" s="17">
        <v>6206</v>
      </c>
      <c r="L611" s="18">
        <v>46122</v>
      </c>
      <c r="M611" s="6" t="str">
        <f t="shared" si="27"/>
        <v>Due order</v>
      </c>
      <c r="N611" s="8">
        <f t="shared" ca="1" si="28"/>
        <v>-33</v>
      </c>
      <c r="O611" s="8" t="str">
        <f t="shared" ca="1" si="29"/>
        <v>With in 90 days</v>
      </c>
      <c r="P611" t="str">
        <f>VLOOKUP(C611,[1]Customer_Master!$A:$B,2,0)</f>
        <v>Group-2 (Veeresh- Bomsdr+Hosur)</v>
      </c>
      <c r="Q611" t="str">
        <f>VLOOKUP(D611,[2]Template!$A:$D,3,0)</f>
        <v>LAPP</v>
      </c>
      <c r="R611" t="str">
        <f>VLOOKUP(D611,[2]Template!$A:$D,4,0)</f>
        <v>Lapp-Non Moving Stocks</v>
      </c>
    </row>
    <row r="612" spans="1:18" ht="13.5" customHeight="1" x14ac:dyDescent="0.25">
      <c r="A612" s="9">
        <v>46122</v>
      </c>
      <c r="B612" s="10" t="s">
        <v>1140</v>
      </c>
      <c r="C612" s="11" t="s">
        <v>581</v>
      </c>
      <c r="D612" s="10" t="s">
        <v>1141</v>
      </c>
      <c r="E612" s="12" t="s">
        <v>1072</v>
      </c>
      <c r="F612" s="12" t="s">
        <v>1142</v>
      </c>
      <c r="G612" s="13">
        <v>60</v>
      </c>
      <c r="H612" s="14">
        <v>60</v>
      </c>
      <c r="I612" s="15">
        <v>573.54999999999995</v>
      </c>
      <c r="J612" s="16"/>
      <c r="K612" s="17">
        <v>34413</v>
      </c>
      <c r="L612" s="18">
        <v>46193</v>
      </c>
      <c r="M612" s="6" t="str">
        <f t="shared" si="27"/>
        <v>Schedule order</v>
      </c>
      <c r="N612" s="8">
        <f t="shared" ca="1" si="28"/>
        <v>38</v>
      </c>
      <c r="O612" s="8" t="str">
        <f t="shared" ca="1" si="29"/>
        <v>Lattest or shedule order</v>
      </c>
      <c r="P612" t="str">
        <f>VLOOKUP(C612,[1]Customer_Master!$A:$B,2,0)</f>
        <v>Group 1-Giridhar-Peenya</v>
      </c>
      <c r="Q612" t="str">
        <f>VLOOKUP(D612,[2]Template!$A:$D,3,0)</f>
        <v>LAPP</v>
      </c>
      <c r="R612" t="str">
        <f>VLOOKUP(D612,[2]Template!$A:$D,4,0)</f>
        <v>Lapp-Against Customer PO</v>
      </c>
    </row>
    <row r="613" spans="1:18" ht="13.5" customHeight="1" x14ac:dyDescent="0.25">
      <c r="A613" s="9">
        <v>46122</v>
      </c>
      <c r="B613" s="10" t="s">
        <v>1143</v>
      </c>
      <c r="C613" s="11" t="s">
        <v>581</v>
      </c>
      <c r="D613" s="10" t="s">
        <v>889</v>
      </c>
      <c r="E613" s="12" t="s">
        <v>1072</v>
      </c>
      <c r="F613" s="12" t="s">
        <v>890</v>
      </c>
      <c r="G613" s="13">
        <v>80</v>
      </c>
      <c r="H613" s="14">
        <v>80</v>
      </c>
      <c r="I613" s="15">
        <v>412.63</v>
      </c>
      <c r="J613" s="16"/>
      <c r="K613" s="17">
        <v>33010.400000000001</v>
      </c>
      <c r="L613" s="18">
        <v>46193</v>
      </c>
      <c r="M613" s="6" t="str">
        <f t="shared" si="27"/>
        <v>Schedule order</v>
      </c>
      <c r="N613" s="8">
        <f t="shared" ca="1" si="28"/>
        <v>38</v>
      </c>
      <c r="O613" s="8" t="str">
        <f t="shared" ca="1" si="29"/>
        <v>Lattest or shedule order</v>
      </c>
      <c r="P613" t="str">
        <f>VLOOKUP(C613,[1]Customer_Master!$A:$B,2,0)</f>
        <v>Group 1-Giridhar-Peenya</v>
      </c>
      <c r="Q613" t="str">
        <f>VLOOKUP(D613,[2]Template!$A:$D,3,0)</f>
        <v>LAPP</v>
      </c>
      <c r="R613" t="str">
        <f>VLOOKUP(D613,[2]Template!$A:$D,4,0)</f>
        <v>Lapp-Disa India</v>
      </c>
    </row>
    <row r="614" spans="1:18" ht="13.5" customHeight="1" x14ac:dyDescent="0.25">
      <c r="A614" s="9">
        <v>46122</v>
      </c>
      <c r="B614" s="10" t="s">
        <v>1143</v>
      </c>
      <c r="C614" s="11" t="s">
        <v>581</v>
      </c>
      <c r="D614" s="10" t="s">
        <v>1141</v>
      </c>
      <c r="E614" s="12" t="s">
        <v>1072</v>
      </c>
      <c r="F614" s="12" t="s">
        <v>1142</v>
      </c>
      <c r="G614" s="13">
        <v>30</v>
      </c>
      <c r="H614" s="14">
        <v>30</v>
      </c>
      <c r="I614" s="15">
        <v>573.54999999999995</v>
      </c>
      <c r="J614" s="16"/>
      <c r="K614" s="17">
        <v>17206.5</v>
      </c>
      <c r="L614" s="18">
        <v>46193</v>
      </c>
      <c r="M614" s="6" t="str">
        <f t="shared" si="27"/>
        <v>Schedule order</v>
      </c>
      <c r="N614" s="8">
        <f t="shared" ca="1" si="28"/>
        <v>38</v>
      </c>
      <c r="O614" s="8" t="str">
        <f t="shared" ca="1" si="29"/>
        <v>Lattest or shedule order</v>
      </c>
      <c r="P614" t="str">
        <f>VLOOKUP(C614,[1]Customer_Master!$A:$B,2,0)</f>
        <v>Group 1-Giridhar-Peenya</v>
      </c>
      <c r="Q614" t="str">
        <f>VLOOKUP(D614,[2]Template!$A:$D,3,0)</f>
        <v>LAPP</v>
      </c>
      <c r="R614" t="str">
        <f>VLOOKUP(D614,[2]Template!$A:$D,4,0)</f>
        <v>Lapp-Against Customer PO</v>
      </c>
    </row>
    <row r="615" spans="1:18" ht="13.5" customHeight="1" x14ac:dyDescent="0.25">
      <c r="A615" s="9">
        <v>46122</v>
      </c>
      <c r="B615" s="10" t="s">
        <v>1143</v>
      </c>
      <c r="C615" s="11" t="s">
        <v>581</v>
      </c>
      <c r="D615" s="10" t="s">
        <v>1144</v>
      </c>
      <c r="E615" s="12" t="s">
        <v>1072</v>
      </c>
      <c r="F615" s="12" t="s">
        <v>1145</v>
      </c>
      <c r="G615" s="13">
        <v>40</v>
      </c>
      <c r="H615" s="14">
        <v>40</v>
      </c>
      <c r="I615" s="15">
        <v>266.77</v>
      </c>
      <c r="J615" s="16"/>
      <c r="K615" s="17">
        <v>10670.8</v>
      </c>
      <c r="L615" s="18">
        <v>46193</v>
      </c>
      <c r="M615" s="6" t="str">
        <f t="shared" si="27"/>
        <v>Schedule order</v>
      </c>
      <c r="N615" s="8">
        <f t="shared" ca="1" si="28"/>
        <v>38</v>
      </c>
      <c r="O615" s="8" t="str">
        <f t="shared" ca="1" si="29"/>
        <v>Lattest or shedule order</v>
      </c>
      <c r="P615" t="str">
        <f>VLOOKUP(C615,[1]Customer_Master!$A:$B,2,0)</f>
        <v>Group 1-Giridhar-Peenya</v>
      </c>
      <c r="Q615" t="str">
        <f>VLOOKUP(D615,[2]Template!$A:$D,3,0)</f>
        <v>LAPP</v>
      </c>
      <c r="R615" t="str">
        <f>VLOOKUP(D615,[2]Template!$A:$D,4,0)</f>
        <v>Lapp-Disa India</v>
      </c>
    </row>
    <row r="616" spans="1:18" ht="13.5" customHeight="1" x14ac:dyDescent="0.25">
      <c r="A616" s="9">
        <v>46122</v>
      </c>
      <c r="B616" s="10" t="s">
        <v>1146</v>
      </c>
      <c r="C616" s="11" t="s">
        <v>223</v>
      </c>
      <c r="D616" s="10" t="s">
        <v>941</v>
      </c>
      <c r="E616" s="12" t="s">
        <v>1072</v>
      </c>
      <c r="F616" s="12" t="s">
        <v>942</v>
      </c>
      <c r="G616" s="13">
        <v>4000</v>
      </c>
      <c r="H616" s="14">
        <v>2502</v>
      </c>
      <c r="I616" s="15">
        <v>33.35</v>
      </c>
      <c r="J616" s="16"/>
      <c r="K616" s="17">
        <v>83441.7</v>
      </c>
      <c r="L616" s="18">
        <v>46122</v>
      </c>
      <c r="M616" s="6" t="str">
        <f t="shared" si="27"/>
        <v>Due order</v>
      </c>
      <c r="N616" s="8">
        <f t="shared" ca="1" si="28"/>
        <v>-33</v>
      </c>
      <c r="O616" s="8" t="str">
        <f t="shared" ca="1" si="29"/>
        <v>With in 90 days</v>
      </c>
      <c r="P616" t="str">
        <f>VLOOKUP(C616,[1]Customer_Master!$A:$B,2,0)</f>
        <v>Group 1-Giridhar-Peenya</v>
      </c>
      <c r="Q616" t="str">
        <f>VLOOKUP(D616,[2]Template!$A:$D,3,0)</f>
        <v>LAPP</v>
      </c>
      <c r="R616" t="str">
        <f>VLOOKUP(D616,[2]Template!$A:$D,4,0)</f>
        <v>Lapp-AMS Group</v>
      </c>
    </row>
    <row r="617" spans="1:18" ht="13.5" customHeight="1" x14ac:dyDescent="0.25">
      <c r="A617" s="9">
        <v>46125</v>
      </c>
      <c r="B617" s="10" t="s">
        <v>1147</v>
      </c>
      <c r="C617" s="11" t="s">
        <v>54</v>
      </c>
      <c r="D617" s="10" t="s">
        <v>520</v>
      </c>
      <c r="E617" s="12" t="s">
        <v>1072</v>
      </c>
      <c r="F617" s="12" t="s">
        <v>521</v>
      </c>
      <c r="G617" s="13">
        <v>6000</v>
      </c>
      <c r="H617" s="14">
        <v>1000</v>
      </c>
      <c r="I617" s="15">
        <v>92.43</v>
      </c>
      <c r="J617" s="16"/>
      <c r="K617" s="17">
        <v>92430</v>
      </c>
      <c r="L617" s="18">
        <v>46125</v>
      </c>
      <c r="M617" s="6" t="str">
        <f t="shared" si="27"/>
        <v>Due order</v>
      </c>
      <c r="N617" s="8">
        <f t="shared" ca="1" si="28"/>
        <v>-30</v>
      </c>
      <c r="O617" s="8" t="str">
        <f t="shared" ca="1" si="29"/>
        <v>With in 90 days</v>
      </c>
      <c r="P617" t="str">
        <f>VLOOKUP(C617,[1]Customer_Master!$A:$B,2,0)</f>
        <v>Group 1-Giridhar-Peenya</v>
      </c>
      <c r="Q617" t="str">
        <f>VLOOKUP(D617,[2]Template!$A:$D,3,0)</f>
        <v>LAPP</v>
      </c>
      <c r="R617" t="str">
        <f>VLOOKUP(D617,[2]Template!$A:$D,4,0)</f>
        <v>Lapp-Rinac</v>
      </c>
    </row>
    <row r="618" spans="1:18" ht="13.5" customHeight="1" x14ac:dyDescent="0.25">
      <c r="A618" s="9">
        <v>46125</v>
      </c>
      <c r="B618" s="10" t="s">
        <v>1148</v>
      </c>
      <c r="C618" s="11" t="s">
        <v>54</v>
      </c>
      <c r="D618" s="10" t="s">
        <v>420</v>
      </c>
      <c r="E618" s="12" t="s">
        <v>1072</v>
      </c>
      <c r="F618" s="12" t="s">
        <v>186</v>
      </c>
      <c r="G618" s="19">
        <v>350</v>
      </c>
      <c r="H618" s="20">
        <v>350</v>
      </c>
      <c r="I618" s="15">
        <v>446.13</v>
      </c>
      <c r="J618" s="16"/>
      <c r="K618" s="17">
        <v>156145.5</v>
      </c>
      <c r="L618" s="18">
        <v>46127</v>
      </c>
      <c r="M618" s="6" t="str">
        <f t="shared" si="27"/>
        <v>Due order</v>
      </c>
      <c r="N618" s="8">
        <f t="shared" ca="1" si="28"/>
        <v>-28</v>
      </c>
      <c r="O618" s="8" t="str">
        <f t="shared" ca="1" si="29"/>
        <v>With in 90 days</v>
      </c>
      <c r="P618" t="str">
        <f>VLOOKUP(C618,[1]Customer_Master!$A:$B,2,0)</f>
        <v>Group 1-Giridhar-Peenya</v>
      </c>
      <c r="Q618" t="str">
        <f>VLOOKUP(D618,[2]Template!$A:$D,3,0)</f>
        <v>EATON</v>
      </c>
      <c r="R618" t="str">
        <f>VLOOKUP(D618,[2]Template!$A:$D,4,0)</f>
        <v>Eaton-Rinac</v>
      </c>
    </row>
    <row r="619" spans="1:18" ht="13.5" customHeight="1" x14ac:dyDescent="0.25">
      <c r="A619" s="9">
        <v>46125</v>
      </c>
      <c r="B619" s="10" t="s">
        <v>1148</v>
      </c>
      <c r="C619" s="11" t="s">
        <v>54</v>
      </c>
      <c r="D619" s="10" t="s">
        <v>1149</v>
      </c>
      <c r="E619" s="12" t="s">
        <v>1072</v>
      </c>
      <c r="F619" s="12" t="s">
        <v>1150</v>
      </c>
      <c r="G619" s="19">
        <v>30</v>
      </c>
      <c r="H619" s="20">
        <v>20</v>
      </c>
      <c r="I619" s="15">
        <v>459</v>
      </c>
      <c r="J619" s="16"/>
      <c r="K619" s="17">
        <v>9180</v>
      </c>
      <c r="L619" s="18">
        <v>46127</v>
      </c>
      <c r="M619" s="6" t="str">
        <f t="shared" si="27"/>
        <v>Due order</v>
      </c>
      <c r="N619" s="8">
        <f t="shared" ca="1" si="28"/>
        <v>-28</v>
      </c>
      <c r="O619" s="8" t="str">
        <f t="shared" ca="1" si="29"/>
        <v>With in 90 days</v>
      </c>
      <c r="P619" t="str">
        <f>VLOOKUP(C619,[1]Customer_Master!$A:$B,2,0)</f>
        <v>Group 1-Giridhar-Peenya</v>
      </c>
      <c r="Q619" t="str">
        <f>VLOOKUP(D619,[2]Template!$A:$D,3,0)</f>
        <v>EATON</v>
      </c>
      <c r="R619" t="str">
        <f>VLOOKUP(D619,[2]Template!$A:$D,4,0)</f>
        <v>Eaton-Rinac</v>
      </c>
    </row>
    <row r="620" spans="1:18" ht="13.5" customHeight="1" x14ac:dyDescent="0.25">
      <c r="A620" s="9">
        <v>46125</v>
      </c>
      <c r="B620" s="10" t="s">
        <v>1148</v>
      </c>
      <c r="C620" s="11" t="s">
        <v>54</v>
      </c>
      <c r="D620" s="10" t="s">
        <v>421</v>
      </c>
      <c r="E620" s="12" t="s">
        <v>1072</v>
      </c>
      <c r="F620" s="12" t="s">
        <v>187</v>
      </c>
      <c r="G620" s="19">
        <v>30</v>
      </c>
      <c r="H620" s="20">
        <v>30</v>
      </c>
      <c r="I620" s="15">
        <v>649.73</v>
      </c>
      <c r="J620" s="16"/>
      <c r="K620" s="17">
        <v>19491.900000000001</v>
      </c>
      <c r="L620" s="18">
        <v>46127</v>
      </c>
      <c r="M620" s="6" t="str">
        <f t="shared" si="27"/>
        <v>Due order</v>
      </c>
      <c r="N620" s="8">
        <f t="shared" ca="1" si="28"/>
        <v>-28</v>
      </c>
      <c r="O620" s="8" t="str">
        <f t="shared" ca="1" si="29"/>
        <v>With in 90 days</v>
      </c>
      <c r="P620" t="str">
        <f>VLOOKUP(C620,[1]Customer_Master!$A:$B,2,0)</f>
        <v>Group 1-Giridhar-Peenya</v>
      </c>
      <c r="Q620" t="str">
        <f>VLOOKUP(D620,[2]Template!$A:$D,3,0)</f>
        <v>EATON</v>
      </c>
      <c r="R620" t="str">
        <f>VLOOKUP(D620,[2]Template!$A:$D,4,0)</f>
        <v>Eaton-Rinac</v>
      </c>
    </row>
    <row r="621" spans="1:18" ht="13.5" customHeight="1" x14ac:dyDescent="0.25">
      <c r="A621" s="9">
        <v>46125</v>
      </c>
      <c r="B621" s="10" t="s">
        <v>1148</v>
      </c>
      <c r="C621" s="11" t="s">
        <v>54</v>
      </c>
      <c r="D621" s="10" t="s">
        <v>400</v>
      </c>
      <c r="E621" s="12" t="s">
        <v>1072</v>
      </c>
      <c r="F621" s="12" t="s">
        <v>142</v>
      </c>
      <c r="G621" s="19">
        <v>300</v>
      </c>
      <c r="H621" s="20">
        <v>300</v>
      </c>
      <c r="I621" s="15">
        <v>649.73</v>
      </c>
      <c r="J621" s="16"/>
      <c r="K621" s="17">
        <v>194919</v>
      </c>
      <c r="L621" s="18">
        <v>46127</v>
      </c>
      <c r="M621" s="6" t="str">
        <f t="shared" si="27"/>
        <v>Due order</v>
      </c>
      <c r="N621" s="8">
        <f t="shared" ca="1" si="28"/>
        <v>-28</v>
      </c>
      <c r="O621" s="8" t="str">
        <f t="shared" ca="1" si="29"/>
        <v>With in 90 days</v>
      </c>
      <c r="P621" t="str">
        <f>VLOOKUP(C621,[1]Customer_Master!$A:$B,2,0)</f>
        <v>Group 1-Giridhar-Peenya</v>
      </c>
      <c r="Q621" t="str">
        <f>VLOOKUP(D621,[2]Template!$A:$D,3,0)</f>
        <v>EATON</v>
      </c>
      <c r="R621" t="str">
        <f>VLOOKUP(D621,[2]Template!$A:$D,4,0)</f>
        <v>Eaton-Rinac</v>
      </c>
    </row>
    <row r="622" spans="1:18" ht="13.5" customHeight="1" x14ac:dyDescent="0.25">
      <c r="A622" s="9">
        <v>46125</v>
      </c>
      <c r="B622" s="10" t="s">
        <v>1148</v>
      </c>
      <c r="C622" s="11" t="s">
        <v>54</v>
      </c>
      <c r="D622" s="10" t="s">
        <v>422</v>
      </c>
      <c r="E622" s="12" t="s">
        <v>1072</v>
      </c>
      <c r="F622" s="12" t="s">
        <v>239</v>
      </c>
      <c r="G622" s="19">
        <v>160</v>
      </c>
      <c r="H622" s="20">
        <v>160</v>
      </c>
      <c r="I622" s="15">
        <v>649.73</v>
      </c>
      <c r="J622" s="16"/>
      <c r="K622" s="17">
        <v>103956.8</v>
      </c>
      <c r="L622" s="18">
        <v>46127</v>
      </c>
      <c r="M622" s="6" t="str">
        <f t="shared" si="27"/>
        <v>Due order</v>
      </c>
      <c r="N622" s="8">
        <f t="shared" ca="1" si="28"/>
        <v>-28</v>
      </c>
      <c r="O622" s="8" t="str">
        <f t="shared" ca="1" si="29"/>
        <v>With in 90 days</v>
      </c>
      <c r="P622" t="str">
        <f>VLOOKUP(C622,[1]Customer_Master!$A:$B,2,0)</f>
        <v>Group 1-Giridhar-Peenya</v>
      </c>
      <c r="Q622" t="str">
        <f>VLOOKUP(D622,[2]Template!$A:$D,3,0)</f>
        <v>EATON</v>
      </c>
      <c r="R622" t="str">
        <f>VLOOKUP(D622,[2]Template!$A:$D,4,0)</f>
        <v>Eaton-Rinac</v>
      </c>
    </row>
    <row r="623" spans="1:18" ht="13.5" customHeight="1" x14ac:dyDescent="0.25">
      <c r="A623" s="9">
        <v>46125</v>
      </c>
      <c r="B623" s="10" t="s">
        <v>1148</v>
      </c>
      <c r="C623" s="11" t="s">
        <v>54</v>
      </c>
      <c r="D623" s="10" t="s">
        <v>1030</v>
      </c>
      <c r="E623" s="12" t="s">
        <v>1072</v>
      </c>
      <c r="F623" s="12" t="s">
        <v>1031</v>
      </c>
      <c r="G623" s="19">
        <v>240</v>
      </c>
      <c r="H623" s="20">
        <v>240</v>
      </c>
      <c r="I623" s="15">
        <v>101.4</v>
      </c>
      <c r="J623" s="16"/>
      <c r="K623" s="17">
        <v>24336</v>
      </c>
      <c r="L623" s="18">
        <v>46127</v>
      </c>
      <c r="M623" s="6" t="str">
        <f t="shared" si="27"/>
        <v>Due order</v>
      </c>
      <c r="N623" s="8">
        <f t="shared" ca="1" si="28"/>
        <v>-28</v>
      </c>
      <c r="O623" s="8" t="str">
        <f t="shared" ca="1" si="29"/>
        <v>With in 90 days</v>
      </c>
      <c r="P623" t="str">
        <f>VLOOKUP(C623,[1]Customer_Master!$A:$B,2,0)</f>
        <v>Group 1-Giridhar-Peenya</v>
      </c>
      <c r="Q623" t="str">
        <f>VLOOKUP(D623,[2]Template!$A:$D,3,0)</f>
        <v>EATON</v>
      </c>
      <c r="R623" t="str">
        <f>VLOOKUP(D623,[2]Template!$A:$D,4,0)</f>
        <v>Eaton-Rinac</v>
      </c>
    </row>
    <row r="624" spans="1:18" ht="13.5" customHeight="1" x14ac:dyDescent="0.25">
      <c r="A624" s="9">
        <v>46125</v>
      </c>
      <c r="B624" s="10" t="s">
        <v>1148</v>
      </c>
      <c r="C624" s="11" t="s">
        <v>54</v>
      </c>
      <c r="D624" s="10" t="s">
        <v>1151</v>
      </c>
      <c r="E624" s="12" t="s">
        <v>1072</v>
      </c>
      <c r="F624" s="12" t="s">
        <v>1152</v>
      </c>
      <c r="G624" s="19">
        <v>52</v>
      </c>
      <c r="H624" s="20">
        <v>45</v>
      </c>
      <c r="I624" s="15">
        <v>1056.96</v>
      </c>
      <c r="J624" s="16"/>
      <c r="K624" s="17">
        <v>47563.199999999997</v>
      </c>
      <c r="L624" s="18">
        <v>46127</v>
      </c>
      <c r="M624" s="6" t="str">
        <f t="shared" si="27"/>
        <v>Due order</v>
      </c>
      <c r="N624" s="8">
        <f t="shared" ca="1" si="28"/>
        <v>-28</v>
      </c>
      <c r="O624" s="8" t="str">
        <f t="shared" ca="1" si="29"/>
        <v>With in 90 days</v>
      </c>
      <c r="P624" t="str">
        <f>VLOOKUP(C624,[1]Customer_Master!$A:$B,2,0)</f>
        <v>Group 1-Giridhar-Peenya</v>
      </c>
      <c r="Q624" t="str">
        <f>VLOOKUP(D624,[2]Template!$A:$D,3,0)</f>
        <v>EATON</v>
      </c>
      <c r="R624" t="str">
        <f>VLOOKUP(D624,[2]Template!$A:$D,4,0)</f>
        <v>Eaton-Rinac</v>
      </c>
    </row>
    <row r="625" spans="1:18" ht="13.5" customHeight="1" x14ac:dyDescent="0.25">
      <c r="A625" s="9">
        <v>46125</v>
      </c>
      <c r="B625" s="10" t="s">
        <v>1148</v>
      </c>
      <c r="C625" s="11" t="s">
        <v>54</v>
      </c>
      <c r="D625" s="10" t="s">
        <v>1153</v>
      </c>
      <c r="E625" s="12" t="s">
        <v>1072</v>
      </c>
      <c r="F625" s="12" t="s">
        <v>1154</v>
      </c>
      <c r="G625" s="19">
        <v>5</v>
      </c>
      <c r="H625" s="20">
        <v>5</v>
      </c>
      <c r="I625" s="15">
        <v>1977.8</v>
      </c>
      <c r="J625" s="16"/>
      <c r="K625" s="17">
        <v>9889</v>
      </c>
      <c r="L625" s="18">
        <v>46127</v>
      </c>
      <c r="M625" s="6" t="str">
        <f t="shared" si="27"/>
        <v>Due order</v>
      </c>
      <c r="N625" s="8">
        <f t="shared" ca="1" si="28"/>
        <v>-28</v>
      </c>
      <c r="O625" s="8" t="str">
        <f t="shared" ca="1" si="29"/>
        <v>With in 90 days</v>
      </c>
      <c r="P625" t="str">
        <f>VLOOKUP(C625,[1]Customer_Master!$A:$B,2,0)</f>
        <v>Group 1-Giridhar-Peenya</v>
      </c>
      <c r="Q625" t="str">
        <f>VLOOKUP(D625,[2]Template!$A:$D,3,0)</f>
        <v>EATON</v>
      </c>
      <c r="R625" t="str">
        <f>VLOOKUP(D625,[2]Template!$A:$D,4,0)</f>
        <v>Eaton-Planned Stock Specific Customer</v>
      </c>
    </row>
    <row r="626" spans="1:18" ht="13.5" customHeight="1" x14ac:dyDescent="0.25">
      <c r="A626" s="9">
        <v>46125</v>
      </c>
      <c r="B626" s="10" t="s">
        <v>1148</v>
      </c>
      <c r="C626" s="11" t="s">
        <v>54</v>
      </c>
      <c r="D626" s="10" t="s">
        <v>1155</v>
      </c>
      <c r="E626" s="12" t="s">
        <v>1072</v>
      </c>
      <c r="F626" s="12" t="s">
        <v>1156</v>
      </c>
      <c r="G626" s="19">
        <v>10</v>
      </c>
      <c r="H626" s="20">
        <v>10</v>
      </c>
      <c r="I626" s="15">
        <v>1772</v>
      </c>
      <c r="J626" s="16"/>
      <c r="K626" s="17">
        <v>17720</v>
      </c>
      <c r="L626" s="18">
        <v>46127</v>
      </c>
      <c r="M626" s="6" t="str">
        <f t="shared" si="27"/>
        <v>Due order</v>
      </c>
      <c r="N626" s="8">
        <f t="shared" ca="1" si="28"/>
        <v>-28</v>
      </c>
      <c r="O626" s="8" t="str">
        <f t="shared" ca="1" si="29"/>
        <v>With in 90 days</v>
      </c>
      <c r="P626" t="str">
        <f>VLOOKUP(C626,[1]Customer_Master!$A:$B,2,0)</f>
        <v>Group 1-Giridhar-Peenya</v>
      </c>
      <c r="Q626" t="str">
        <f>VLOOKUP(D626,[2]Template!$A:$D,3,0)</f>
        <v>EATON</v>
      </c>
      <c r="R626" t="str">
        <f>VLOOKUP(D626,[2]Template!$A:$D,4,0)</f>
        <v>Eaton-Non Moving Stock</v>
      </c>
    </row>
    <row r="627" spans="1:18" ht="13.5" customHeight="1" x14ac:dyDescent="0.25">
      <c r="A627" s="9">
        <v>46125</v>
      </c>
      <c r="B627" s="10" t="s">
        <v>1148</v>
      </c>
      <c r="C627" s="11" t="s">
        <v>54</v>
      </c>
      <c r="D627" s="10" t="s">
        <v>497</v>
      </c>
      <c r="E627" s="12" t="s">
        <v>1072</v>
      </c>
      <c r="F627" s="12" t="s">
        <v>498</v>
      </c>
      <c r="G627" s="19">
        <v>50</v>
      </c>
      <c r="H627" s="20">
        <v>50</v>
      </c>
      <c r="I627" s="15">
        <v>395.97</v>
      </c>
      <c r="J627" s="16"/>
      <c r="K627" s="17">
        <v>19798.5</v>
      </c>
      <c r="L627" s="18">
        <v>46127</v>
      </c>
      <c r="M627" s="6" t="str">
        <f t="shared" si="27"/>
        <v>Due order</v>
      </c>
      <c r="N627" s="8">
        <f t="shared" ca="1" si="28"/>
        <v>-28</v>
      </c>
      <c r="O627" s="8" t="str">
        <f t="shared" ca="1" si="29"/>
        <v>With in 90 days</v>
      </c>
      <c r="P627" t="str">
        <f>VLOOKUP(C627,[1]Customer_Master!$A:$B,2,0)</f>
        <v>Group 1-Giridhar-Peenya</v>
      </c>
      <c r="Q627" t="str">
        <f>VLOOKUP(D627,[2]Template!$A:$D,3,0)</f>
        <v>EATON</v>
      </c>
      <c r="R627" t="str">
        <f>VLOOKUP(D627,[2]Template!$A:$D,4,0)</f>
        <v>Eaton-Non Moving Stock</v>
      </c>
    </row>
    <row r="628" spans="1:18" ht="13.5" customHeight="1" x14ac:dyDescent="0.25">
      <c r="A628" s="9">
        <v>46125</v>
      </c>
      <c r="B628" s="10" t="s">
        <v>1157</v>
      </c>
      <c r="C628" s="11" t="s">
        <v>209</v>
      </c>
      <c r="D628" s="10" t="s">
        <v>1160</v>
      </c>
      <c r="E628" s="12" t="s">
        <v>1072</v>
      </c>
      <c r="F628" s="12" t="s">
        <v>1161</v>
      </c>
      <c r="G628" s="13">
        <v>1000</v>
      </c>
      <c r="H628" s="14">
        <v>1000</v>
      </c>
      <c r="I628" s="15">
        <v>3844.43</v>
      </c>
      <c r="J628" s="16"/>
      <c r="K628" s="17">
        <v>3844430</v>
      </c>
      <c r="L628" s="18">
        <v>46125</v>
      </c>
      <c r="M628" s="6" t="str">
        <f t="shared" si="27"/>
        <v>Due order</v>
      </c>
      <c r="N628" s="8">
        <f t="shared" ca="1" si="28"/>
        <v>-30</v>
      </c>
      <c r="O628" s="8" t="str">
        <f t="shared" ca="1" si="29"/>
        <v>With in 90 days</v>
      </c>
      <c r="P628" t="str">
        <f>VLOOKUP(C628,[1]Customer_Master!$A:$B,2,0)</f>
        <v>Group 1-Giridhar-Peenya</v>
      </c>
      <c r="Q628" t="str">
        <f>VLOOKUP(D628,[2]Template!$A:$D,3,0)</f>
        <v>LAPP</v>
      </c>
      <c r="R628" t="str">
        <f>VLOOKUP(D628,[2]Template!$A:$D,4,0)</f>
        <v>Lapp-Non Moving Stocks</v>
      </c>
    </row>
    <row r="629" spans="1:18" ht="13.5" customHeight="1" x14ac:dyDescent="0.25">
      <c r="A629" s="9">
        <v>46125</v>
      </c>
      <c r="B629" s="10" t="s">
        <v>1157</v>
      </c>
      <c r="C629" s="11" t="s">
        <v>209</v>
      </c>
      <c r="D629" s="27" t="s">
        <v>1162</v>
      </c>
      <c r="E629" s="12" t="s">
        <v>1072</v>
      </c>
      <c r="F629" s="12" t="s">
        <v>1163</v>
      </c>
      <c r="G629" s="13">
        <v>60</v>
      </c>
      <c r="H629" s="14">
        <v>60</v>
      </c>
      <c r="I629" s="15">
        <v>1752.97</v>
      </c>
      <c r="J629" s="16"/>
      <c r="K629" s="17">
        <v>105178.2</v>
      </c>
      <c r="L629" s="18">
        <v>46125</v>
      </c>
      <c r="M629" s="6" t="str">
        <f t="shared" si="27"/>
        <v>Due order</v>
      </c>
      <c r="N629" s="8">
        <f t="shared" ca="1" si="28"/>
        <v>-30</v>
      </c>
      <c r="O629" s="8" t="str">
        <f t="shared" ca="1" si="29"/>
        <v>With in 90 days</v>
      </c>
      <c r="P629" t="str">
        <f>VLOOKUP(C629,[1]Customer_Master!$A:$B,2,0)</f>
        <v>Group 1-Giridhar-Peenya</v>
      </c>
      <c r="Q629" t="str">
        <f>VLOOKUP(D629,[2]Template!$A:$D,3,0)</f>
        <v>LAPP</v>
      </c>
      <c r="R629" t="str">
        <f>VLOOKUP(D629,[2]Template!$A:$D,4,0)</f>
        <v>Lapp-Non Moving Stocks</v>
      </c>
    </row>
    <row r="630" spans="1:18" ht="13.5" customHeight="1" x14ac:dyDescent="0.25">
      <c r="A630" s="9">
        <v>46125</v>
      </c>
      <c r="B630" s="10" t="s">
        <v>1157</v>
      </c>
      <c r="C630" s="11" t="s">
        <v>209</v>
      </c>
      <c r="D630" s="10" t="s">
        <v>1164</v>
      </c>
      <c r="E630" s="12" t="s">
        <v>1072</v>
      </c>
      <c r="F630" s="12" t="s">
        <v>1165</v>
      </c>
      <c r="G630" s="13">
        <v>300</v>
      </c>
      <c r="H630" s="14">
        <v>200</v>
      </c>
      <c r="I630" s="15">
        <v>361.19</v>
      </c>
      <c r="J630" s="16"/>
      <c r="K630" s="17">
        <v>72238</v>
      </c>
      <c r="L630" s="18">
        <v>46125</v>
      </c>
      <c r="M630" s="6" t="str">
        <f t="shared" si="27"/>
        <v>Due order</v>
      </c>
      <c r="N630" s="8">
        <f t="shared" ca="1" si="28"/>
        <v>-30</v>
      </c>
      <c r="O630" s="8" t="str">
        <f t="shared" ca="1" si="29"/>
        <v>With in 90 days</v>
      </c>
      <c r="P630" t="str">
        <f>VLOOKUP(C630,[1]Customer_Master!$A:$B,2,0)</f>
        <v>Group 1-Giridhar-Peenya</v>
      </c>
      <c r="Q630" t="str">
        <f>VLOOKUP(D630,[2]Template!$A:$D,3,0)</f>
        <v>LAPP</v>
      </c>
      <c r="R630" t="str">
        <f>VLOOKUP(D630,[2]Template!$A:$D,4,0)</f>
        <v>Lapp-Against Customer PO</v>
      </c>
    </row>
    <row r="631" spans="1:18" ht="13.5" customHeight="1" x14ac:dyDescent="0.25">
      <c r="A631" s="9">
        <v>46125</v>
      </c>
      <c r="B631" s="10" t="s">
        <v>1157</v>
      </c>
      <c r="C631" s="11" t="s">
        <v>209</v>
      </c>
      <c r="D631" s="10" t="s">
        <v>1166</v>
      </c>
      <c r="E631" s="12" t="s">
        <v>1072</v>
      </c>
      <c r="F631" s="12" t="s">
        <v>1167</v>
      </c>
      <c r="G631" s="13">
        <v>250</v>
      </c>
      <c r="H631" s="14">
        <v>250</v>
      </c>
      <c r="I631" s="15">
        <v>134.36000000000001</v>
      </c>
      <c r="J631" s="16"/>
      <c r="K631" s="17">
        <v>33590</v>
      </c>
      <c r="L631" s="18">
        <v>46125</v>
      </c>
      <c r="M631" s="6" t="str">
        <f t="shared" si="27"/>
        <v>Due order</v>
      </c>
      <c r="N631" s="8">
        <f t="shared" ca="1" si="28"/>
        <v>-30</v>
      </c>
      <c r="O631" s="8" t="str">
        <f t="shared" ca="1" si="29"/>
        <v>With in 90 days</v>
      </c>
      <c r="P631" t="str">
        <f>VLOOKUP(C631,[1]Customer_Master!$A:$B,2,0)</f>
        <v>Group 1-Giridhar-Peenya</v>
      </c>
      <c r="Q631" t="str">
        <f>VLOOKUP(D631,[2]Template!$A:$D,3,0)</f>
        <v>LAPP</v>
      </c>
      <c r="R631" t="str">
        <f>VLOOKUP(D631,[2]Template!$A:$D,4,0)</f>
        <v>Lapp-Non Moving Stocks</v>
      </c>
    </row>
    <row r="632" spans="1:18" ht="13.5" customHeight="1" x14ac:dyDescent="0.25">
      <c r="A632" s="9">
        <v>46125</v>
      </c>
      <c r="B632" s="10" t="s">
        <v>1157</v>
      </c>
      <c r="C632" s="11" t="s">
        <v>209</v>
      </c>
      <c r="D632" s="10" t="s">
        <v>1168</v>
      </c>
      <c r="E632" s="12" t="s">
        <v>1072</v>
      </c>
      <c r="F632" s="12" t="s">
        <v>1169</v>
      </c>
      <c r="G632" s="13">
        <v>150</v>
      </c>
      <c r="H632" s="14">
        <v>150</v>
      </c>
      <c r="I632" s="15">
        <v>314.89999999999998</v>
      </c>
      <c r="J632" s="16"/>
      <c r="K632" s="17">
        <v>47235</v>
      </c>
      <c r="L632" s="18">
        <v>46125</v>
      </c>
      <c r="M632" s="6" t="str">
        <f t="shared" si="27"/>
        <v>Due order</v>
      </c>
      <c r="N632" s="8">
        <f t="shared" ca="1" si="28"/>
        <v>-30</v>
      </c>
      <c r="O632" s="8" t="str">
        <f t="shared" ca="1" si="29"/>
        <v>With in 90 days</v>
      </c>
      <c r="P632" t="str">
        <f>VLOOKUP(C632,[1]Customer_Master!$A:$B,2,0)</f>
        <v>Group 1-Giridhar-Peenya</v>
      </c>
      <c r="Q632" t="str">
        <f>VLOOKUP(D632,[2]Template!$A:$D,3,0)</f>
        <v>LAPP</v>
      </c>
      <c r="R632" t="str">
        <f>VLOOKUP(D632,[2]Template!$A:$D,4,0)</f>
        <v>Lapp-Non Moving Stocks</v>
      </c>
    </row>
    <row r="633" spans="1:18" ht="13.5" customHeight="1" x14ac:dyDescent="0.25">
      <c r="A633" s="9">
        <v>46125</v>
      </c>
      <c r="B633" s="10" t="s">
        <v>1157</v>
      </c>
      <c r="C633" s="11" t="s">
        <v>209</v>
      </c>
      <c r="D633" s="27" t="s">
        <v>1170</v>
      </c>
      <c r="E633" s="12" t="s">
        <v>1072</v>
      </c>
      <c r="F633" s="12" t="s">
        <v>1171</v>
      </c>
      <c r="G633" s="13">
        <v>60</v>
      </c>
      <c r="H633" s="14">
        <v>60</v>
      </c>
      <c r="I633" s="15">
        <v>739.34</v>
      </c>
      <c r="J633" s="16"/>
      <c r="K633" s="17">
        <v>44360.4</v>
      </c>
      <c r="L633" s="18">
        <v>46125</v>
      </c>
      <c r="M633" s="6" t="str">
        <f t="shared" si="27"/>
        <v>Due order</v>
      </c>
      <c r="N633" s="8">
        <f t="shared" ca="1" si="28"/>
        <v>-30</v>
      </c>
      <c r="O633" s="8" t="str">
        <f t="shared" ca="1" si="29"/>
        <v>With in 90 days</v>
      </c>
      <c r="P633" t="str">
        <f>VLOOKUP(C633,[1]Customer_Master!$A:$B,2,0)</f>
        <v>Group 1-Giridhar-Peenya</v>
      </c>
      <c r="Q633" t="str">
        <f>VLOOKUP(D633,[2]Template!$A:$D,3,0)</f>
        <v>LAPP</v>
      </c>
      <c r="R633" t="str">
        <f>VLOOKUP(D633,[2]Template!$A:$D,4,0)</f>
        <v>Lapp-Non Moving Stocks</v>
      </c>
    </row>
    <row r="634" spans="1:18" ht="13.5" customHeight="1" x14ac:dyDescent="0.25">
      <c r="A634" s="9">
        <v>46125</v>
      </c>
      <c r="B634" s="10" t="s">
        <v>1157</v>
      </c>
      <c r="C634" s="11" t="s">
        <v>209</v>
      </c>
      <c r="D634" s="27" t="s">
        <v>1172</v>
      </c>
      <c r="E634" s="12" t="s">
        <v>1072</v>
      </c>
      <c r="F634" s="12" t="s">
        <v>1173</v>
      </c>
      <c r="G634" s="13">
        <v>130</v>
      </c>
      <c r="H634" s="14">
        <v>130</v>
      </c>
      <c r="I634" s="15">
        <v>954.33</v>
      </c>
      <c r="J634" s="16"/>
      <c r="K634" s="17">
        <v>124062.9</v>
      </c>
      <c r="L634" s="18">
        <v>46125</v>
      </c>
      <c r="M634" s="6" t="str">
        <f t="shared" si="27"/>
        <v>Due order</v>
      </c>
      <c r="N634" s="8">
        <f t="shared" ca="1" si="28"/>
        <v>-30</v>
      </c>
      <c r="O634" s="8" t="str">
        <f t="shared" ca="1" si="29"/>
        <v>With in 90 days</v>
      </c>
      <c r="P634" t="str">
        <f>VLOOKUP(C634,[1]Customer_Master!$A:$B,2,0)</f>
        <v>Group 1-Giridhar-Peenya</v>
      </c>
      <c r="Q634" t="str">
        <f>VLOOKUP(D634,[2]Template!$A:$D,3,0)</f>
        <v>LAPP</v>
      </c>
      <c r="R634" t="str">
        <f>VLOOKUP(D634,[2]Template!$A:$D,4,0)</f>
        <v>Lapp-Non Moving Stocks</v>
      </c>
    </row>
    <row r="635" spans="1:18" ht="13.5" customHeight="1" x14ac:dyDescent="0.25">
      <c r="A635" s="9">
        <v>46125</v>
      </c>
      <c r="B635" s="10" t="s">
        <v>1157</v>
      </c>
      <c r="C635" s="11" t="s">
        <v>209</v>
      </c>
      <c r="D635" s="27" t="s">
        <v>1176</v>
      </c>
      <c r="E635" s="12" t="s">
        <v>1072</v>
      </c>
      <c r="F635" s="12" t="s">
        <v>1177</v>
      </c>
      <c r="G635" s="13">
        <v>80</v>
      </c>
      <c r="H635" s="14">
        <v>80</v>
      </c>
      <c r="I635" s="15">
        <v>1527.57</v>
      </c>
      <c r="J635" s="16"/>
      <c r="K635" s="17">
        <v>122205.6</v>
      </c>
      <c r="L635" s="18">
        <v>46125</v>
      </c>
      <c r="M635" s="6" t="str">
        <f t="shared" si="27"/>
        <v>Due order</v>
      </c>
      <c r="N635" s="8">
        <f t="shared" ca="1" si="28"/>
        <v>-30</v>
      </c>
      <c r="O635" s="8" t="str">
        <f t="shared" ca="1" si="29"/>
        <v>With in 90 days</v>
      </c>
      <c r="P635" t="str">
        <f>VLOOKUP(C635,[1]Customer_Master!$A:$B,2,0)</f>
        <v>Group 1-Giridhar-Peenya</v>
      </c>
      <c r="Q635" t="str">
        <f>VLOOKUP(D635,[2]Template!$A:$D,3,0)</f>
        <v>LAPP</v>
      </c>
      <c r="R635" t="str">
        <f>VLOOKUP(D635,[2]Template!$A:$D,4,0)</f>
        <v>Lapp-Non Moving Stocks</v>
      </c>
    </row>
    <row r="636" spans="1:18" ht="13.5" customHeight="1" x14ac:dyDescent="0.25">
      <c r="A636" s="9">
        <v>46125</v>
      </c>
      <c r="B636" s="10" t="s">
        <v>1157</v>
      </c>
      <c r="C636" s="11" t="s">
        <v>209</v>
      </c>
      <c r="D636" s="27" t="s">
        <v>1178</v>
      </c>
      <c r="E636" s="12" t="s">
        <v>1072</v>
      </c>
      <c r="F636" s="12" t="s">
        <v>1179</v>
      </c>
      <c r="G636" s="13">
        <v>250</v>
      </c>
      <c r="H636" s="14">
        <v>250</v>
      </c>
      <c r="I636" s="15">
        <v>441.51</v>
      </c>
      <c r="J636" s="16"/>
      <c r="K636" s="17">
        <v>110377.5</v>
      </c>
      <c r="L636" s="18">
        <v>46125</v>
      </c>
      <c r="M636" s="6" t="str">
        <f t="shared" si="27"/>
        <v>Due order</v>
      </c>
      <c r="N636" s="8">
        <f t="shared" ca="1" si="28"/>
        <v>-30</v>
      </c>
      <c r="O636" s="8" t="str">
        <f t="shared" ca="1" si="29"/>
        <v>With in 90 days</v>
      </c>
      <c r="P636" t="str">
        <f>VLOOKUP(C636,[1]Customer_Master!$A:$B,2,0)</f>
        <v>Group 1-Giridhar-Peenya</v>
      </c>
      <c r="Q636" t="str">
        <f>VLOOKUP(D636,[2]Template!$A:$D,3,0)</f>
        <v>LAPP</v>
      </c>
      <c r="R636" t="str">
        <f>VLOOKUP(D636,[2]Template!$A:$D,4,0)</f>
        <v>Lapp-Non Moving Stocks</v>
      </c>
    </row>
    <row r="637" spans="1:18" ht="13.5" customHeight="1" x14ac:dyDescent="0.25">
      <c r="A637" s="9">
        <v>46125</v>
      </c>
      <c r="B637" s="10" t="s">
        <v>1180</v>
      </c>
      <c r="C637" s="11" t="s">
        <v>91</v>
      </c>
      <c r="D637" s="10" t="s">
        <v>627</v>
      </c>
      <c r="E637" s="12" t="s">
        <v>1072</v>
      </c>
      <c r="F637" s="12" t="s">
        <v>628</v>
      </c>
      <c r="G637" s="19">
        <v>35</v>
      </c>
      <c r="H637" s="20">
        <v>35</v>
      </c>
      <c r="I637" s="15">
        <v>115.25</v>
      </c>
      <c r="J637" s="16"/>
      <c r="K637" s="17">
        <v>4033.75</v>
      </c>
      <c r="L637" s="18">
        <v>46125</v>
      </c>
      <c r="M637" s="6" t="str">
        <f t="shared" si="27"/>
        <v>Due order</v>
      </c>
      <c r="N637" s="8">
        <f t="shared" ca="1" si="28"/>
        <v>-30</v>
      </c>
      <c r="O637" s="8" t="str">
        <f t="shared" ca="1" si="29"/>
        <v>With in 90 days</v>
      </c>
      <c r="P637" t="str">
        <f>VLOOKUP(C637,[1]Customer_Master!$A:$B,2,0)</f>
        <v>Group-2 (Veeresh- Bomsdr+Hosur)</v>
      </c>
      <c r="Q637" t="str">
        <f>VLOOKUP(D637,[2]Template!$A:$D,3,0)</f>
        <v>LAPP</v>
      </c>
      <c r="R637" t="str">
        <f>VLOOKUP(D637,[2]Template!$A:$D,4,0)</f>
        <v>Lapp-Against Customer PO</v>
      </c>
    </row>
    <row r="638" spans="1:18" ht="13.5" customHeight="1" x14ac:dyDescent="0.25">
      <c r="A638" s="9">
        <v>46125</v>
      </c>
      <c r="B638" s="10" t="s">
        <v>1180</v>
      </c>
      <c r="C638" s="11" t="s">
        <v>91</v>
      </c>
      <c r="D638" s="10" t="s">
        <v>572</v>
      </c>
      <c r="E638" s="12" t="s">
        <v>1072</v>
      </c>
      <c r="F638" s="12" t="s">
        <v>573</v>
      </c>
      <c r="G638" s="19">
        <v>35</v>
      </c>
      <c r="H638" s="20">
        <v>35</v>
      </c>
      <c r="I638" s="15">
        <v>434.68</v>
      </c>
      <c r="J638" s="16"/>
      <c r="K638" s="17">
        <v>15213.8</v>
      </c>
      <c r="L638" s="18">
        <v>46125</v>
      </c>
      <c r="M638" s="6" t="str">
        <f t="shared" si="27"/>
        <v>Due order</v>
      </c>
      <c r="N638" s="8">
        <f t="shared" ca="1" si="28"/>
        <v>-30</v>
      </c>
      <c r="O638" s="8" t="str">
        <f t="shared" ca="1" si="29"/>
        <v>With in 90 days</v>
      </c>
      <c r="P638" t="str">
        <f>VLOOKUP(C638,[1]Customer_Master!$A:$B,2,0)</f>
        <v>Group-2 (Veeresh- Bomsdr+Hosur)</v>
      </c>
      <c r="Q638" t="str">
        <f>VLOOKUP(D638,[2]Template!$A:$D,3,0)</f>
        <v>LAPP</v>
      </c>
      <c r="R638" t="str">
        <f>VLOOKUP(D638,[2]Template!$A:$D,4,0)</f>
        <v>Lapp-Against Customer PO</v>
      </c>
    </row>
    <row r="639" spans="1:18" ht="13.5" customHeight="1" x14ac:dyDescent="0.25">
      <c r="A639" s="9">
        <v>46125</v>
      </c>
      <c r="B639" s="10" t="s">
        <v>1180</v>
      </c>
      <c r="C639" s="11" t="s">
        <v>91</v>
      </c>
      <c r="D639" s="10" t="s">
        <v>1051</v>
      </c>
      <c r="E639" s="12" t="s">
        <v>1072</v>
      </c>
      <c r="F639" s="12" t="s">
        <v>1084</v>
      </c>
      <c r="G639" s="19">
        <v>50</v>
      </c>
      <c r="H639" s="20">
        <v>50</v>
      </c>
      <c r="I639" s="15">
        <v>1476.75</v>
      </c>
      <c r="J639" s="16"/>
      <c r="K639" s="17">
        <v>73837.5</v>
      </c>
      <c r="L639" s="18">
        <v>46125</v>
      </c>
      <c r="M639" s="6" t="str">
        <f t="shared" si="27"/>
        <v>Due order</v>
      </c>
      <c r="N639" s="8">
        <f t="shared" ca="1" si="28"/>
        <v>-30</v>
      </c>
      <c r="O639" s="8" t="str">
        <f t="shared" ca="1" si="29"/>
        <v>With in 90 days</v>
      </c>
      <c r="P639" t="str">
        <f>VLOOKUP(C639,[1]Customer_Master!$A:$B,2,0)</f>
        <v>Group-2 (Veeresh- Bomsdr+Hosur)</v>
      </c>
      <c r="Q639" t="str">
        <f>VLOOKUP(D639,[2]Template!$A:$D,3,0)</f>
        <v>LAPP</v>
      </c>
      <c r="R639" t="str">
        <f>VLOOKUP(D639,[2]Template!$A:$D,4,0)</f>
        <v>Lapp-Against Customer PO</v>
      </c>
    </row>
    <row r="640" spans="1:18" ht="13.5" customHeight="1" x14ac:dyDescent="0.25">
      <c r="A640" s="9">
        <v>46125</v>
      </c>
      <c r="B640" s="10" t="s">
        <v>1180</v>
      </c>
      <c r="C640" s="11" t="s">
        <v>91</v>
      </c>
      <c r="D640" s="10" t="s">
        <v>1052</v>
      </c>
      <c r="E640" s="12" t="s">
        <v>1072</v>
      </c>
      <c r="F640" s="12" t="s">
        <v>1085</v>
      </c>
      <c r="G640" s="19">
        <v>50</v>
      </c>
      <c r="H640" s="20">
        <v>48</v>
      </c>
      <c r="I640" s="15">
        <v>1454.71</v>
      </c>
      <c r="J640" s="16"/>
      <c r="K640" s="17">
        <v>69826.080000000002</v>
      </c>
      <c r="L640" s="18">
        <v>46125</v>
      </c>
      <c r="M640" s="6" t="str">
        <f t="shared" si="27"/>
        <v>Due order</v>
      </c>
      <c r="N640" s="8">
        <f t="shared" ca="1" si="28"/>
        <v>-30</v>
      </c>
      <c r="O640" s="8" t="str">
        <f t="shared" ca="1" si="29"/>
        <v>With in 90 days</v>
      </c>
      <c r="P640" t="str">
        <f>VLOOKUP(C640,[1]Customer_Master!$A:$B,2,0)</f>
        <v>Group-2 (Veeresh- Bomsdr+Hosur)</v>
      </c>
      <c r="Q640" t="str">
        <f>VLOOKUP(D640,[2]Template!$A:$D,3,0)</f>
        <v>LAPP</v>
      </c>
      <c r="R640" t="str">
        <f>VLOOKUP(D640,[2]Template!$A:$D,4,0)</f>
        <v>Lapp-Against Customer PO</v>
      </c>
    </row>
    <row r="641" spans="1:18" ht="13.5" customHeight="1" x14ac:dyDescent="0.25">
      <c r="A641" s="9">
        <v>46125</v>
      </c>
      <c r="B641" s="10" t="s">
        <v>1180</v>
      </c>
      <c r="C641" s="11" t="s">
        <v>91</v>
      </c>
      <c r="D641" s="27" t="s">
        <v>839</v>
      </c>
      <c r="E641" s="12" t="s">
        <v>1072</v>
      </c>
      <c r="F641" s="12" t="s">
        <v>840</v>
      </c>
      <c r="G641" s="19">
        <v>50</v>
      </c>
      <c r="H641" s="20">
        <v>50</v>
      </c>
      <c r="I641" s="15">
        <v>61.41</v>
      </c>
      <c r="J641" s="16"/>
      <c r="K641" s="17">
        <v>3070.5</v>
      </c>
      <c r="L641" s="18">
        <v>46125</v>
      </c>
      <c r="M641" s="6" t="str">
        <f t="shared" si="27"/>
        <v>Due order</v>
      </c>
      <c r="N641" s="8">
        <f t="shared" ca="1" si="28"/>
        <v>-30</v>
      </c>
      <c r="O641" s="8" t="str">
        <f t="shared" ca="1" si="29"/>
        <v>With in 90 days</v>
      </c>
      <c r="P641" t="str">
        <f>VLOOKUP(C641,[1]Customer_Master!$A:$B,2,0)</f>
        <v>Group-2 (Veeresh- Bomsdr+Hosur)</v>
      </c>
      <c r="Q641" t="str">
        <f>VLOOKUP(D641,[2]Template!$A:$D,3,0)</f>
        <v>LAPP</v>
      </c>
      <c r="R641" t="str">
        <f>VLOOKUP(D641,[2]Template!$A:$D,4,0)</f>
        <v>Lapp-Non Moving Stocks</v>
      </c>
    </row>
    <row r="642" spans="1:18" ht="13.5" customHeight="1" x14ac:dyDescent="0.25">
      <c r="A642" s="9">
        <v>46125</v>
      </c>
      <c r="B642" s="10" t="s">
        <v>1180</v>
      </c>
      <c r="C642" s="11" t="s">
        <v>91</v>
      </c>
      <c r="D642" s="10" t="s">
        <v>841</v>
      </c>
      <c r="E642" s="12" t="s">
        <v>1072</v>
      </c>
      <c r="F642" s="12" t="s">
        <v>1086</v>
      </c>
      <c r="G642" s="22">
        <v>50</v>
      </c>
      <c r="H642" s="23">
        <v>50</v>
      </c>
      <c r="I642" s="15">
        <v>95.28</v>
      </c>
      <c r="J642" s="16"/>
      <c r="K642" s="17">
        <v>4764</v>
      </c>
      <c r="L642" s="18">
        <v>46125</v>
      </c>
      <c r="M642" s="6" t="str">
        <f t="shared" si="27"/>
        <v>Due order</v>
      </c>
      <c r="N642" s="8">
        <f t="shared" ca="1" si="28"/>
        <v>-30</v>
      </c>
      <c r="O642" s="8" t="str">
        <f t="shared" ca="1" si="29"/>
        <v>With in 90 days</v>
      </c>
      <c r="P642" t="str">
        <f>VLOOKUP(C642,[1]Customer_Master!$A:$B,2,0)</f>
        <v>Group-2 (Veeresh- Bomsdr+Hosur)</v>
      </c>
      <c r="Q642" t="str">
        <f>VLOOKUP(D642,[2]Template!$A:$D,3,0)</f>
        <v>LAPP</v>
      </c>
      <c r="R642" t="str">
        <f>VLOOKUP(D642,[2]Template!$A:$D,4,0)</f>
        <v>Lapp-Non Moving Stocks</v>
      </c>
    </row>
    <row r="643" spans="1:18" ht="13.5" customHeight="1" x14ac:dyDescent="0.25">
      <c r="A643" s="9">
        <v>46125</v>
      </c>
      <c r="B643" s="10" t="s">
        <v>1183</v>
      </c>
      <c r="C643" s="11" t="s">
        <v>843</v>
      </c>
      <c r="D643" s="10" t="s">
        <v>779</v>
      </c>
      <c r="E643" s="12" t="s">
        <v>1072</v>
      </c>
      <c r="F643" s="12" t="s">
        <v>780</v>
      </c>
      <c r="G643" s="13">
        <v>400</v>
      </c>
      <c r="H643" s="14">
        <v>400</v>
      </c>
      <c r="I643" s="15">
        <v>15.93</v>
      </c>
      <c r="J643" s="16"/>
      <c r="K643" s="17">
        <v>6372</v>
      </c>
      <c r="L643" s="18">
        <v>46125</v>
      </c>
      <c r="M643" s="6" t="str">
        <f t="shared" ref="M643:M706" si="30">IF(L643&lt;DATE(2026,4,30),"Due order","Schedule order")</f>
        <v>Due order</v>
      </c>
      <c r="N643" s="8">
        <f t="shared" ref="N643:N706" ca="1" si="31">L643-TODAY()</f>
        <v>-30</v>
      </c>
      <c r="O643" s="8" t="str">
        <f t="shared" ref="O643:O706" ca="1" si="32">IF(N643&lt;-365,"More than 1 Year old",IF(N643&lt;-180," More than 180 days old",IF(N643&lt;-90,"More than 90 day old",IF(N643&lt;0,"With in 90 days","Lattest or shedule order"))))</f>
        <v>With in 90 days</v>
      </c>
      <c r="P643" t="str">
        <f>VLOOKUP(C643,[1]Customer_Master!$A:$B,2,0)</f>
        <v>Group-2 (Veeresh- Bomsdr+Hosur)</v>
      </c>
      <c r="Q643" t="str">
        <f>VLOOKUP(D643,[2]Template!$A:$D,3,0)</f>
        <v>LAPP</v>
      </c>
      <c r="R643" t="str">
        <f>VLOOKUP(D643,[2]Template!$A:$D,4,0)</f>
        <v>Lapp-Planned Stock General</v>
      </c>
    </row>
    <row r="644" spans="1:18" ht="13.5" customHeight="1" x14ac:dyDescent="0.25">
      <c r="A644" s="9">
        <v>46126</v>
      </c>
      <c r="B644" s="10" t="s">
        <v>1184</v>
      </c>
      <c r="C644" s="11" t="s">
        <v>13</v>
      </c>
      <c r="D644" s="27" t="s">
        <v>395</v>
      </c>
      <c r="E644" s="26" t="s">
        <v>189</v>
      </c>
      <c r="F644" s="12" t="s">
        <v>190</v>
      </c>
      <c r="G644" s="19">
        <v>50</v>
      </c>
      <c r="H644" s="20">
        <v>50</v>
      </c>
      <c r="I644" s="15">
        <v>3502</v>
      </c>
      <c r="J644" s="16"/>
      <c r="K644" s="17">
        <v>175100</v>
      </c>
      <c r="L644" s="18">
        <v>46265</v>
      </c>
      <c r="M644" s="6" t="str">
        <f t="shared" si="30"/>
        <v>Schedule order</v>
      </c>
      <c r="N644" s="8">
        <f t="shared" ca="1" si="31"/>
        <v>110</v>
      </c>
      <c r="O644" s="8" t="str">
        <f t="shared" ca="1" si="32"/>
        <v>Lattest or shedule order</v>
      </c>
      <c r="P644" t="str">
        <f>VLOOKUP(C644,[1]Customer_Master!$A:$B,2,0)</f>
        <v>Group-2 (Veeresh- Bomsdr+Hosur)</v>
      </c>
      <c r="Q644" t="str">
        <f>VLOOKUP(D644,[2]Template!$A:$D,3,0)</f>
        <v>EATON</v>
      </c>
      <c r="R644" t="str">
        <f>VLOOKUP(D644,[2]Template!$A:$D,4,0)</f>
        <v>Eaton-Faiveley-Non E70</v>
      </c>
    </row>
    <row r="645" spans="1:18" ht="13.5" customHeight="1" x14ac:dyDescent="0.25">
      <c r="A645" s="9">
        <v>46126</v>
      </c>
      <c r="B645" s="10" t="s">
        <v>1185</v>
      </c>
      <c r="C645" s="11" t="s">
        <v>13</v>
      </c>
      <c r="D645" s="10" t="s">
        <v>312</v>
      </c>
      <c r="E645" s="26" t="s">
        <v>56</v>
      </c>
      <c r="F645" s="12" t="s">
        <v>57</v>
      </c>
      <c r="G645" s="19">
        <v>50</v>
      </c>
      <c r="H645" s="20">
        <v>50</v>
      </c>
      <c r="I645" s="15">
        <v>5555</v>
      </c>
      <c r="J645" s="16"/>
      <c r="K645" s="17">
        <v>277750</v>
      </c>
      <c r="L645" s="18">
        <v>46265</v>
      </c>
      <c r="M645" s="6" t="str">
        <f t="shared" si="30"/>
        <v>Schedule order</v>
      </c>
      <c r="N645" s="8">
        <f t="shared" ca="1" si="31"/>
        <v>110</v>
      </c>
      <c r="O645" s="8" t="str">
        <f t="shared" ca="1" si="32"/>
        <v>Lattest or shedule order</v>
      </c>
      <c r="P645" t="str">
        <f>VLOOKUP(C645,[1]Customer_Master!$A:$B,2,0)</f>
        <v>Group-2 (Veeresh- Bomsdr+Hosur)</v>
      </c>
      <c r="Q645" t="str">
        <f>VLOOKUP(D645,[2]Template!$A:$D,3,0)</f>
        <v>EATON</v>
      </c>
      <c r="R645" t="str">
        <f>VLOOKUP(D645,[2]Template!$A:$D,4,0)</f>
        <v>Eaton-Faiveley-Non E70</v>
      </c>
    </row>
    <row r="646" spans="1:18" ht="13.5" customHeight="1" x14ac:dyDescent="0.25">
      <c r="A646" s="9">
        <v>46126</v>
      </c>
      <c r="B646" s="10" t="s">
        <v>1185</v>
      </c>
      <c r="C646" s="11" t="s">
        <v>13</v>
      </c>
      <c r="D646" s="10" t="s">
        <v>306</v>
      </c>
      <c r="E646" s="26" t="s">
        <v>42</v>
      </c>
      <c r="F646" s="12" t="s">
        <v>43</v>
      </c>
      <c r="G646" s="19">
        <v>50</v>
      </c>
      <c r="H646" s="20">
        <v>50</v>
      </c>
      <c r="I646" s="15">
        <v>5555</v>
      </c>
      <c r="J646" s="16"/>
      <c r="K646" s="17">
        <v>277750</v>
      </c>
      <c r="L646" s="18">
        <v>46265</v>
      </c>
      <c r="M646" s="6" t="str">
        <f t="shared" si="30"/>
        <v>Schedule order</v>
      </c>
      <c r="N646" s="8">
        <f t="shared" ca="1" si="31"/>
        <v>110</v>
      </c>
      <c r="O646" s="8" t="str">
        <f t="shared" ca="1" si="32"/>
        <v>Lattest or shedule order</v>
      </c>
      <c r="P646" t="str">
        <f>VLOOKUP(C646,[1]Customer_Master!$A:$B,2,0)</f>
        <v>Group-2 (Veeresh- Bomsdr+Hosur)</v>
      </c>
      <c r="Q646" t="str">
        <f>VLOOKUP(D646,[2]Template!$A:$D,3,0)</f>
        <v>EATON</v>
      </c>
      <c r="R646" t="str">
        <f>VLOOKUP(D646,[2]Template!$A:$D,4,0)</f>
        <v>Eaton-Faiveley-Non E70</v>
      </c>
    </row>
    <row r="647" spans="1:18" ht="13.5" customHeight="1" x14ac:dyDescent="0.25">
      <c r="A647" s="9">
        <v>46126</v>
      </c>
      <c r="B647" s="10" t="s">
        <v>1185</v>
      </c>
      <c r="C647" s="11" t="s">
        <v>13</v>
      </c>
      <c r="D647" s="10" t="s">
        <v>386</v>
      </c>
      <c r="E647" s="26" t="s">
        <v>175</v>
      </c>
      <c r="F647" s="12" t="s">
        <v>176</v>
      </c>
      <c r="G647" s="19">
        <v>20</v>
      </c>
      <c r="H647" s="20">
        <v>20</v>
      </c>
      <c r="I647" s="15">
        <v>9023</v>
      </c>
      <c r="J647" s="16"/>
      <c r="K647" s="17">
        <v>180460</v>
      </c>
      <c r="L647" s="18">
        <v>46265</v>
      </c>
      <c r="M647" s="6" t="str">
        <f t="shared" si="30"/>
        <v>Schedule order</v>
      </c>
      <c r="N647" s="8">
        <f t="shared" ca="1" si="31"/>
        <v>110</v>
      </c>
      <c r="O647" s="8" t="str">
        <f t="shared" ca="1" si="32"/>
        <v>Lattest or shedule order</v>
      </c>
      <c r="P647" t="str">
        <f>VLOOKUP(C647,[1]Customer_Master!$A:$B,2,0)</f>
        <v>Group-2 (Veeresh- Bomsdr+Hosur)</v>
      </c>
      <c r="Q647" t="str">
        <f>VLOOKUP(D647,[2]Template!$A:$D,3,0)</f>
        <v>EATON</v>
      </c>
      <c r="R647" t="str">
        <f>VLOOKUP(D647,[2]Template!$A:$D,4,0)</f>
        <v>Eaton-Faiveley-Non E70</v>
      </c>
    </row>
    <row r="648" spans="1:18" ht="13.5" customHeight="1" x14ac:dyDescent="0.25">
      <c r="A648" s="9">
        <v>46126</v>
      </c>
      <c r="B648" s="10" t="s">
        <v>1185</v>
      </c>
      <c r="C648" s="11" t="s">
        <v>13</v>
      </c>
      <c r="D648" s="10" t="s">
        <v>1186</v>
      </c>
      <c r="E648" s="12" t="s">
        <v>1187</v>
      </c>
      <c r="F648" s="12" t="s">
        <v>1188</v>
      </c>
      <c r="G648" s="19">
        <v>1</v>
      </c>
      <c r="H648" s="20">
        <v>1</v>
      </c>
      <c r="I648" s="15">
        <v>2803</v>
      </c>
      <c r="J648" s="16"/>
      <c r="K648" s="17">
        <v>2803</v>
      </c>
      <c r="L648" s="18">
        <v>46259</v>
      </c>
      <c r="M648" s="6" t="str">
        <f t="shared" si="30"/>
        <v>Schedule order</v>
      </c>
      <c r="N648" s="8">
        <f t="shared" ca="1" si="31"/>
        <v>104</v>
      </c>
      <c r="O648" s="8" t="str">
        <f t="shared" ca="1" si="32"/>
        <v>Lattest or shedule order</v>
      </c>
      <c r="P648" t="str">
        <f>VLOOKUP(C648,[1]Customer_Master!$A:$B,2,0)</f>
        <v>Group-2 (Veeresh- Bomsdr+Hosur)</v>
      </c>
      <c r="Q648" t="str">
        <f>VLOOKUP(D648,[2]Template!$A:$D,3,0)</f>
        <v>EATON</v>
      </c>
      <c r="R648" t="str">
        <f>VLOOKUP(D648,[2]Template!$A:$D,4,0)</f>
        <v>Eaton-Faiveley-Non E70</v>
      </c>
    </row>
    <row r="649" spans="1:18" ht="13.5" customHeight="1" x14ac:dyDescent="0.25">
      <c r="A649" s="9">
        <v>46126</v>
      </c>
      <c r="B649" s="10" t="s">
        <v>1185</v>
      </c>
      <c r="C649" s="11" t="s">
        <v>13</v>
      </c>
      <c r="D649" s="10" t="s">
        <v>396</v>
      </c>
      <c r="E649" s="12" t="s">
        <v>192</v>
      </c>
      <c r="F649" s="12" t="s">
        <v>193</v>
      </c>
      <c r="G649" s="19">
        <v>5</v>
      </c>
      <c r="H649" s="20">
        <v>5</v>
      </c>
      <c r="I649" s="15">
        <v>4804</v>
      </c>
      <c r="J649" s="16"/>
      <c r="K649" s="17">
        <v>24020</v>
      </c>
      <c r="L649" s="18">
        <v>46259</v>
      </c>
      <c r="M649" s="6" t="str">
        <f t="shared" si="30"/>
        <v>Schedule order</v>
      </c>
      <c r="N649" s="8">
        <f t="shared" ca="1" si="31"/>
        <v>104</v>
      </c>
      <c r="O649" s="8" t="str">
        <f t="shared" ca="1" si="32"/>
        <v>Lattest or shedule order</v>
      </c>
      <c r="P649" t="str">
        <f>VLOOKUP(C649,[1]Customer_Master!$A:$B,2,0)</f>
        <v>Group-2 (Veeresh- Bomsdr+Hosur)</v>
      </c>
      <c r="Q649" t="str">
        <f>VLOOKUP(D649,[2]Template!$A:$D,3,0)</f>
        <v>EATON</v>
      </c>
      <c r="R649" t="str">
        <f>VLOOKUP(D649,[2]Template!$A:$D,4,0)</f>
        <v>Eaton-Faiveley-Non E70</v>
      </c>
    </row>
    <row r="650" spans="1:18" ht="13.5" customHeight="1" x14ac:dyDescent="0.25">
      <c r="A650" s="9">
        <v>46126</v>
      </c>
      <c r="B650" s="10" t="s">
        <v>1189</v>
      </c>
      <c r="C650" s="11" t="s">
        <v>13</v>
      </c>
      <c r="D650" s="10" t="s">
        <v>619</v>
      </c>
      <c r="E650" s="26" t="s">
        <v>620</v>
      </c>
      <c r="F650" s="12" t="s">
        <v>621</v>
      </c>
      <c r="G650" s="19">
        <v>50</v>
      </c>
      <c r="H650" s="20">
        <v>50</v>
      </c>
      <c r="I650" s="15">
        <v>4958</v>
      </c>
      <c r="J650" s="16"/>
      <c r="K650" s="17">
        <v>247900</v>
      </c>
      <c r="L650" s="18">
        <v>46259</v>
      </c>
      <c r="M650" s="6" t="str">
        <f t="shared" si="30"/>
        <v>Schedule order</v>
      </c>
      <c r="N650" s="8">
        <f t="shared" ca="1" si="31"/>
        <v>104</v>
      </c>
      <c r="O650" s="8" t="str">
        <f t="shared" ca="1" si="32"/>
        <v>Lattest or shedule order</v>
      </c>
      <c r="P650" t="str">
        <f>VLOOKUP(C650,[1]Customer_Master!$A:$B,2,0)</f>
        <v>Group-2 (Veeresh- Bomsdr+Hosur)</v>
      </c>
      <c r="Q650" t="str">
        <f>VLOOKUP(D650,[2]Template!$A:$D,3,0)</f>
        <v>EATON</v>
      </c>
      <c r="R650" t="str">
        <f>VLOOKUP(D650,[2]Template!$A:$D,4,0)</f>
        <v>Eaton-Faiveley-Non E70</v>
      </c>
    </row>
    <row r="651" spans="1:18" ht="13.5" customHeight="1" x14ac:dyDescent="0.25">
      <c r="A651" s="9">
        <v>46126</v>
      </c>
      <c r="B651" s="10" t="s">
        <v>1190</v>
      </c>
      <c r="C651" s="11" t="s">
        <v>13</v>
      </c>
      <c r="D651" s="10" t="s">
        <v>386</v>
      </c>
      <c r="E651" s="26" t="s">
        <v>175</v>
      </c>
      <c r="F651" s="12" t="s">
        <v>176</v>
      </c>
      <c r="G651" s="19">
        <v>20</v>
      </c>
      <c r="H651" s="20">
        <v>20</v>
      </c>
      <c r="I651" s="15">
        <v>9023</v>
      </c>
      <c r="J651" s="16"/>
      <c r="K651" s="17">
        <v>180460</v>
      </c>
      <c r="L651" s="18">
        <v>46259</v>
      </c>
      <c r="M651" s="6" t="str">
        <f t="shared" si="30"/>
        <v>Schedule order</v>
      </c>
      <c r="N651" s="8">
        <f t="shared" ca="1" si="31"/>
        <v>104</v>
      </c>
      <c r="O651" s="8" t="str">
        <f t="shared" ca="1" si="32"/>
        <v>Lattest or shedule order</v>
      </c>
      <c r="P651" t="str">
        <f>VLOOKUP(C651,[1]Customer_Master!$A:$B,2,0)</f>
        <v>Group-2 (Veeresh- Bomsdr+Hosur)</v>
      </c>
      <c r="Q651" t="str">
        <f>VLOOKUP(D651,[2]Template!$A:$D,3,0)</f>
        <v>EATON</v>
      </c>
      <c r="R651" t="str">
        <f>VLOOKUP(D651,[2]Template!$A:$D,4,0)</f>
        <v>Eaton-Faiveley-Non E70</v>
      </c>
    </row>
    <row r="652" spans="1:18" ht="13.5" customHeight="1" x14ac:dyDescent="0.25">
      <c r="A652" s="9">
        <v>46126</v>
      </c>
      <c r="B652" s="10" t="s">
        <v>1190</v>
      </c>
      <c r="C652" s="11" t="s">
        <v>13</v>
      </c>
      <c r="D652" s="10" t="s">
        <v>305</v>
      </c>
      <c r="E652" s="26" t="s">
        <v>40</v>
      </c>
      <c r="F652" s="12" t="s">
        <v>41</v>
      </c>
      <c r="G652" s="19">
        <v>50</v>
      </c>
      <c r="H652" s="20">
        <v>50</v>
      </c>
      <c r="I652" s="15">
        <v>2803</v>
      </c>
      <c r="J652" s="16"/>
      <c r="K652" s="17">
        <v>140150</v>
      </c>
      <c r="L652" s="18">
        <v>46259</v>
      </c>
      <c r="M652" s="6" t="str">
        <f t="shared" si="30"/>
        <v>Schedule order</v>
      </c>
      <c r="N652" s="8">
        <f t="shared" ca="1" si="31"/>
        <v>104</v>
      </c>
      <c r="O652" s="8" t="str">
        <f t="shared" ca="1" si="32"/>
        <v>Lattest or shedule order</v>
      </c>
      <c r="P652" t="str">
        <f>VLOOKUP(C652,[1]Customer_Master!$A:$B,2,0)</f>
        <v>Group-2 (Veeresh- Bomsdr+Hosur)</v>
      </c>
      <c r="Q652" t="str">
        <f>VLOOKUP(D652,[2]Template!$A:$D,3,0)</f>
        <v>EATON</v>
      </c>
      <c r="R652" t="str">
        <f>VLOOKUP(D652,[2]Template!$A:$D,4,0)</f>
        <v>Eaton-Faiveley-E70</v>
      </c>
    </row>
    <row r="653" spans="1:18" ht="13.5" customHeight="1" x14ac:dyDescent="0.25">
      <c r="A653" s="9">
        <v>46126</v>
      </c>
      <c r="B653" s="10" t="s">
        <v>1191</v>
      </c>
      <c r="C653" s="11" t="s">
        <v>96</v>
      </c>
      <c r="D653" s="10" t="s">
        <v>837</v>
      </c>
      <c r="E653" s="12" t="s">
        <v>1072</v>
      </c>
      <c r="F653" s="12" t="s">
        <v>838</v>
      </c>
      <c r="G653" s="19">
        <v>185</v>
      </c>
      <c r="H653" s="20">
        <v>145</v>
      </c>
      <c r="I653" s="15">
        <v>860.96</v>
      </c>
      <c r="J653" s="16"/>
      <c r="K653" s="17">
        <v>124839.2</v>
      </c>
      <c r="L653" s="18">
        <v>46188</v>
      </c>
      <c r="M653" s="6" t="str">
        <f t="shared" si="30"/>
        <v>Schedule order</v>
      </c>
      <c r="N653" s="8">
        <f t="shared" ca="1" si="31"/>
        <v>33</v>
      </c>
      <c r="O653" s="8" t="str">
        <f t="shared" ca="1" si="32"/>
        <v>Lattest or shedule order</v>
      </c>
      <c r="P653" t="str">
        <f>VLOOKUP(C653,[1]Customer_Master!$A:$B,2,0)</f>
        <v>Group - 5 (Ananthapadmanabha)</v>
      </c>
      <c r="Q653" t="str">
        <f>VLOOKUP(D653,[2]Template!$A:$D,3,0)</f>
        <v>LAPP</v>
      </c>
      <c r="R653" t="str">
        <f>VLOOKUP(D653,[2]Template!$A:$D,4,0)</f>
        <v>Lapp-Against Customer PO</v>
      </c>
    </row>
    <row r="654" spans="1:18" ht="13.5" customHeight="1" x14ac:dyDescent="0.25">
      <c r="A654" s="9">
        <v>46126</v>
      </c>
      <c r="B654" s="10" t="s">
        <v>1191</v>
      </c>
      <c r="C654" s="11" t="s">
        <v>96</v>
      </c>
      <c r="D654" s="10" t="s">
        <v>627</v>
      </c>
      <c r="E654" s="12" t="s">
        <v>1072</v>
      </c>
      <c r="F654" s="12" t="s">
        <v>628</v>
      </c>
      <c r="G654" s="19">
        <v>195</v>
      </c>
      <c r="H654" s="20">
        <v>55</v>
      </c>
      <c r="I654" s="15">
        <v>140.38</v>
      </c>
      <c r="J654" s="16"/>
      <c r="K654" s="17">
        <v>7720.9</v>
      </c>
      <c r="L654" s="18">
        <v>46188</v>
      </c>
      <c r="M654" s="6" t="str">
        <f t="shared" si="30"/>
        <v>Schedule order</v>
      </c>
      <c r="N654" s="8">
        <f t="shared" ca="1" si="31"/>
        <v>33</v>
      </c>
      <c r="O654" s="8" t="str">
        <f t="shared" ca="1" si="32"/>
        <v>Lattest or shedule order</v>
      </c>
      <c r="P654" t="str">
        <f>VLOOKUP(C654,[1]Customer_Master!$A:$B,2,0)</f>
        <v>Group - 5 (Ananthapadmanabha)</v>
      </c>
      <c r="Q654" t="str">
        <f>VLOOKUP(D654,[2]Template!$A:$D,3,0)</f>
        <v>LAPP</v>
      </c>
      <c r="R654" t="str">
        <f>VLOOKUP(D654,[2]Template!$A:$D,4,0)</f>
        <v>Lapp-Against Customer PO</v>
      </c>
    </row>
    <row r="655" spans="1:18" ht="13.5" customHeight="1" x14ac:dyDescent="0.25">
      <c r="A655" s="9">
        <v>46126</v>
      </c>
      <c r="B655" s="10" t="s">
        <v>1192</v>
      </c>
      <c r="C655" s="11" t="s">
        <v>859</v>
      </c>
      <c r="D655" s="27" t="s">
        <v>797</v>
      </c>
      <c r="E655" s="12" t="s">
        <v>1072</v>
      </c>
      <c r="F655" s="12" t="s">
        <v>798</v>
      </c>
      <c r="G655" s="13">
        <v>90</v>
      </c>
      <c r="H655" s="14">
        <v>90</v>
      </c>
      <c r="I655" s="15">
        <v>152.97999999999999</v>
      </c>
      <c r="J655" s="16"/>
      <c r="K655" s="17">
        <v>13768.2</v>
      </c>
      <c r="L655" s="18">
        <v>46127</v>
      </c>
      <c r="M655" s="6" t="str">
        <f t="shared" si="30"/>
        <v>Due order</v>
      </c>
      <c r="N655" s="8">
        <f t="shared" ca="1" si="31"/>
        <v>-28</v>
      </c>
      <c r="O655" s="8" t="str">
        <f t="shared" ca="1" si="32"/>
        <v>With in 90 days</v>
      </c>
      <c r="P655" t="str">
        <f>VLOOKUP(C655,[1]Customer_Master!$A:$B,2,0)</f>
        <v>Group-2 (Veeresh- Bomsdr+Hosur)</v>
      </c>
      <c r="Q655" t="str">
        <f>VLOOKUP(D655,[2]Template!$A:$D,3,0)</f>
        <v>LAPP</v>
      </c>
      <c r="R655" t="str">
        <f>VLOOKUP(D655,[2]Template!$A:$D,4,0)</f>
        <v>Lapp-Against Customer PO</v>
      </c>
    </row>
    <row r="656" spans="1:18" ht="13.5" customHeight="1" x14ac:dyDescent="0.25">
      <c r="A656" s="9">
        <v>46126</v>
      </c>
      <c r="B656" s="10" t="s">
        <v>1192</v>
      </c>
      <c r="C656" s="11" t="s">
        <v>859</v>
      </c>
      <c r="D656" s="27" t="s">
        <v>1193</v>
      </c>
      <c r="E656" s="12" t="s">
        <v>1072</v>
      </c>
      <c r="F656" s="12" t="s">
        <v>1194</v>
      </c>
      <c r="G656" s="13">
        <v>60</v>
      </c>
      <c r="H656" s="14">
        <v>60</v>
      </c>
      <c r="I656" s="15">
        <v>57.94</v>
      </c>
      <c r="J656" s="16"/>
      <c r="K656" s="17">
        <v>3476.4</v>
      </c>
      <c r="L656" s="18">
        <v>46127</v>
      </c>
      <c r="M656" s="6" t="str">
        <f t="shared" si="30"/>
        <v>Due order</v>
      </c>
      <c r="N656" s="8">
        <f t="shared" ca="1" si="31"/>
        <v>-28</v>
      </c>
      <c r="O656" s="8" t="str">
        <f t="shared" ca="1" si="32"/>
        <v>With in 90 days</v>
      </c>
      <c r="P656" t="str">
        <f>VLOOKUP(C656,[1]Customer_Master!$A:$B,2,0)</f>
        <v>Group-2 (Veeresh- Bomsdr+Hosur)</v>
      </c>
      <c r="Q656" t="str">
        <f>VLOOKUP(D656,[2]Template!$A:$D,3,0)</f>
        <v>LAPP</v>
      </c>
      <c r="R656" t="str">
        <f>VLOOKUP(D656,[2]Template!$A:$D,4,0)</f>
        <v>Lapp-Non Moving Stocks</v>
      </c>
    </row>
    <row r="657" spans="1:18" ht="13.5" customHeight="1" x14ac:dyDescent="0.25">
      <c r="A657" s="9">
        <v>46126</v>
      </c>
      <c r="B657" s="10" t="s">
        <v>1195</v>
      </c>
      <c r="C657" s="11" t="s">
        <v>859</v>
      </c>
      <c r="D657" s="27" t="s">
        <v>797</v>
      </c>
      <c r="E657" s="12" t="s">
        <v>1072</v>
      </c>
      <c r="F657" s="12" t="s">
        <v>798</v>
      </c>
      <c r="G657" s="13">
        <v>50</v>
      </c>
      <c r="H657" s="14">
        <v>50</v>
      </c>
      <c r="I657" s="15">
        <v>152.97999999999999</v>
      </c>
      <c r="J657" s="16"/>
      <c r="K657" s="17">
        <v>7649</v>
      </c>
      <c r="L657" s="18">
        <v>46130</v>
      </c>
      <c r="M657" s="6" t="str">
        <f t="shared" si="30"/>
        <v>Due order</v>
      </c>
      <c r="N657" s="8">
        <f t="shared" ca="1" si="31"/>
        <v>-25</v>
      </c>
      <c r="O657" s="8" t="str">
        <f t="shared" ca="1" si="32"/>
        <v>With in 90 days</v>
      </c>
      <c r="P657" t="str">
        <f>VLOOKUP(C657,[1]Customer_Master!$A:$B,2,0)</f>
        <v>Group-2 (Veeresh- Bomsdr+Hosur)</v>
      </c>
      <c r="Q657" t="str">
        <f>VLOOKUP(D657,[2]Template!$A:$D,3,0)</f>
        <v>LAPP</v>
      </c>
      <c r="R657" t="str">
        <f>VLOOKUP(D657,[2]Template!$A:$D,4,0)</f>
        <v>Lapp-Against Customer PO</v>
      </c>
    </row>
    <row r="658" spans="1:18" ht="13.5" customHeight="1" x14ac:dyDescent="0.25">
      <c r="A658" s="9">
        <v>46126</v>
      </c>
      <c r="B658" s="10" t="s">
        <v>1196</v>
      </c>
      <c r="C658" s="11" t="s">
        <v>1197</v>
      </c>
      <c r="D658" s="10" t="s">
        <v>1198</v>
      </c>
      <c r="E658" s="12" t="s">
        <v>1072</v>
      </c>
      <c r="F658" s="12" t="s">
        <v>1199</v>
      </c>
      <c r="G658" s="13">
        <v>20</v>
      </c>
      <c r="H658" s="14">
        <v>20</v>
      </c>
      <c r="I658" s="15">
        <v>1657.8</v>
      </c>
      <c r="J658" s="16"/>
      <c r="K658" s="17">
        <v>33156</v>
      </c>
      <c r="L658" s="18">
        <v>46126</v>
      </c>
      <c r="M658" s="6" t="str">
        <f t="shared" si="30"/>
        <v>Due order</v>
      </c>
      <c r="N658" s="8">
        <f t="shared" ca="1" si="31"/>
        <v>-29</v>
      </c>
      <c r="O658" s="8" t="str">
        <f t="shared" ca="1" si="32"/>
        <v>With in 90 days</v>
      </c>
      <c r="P658" t="str">
        <f>VLOOKUP(C658,[1]Customer_Master!$A:$B,2,0)</f>
        <v>Group - 5 (Ananthapadmanabha)</v>
      </c>
      <c r="Q658" t="str">
        <f>VLOOKUP(D658,[2]Template!$A:$D,3,0)</f>
        <v>LAPP</v>
      </c>
      <c r="R658" t="str">
        <f>VLOOKUP(D658,[2]Template!$A:$D,4,0)</f>
        <v>Lapp-Against Customer PO</v>
      </c>
    </row>
    <row r="659" spans="1:18" ht="13.5" customHeight="1" x14ac:dyDescent="0.25">
      <c r="A659" s="9">
        <v>46127</v>
      </c>
      <c r="B659" s="10" t="s">
        <v>1200</v>
      </c>
      <c r="C659" s="11" t="s">
        <v>1201</v>
      </c>
      <c r="D659" s="10" t="s">
        <v>1202</v>
      </c>
      <c r="E659" s="12" t="s">
        <v>1072</v>
      </c>
      <c r="F659" s="12" t="s">
        <v>1203</v>
      </c>
      <c r="G659" s="19">
        <v>130</v>
      </c>
      <c r="H659" s="20">
        <v>130</v>
      </c>
      <c r="I659" s="15">
        <v>1106</v>
      </c>
      <c r="J659" s="16"/>
      <c r="K659" s="17">
        <v>143780</v>
      </c>
      <c r="L659" s="18">
        <v>46132</v>
      </c>
      <c r="M659" s="6" t="str">
        <f t="shared" si="30"/>
        <v>Due order</v>
      </c>
      <c r="N659" s="8">
        <f t="shared" ca="1" si="31"/>
        <v>-23</v>
      </c>
      <c r="O659" s="8" t="str">
        <f t="shared" ca="1" si="32"/>
        <v>With in 90 days</v>
      </c>
      <c r="P659" t="str">
        <f>VLOOKUP(C659,[1]Customer_Master!$A:$B,2,0)</f>
        <v>Group-4 ( Office Account)</v>
      </c>
      <c r="Q659" t="str">
        <f>VLOOKUP(D659,[2]Template!$A:$D,3,0)</f>
        <v>LAPP</v>
      </c>
      <c r="R659" t="str">
        <f>VLOOKUP(D659,[2]Template!$A:$D,4,0)</f>
        <v>Lapp-Against Customer PO</v>
      </c>
    </row>
    <row r="660" spans="1:18" ht="13.5" customHeight="1" x14ac:dyDescent="0.25">
      <c r="A660" s="9">
        <v>46127</v>
      </c>
      <c r="B660" s="10" t="s">
        <v>1200</v>
      </c>
      <c r="C660" s="11" t="s">
        <v>1201</v>
      </c>
      <c r="D660" s="10" t="s">
        <v>1204</v>
      </c>
      <c r="E660" s="12" t="s">
        <v>1072</v>
      </c>
      <c r="F660" s="12" t="s">
        <v>1205</v>
      </c>
      <c r="G660" s="19">
        <v>60</v>
      </c>
      <c r="H660" s="20">
        <v>60</v>
      </c>
      <c r="I660" s="15">
        <v>1613</v>
      </c>
      <c r="J660" s="16"/>
      <c r="K660" s="17">
        <v>96780</v>
      </c>
      <c r="L660" s="18">
        <v>46132</v>
      </c>
      <c r="M660" s="6" t="str">
        <f t="shared" si="30"/>
        <v>Due order</v>
      </c>
      <c r="N660" s="8">
        <f t="shared" ca="1" si="31"/>
        <v>-23</v>
      </c>
      <c r="O660" s="8" t="str">
        <f t="shared" ca="1" si="32"/>
        <v>With in 90 days</v>
      </c>
      <c r="P660" t="str">
        <f>VLOOKUP(C660,[1]Customer_Master!$A:$B,2,0)</f>
        <v>Group-4 ( Office Account)</v>
      </c>
      <c r="Q660" t="str">
        <f>VLOOKUP(D660,[2]Template!$A:$D,3,0)</f>
        <v>LAPP</v>
      </c>
      <c r="R660" t="str">
        <f>VLOOKUP(D660,[2]Template!$A:$D,4,0)</f>
        <v>Lapp-Against Customer PO</v>
      </c>
    </row>
    <row r="661" spans="1:18" ht="13.5" customHeight="1" x14ac:dyDescent="0.25">
      <c r="A661" s="9">
        <v>46127</v>
      </c>
      <c r="B661" s="10" t="s">
        <v>1200</v>
      </c>
      <c r="C661" s="11" t="s">
        <v>1201</v>
      </c>
      <c r="D661" s="10" t="s">
        <v>1206</v>
      </c>
      <c r="E661" s="12" t="s">
        <v>1072</v>
      </c>
      <c r="F661" s="12" t="s">
        <v>1207</v>
      </c>
      <c r="G661" s="19">
        <v>50</v>
      </c>
      <c r="H661" s="20">
        <v>50</v>
      </c>
      <c r="I661" s="15">
        <v>1585</v>
      </c>
      <c r="J661" s="16"/>
      <c r="K661" s="17">
        <v>79250</v>
      </c>
      <c r="L661" s="18">
        <v>46132</v>
      </c>
      <c r="M661" s="6" t="str">
        <f t="shared" si="30"/>
        <v>Due order</v>
      </c>
      <c r="N661" s="8">
        <f t="shared" ca="1" si="31"/>
        <v>-23</v>
      </c>
      <c r="O661" s="8" t="str">
        <f t="shared" ca="1" si="32"/>
        <v>With in 90 days</v>
      </c>
      <c r="P661" t="str">
        <f>VLOOKUP(C661,[1]Customer_Master!$A:$B,2,0)</f>
        <v>Group-4 ( Office Account)</v>
      </c>
      <c r="Q661" t="str">
        <f>VLOOKUP(D661,[2]Template!$A:$D,3,0)</f>
        <v>LAPP</v>
      </c>
      <c r="R661" t="str">
        <f>VLOOKUP(D661,[2]Template!$A:$D,4,0)</f>
        <v>Lapp-Against Customer PO</v>
      </c>
    </row>
    <row r="662" spans="1:18" ht="13.5" customHeight="1" x14ac:dyDescent="0.25">
      <c r="A662" s="9">
        <v>46127</v>
      </c>
      <c r="B662" s="10" t="s">
        <v>1200</v>
      </c>
      <c r="C662" s="11" t="s">
        <v>1201</v>
      </c>
      <c r="D662" s="10" t="s">
        <v>1208</v>
      </c>
      <c r="E662" s="12" t="s">
        <v>1072</v>
      </c>
      <c r="F662" s="12" t="s">
        <v>1209</v>
      </c>
      <c r="G662" s="19">
        <v>140</v>
      </c>
      <c r="H662" s="20">
        <v>140</v>
      </c>
      <c r="I662" s="15">
        <v>848</v>
      </c>
      <c r="J662" s="16"/>
      <c r="K662" s="17">
        <v>118720</v>
      </c>
      <c r="L662" s="18">
        <v>46132</v>
      </c>
      <c r="M662" s="6" t="str">
        <f t="shared" si="30"/>
        <v>Due order</v>
      </c>
      <c r="N662" s="8">
        <f t="shared" ca="1" si="31"/>
        <v>-23</v>
      </c>
      <c r="O662" s="8" t="str">
        <f t="shared" ca="1" si="32"/>
        <v>With in 90 days</v>
      </c>
      <c r="P662" t="str">
        <f>VLOOKUP(C662,[1]Customer_Master!$A:$B,2,0)</f>
        <v>Group-4 ( Office Account)</v>
      </c>
      <c r="Q662" t="str">
        <f>VLOOKUP(D662,[2]Template!$A:$D,3,0)</f>
        <v>LAPP</v>
      </c>
      <c r="R662" t="str">
        <f>VLOOKUP(D662,[2]Template!$A:$D,4,0)</f>
        <v>Lapp-Against Customer PO</v>
      </c>
    </row>
    <row r="663" spans="1:18" ht="13.5" customHeight="1" x14ac:dyDescent="0.25">
      <c r="A663" s="9">
        <v>46127</v>
      </c>
      <c r="B663" s="10" t="s">
        <v>1200</v>
      </c>
      <c r="C663" s="11" t="s">
        <v>1201</v>
      </c>
      <c r="D663" s="10" t="s">
        <v>1210</v>
      </c>
      <c r="E663" s="12" t="s">
        <v>1072</v>
      </c>
      <c r="F663" s="12" t="s">
        <v>1211</v>
      </c>
      <c r="G663" s="19">
        <v>50</v>
      </c>
      <c r="H663" s="20">
        <v>50</v>
      </c>
      <c r="I663" s="15">
        <v>545</v>
      </c>
      <c r="J663" s="16"/>
      <c r="K663" s="17">
        <v>27250</v>
      </c>
      <c r="L663" s="18">
        <v>46132</v>
      </c>
      <c r="M663" s="6" t="str">
        <f t="shared" si="30"/>
        <v>Due order</v>
      </c>
      <c r="N663" s="8">
        <f t="shared" ca="1" si="31"/>
        <v>-23</v>
      </c>
      <c r="O663" s="8" t="str">
        <f t="shared" ca="1" si="32"/>
        <v>With in 90 days</v>
      </c>
      <c r="P663" t="str">
        <f>VLOOKUP(C663,[1]Customer_Master!$A:$B,2,0)</f>
        <v>Group-4 ( Office Account)</v>
      </c>
      <c r="Q663" t="str">
        <f>VLOOKUP(D663,[2]Template!$A:$D,3,0)</f>
        <v>LAPP</v>
      </c>
      <c r="R663" t="str">
        <f>VLOOKUP(D663,[2]Template!$A:$D,4,0)</f>
        <v>Lapp-Against Customer PO</v>
      </c>
    </row>
    <row r="664" spans="1:18" ht="13.5" customHeight="1" x14ac:dyDescent="0.25">
      <c r="A664" s="9">
        <v>46127</v>
      </c>
      <c r="B664" s="10" t="s">
        <v>1200</v>
      </c>
      <c r="C664" s="11" t="s">
        <v>1201</v>
      </c>
      <c r="D664" s="10" t="s">
        <v>1212</v>
      </c>
      <c r="E664" s="12" t="s">
        <v>1072</v>
      </c>
      <c r="F664" s="12" t="s">
        <v>1213</v>
      </c>
      <c r="G664" s="19">
        <v>50</v>
      </c>
      <c r="H664" s="20">
        <v>50</v>
      </c>
      <c r="I664" s="15">
        <v>1004</v>
      </c>
      <c r="J664" s="16"/>
      <c r="K664" s="17">
        <v>50200</v>
      </c>
      <c r="L664" s="18">
        <v>46132</v>
      </c>
      <c r="M664" s="6" t="str">
        <f t="shared" si="30"/>
        <v>Due order</v>
      </c>
      <c r="N664" s="8">
        <f t="shared" ca="1" si="31"/>
        <v>-23</v>
      </c>
      <c r="O664" s="8" t="str">
        <f t="shared" ca="1" si="32"/>
        <v>With in 90 days</v>
      </c>
      <c r="P664" t="str">
        <f>VLOOKUP(C664,[1]Customer_Master!$A:$B,2,0)</f>
        <v>Group-4 ( Office Account)</v>
      </c>
      <c r="Q664" t="str">
        <f>VLOOKUP(D664,[2]Template!$A:$D,3,0)</f>
        <v>LAPP</v>
      </c>
      <c r="R664" t="str">
        <f>VLOOKUP(D664,[2]Template!$A:$D,4,0)</f>
        <v>Lapp-Against Customer PO</v>
      </c>
    </row>
    <row r="665" spans="1:18" ht="13.5" customHeight="1" x14ac:dyDescent="0.25">
      <c r="A665" s="9">
        <v>46127</v>
      </c>
      <c r="B665" s="10" t="s">
        <v>1200</v>
      </c>
      <c r="C665" s="11" t="s">
        <v>1201</v>
      </c>
      <c r="D665" s="10" t="s">
        <v>1214</v>
      </c>
      <c r="E665" s="12" t="s">
        <v>1072</v>
      </c>
      <c r="F665" s="12" t="s">
        <v>1215</v>
      </c>
      <c r="G665" s="19">
        <v>130</v>
      </c>
      <c r="H665" s="20">
        <v>130</v>
      </c>
      <c r="I665" s="15">
        <v>574</v>
      </c>
      <c r="J665" s="16"/>
      <c r="K665" s="17">
        <v>74620</v>
      </c>
      <c r="L665" s="18">
        <v>46132</v>
      </c>
      <c r="M665" s="6" t="str">
        <f t="shared" si="30"/>
        <v>Due order</v>
      </c>
      <c r="N665" s="8">
        <f t="shared" ca="1" si="31"/>
        <v>-23</v>
      </c>
      <c r="O665" s="8" t="str">
        <f t="shared" ca="1" si="32"/>
        <v>With in 90 days</v>
      </c>
      <c r="P665" t="str">
        <f>VLOOKUP(C665,[1]Customer_Master!$A:$B,2,0)</f>
        <v>Group-4 ( Office Account)</v>
      </c>
      <c r="Q665" t="str">
        <f>VLOOKUP(D665,[2]Template!$A:$D,3,0)</f>
        <v>LAPP</v>
      </c>
      <c r="R665" t="str">
        <f>VLOOKUP(D665,[2]Template!$A:$D,4,0)</f>
        <v>Lapp-Against Customer PO</v>
      </c>
    </row>
    <row r="666" spans="1:18" ht="13.5" customHeight="1" x14ac:dyDescent="0.25">
      <c r="A666" s="9">
        <v>46127</v>
      </c>
      <c r="B666" s="10" t="s">
        <v>1200</v>
      </c>
      <c r="C666" s="11" t="s">
        <v>1201</v>
      </c>
      <c r="D666" s="10" t="s">
        <v>1216</v>
      </c>
      <c r="E666" s="12" t="s">
        <v>1072</v>
      </c>
      <c r="F666" s="12" t="s">
        <v>1217</v>
      </c>
      <c r="G666" s="19">
        <v>130</v>
      </c>
      <c r="H666" s="20">
        <v>130</v>
      </c>
      <c r="I666" s="15">
        <v>84</v>
      </c>
      <c r="J666" s="16"/>
      <c r="K666" s="17">
        <v>10920</v>
      </c>
      <c r="L666" s="18">
        <v>46132</v>
      </c>
      <c r="M666" s="6" t="str">
        <f t="shared" si="30"/>
        <v>Due order</v>
      </c>
      <c r="N666" s="8">
        <f t="shared" ca="1" si="31"/>
        <v>-23</v>
      </c>
      <c r="O666" s="8" t="str">
        <f t="shared" ca="1" si="32"/>
        <v>With in 90 days</v>
      </c>
      <c r="P666" t="str">
        <f>VLOOKUP(C666,[1]Customer_Master!$A:$B,2,0)</f>
        <v>Group-4 ( Office Account)</v>
      </c>
      <c r="Q666" t="str">
        <f>VLOOKUP(D666,[2]Template!$A:$D,3,0)</f>
        <v>LAPP</v>
      </c>
      <c r="R666" t="str">
        <f>VLOOKUP(D666,[2]Template!$A:$D,4,0)</f>
        <v>Lapp-Against Customer PO</v>
      </c>
    </row>
    <row r="667" spans="1:18" ht="13.5" customHeight="1" x14ac:dyDescent="0.25">
      <c r="A667" s="9">
        <v>46127</v>
      </c>
      <c r="B667" s="10" t="s">
        <v>1200</v>
      </c>
      <c r="C667" s="11" t="s">
        <v>1201</v>
      </c>
      <c r="D667" s="10" t="s">
        <v>1218</v>
      </c>
      <c r="E667" s="12" t="s">
        <v>1072</v>
      </c>
      <c r="F667" s="12" t="s">
        <v>1219</v>
      </c>
      <c r="G667" s="19">
        <v>110</v>
      </c>
      <c r="H667" s="20">
        <v>110</v>
      </c>
      <c r="I667" s="15">
        <v>806</v>
      </c>
      <c r="J667" s="16"/>
      <c r="K667" s="17">
        <v>88660</v>
      </c>
      <c r="L667" s="18">
        <v>46132</v>
      </c>
      <c r="M667" s="6" t="str">
        <f t="shared" si="30"/>
        <v>Due order</v>
      </c>
      <c r="N667" s="8">
        <f t="shared" ca="1" si="31"/>
        <v>-23</v>
      </c>
      <c r="O667" s="8" t="str">
        <f t="shared" ca="1" si="32"/>
        <v>With in 90 days</v>
      </c>
      <c r="P667" t="str">
        <f>VLOOKUP(C667,[1]Customer_Master!$A:$B,2,0)</f>
        <v>Group-4 ( Office Account)</v>
      </c>
      <c r="Q667" t="str">
        <f>VLOOKUP(D667,[2]Template!$A:$D,3,0)</f>
        <v>LAPP</v>
      </c>
      <c r="R667" t="str">
        <f>VLOOKUP(D667,[2]Template!$A:$D,4,0)</f>
        <v>Lapp-Against Customer PO</v>
      </c>
    </row>
    <row r="668" spans="1:18" ht="13.5" customHeight="1" x14ac:dyDescent="0.25">
      <c r="A668" s="9">
        <v>46127</v>
      </c>
      <c r="B668" s="10" t="s">
        <v>1200</v>
      </c>
      <c r="C668" s="11" t="s">
        <v>1201</v>
      </c>
      <c r="D668" s="10" t="s">
        <v>1220</v>
      </c>
      <c r="E668" s="12" t="s">
        <v>1072</v>
      </c>
      <c r="F668" s="12" t="s">
        <v>1221</v>
      </c>
      <c r="G668" s="19">
        <v>110</v>
      </c>
      <c r="H668" s="20">
        <v>110</v>
      </c>
      <c r="I668" s="15">
        <v>98</v>
      </c>
      <c r="J668" s="16"/>
      <c r="K668" s="17">
        <v>10780</v>
      </c>
      <c r="L668" s="18">
        <v>46132</v>
      </c>
      <c r="M668" s="6" t="str">
        <f t="shared" si="30"/>
        <v>Due order</v>
      </c>
      <c r="N668" s="8">
        <f t="shared" ca="1" si="31"/>
        <v>-23</v>
      </c>
      <c r="O668" s="8" t="str">
        <f t="shared" ca="1" si="32"/>
        <v>With in 90 days</v>
      </c>
      <c r="P668" t="str">
        <f>VLOOKUP(C668,[1]Customer_Master!$A:$B,2,0)</f>
        <v>Group-4 ( Office Account)</v>
      </c>
      <c r="Q668" t="str">
        <f>VLOOKUP(D668,[2]Template!$A:$D,3,0)</f>
        <v>LAPP</v>
      </c>
      <c r="R668" t="str">
        <f>VLOOKUP(D668,[2]Template!$A:$D,4,0)</f>
        <v>Lapp-Against Customer PO</v>
      </c>
    </row>
    <row r="669" spans="1:18" ht="13.5" customHeight="1" x14ac:dyDescent="0.25">
      <c r="A669" s="9">
        <v>46127</v>
      </c>
      <c r="B669" s="10" t="s">
        <v>1200</v>
      </c>
      <c r="C669" s="11" t="s">
        <v>1201</v>
      </c>
      <c r="D669" s="10" t="s">
        <v>1222</v>
      </c>
      <c r="E669" s="12" t="s">
        <v>1072</v>
      </c>
      <c r="F669" s="12" t="s">
        <v>1223</v>
      </c>
      <c r="G669" s="19">
        <v>50</v>
      </c>
      <c r="H669" s="20">
        <v>50</v>
      </c>
      <c r="I669" s="15">
        <v>1020</v>
      </c>
      <c r="J669" s="16"/>
      <c r="K669" s="17">
        <v>51000</v>
      </c>
      <c r="L669" s="18">
        <v>46132</v>
      </c>
      <c r="M669" s="6" t="str">
        <f t="shared" si="30"/>
        <v>Due order</v>
      </c>
      <c r="N669" s="8">
        <f t="shared" ca="1" si="31"/>
        <v>-23</v>
      </c>
      <c r="O669" s="8" t="str">
        <f t="shared" ca="1" si="32"/>
        <v>With in 90 days</v>
      </c>
      <c r="P669" t="str">
        <f>VLOOKUP(C669,[1]Customer_Master!$A:$B,2,0)</f>
        <v>Group-4 ( Office Account)</v>
      </c>
      <c r="Q669" t="str">
        <f>VLOOKUP(D669,[2]Template!$A:$D,3,0)</f>
        <v>LAPP</v>
      </c>
      <c r="R669" t="str">
        <f>VLOOKUP(D669,[2]Template!$A:$D,4,0)</f>
        <v>Lapp-Against Customer PO</v>
      </c>
    </row>
    <row r="670" spans="1:18" ht="13.5" customHeight="1" x14ac:dyDescent="0.25">
      <c r="A670" s="9">
        <v>46127</v>
      </c>
      <c r="B670" s="10" t="s">
        <v>1224</v>
      </c>
      <c r="C670" s="11" t="s">
        <v>194</v>
      </c>
      <c r="D670" s="10" t="s">
        <v>1225</v>
      </c>
      <c r="E670" s="12" t="s">
        <v>1072</v>
      </c>
      <c r="F670" s="12" t="s">
        <v>1226</v>
      </c>
      <c r="G670" s="13">
        <v>200</v>
      </c>
      <c r="H670" s="14">
        <v>8</v>
      </c>
      <c r="I670" s="15">
        <v>175</v>
      </c>
      <c r="J670" s="16"/>
      <c r="K670" s="17">
        <v>1400</v>
      </c>
      <c r="L670" s="18">
        <v>46131</v>
      </c>
      <c r="M670" s="6" t="str">
        <f t="shared" si="30"/>
        <v>Due order</v>
      </c>
      <c r="N670" s="8">
        <f t="shared" ca="1" si="31"/>
        <v>-24</v>
      </c>
      <c r="O670" s="8" t="str">
        <f t="shared" ca="1" si="32"/>
        <v>With in 90 days</v>
      </c>
      <c r="P670" t="str">
        <f>VLOOKUP(C670,[1]Customer_Master!$A:$B,2,0)</f>
        <v>Group 1-Giridhar-Peenya</v>
      </c>
      <c r="Q670" t="str">
        <f>VLOOKUP(D670,[2]Template!$A:$D,3,0)</f>
        <v>LAPP</v>
      </c>
      <c r="R670" t="str">
        <f>VLOOKUP(D670,[2]Template!$A:$D,4,0)</f>
        <v>Lapp-Non Moving Stocks</v>
      </c>
    </row>
    <row r="671" spans="1:18" ht="13.5" customHeight="1" x14ac:dyDescent="0.25">
      <c r="A671" s="9">
        <v>46127</v>
      </c>
      <c r="B671" s="10" t="s">
        <v>1224</v>
      </c>
      <c r="C671" s="11" t="s">
        <v>194</v>
      </c>
      <c r="D671" s="10" t="s">
        <v>1225</v>
      </c>
      <c r="E671" s="12" t="s">
        <v>1072</v>
      </c>
      <c r="F671" s="12" t="s">
        <v>1226</v>
      </c>
      <c r="G671" s="13">
        <v>600</v>
      </c>
      <c r="H671" s="14">
        <v>600</v>
      </c>
      <c r="I671" s="15">
        <v>175</v>
      </c>
      <c r="J671" s="16"/>
      <c r="K671" s="17">
        <v>105000</v>
      </c>
      <c r="L671" s="18">
        <v>46161</v>
      </c>
      <c r="M671" s="6" t="str">
        <f t="shared" si="30"/>
        <v>Schedule order</v>
      </c>
      <c r="N671" s="8">
        <f t="shared" ca="1" si="31"/>
        <v>6</v>
      </c>
      <c r="O671" s="8" t="str">
        <f t="shared" ca="1" si="32"/>
        <v>Lattest or shedule order</v>
      </c>
      <c r="P671" t="str">
        <f>VLOOKUP(C671,[1]Customer_Master!$A:$B,2,0)</f>
        <v>Group 1-Giridhar-Peenya</v>
      </c>
      <c r="Q671" t="str">
        <f>VLOOKUP(D671,[2]Template!$A:$D,3,0)</f>
        <v>LAPP</v>
      </c>
      <c r="R671" t="str">
        <f>VLOOKUP(D671,[2]Template!$A:$D,4,0)</f>
        <v>Lapp-Non Moving Stocks</v>
      </c>
    </row>
    <row r="672" spans="1:18" ht="13.5" customHeight="1" x14ac:dyDescent="0.25">
      <c r="A672" s="9">
        <v>46127</v>
      </c>
      <c r="B672" s="10" t="s">
        <v>1227</v>
      </c>
      <c r="C672" s="11" t="s">
        <v>283</v>
      </c>
      <c r="D672" s="10" t="s">
        <v>456</v>
      </c>
      <c r="E672" s="12" t="s">
        <v>1072</v>
      </c>
      <c r="F672" s="12" t="s">
        <v>284</v>
      </c>
      <c r="G672" s="19">
        <v>3</v>
      </c>
      <c r="H672" s="20">
        <v>3</v>
      </c>
      <c r="I672" s="15">
        <v>1208</v>
      </c>
      <c r="J672" s="16"/>
      <c r="K672" s="17">
        <v>3624</v>
      </c>
      <c r="L672" s="18">
        <v>46156</v>
      </c>
      <c r="M672" s="6" t="str">
        <f t="shared" si="30"/>
        <v>Schedule order</v>
      </c>
      <c r="N672" s="8">
        <f t="shared" ca="1" si="31"/>
        <v>1</v>
      </c>
      <c r="O672" s="8" t="str">
        <f t="shared" ca="1" si="32"/>
        <v>Lattest or shedule order</v>
      </c>
      <c r="P672" t="str">
        <f>VLOOKUP(C672,[1]Customer_Master!$A:$B,2,0)</f>
        <v>Group-2 (Veeresh- Bomsdr+Hosur)</v>
      </c>
      <c r="Q672" t="str">
        <f>VLOOKUP(D672,[2]Template!$A:$D,3,0)</f>
        <v>EATON</v>
      </c>
      <c r="R672" t="str">
        <f>VLOOKUP(D672,[2]Template!$A:$D,4,0)</f>
        <v>Eaton-Non Moving Stock</v>
      </c>
    </row>
    <row r="673" spans="1:18" ht="13.5" customHeight="1" x14ac:dyDescent="0.25">
      <c r="A673" s="9">
        <v>46127</v>
      </c>
      <c r="B673" s="10" t="s">
        <v>1228</v>
      </c>
      <c r="C673" s="11" t="s">
        <v>116</v>
      </c>
      <c r="D673" s="10" t="s">
        <v>1229</v>
      </c>
      <c r="E673" s="12" t="s">
        <v>1072</v>
      </c>
      <c r="F673" s="12" t="s">
        <v>1230</v>
      </c>
      <c r="G673" s="13">
        <v>117</v>
      </c>
      <c r="H673" s="14">
        <v>117</v>
      </c>
      <c r="I673" s="15">
        <v>434.33</v>
      </c>
      <c r="J673" s="16"/>
      <c r="K673" s="17">
        <v>50816.61</v>
      </c>
      <c r="L673" s="18">
        <v>46142</v>
      </c>
      <c r="M673" s="6" t="str">
        <f t="shared" si="30"/>
        <v>Schedule order</v>
      </c>
      <c r="N673" s="8">
        <f t="shared" ca="1" si="31"/>
        <v>-13</v>
      </c>
      <c r="O673" s="8" t="str">
        <f t="shared" ca="1" si="32"/>
        <v>With in 90 days</v>
      </c>
      <c r="P673" t="str">
        <f>VLOOKUP(C673,[1]Customer_Master!$A:$B,2,0)</f>
        <v>Group-2 (Veeresh- Bomsdr+Hosur)</v>
      </c>
      <c r="Q673" t="str">
        <f>VLOOKUP(D673,[2]Template!$A:$D,3,0)</f>
        <v>LAPP</v>
      </c>
      <c r="R673" t="str">
        <f>VLOOKUP(D673,[2]Template!$A:$D,4,0)</f>
        <v>Lapp-Against Customer PO</v>
      </c>
    </row>
    <row r="674" spans="1:18" ht="13.5" customHeight="1" x14ac:dyDescent="0.25">
      <c r="A674" s="9">
        <v>46127</v>
      </c>
      <c r="B674" s="10" t="s">
        <v>1231</v>
      </c>
      <c r="C674" s="11" t="s">
        <v>116</v>
      </c>
      <c r="D674" s="10" t="s">
        <v>812</v>
      </c>
      <c r="E674" s="12" t="s">
        <v>1072</v>
      </c>
      <c r="F674" s="12" t="s">
        <v>813</v>
      </c>
      <c r="G674" s="13">
        <v>90</v>
      </c>
      <c r="H674" s="14">
        <v>90</v>
      </c>
      <c r="I674" s="15">
        <v>81.209999999999994</v>
      </c>
      <c r="J674" s="16"/>
      <c r="K674" s="17">
        <v>7308.9</v>
      </c>
      <c r="L674" s="18">
        <v>46142</v>
      </c>
      <c r="M674" s="6" t="str">
        <f t="shared" si="30"/>
        <v>Schedule order</v>
      </c>
      <c r="N674" s="8">
        <f t="shared" ca="1" si="31"/>
        <v>-13</v>
      </c>
      <c r="O674" s="8" t="str">
        <f t="shared" ca="1" si="32"/>
        <v>With in 90 days</v>
      </c>
      <c r="P674" t="str">
        <f>VLOOKUP(C674,[1]Customer_Master!$A:$B,2,0)</f>
        <v>Group-2 (Veeresh- Bomsdr+Hosur)</v>
      </c>
      <c r="Q674" t="str">
        <f>VLOOKUP(D674,[2]Template!$A:$D,3,0)</f>
        <v>LAPP</v>
      </c>
      <c r="R674" t="str">
        <f>VLOOKUP(D674,[2]Template!$A:$D,4,0)</f>
        <v>Lapp-Titan</v>
      </c>
    </row>
    <row r="675" spans="1:18" ht="13.5" customHeight="1" x14ac:dyDescent="0.25">
      <c r="A675" s="9">
        <v>46127</v>
      </c>
      <c r="B675" s="10" t="s">
        <v>1231</v>
      </c>
      <c r="C675" s="11" t="s">
        <v>116</v>
      </c>
      <c r="D675" s="10" t="s">
        <v>1232</v>
      </c>
      <c r="E675" s="12" t="s">
        <v>1072</v>
      </c>
      <c r="F675" s="12" t="s">
        <v>1233</v>
      </c>
      <c r="G675" s="13">
        <v>15</v>
      </c>
      <c r="H675" s="14">
        <v>15</v>
      </c>
      <c r="I675" s="15">
        <v>204.42</v>
      </c>
      <c r="J675" s="16"/>
      <c r="K675" s="17">
        <v>3066.3</v>
      </c>
      <c r="L675" s="18">
        <v>46142</v>
      </c>
      <c r="M675" s="6" t="str">
        <f t="shared" si="30"/>
        <v>Schedule order</v>
      </c>
      <c r="N675" s="8">
        <f t="shared" ca="1" si="31"/>
        <v>-13</v>
      </c>
      <c r="O675" s="8" t="str">
        <f t="shared" ca="1" si="32"/>
        <v>With in 90 days</v>
      </c>
      <c r="P675" t="str">
        <f>VLOOKUP(C675,[1]Customer_Master!$A:$B,2,0)</f>
        <v>Group-2 (Veeresh- Bomsdr+Hosur)</v>
      </c>
      <c r="Q675" t="str">
        <f>VLOOKUP(D675,[2]Template!$A:$D,3,0)</f>
        <v>LAPP</v>
      </c>
      <c r="R675" t="str">
        <f>VLOOKUP(D675,[2]Template!$A:$D,4,0)</f>
        <v>Lapp-Non Moving Stocks</v>
      </c>
    </row>
    <row r="676" spans="1:18" ht="13.5" customHeight="1" x14ac:dyDescent="0.25">
      <c r="A676" s="9">
        <v>46127</v>
      </c>
      <c r="B676" s="10" t="s">
        <v>1231</v>
      </c>
      <c r="C676" s="11" t="s">
        <v>116</v>
      </c>
      <c r="D676" s="27" t="s">
        <v>1234</v>
      </c>
      <c r="E676" s="12" t="s">
        <v>1072</v>
      </c>
      <c r="F676" s="12" t="s">
        <v>1235</v>
      </c>
      <c r="G676" s="13">
        <v>35</v>
      </c>
      <c r="H676" s="14">
        <v>35</v>
      </c>
      <c r="I676" s="15">
        <v>911.15</v>
      </c>
      <c r="J676" s="16"/>
      <c r="K676" s="17">
        <v>31890.25</v>
      </c>
      <c r="L676" s="18">
        <v>46142</v>
      </c>
      <c r="M676" s="6" t="str">
        <f t="shared" si="30"/>
        <v>Schedule order</v>
      </c>
      <c r="N676" s="8">
        <f t="shared" ca="1" si="31"/>
        <v>-13</v>
      </c>
      <c r="O676" s="8" t="str">
        <f t="shared" ca="1" si="32"/>
        <v>With in 90 days</v>
      </c>
      <c r="P676" t="str">
        <f>VLOOKUP(C676,[1]Customer_Master!$A:$B,2,0)</f>
        <v>Group-2 (Veeresh- Bomsdr+Hosur)</v>
      </c>
      <c r="Q676" t="str">
        <f>VLOOKUP(D676,[2]Template!$A:$D,3,0)</f>
        <v>LAPP</v>
      </c>
      <c r="R676" t="str">
        <f>VLOOKUP(D676,[2]Template!$A:$D,4,0)</f>
        <v>Lapp-Non Moving Stocks</v>
      </c>
    </row>
    <row r="677" spans="1:18" ht="13.5" customHeight="1" x14ac:dyDescent="0.25">
      <c r="A677" s="9">
        <v>46127</v>
      </c>
      <c r="B677" s="10" t="s">
        <v>1231</v>
      </c>
      <c r="C677" s="11" t="s">
        <v>116</v>
      </c>
      <c r="D677" s="10" t="s">
        <v>1229</v>
      </c>
      <c r="E677" s="12" t="s">
        <v>1072</v>
      </c>
      <c r="F677" s="12" t="s">
        <v>1230</v>
      </c>
      <c r="G677" s="13">
        <v>60</v>
      </c>
      <c r="H677" s="14">
        <v>60</v>
      </c>
      <c r="I677" s="15">
        <v>434.33</v>
      </c>
      <c r="J677" s="16"/>
      <c r="K677" s="17">
        <v>26059.8</v>
      </c>
      <c r="L677" s="18">
        <v>46142</v>
      </c>
      <c r="M677" s="6" t="str">
        <f t="shared" si="30"/>
        <v>Schedule order</v>
      </c>
      <c r="N677" s="8">
        <f t="shared" ca="1" si="31"/>
        <v>-13</v>
      </c>
      <c r="O677" s="8" t="str">
        <f t="shared" ca="1" si="32"/>
        <v>With in 90 days</v>
      </c>
      <c r="P677" t="str">
        <f>VLOOKUP(C677,[1]Customer_Master!$A:$B,2,0)</f>
        <v>Group-2 (Veeresh- Bomsdr+Hosur)</v>
      </c>
      <c r="Q677" t="str">
        <f>VLOOKUP(D677,[2]Template!$A:$D,3,0)</f>
        <v>LAPP</v>
      </c>
      <c r="R677" t="str">
        <f>VLOOKUP(D677,[2]Template!$A:$D,4,0)</f>
        <v>Lapp-Against Customer PO</v>
      </c>
    </row>
    <row r="678" spans="1:18" ht="13.5" customHeight="1" x14ac:dyDescent="0.25">
      <c r="A678" s="9">
        <v>46127</v>
      </c>
      <c r="B678" s="10" t="s">
        <v>1231</v>
      </c>
      <c r="C678" s="11" t="s">
        <v>116</v>
      </c>
      <c r="D678" s="27" t="s">
        <v>1236</v>
      </c>
      <c r="E678" s="12" t="s">
        <v>1072</v>
      </c>
      <c r="F678" s="26" t="s">
        <v>1237</v>
      </c>
      <c r="G678" s="13">
        <v>15</v>
      </c>
      <c r="H678" s="14">
        <v>15</v>
      </c>
      <c r="I678" s="15">
        <v>397.78</v>
      </c>
      <c r="J678" s="16"/>
      <c r="K678" s="17">
        <v>5966.7</v>
      </c>
      <c r="L678" s="18">
        <v>46142</v>
      </c>
      <c r="M678" s="6" t="str">
        <f t="shared" si="30"/>
        <v>Schedule order</v>
      </c>
      <c r="N678" s="8">
        <f t="shared" ca="1" si="31"/>
        <v>-13</v>
      </c>
      <c r="O678" s="8" t="str">
        <f t="shared" ca="1" si="32"/>
        <v>With in 90 days</v>
      </c>
      <c r="P678" t="str">
        <f>VLOOKUP(C678,[1]Customer_Master!$A:$B,2,0)</f>
        <v>Group-2 (Veeresh- Bomsdr+Hosur)</v>
      </c>
      <c r="Q678" t="str">
        <f>VLOOKUP(D678,[2]Template!$A:$D,3,0)</f>
        <v>LAPP</v>
      </c>
      <c r="R678" t="str">
        <f>VLOOKUP(D678,[2]Template!$A:$D,4,0)</f>
        <v>Lapp-Non Moving Stocks</v>
      </c>
    </row>
    <row r="679" spans="1:18" ht="13.5" customHeight="1" x14ac:dyDescent="0.25">
      <c r="A679" s="9">
        <v>46127</v>
      </c>
      <c r="B679" s="10" t="s">
        <v>1231</v>
      </c>
      <c r="C679" s="11" t="s">
        <v>116</v>
      </c>
      <c r="D679" s="27" t="s">
        <v>1238</v>
      </c>
      <c r="E679" s="12" t="s">
        <v>1072</v>
      </c>
      <c r="F679" s="12" t="s">
        <v>1239</v>
      </c>
      <c r="G679" s="13">
        <v>70</v>
      </c>
      <c r="H679" s="14">
        <v>70</v>
      </c>
      <c r="I679" s="15">
        <v>570.9</v>
      </c>
      <c r="J679" s="16"/>
      <c r="K679" s="17">
        <v>39963</v>
      </c>
      <c r="L679" s="18">
        <v>46142</v>
      </c>
      <c r="M679" s="6" t="str">
        <f t="shared" si="30"/>
        <v>Schedule order</v>
      </c>
      <c r="N679" s="8">
        <f t="shared" ca="1" si="31"/>
        <v>-13</v>
      </c>
      <c r="O679" s="8" t="str">
        <f t="shared" ca="1" si="32"/>
        <v>With in 90 days</v>
      </c>
      <c r="P679" t="str">
        <f>VLOOKUP(C679,[1]Customer_Master!$A:$B,2,0)</f>
        <v>Group-2 (Veeresh- Bomsdr+Hosur)</v>
      </c>
      <c r="Q679" t="str">
        <f>VLOOKUP(D679,[2]Template!$A:$D,3,0)</f>
        <v>LAPP</v>
      </c>
      <c r="R679" t="str">
        <f>VLOOKUP(D679,[2]Template!$A:$D,4,0)</f>
        <v>Lapp-Against Customer PO</v>
      </c>
    </row>
    <row r="680" spans="1:18" ht="13.5" customHeight="1" x14ac:dyDescent="0.25">
      <c r="A680" s="9">
        <v>46127</v>
      </c>
      <c r="B680" s="10" t="s">
        <v>1231</v>
      </c>
      <c r="C680" s="11" t="s">
        <v>116</v>
      </c>
      <c r="D680" s="27" t="s">
        <v>455</v>
      </c>
      <c r="E680" s="12" t="s">
        <v>1072</v>
      </c>
      <c r="F680" s="26" t="s">
        <v>84</v>
      </c>
      <c r="G680" s="13">
        <v>15</v>
      </c>
      <c r="H680" s="14">
        <v>15</v>
      </c>
      <c r="I680" s="15">
        <v>260.47000000000003</v>
      </c>
      <c r="J680" s="16"/>
      <c r="K680" s="17">
        <v>3907.05</v>
      </c>
      <c r="L680" s="18">
        <v>46142</v>
      </c>
      <c r="M680" s="6" t="str">
        <f t="shared" si="30"/>
        <v>Schedule order</v>
      </c>
      <c r="N680" s="8">
        <f t="shared" ca="1" si="31"/>
        <v>-13</v>
      </c>
      <c r="O680" s="8" t="str">
        <f t="shared" ca="1" si="32"/>
        <v>With in 90 days</v>
      </c>
      <c r="P680" t="str">
        <f>VLOOKUP(C680,[1]Customer_Master!$A:$B,2,0)</f>
        <v>Group-2 (Veeresh- Bomsdr+Hosur)</v>
      </c>
      <c r="Q680" t="str">
        <f>VLOOKUP(D680,[2]Template!$A:$D,3,0)</f>
        <v>LAPP</v>
      </c>
      <c r="R680" t="str">
        <f>VLOOKUP(D680,[2]Template!$A:$D,4,0)</f>
        <v>Lapp-Against Customer PO</v>
      </c>
    </row>
    <row r="681" spans="1:18" ht="13.5" customHeight="1" x14ac:dyDescent="0.25">
      <c r="A681" s="9">
        <v>46127</v>
      </c>
      <c r="B681" s="10" t="s">
        <v>1231</v>
      </c>
      <c r="C681" s="11" t="s">
        <v>116</v>
      </c>
      <c r="D681" s="10" t="s">
        <v>242</v>
      </c>
      <c r="E681" s="12" t="s">
        <v>1072</v>
      </c>
      <c r="F681" s="12" t="s">
        <v>1072</v>
      </c>
      <c r="G681" s="19">
        <v>1</v>
      </c>
      <c r="H681" s="20">
        <v>1</v>
      </c>
      <c r="I681" s="15">
        <v>4016.73</v>
      </c>
      <c r="J681" s="16"/>
      <c r="K681" s="17">
        <v>4016.73</v>
      </c>
      <c r="L681" s="18">
        <v>46127</v>
      </c>
      <c r="M681" s="6" t="str">
        <f t="shared" si="30"/>
        <v>Due order</v>
      </c>
      <c r="N681" s="8">
        <f t="shared" ca="1" si="31"/>
        <v>-28</v>
      </c>
      <c r="O681" s="8" t="str">
        <f t="shared" ca="1" si="32"/>
        <v>With in 90 days</v>
      </c>
      <c r="P681" t="str">
        <f>VLOOKUP(C681,[1]Customer_Master!$A:$B,2,0)</f>
        <v>Group-2 (Veeresh- Bomsdr+Hosur)</v>
      </c>
      <c r="Q681" t="str">
        <f>VLOOKUP(D681,[2]Template!$A:$D,3,0)</f>
        <v>LAPP</v>
      </c>
      <c r="R681" t="str">
        <f>VLOOKUP(D681,[2]Template!$A:$D,4,0)</f>
        <v>Lapp-Against Customer PO</v>
      </c>
    </row>
    <row r="682" spans="1:18" ht="13.5" customHeight="1" x14ac:dyDescent="0.25">
      <c r="A682" s="9">
        <v>46127</v>
      </c>
      <c r="B682" s="10" t="s">
        <v>1240</v>
      </c>
      <c r="C682" s="11" t="s">
        <v>116</v>
      </c>
      <c r="D682" s="27" t="s">
        <v>1241</v>
      </c>
      <c r="E682" s="12" t="s">
        <v>1072</v>
      </c>
      <c r="F682" s="12" t="s">
        <v>1242</v>
      </c>
      <c r="G682" s="13">
        <v>135</v>
      </c>
      <c r="H682" s="14">
        <v>135</v>
      </c>
      <c r="I682" s="15">
        <v>743.35</v>
      </c>
      <c r="J682" s="16"/>
      <c r="K682" s="17">
        <v>100352.25</v>
      </c>
      <c r="L682" s="18">
        <v>46142</v>
      </c>
      <c r="M682" s="6" t="str">
        <f t="shared" si="30"/>
        <v>Schedule order</v>
      </c>
      <c r="N682" s="8">
        <f t="shared" ca="1" si="31"/>
        <v>-13</v>
      </c>
      <c r="O682" s="8" t="str">
        <f t="shared" ca="1" si="32"/>
        <v>With in 90 days</v>
      </c>
      <c r="P682" t="str">
        <f>VLOOKUP(C682,[1]Customer_Master!$A:$B,2,0)</f>
        <v>Group-2 (Veeresh- Bomsdr+Hosur)</v>
      </c>
      <c r="Q682" t="str">
        <f>VLOOKUP(D682,[2]Template!$A:$D,3,0)</f>
        <v>LAPP</v>
      </c>
      <c r="R682" t="str">
        <f>VLOOKUP(D682,[2]Template!$A:$D,4,0)</f>
        <v>Lapp-Non Moving Stocks</v>
      </c>
    </row>
    <row r="683" spans="1:18" ht="13.5" customHeight="1" x14ac:dyDescent="0.25">
      <c r="A683" s="9">
        <v>46127</v>
      </c>
      <c r="B683" s="10" t="s">
        <v>1240</v>
      </c>
      <c r="C683" s="11" t="s">
        <v>116</v>
      </c>
      <c r="D683" s="10" t="s">
        <v>242</v>
      </c>
      <c r="E683" s="12" t="s">
        <v>1072</v>
      </c>
      <c r="F683" s="12" t="s">
        <v>1072</v>
      </c>
      <c r="G683" s="19">
        <v>1</v>
      </c>
      <c r="H683" s="20">
        <v>1</v>
      </c>
      <c r="I683" s="15">
        <v>3988</v>
      </c>
      <c r="J683" s="16"/>
      <c r="K683" s="17">
        <v>3988</v>
      </c>
      <c r="L683" s="18">
        <v>46127</v>
      </c>
      <c r="M683" s="6" t="str">
        <f t="shared" si="30"/>
        <v>Due order</v>
      </c>
      <c r="N683" s="8">
        <f t="shared" ca="1" si="31"/>
        <v>-28</v>
      </c>
      <c r="O683" s="8" t="str">
        <f t="shared" ca="1" si="32"/>
        <v>With in 90 days</v>
      </c>
      <c r="P683" t="str">
        <f>VLOOKUP(C683,[1]Customer_Master!$A:$B,2,0)</f>
        <v>Group-2 (Veeresh- Bomsdr+Hosur)</v>
      </c>
      <c r="Q683" t="str">
        <f>VLOOKUP(D683,[2]Template!$A:$D,3,0)</f>
        <v>LAPP</v>
      </c>
      <c r="R683" t="str">
        <f>VLOOKUP(D683,[2]Template!$A:$D,4,0)</f>
        <v>Lapp-Against Customer PO</v>
      </c>
    </row>
    <row r="684" spans="1:18" ht="13.5" customHeight="1" x14ac:dyDescent="0.25">
      <c r="A684" s="9">
        <v>46127</v>
      </c>
      <c r="B684" s="10" t="s">
        <v>1243</v>
      </c>
      <c r="C684" s="11" t="s">
        <v>116</v>
      </c>
      <c r="D684" s="27" t="s">
        <v>1244</v>
      </c>
      <c r="E684" s="12" t="s">
        <v>1072</v>
      </c>
      <c r="F684" s="26" t="s">
        <v>1245</v>
      </c>
      <c r="G684" s="13">
        <v>16</v>
      </c>
      <c r="H684" s="14">
        <v>16</v>
      </c>
      <c r="I684" s="15">
        <v>2251.6999999999998</v>
      </c>
      <c r="J684" s="16"/>
      <c r="K684" s="17">
        <v>36027.199999999997</v>
      </c>
      <c r="L684" s="18">
        <v>46153</v>
      </c>
      <c r="M684" s="6" t="str">
        <f t="shared" si="30"/>
        <v>Schedule order</v>
      </c>
      <c r="N684" s="8">
        <f t="shared" ca="1" si="31"/>
        <v>-2</v>
      </c>
      <c r="O684" s="8" t="str">
        <f t="shared" ca="1" si="32"/>
        <v>With in 90 days</v>
      </c>
      <c r="P684" t="str">
        <f>VLOOKUP(C684,[1]Customer_Master!$A:$B,2,0)</f>
        <v>Group-2 (Veeresh- Bomsdr+Hosur)</v>
      </c>
      <c r="Q684" t="str">
        <f>VLOOKUP(D684,[2]Template!$A:$D,3,0)</f>
        <v>LAPP</v>
      </c>
      <c r="R684" t="str">
        <f>VLOOKUP(D684,[2]Template!$A:$D,4,0)</f>
        <v>Lapp-Non Moving Stocks</v>
      </c>
    </row>
    <row r="685" spans="1:18" ht="13.5" customHeight="1" x14ac:dyDescent="0.25">
      <c r="A685" s="9">
        <v>46127</v>
      </c>
      <c r="B685" s="10" t="s">
        <v>1243</v>
      </c>
      <c r="C685" s="11" t="s">
        <v>116</v>
      </c>
      <c r="D685" s="27" t="s">
        <v>1241</v>
      </c>
      <c r="E685" s="12" t="s">
        <v>1072</v>
      </c>
      <c r="F685" s="12" t="s">
        <v>1242</v>
      </c>
      <c r="G685" s="13">
        <v>170</v>
      </c>
      <c r="H685" s="14">
        <v>170</v>
      </c>
      <c r="I685" s="15">
        <v>743.35</v>
      </c>
      <c r="J685" s="16"/>
      <c r="K685" s="17">
        <v>126369.5</v>
      </c>
      <c r="L685" s="18">
        <v>46153</v>
      </c>
      <c r="M685" s="6" t="str">
        <f t="shared" si="30"/>
        <v>Schedule order</v>
      </c>
      <c r="N685" s="8">
        <f t="shared" ca="1" si="31"/>
        <v>-2</v>
      </c>
      <c r="O685" s="8" t="str">
        <f t="shared" ca="1" si="32"/>
        <v>With in 90 days</v>
      </c>
      <c r="P685" t="str">
        <f>VLOOKUP(C685,[1]Customer_Master!$A:$B,2,0)</f>
        <v>Group-2 (Veeresh- Bomsdr+Hosur)</v>
      </c>
      <c r="Q685" t="str">
        <f>VLOOKUP(D685,[2]Template!$A:$D,3,0)</f>
        <v>LAPP</v>
      </c>
      <c r="R685" t="str">
        <f>VLOOKUP(D685,[2]Template!$A:$D,4,0)</f>
        <v>Lapp-Non Moving Stocks</v>
      </c>
    </row>
    <row r="686" spans="1:18" ht="13.5" customHeight="1" x14ac:dyDescent="0.25">
      <c r="A686" s="9">
        <v>46127</v>
      </c>
      <c r="B686" s="10" t="s">
        <v>1246</v>
      </c>
      <c r="C686" s="11" t="s">
        <v>116</v>
      </c>
      <c r="D686" s="27" t="s">
        <v>1244</v>
      </c>
      <c r="E686" s="12" t="s">
        <v>1072</v>
      </c>
      <c r="F686" s="26" t="s">
        <v>1245</v>
      </c>
      <c r="G686" s="13">
        <v>60</v>
      </c>
      <c r="H686" s="14">
        <v>60</v>
      </c>
      <c r="I686" s="15">
        <v>2251.6999999999998</v>
      </c>
      <c r="J686" s="16"/>
      <c r="K686" s="17">
        <v>135102</v>
      </c>
      <c r="L686" s="18">
        <v>46142</v>
      </c>
      <c r="M686" s="6" t="str">
        <f t="shared" si="30"/>
        <v>Schedule order</v>
      </c>
      <c r="N686" s="8">
        <f t="shared" ca="1" si="31"/>
        <v>-13</v>
      </c>
      <c r="O686" s="8" t="str">
        <f t="shared" ca="1" si="32"/>
        <v>With in 90 days</v>
      </c>
      <c r="P686" t="str">
        <f>VLOOKUP(C686,[1]Customer_Master!$A:$B,2,0)</f>
        <v>Group-2 (Veeresh- Bomsdr+Hosur)</v>
      </c>
      <c r="Q686" t="str">
        <f>VLOOKUP(D686,[2]Template!$A:$D,3,0)</f>
        <v>LAPP</v>
      </c>
      <c r="R686" t="str">
        <f>VLOOKUP(D686,[2]Template!$A:$D,4,0)</f>
        <v>Lapp-Non Moving Stocks</v>
      </c>
    </row>
    <row r="687" spans="1:18" ht="13.5" customHeight="1" x14ac:dyDescent="0.25">
      <c r="A687" s="9">
        <v>46127</v>
      </c>
      <c r="B687" s="10" t="s">
        <v>1249</v>
      </c>
      <c r="C687" s="11" t="s">
        <v>1250</v>
      </c>
      <c r="D687" s="10" t="s">
        <v>1385</v>
      </c>
      <c r="E687" s="12" t="s">
        <v>1072</v>
      </c>
      <c r="F687" s="12" t="s">
        <v>1386</v>
      </c>
      <c r="G687" s="19">
        <v>2</v>
      </c>
      <c r="H687" s="20">
        <v>2</v>
      </c>
      <c r="I687" s="15">
        <v>787</v>
      </c>
      <c r="J687" s="16"/>
      <c r="K687" s="17">
        <v>1574</v>
      </c>
      <c r="L687" s="18">
        <v>46127</v>
      </c>
      <c r="M687" s="6" t="str">
        <f t="shared" si="30"/>
        <v>Due order</v>
      </c>
      <c r="N687" s="8">
        <f t="shared" ca="1" si="31"/>
        <v>-28</v>
      </c>
      <c r="O687" s="8" t="str">
        <f t="shared" ca="1" si="32"/>
        <v>With in 90 days</v>
      </c>
      <c r="P687" t="str">
        <f>VLOOKUP(C687,[1]Customer_Master!$A:$B,2,0)</f>
        <v>Group 1-Giridhar-Peenya</v>
      </c>
      <c r="Q687" t="str">
        <f>VLOOKUP(D687,[2]Template!$A:$D,3,0)</f>
        <v>EATON</v>
      </c>
      <c r="R687" t="str">
        <f>VLOOKUP(D687,[2]Template!$A:$D,4,0)</f>
        <v>Eaton-Planned Stock General</v>
      </c>
    </row>
    <row r="688" spans="1:18" ht="13.5" customHeight="1" x14ac:dyDescent="0.25">
      <c r="A688" s="9">
        <v>46127</v>
      </c>
      <c r="B688" s="10" t="s">
        <v>1249</v>
      </c>
      <c r="C688" s="11" t="s">
        <v>1250</v>
      </c>
      <c r="D688" s="10" t="s">
        <v>1387</v>
      </c>
      <c r="E688" s="12" t="s">
        <v>1072</v>
      </c>
      <c r="F688" s="12" t="s">
        <v>1388</v>
      </c>
      <c r="G688" s="19">
        <v>20</v>
      </c>
      <c r="H688" s="20">
        <v>20</v>
      </c>
      <c r="I688" s="15">
        <v>554</v>
      </c>
      <c r="J688" s="16"/>
      <c r="K688" s="17">
        <v>11080</v>
      </c>
      <c r="L688" s="18">
        <v>46127</v>
      </c>
      <c r="M688" s="6" t="str">
        <f t="shared" si="30"/>
        <v>Due order</v>
      </c>
      <c r="N688" s="8">
        <f t="shared" ca="1" si="31"/>
        <v>-28</v>
      </c>
      <c r="O688" s="8" t="str">
        <f t="shared" ca="1" si="32"/>
        <v>With in 90 days</v>
      </c>
      <c r="P688" t="str">
        <f>VLOOKUP(C688,[1]Customer_Master!$A:$B,2,0)</f>
        <v>Group 1-Giridhar-Peenya</v>
      </c>
      <c r="Q688" t="str">
        <f>VLOOKUP(D688,[2]Template!$A:$D,3,0)</f>
        <v>EATON</v>
      </c>
      <c r="R688" t="str">
        <f>VLOOKUP(D688,[2]Template!$A:$D,4,0)</f>
        <v>Eaton-Planned Stock General</v>
      </c>
    </row>
    <row r="689" spans="1:18" ht="13.5" customHeight="1" x14ac:dyDescent="0.25">
      <c r="A689" s="9">
        <v>46127</v>
      </c>
      <c r="B689" s="10" t="s">
        <v>1249</v>
      </c>
      <c r="C689" s="11" t="s">
        <v>1250</v>
      </c>
      <c r="D689" s="10" t="s">
        <v>1389</v>
      </c>
      <c r="E689" s="12" t="s">
        <v>1072</v>
      </c>
      <c r="F689" s="12" t="s">
        <v>1390</v>
      </c>
      <c r="G689" s="19">
        <v>6</v>
      </c>
      <c r="H689" s="20">
        <v>6</v>
      </c>
      <c r="I689" s="15">
        <v>5044</v>
      </c>
      <c r="J689" s="16"/>
      <c r="K689" s="17">
        <v>30264</v>
      </c>
      <c r="L689" s="18">
        <v>46127</v>
      </c>
      <c r="M689" s="6" t="str">
        <f t="shared" si="30"/>
        <v>Due order</v>
      </c>
      <c r="N689" s="8">
        <f t="shared" ca="1" si="31"/>
        <v>-28</v>
      </c>
      <c r="O689" s="8" t="str">
        <f t="shared" ca="1" si="32"/>
        <v>With in 90 days</v>
      </c>
      <c r="P689" t="str">
        <f>VLOOKUP(C689,[1]Customer_Master!$A:$B,2,0)</f>
        <v>Group 1-Giridhar-Peenya</v>
      </c>
      <c r="Q689" t="str">
        <f>VLOOKUP(D689,[2]Template!$A:$D,3,0)</f>
        <v>EATON</v>
      </c>
      <c r="R689" t="str">
        <f>VLOOKUP(D689,[2]Template!$A:$D,4,0)</f>
        <v>Eaton-Planned Stock General</v>
      </c>
    </row>
    <row r="690" spans="1:18" ht="13.5" customHeight="1" x14ac:dyDescent="0.25">
      <c r="A690" s="9">
        <v>46127</v>
      </c>
      <c r="B690" s="10" t="s">
        <v>1249</v>
      </c>
      <c r="C690" s="11" t="s">
        <v>1250</v>
      </c>
      <c r="D690" s="10" t="s">
        <v>497</v>
      </c>
      <c r="E690" s="12" t="s">
        <v>1072</v>
      </c>
      <c r="F690" s="12" t="s">
        <v>498</v>
      </c>
      <c r="G690" s="19">
        <v>6</v>
      </c>
      <c r="H690" s="20">
        <v>6</v>
      </c>
      <c r="I690" s="15">
        <v>254</v>
      </c>
      <c r="J690" s="16"/>
      <c r="K690" s="17">
        <v>1524</v>
      </c>
      <c r="L690" s="18">
        <v>46127</v>
      </c>
      <c r="M690" s="6" t="str">
        <f t="shared" si="30"/>
        <v>Due order</v>
      </c>
      <c r="N690" s="8">
        <f t="shared" ca="1" si="31"/>
        <v>-28</v>
      </c>
      <c r="O690" s="8" t="str">
        <f t="shared" ca="1" si="32"/>
        <v>With in 90 days</v>
      </c>
      <c r="P690" t="str">
        <f>VLOOKUP(C690,[1]Customer_Master!$A:$B,2,0)</f>
        <v>Group 1-Giridhar-Peenya</v>
      </c>
      <c r="Q690" t="str">
        <f>VLOOKUP(D690,[2]Template!$A:$D,3,0)</f>
        <v>EATON</v>
      </c>
      <c r="R690" t="str">
        <f>VLOOKUP(D690,[2]Template!$A:$D,4,0)</f>
        <v>Eaton-Non Moving Stock</v>
      </c>
    </row>
    <row r="691" spans="1:18" ht="13.5" customHeight="1" x14ac:dyDescent="0.25">
      <c r="A691" s="9">
        <v>46127</v>
      </c>
      <c r="B691" s="10" t="s">
        <v>1249</v>
      </c>
      <c r="C691" s="11" t="s">
        <v>1250</v>
      </c>
      <c r="D691" s="10" t="s">
        <v>1391</v>
      </c>
      <c r="E691" s="12" t="s">
        <v>1072</v>
      </c>
      <c r="F691" s="12" t="s">
        <v>1392</v>
      </c>
      <c r="G691" s="19">
        <v>2</v>
      </c>
      <c r="H691" s="20">
        <v>2</v>
      </c>
      <c r="I691" s="15">
        <v>275</v>
      </c>
      <c r="J691" s="16"/>
      <c r="K691" s="17">
        <v>550</v>
      </c>
      <c r="L691" s="18">
        <v>46127</v>
      </c>
      <c r="M691" s="6" t="str">
        <f t="shared" si="30"/>
        <v>Due order</v>
      </c>
      <c r="N691" s="8">
        <f t="shared" ca="1" si="31"/>
        <v>-28</v>
      </c>
      <c r="O691" s="8" t="str">
        <f t="shared" ca="1" si="32"/>
        <v>With in 90 days</v>
      </c>
      <c r="P691" t="str">
        <f>VLOOKUP(C691,[1]Customer_Master!$A:$B,2,0)</f>
        <v>Group 1-Giridhar-Peenya</v>
      </c>
      <c r="Q691" t="str">
        <f>VLOOKUP(D691,[2]Template!$A:$D,3,0)</f>
        <v>EATON</v>
      </c>
      <c r="R691" t="str">
        <f>VLOOKUP(D691,[2]Template!$A:$D,4,0)</f>
        <v>Eaton-Planned Stock General</v>
      </c>
    </row>
    <row r="692" spans="1:18" ht="13.5" customHeight="1" x14ac:dyDescent="0.25">
      <c r="A692" s="9">
        <v>46128</v>
      </c>
      <c r="B692" s="10" t="s">
        <v>1251</v>
      </c>
      <c r="C692" s="11" t="s">
        <v>76</v>
      </c>
      <c r="D692" s="10" t="s">
        <v>446</v>
      </c>
      <c r="E692" s="12" t="s">
        <v>1072</v>
      </c>
      <c r="F692" s="12" t="s">
        <v>156</v>
      </c>
      <c r="G692" s="19">
        <v>16</v>
      </c>
      <c r="H692" s="20">
        <v>16</v>
      </c>
      <c r="I692" s="15">
        <v>164</v>
      </c>
      <c r="J692" s="16"/>
      <c r="K692" s="17">
        <v>2624</v>
      </c>
      <c r="L692" s="18">
        <v>46219</v>
      </c>
      <c r="M692" s="6" t="str">
        <f t="shared" si="30"/>
        <v>Schedule order</v>
      </c>
      <c r="N692" s="8">
        <f t="shared" ca="1" si="31"/>
        <v>64</v>
      </c>
      <c r="O692" s="8" t="str">
        <f t="shared" ca="1" si="32"/>
        <v>Lattest or shedule order</v>
      </c>
      <c r="P692" t="str">
        <f>VLOOKUP(C692,[1]Customer_Master!$A:$B,2,0)</f>
        <v>Group 1-Giridhar-Peenya</v>
      </c>
      <c r="Q692" t="str">
        <f>VLOOKUP(D692,[2]Template!$A:$D,3,0)</f>
        <v>EATON</v>
      </c>
      <c r="R692" t="str">
        <f>VLOOKUP(D692,[2]Template!$A:$D,4,0)</f>
        <v>Eaton-Biesse</v>
      </c>
    </row>
    <row r="693" spans="1:18" ht="13.5" customHeight="1" x14ac:dyDescent="0.25">
      <c r="A693" s="9">
        <v>46128</v>
      </c>
      <c r="B693" s="10" t="s">
        <v>1251</v>
      </c>
      <c r="C693" s="11" t="s">
        <v>76</v>
      </c>
      <c r="D693" s="10" t="s">
        <v>446</v>
      </c>
      <c r="E693" s="12" t="s">
        <v>1072</v>
      </c>
      <c r="F693" s="12" t="s">
        <v>156</v>
      </c>
      <c r="G693" s="19">
        <v>18</v>
      </c>
      <c r="H693" s="20">
        <v>18</v>
      </c>
      <c r="I693" s="15">
        <v>164</v>
      </c>
      <c r="J693" s="16"/>
      <c r="K693" s="17">
        <v>2952</v>
      </c>
      <c r="L693" s="18">
        <v>46248</v>
      </c>
      <c r="M693" s="6" t="str">
        <f t="shared" si="30"/>
        <v>Schedule order</v>
      </c>
      <c r="N693" s="8">
        <f t="shared" ca="1" si="31"/>
        <v>93</v>
      </c>
      <c r="O693" s="8" t="str">
        <f t="shared" ca="1" si="32"/>
        <v>Lattest or shedule order</v>
      </c>
      <c r="P693" t="str">
        <f>VLOOKUP(C693,[1]Customer_Master!$A:$B,2,0)</f>
        <v>Group 1-Giridhar-Peenya</v>
      </c>
      <c r="Q693" t="str">
        <f>VLOOKUP(D693,[2]Template!$A:$D,3,0)</f>
        <v>EATON</v>
      </c>
      <c r="R693" t="str">
        <f>VLOOKUP(D693,[2]Template!$A:$D,4,0)</f>
        <v>Eaton-Biesse</v>
      </c>
    </row>
    <row r="694" spans="1:18" ht="13.5" customHeight="1" x14ac:dyDescent="0.25">
      <c r="A694" s="9">
        <v>46128</v>
      </c>
      <c r="B694" s="10" t="s">
        <v>1252</v>
      </c>
      <c r="C694" s="11" t="s">
        <v>13</v>
      </c>
      <c r="D694" s="10" t="s">
        <v>399</v>
      </c>
      <c r="E694" s="26" t="s">
        <v>197</v>
      </c>
      <c r="F694" s="12" t="s">
        <v>198</v>
      </c>
      <c r="G694" s="19">
        <v>20</v>
      </c>
      <c r="H694" s="20">
        <v>20</v>
      </c>
      <c r="I694" s="15">
        <v>9023</v>
      </c>
      <c r="J694" s="16"/>
      <c r="K694" s="17">
        <v>180460</v>
      </c>
      <c r="L694" s="18">
        <v>46254</v>
      </c>
      <c r="M694" s="6" t="str">
        <f t="shared" si="30"/>
        <v>Schedule order</v>
      </c>
      <c r="N694" s="8">
        <f t="shared" ca="1" si="31"/>
        <v>99</v>
      </c>
      <c r="O694" s="8" t="str">
        <f t="shared" ca="1" si="32"/>
        <v>Lattest or shedule order</v>
      </c>
      <c r="P694" t="str">
        <f>VLOOKUP(C694,[1]Customer_Master!$A:$B,2,0)</f>
        <v>Group-2 (Veeresh- Bomsdr+Hosur)</v>
      </c>
      <c r="Q694" t="str">
        <f>VLOOKUP(D694,[2]Template!$A:$D,3,0)</f>
        <v>EATON</v>
      </c>
      <c r="R694" t="str">
        <f>VLOOKUP(D694,[2]Template!$A:$D,4,0)</f>
        <v>Eaton-Faiveley-Non E70</v>
      </c>
    </row>
    <row r="695" spans="1:18" ht="13.5" customHeight="1" x14ac:dyDescent="0.25">
      <c r="A695" s="9">
        <v>46128</v>
      </c>
      <c r="B695" s="10" t="s">
        <v>1253</v>
      </c>
      <c r="C695" s="11" t="s">
        <v>13</v>
      </c>
      <c r="D695" s="27" t="s">
        <v>299</v>
      </c>
      <c r="E695" s="26" t="s">
        <v>20</v>
      </c>
      <c r="F695" s="12" t="s">
        <v>21</v>
      </c>
      <c r="G695" s="19">
        <v>50</v>
      </c>
      <c r="H695" s="20">
        <v>50</v>
      </c>
      <c r="I695" s="15">
        <v>9023</v>
      </c>
      <c r="J695" s="16"/>
      <c r="K695" s="17">
        <v>451150</v>
      </c>
      <c r="L695" s="18">
        <v>46254</v>
      </c>
      <c r="M695" s="6" t="str">
        <f t="shared" si="30"/>
        <v>Schedule order</v>
      </c>
      <c r="N695" s="8">
        <f t="shared" ca="1" si="31"/>
        <v>99</v>
      </c>
      <c r="O695" s="8" t="str">
        <f t="shared" ca="1" si="32"/>
        <v>Lattest or shedule order</v>
      </c>
      <c r="P695" t="str">
        <f>VLOOKUP(C695,[1]Customer_Master!$A:$B,2,0)</f>
        <v>Group-2 (Veeresh- Bomsdr+Hosur)</v>
      </c>
      <c r="Q695" t="str">
        <f>VLOOKUP(D695,[2]Template!$A:$D,3,0)</f>
        <v>EATON</v>
      </c>
      <c r="R695" t="str">
        <f>VLOOKUP(D695,[2]Template!$A:$D,4,0)</f>
        <v>Eaton-Faiveley-Non E70</v>
      </c>
    </row>
    <row r="696" spans="1:18" ht="13.5" customHeight="1" x14ac:dyDescent="0.25">
      <c r="A696" s="9">
        <v>46128</v>
      </c>
      <c r="B696" s="10" t="s">
        <v>1253</v>
      </c>
      <c r="C696" s="11" t="s">
        <v>13</v>
      </c>
      <c r="D696" s="10" t="s">
        <v>386</v>
      </c>
      <c r="E696" s="26" t="s">
        <v>175</v>
      </c>
      <c r="F696" s="12" t="s">
        <v>176</v>
      </c>
      <c r="G696" s="19">
        <v>20</v>
      </c>
      <c r="H696" s="20">
        <v>20</v>
      </c>
      <c r="I696" s="15">
        <v>9023</v>
      </c>
      <c r="J696" s="16"/>
      <c r="K696" s="17">
        <v>180460</v>
      </c>
      <c r="L696" s="18">
        <v>46254</v>
      </c>
      <c r="M696" s="6" t="str">
        <f t="shared" si="30"/>
        <v>Schedule order</v>
      </c>
      <c r="N696" s="8">
        <f t="shared" ca="1" si="31"/>
        <v>99</v>
      </c>
      <c r="O696" s="8" t="str">
        <f t="shared" ca="1" si="32"/>
        <v>Lattest or shedule order</v>
      </c>
      <c r="P696" t="str">
        <f>VLOOKUP(C696,[1]Customer_Master!$A:$B,2,0)</f>
        <v>Group-2 (Veeresh- Bomsdr+Hosur)</v>
      </c>
      <c r="Q696" t="str">
        <f>VLOOKUP(D696,[2]Template!$A:$D,3,0)</f>
        <v>EATON</v>
      </c>
      <c r="R696" t="str">
        <f>VLOOKUP(D696,[2]Template!$A:$D,4,0)</f>
        <v>Eaton-Faiveley-Non E70</v>
      </c>
    </row>
    <row r="697" spans="1:18" ht="13.5" customHeight="1" x14ac:dyDescent="0.25">
      <c r="A697" s="9">
        <v>46128</v>
      </c>
      <c r="B697" s="10" t="s">
        <v>1254</v>
      </c>
      <c r="C697" s="11" t="s">
        <v>94</v>
      </c>
      <c r="D697" s="10" t="s">
        <v>1255</v>
      </c>
      <c r="E697" s="12" t="s">
        <v>1072</v>
      </c>
      <c r="F697" s="12" t="s">
        <v>1256</v>
      </c>
      <c r="G697" s="13">
        <v>100</v>
      </c>
      <c r="H697" s="14">
        <v>100</v>
      </c>
      <c r="I697" s="15">
        <v>276.57</v>
      </c>
      <c r="J697" s="16"/>
      <c r="K697" s="17">
        <v>27657</v>
      </c>
      <c r="L697" s="18">
        <v>46134</v>
      </c>
      <c r="M697" s="6" t="str">
        <f t="shared" si="30"/>
        <v>Due order</v>
      </c>
      <c r="N697" s="8">
        <f t="shared" ca="1" si="31"/>
        <v>-21</v>
      </c>
      <c r="O697" s="8" t="str">
        <f t="shared" ca="1" si="32"/>
        <v>With in 90 days</v>
      </c>
      <c r="P697" t="str">
        <f>VLOOKUP(C697,[1]Customer_Master!$A:$B,2,0)</f>
        <v>Group 1-Giridhar-Peenya</v>
      </c>
      <c r="Q697" t="str">
        <f>VLOOKUP(D697,[2]Template!$A:$D,3,0)</f>
        <v>LAPP</v>
      </c>
      <c r="R697" t="str">
        <f>VLOOKUP(D697,[2]Template!$A:$D,4,0)</f>
        <v>Lapp-Planned Stock Specific Customer</v>
      </c>
    </row>
    <row r="698" spans="1:18" ht="13.5" customHeight="1" x14ac:dyDescent="0.25">
      <c r="A698" s="9">
        <v>46128</v>
      </c>
      <c r="B698" s="10" t="s">
        <v>1254</v>
      </c>
      <c r="C698" s="11" t="s">
        <v>94</v>
      </c>
      <c r="D698" s="10" t="s">
        <v>242</v>
      </c>
      <c r="E698" s="12" t="s">
        <v>1072</v>
      </c>
      <c r="F698" s="12" t="s">
        <v>1072</v>
      </c>
      <c r="G698" s="19">
        <v>1</v>
      </c>
      <c r="H698" s="20">
        <v>1</v>
      </c>
      <c r="I698" s="15">
        <v>1080</v>
      </c>
      <c r="J698" s="16"/>
      <c r="K698" s="17">
        <v>1080</v>
      </c>
      <c r="L698" s="18">
        <v>46128</v>
      </c>
      <c r="M698" s="6" t="str">
        <f t="shared" si="30"/>
        <v>Due order</v>
      </c>
      <c r="N698" s="8">
        <f t="shared" ca="1" si="31"/>
        <v>-27</v>
      </c>
      <c r="O698" s="8" t="str">
        <f t="shared" ca="1" si="32"/>
        <v>With in 90 days</v>
      </c>
      <c r="P698" t="str">
        <f>VLOOKUP(C698,[1]Customer_Master!$A:$B,2,0)</f>
        <v>Group 1-Giridhar-Peenya</v>
      </c>
      <c r="Q698" t="str">
        <f>VLOOKUP(D698,[2]Template!$A:$D,3,0)</f>
        <v>LAPP</v>
      </c>
      <c r="R698" t="str">
        <f>VLOOKUP(D698,[2]Template!$A:$D,4,0)</f>
        <v>Lapp-Against Customer PO</v>
      </c>
    </row>
    <row r="699" spans="1:18" ht="13.5" customHeight="1" x14ac:dyDescent="0.25">
      <c r="A699" s="9">
        <v>46128</v>
      </c>
      <c r="B699" s="10" t="s">
        <v>1257</v>
      </c>
      <c r="C699" s="11" t="s">
        <v>60</v>
      </c>
      <c r="D699" s="10" t="s">
        <v>339</v>
      </c>
      <c r="E699" s="12" t="s">
        <v>1258</v>
      </c>
      <c r="F699" s="12" t="s">
        <v>124</v>
      </c>
      <c r="G699" s="13">
        <v>1000</v>
      </c>
      <c r="H699" s="14">
        <v>500</v>
      </c>
      <c r="I699" s="15">
        <v>24.48</v>
      </c>
      <c r="J699" s="16"/>
      <c r="K699" s="17">
        <v>12240</v>
      </c>
      <c r="L699" s="18">
        <v>46168</v>
      </c>
      <c r="M699" s="6" t="str">
        <f t="shared" si="30"/>
        <v>Schedule order</v>
      </c>
      <c r="N699" s="8">
        <f t="shared" ca="1" si="31"/>
        <v>13</v>
      </c>
      <c r="O699" s="8" t="str">
        <f t="shared" ca="1" si="32"/>
        <v>Lattest or shedule order</v>
      </c>
      <c r="P699" t="str">
        <f>VLOOKUP(C699,[1]Customer_Master!$A:$B,2,0)</f>
        <v>Group 1-Giridhar-Peenya</v>
      </c>
      <c r="Q699" t="str">
        <f>VLOOKUP(D699,[2]Template!$A:$D,3,0)</f>
        <v>LAPP</v>
      </c>
      <c r="R699" t="str">
        <f>VLOOKUP(D699,[2]Template!$A:$D,4,0)</f>
        <v>Lapp-Planned Stock General</v>
      </c>
    </row>
    <row r="700" spans="1:18" ht="13.5" customHeight="1" x14ac:dyDescent="0.25">
      <c r="A700" s="9">
        <v>46128</v>
      </c>
      <c r="B700" s="10" t="s">
        <v>1257</v>
      </c>
      <c r="C700" s="11" t="s">
        <v>60</v>
      </c>
      <c r="D700" s="10" t="s">
        <v>334</v>
      </c>
      <c r="E700" s="12" t="s">
        <v>1259</v>
      </c>
      <c r="F700" s="12" t="s">
        <v>87</v>
      </c>
      <c r="G700" s="13">
        <v>300</v>
      </c>
      <c r="H700" s="14">
        <v>300</v>
      </c>
      <c r="I700" s="15">
        <v>40.75</v>
      </c>
      <c r="J700" s="16"/>
      <c r="K700" s="17">
        <v>12225</v>
      </c>
      <c r="L700" s="18">
        <v>46168</v>
      </c>
      <c r="M700" s="6" t="str">
        <f t="shared" si="30"/>
        <v>Schedule order</v>
      </c>
      <c r="N700" s="8">
        <f t="shared" ca="1" si="31"/>
        <v>13</v>
      </c>
      <c r="O700" s="8" t="str">
        <f t="shared" ca="1" si="32"/>
        <v>Lattest or shedule order</v>
      </c>
      <c r="P700" t="str">
        <f>VLOOKUP(C700,[1]Customer_Master!$A:$B,2,0)</f>
        <v>Group 1-Giridhar-Peenya</v>
      </c>
      <c r="Q700" t="str">
        <f>VLOOKUP(D700,[2]Template!$A:$D,3,0)</f>
        <v>LAPP</v>
      </c>
      <c r="R700" t="str">
        <f>VLOOKUP(D700,[2]Template!$A:$D,4,0)</f>
        <v>Lapp-Planned Stock General</v>
      </c>
    </row>
    <row r="701" spans="1:18" ht="13.5" customHeight="1" x14ac:dyDescent="0.25">
      <c r="A701" s="9">
        <v>46128</v>
      </c>
      <c r="B701" s="10" t="s">
        <v>1257</v>
      </c>
      <c r="C701" s="11" t="s">
        <v>60</v>
      </c>
      <c r="D701" s="10" t="s">
        <v>650</v>
      </c>
      <c r="E701" s="12" t="s">
        <v>1072</v>
      </c>
      <c r="F701" s="12" t="s">
        <v>651</v>
      </c>
      <c r="G701" s="13">
        <v>300</v>
      </c>
      <c r="H701" s="14">
        <v>300</v>
      </c>
      <c r="I701" s="15">
        <v>166.35</v>
      </c>
      <c r="J701" s="16"/>
      <c r="K701" s="17">
        <v>49905</v>
      </c>
      <c r="L701" s="18">
        <v>46168</v>
      </c>
      <c r="M701" s="6" t="str">
        <f t="shared" si="30"/>
        <v>Schedule order</v>
      </c>
      <c r="N701" s="8">
        <f t="shared" ca="1" si="31"/>
        <v>13</v>
      </c>
      <c r="O701" s="8" t="str">
        <f t="shared" ca="1" si="32"/>
        <v>Lattest or shedule order</v>
      </c>
      <c r="P701" t="str">
        <f>VLOOKUP(C701,[1]Customer_Master!$A:$B,2,0)</f>
        <v>Group 1-Giridhar-Peenya</v>
      </c>
      <c r="Q701" t="str">
        <f>VLOOKUP(D701,[2]Template!$A:$D,3,0)</f>
        <v>LAPP</v>
      </c>
      <c r="R701" t="str">
        <f>VLOOKUP(D701,[2]Template!$A:$D,4,0)</f>
        <v>Lapp-Planned Stock General</v>
      </c>
    </row>
    <row r="702" spans="1:18" ht="13.5" customHeight="1" x14ac:dyDescent="0.25">
      <c r="A702" s="9">
        <v>46128</v>
      </c>
      <c r="B702" s="10" t="s">
        <v>1257</v>
      </c>
      <c r="C702" s="11" t="s">
        <v>60</v>
      </c>
      <c r="D702" s="10" t="s">
        <v>495</v>
      </c>
      <c r="E702" s="12" t="s">
        <v>1260</v>
      </c>
      <c r="F702" s="12" t="s">
        <v>496</v>
      </c>
      <c r="G702" s="13">
        <v>500</v>
      </c>
      <c r="H702" s="14">
        <v>200</v>
      </c>
      <c r="I702" s="15">
        <v>261.42</v>
      </c>
      <c r="J702" s="16"/>
      <c r="K702" s="17">
        <v>52284</v>
      </c>
      <c r="L702" s="18">
        <v>46168</v>
      </c>
      <c r="M702" s="6" t="str">
        <f t="shared" si="30"/>
        <v>Schedule order</v>
      </c>
      <c r="N702" s="8">
        <f t="shared" ca="1" si="31"/>
        <v>13</v>
      </c>
      <c r="O702" s="8" t="str">
        <f t="shared" ca="1" si="32"/>
        <v>Lattest or shedule order</v>
      </c>
      <c r="P702" t="str">
        <f>VLOOKUP(C702,[1]Customer_Master!$A:$B,2,0)</f>
        <v>Group 1-Giridhar-Peenya</v>
      </c>
      <c r="Q702" t="str">
        <f>VLOOKUP(D702,[2]Template!$A:$D,3,0)</f>
        <v>LAPP</v>
      </c>
      <c r="R702" t="str">
        <f>VLOOKUP(D702,[2]Template!$A:$D,4,0)</f>
        <v>Lapp-Ace Group</v>
      </c>
    </row>
    <row r="703" spans="1:18" ht="13.5" customHeight="1" x14ac:dyDescent="0.25">
      <c r="A703" s="9">
        <v>46128</v>
      </c>
      <c r="B703" s="10" t="s">
        <v>1257</v>
      </c>
      <c r="C703" s="11" t="s">
        <v>60</v>
      </c>
      <c r="D703" s="10" t="s">
        <v>477</v>
      </c>
      <c r="E703" s="12" t="s">
        <v>1261</v>
      </c>
      <c r="F703" s="12" t="s">
        <v>478</v>
      </c>
      <c r="G703" s="13">
        <v>200</v>
      </c>
      <c r="H703" s="14">
        <v>200</v>
      </c>
      <c r="I703" s="15">
        <v>433.42</v>
      </c>
      <c r="J703" s="16"/>
      <c r="K703" s="17">
        <v>86684</v>
      </c>
      <c r="L703" s="18">
        <v>46168</v>
      </c>
      <c r="M703" s="6" t="str">
        <f t="shared" si="30"/>
        <v>Schedule order</v>
      </c>
      <c r="N703" s="8">
        <f t="shared" ca="1" si="31"/>
        <v>13</v>
      </c>
      <c r="O703" s="8" t="str">
        <f t="shared" ca="1" si="32"/>
        <v>Lattest or shedule order</v>
      </c>
      <c r="P703" t="str">
        <f>VLOOKUP(C703,[1]Customer_Master!$A:$B,2,0)</f>
        <v>Group 1-Giridhar-Peenya</v>
      </c>
      <c r="Q703" t="str">
        <f>VLOOKUP(D703,[2]Template!$A:$D,3,0)</f>
        <v>LAPP</v>
      </c>
      <c r="R703" t="str">
        <f>VLOOKUP(D703,[2]Template!$A:$D,4,0)</f>
        <v>Lapp-Planned Stock General</v>
      </c>
    </row>
    <row r="704" spans="1:18" ht="13.5" customHeight="1" x14ac:dyDescent="0.25">
      <c r="A704" s="9">
        <v>46128</v>
      </c>
      <c r="B704" s="10" t="s">
        <v>1257</v>
      </c>
      <c r="C704" s="11" t="s">
        <v>60</v>
      </c>
      <c r="D704" s="10" t="s">
        <v>357</v>
      </c>
      <c r="E704" s="12" t="s">
        <v>1262</v>
      </c>
      <c r="F704" s="12" t="s">
        <v>53</v>
      </c>
      <c r="G704" s="13">
        <v>1000</v>
      </c>
      <c r="H704" s="14">
        <v>500</v>
      </c>
      <c r="I704" s="15">
        <v>24.48</v>
      </c>
      <c r="J704" s="16"/>
      <c r="K704" s="17">
        <v>12240</v>
      </c>
      <c r="L704" s="18">
        <v>46168</v>
      </c>
      <c r="M704" s="6" t="str">
        <f t="shared" si="30"/>
        <v>Schedule order</v>
      </c>
      <c r="N704" s="8">
        <f t="shared" ca="1" si="31"/>
        <v>13</v>
      </c>
      <c r="O704" s="8" t="str">
        <f t="shared" ca="1" si="32"/>
        <v>Lattest or shedule order</v>
      </c>
      <c r="P704" t="str">
        <f>VLOOKUP(C704,[1]Customer_Master!$A:$B,2,0)</f>
        <v>Group 1-Giridhar-Peenya</v>
      </c>
      <c r="Q704" t="str">
        <f>VLOOKUP(D704,[2]Template!$A:$D,3,0)</f>
        <v>LAPP</v>
      </c>
      <c r="R704" t="str">
        <f>VLOOKUP(D704,[2]Template!$A:$D,4,0)</f>
        <v>Lapp-Planned Stock General</v>
      </c>
    </row>
    <row r="705" spans="1:18" ht="13.5" customHeight="1" x14ac:dyDescent="0.25">
      <c r="A705" s="9">
        <v>46128</v>
      </c>
      <c r="B705" s="10" t="s">
        <v>1257</v>
      </c>
      <c r="C705" s="11" t="s">
        <v>60</v>
      </c>
      <c r="D705" s="10" t="s">
        <v>361</v>
      </c>
      <c r="E705" s="12" t="s">
        <v>1072</v>
      </c>
      <c r="F705" s="12" t="s">
        <v>69</v>
      </c>
      <c r="G705" s="13">
        <v>500</v>
      </c>
      <c r="H705" s="14">
        <v>300</v>
      </c>
      <c r="I705" s="15">
        <v>261.42</v>
      </c>
      <c r="J705" s="16"/>
      <c r="K705" s="17">
        <v>78426</v>
      </c>
      <c r="L705" s="18">
        <v>46168</v>
      </c>
      <c r="M705" s="6" t="str">
        <f t="shared" si="30"/>
        <v>Schedule order</v>
      </c>
      <c r="N705" s="8">
        <f t="shared" ca="1" si="31"/>
        <v>13</v>
      </c>
      <c r="O705" s="8" t="str">
        <f t="shared" ca="1" si="32"/>
        <v>Lattest or shedule order</v>
      </c>
      <c r="P705" t="str">
        <f>VLOOKUP(C705,[1]Customer_Master!$A:$B,2,0)</f>
        <v>Group 1-Giridhar-Peenya</v>
      </c>
      <c r="Q705" t="str">
        <f>VLOOKUP(D705,[2]Template!$A:$D,3,0)</f>
        <v>LAPP</v>
      </c>
      <c r="R705" t="str">
        <f>VLOOKUP(D705,[2]Template!$A:$D,4,0)</f>
        <v>Lapp-Ace Group</v>
      </c>
    </row>
    <row r="706" spans="1:18" ht="13.5" customHeight="1" x14ac:dyDescent="0.25">
      <c r="A706" s="9">
        <v>46128</v>
      </c>
      <c r="B706" s="10" t="s">
        <v>1263</v>
      </c>
      <c r="C706" s="11" t="s">
        <v>859</v>
      </c>
      <c r="D706" s="10" t="s">
        <v>1264</v>
      </c>
      <c r="E706" s="12" t="s">
        <v>1072</v>
      </c>
      <c r="F706" s="12" t="s">
        <v>1265</v>
      </c>
      <c r="G706" s="13">
        <v>100</v>
      </c>
      <c r="H706" s="14">
        <v>100</v>
      </c>
      <c r="I706" s="15">
        <v>81.91</v>
      </c>
      <c r="J706" s="16"/>
      <c r="K706" s="17">
        <v>8191</v>
      </c>
      <c r="L706" s="18">
        <v>46146</v>
      </c>
      <c r="M706" s="6" t="str">
        <f t="shared" si="30"/>
        <v>Schedule order</v>
      </c>
      <c r="N706" s="8">
        <f t="shared" ca="1" si="31"/>
        <v>-9</v>
      </c>
      <c r="O706" s="8" t="str">
        <f t="shared" ca="1" si="32"/>
        <v>With in 90 days</v>
      </c>
      <c r="P706" t="str">
        <f>VLOOKUP(C706,[1]Customer_Master!$A:$B,2,0)</f>
        <v>Group-2 (Veeresh- Bomsdr+Hosur)</v>
      </c>
      <c r="Q706" t="str">
        <f>VLOOKUP(D706,[2]Template!$A:$D,3,0)</f>
        <v>LAPP</v>
      </c>
      <c r="R706" t="str">
        <f>VLOOKUP(D706,[2]Template!$A:$D,4,0)</f>
        <v>Lapp-Non Moving Stocks</v>
      </c>
    </row>
    <row r="707" spans="1:18" ht="13.5" customHeight="1" x14ac:dyDescent="0.25">
      <c r="A707" s="9">
        <v>46128</v>
      </c>
      <c r="B707" s="10" t="s">
        <v>1266</v>
      </c>
      <c r="C707" s="11" t="s">
        <v>576</v>
      </c>
      <c r="D707" s="10" t="s">
        <v>629</v>
      </c>
      <c r="E707" s="12" t="s">
        <v>1072</v>
      </c>
      <c r="F707" s="12" t="s">
        <v>630</v>
      </c>
      <c r="G707" s="13">
        <v>500</v>
      </c>
      <c r="H707" s="14">
        <v>500</v>
      </c>
      <c r="I707" s="15">
        <v>91.64</v>
      </c>
      <c r="J707" s="16"/>
      <c r="K707" s="17">
        <v>45820</v>
      </c>
      <c r="L707" s="18">
        <v>46128</v>
      </c>
      <c r="M707" s="6" t="str">
        <f t="shared" ref="M707:M770" si="33">IF(L707&lt;DATE(2026,4,30),"Due order","Schedule order")</f>
        <v>Due order</v>
      </c>
      <c r="N707" s="8">
        <f t="shared" ref="N707:N770" ca="1" si="34">L707-TODAY()</f>
        <v>-27</v>
      </c>
      <c r="O707" s="8" t="str">
        <f t="shared" ref="O707:O770" ca="1" si="35">IF(N707&lt;-365,"More than 1 Year old",IF(N707&lt;-180," More than 180 days old",IF(N707&lt;-90,"More than 90 day old",IF(N707&lt;0,"With in 90 days","Lattest or shedule order"))))</f>
        <v>With in 90 days</v>
      </c>
      <c r="P707" t="str">
        <f>VLOOKUP(C707,[1]Customer_Master!$A:$B,2,0)</f>
        <v>Group-2 (Veeresh- Bomsdr+Hosur)</v>
      </c>
      <c r="Q707" t="str">
        <f>VLOOKUP(D707,[2]Template!$A:$D,3,0)</f>
        <v>LAPP</v>
      </c>
      <c r="R707" t="str">
        <f>VLOOKUP(D707,[2]Template!$A:$D,4,0)</f>
        <v>Lapp-Non Moving Stocks</v>
      </c>
    </row>
    <row r="708" spans="1:18" ht="13.5" customHeight="1" x14ac:dyDescent="0.25">
      <c r="A708" s="9">
        <v>46128</v>
      </c>
      <c r="B708" s="10" t="s">
        <v>1267</v>
      </c>
      <c r="C708" s="11" t="s">
        <v>576</v>
      </c>
      <c r="D708" s="10" t="s">
        <v>1268</v>
      </c>
      <c r="E708" s="12" t="s">
        <v>1072</v>
      </c>
      <c r="F708" s="12" t="s">
        <v>1269</v>
      </c>
      <c r="G708" s="13">
        <v>500</v>
      </c>
      <c r="H708" s="14">
        <v>500</v>
      </c>
      <c r="I708" s="15">
        <v>64.209999999999994</v>
      </c>
      <c r="J708" s="16"/>
      <c r="K708" s="17">
        <v>32105</v>
      </c>
      <c r="L708" s="18">
        <v>46128</v>
      </c>
      <c r="M708" s="6" t="str">
        <f t="shared" si="33"/>
        <v>Due order</v>
      </c>
      <c r="N708" s="8">
        <f t="shared" ca="1" si="34"/>
        <v>-27</v>
      </c>
      <c r="O708" s="8" t="str">
        <f t="shared" ca="1" si="35"/>
        <v>With in 90 days</v>
      </c>
      <c r="P708" t="str">
        <f>VLOOKUP(C708,[1]Customer_Master!$A:$B,2,0)</f>
        <v>Group-2 (Veeresh- Bomsdr+Hosur)</v>
      </c>
      <c r="Q708" t="str">
        <f>VLOOKUP(D708,[2]Template!$A:$D,3,0)</f>
        <v>LAPP</v>
      </c>
      <c r="R708" t="str">
        <f>VLOOKUP(D708,[2]Template!$A:$D,4,0)</f>
        <v>Lapp-Non Moving Stocks</v>
      </c>
    </row>
    <row r="709" spans="1:18" ht="13.5" customHeight="1" x14ac:dyDescent="0.25">
      <c r="A709" s="9">
        <v>46128</v>
      </c>
      <c r="B709" s="10" t="s">
        <v>1270</v>
      </c>
      <c r="C709" s="11" t="s">
        <v>576</v>
      </c>
      <c r="D709" s="10" t="s">
        <v>591</v>
      </c>
      <c r="E709" s="12" t="s">
        <v>1072</v>
      </c>
      <c r="F709" s="12" t="s">
        <v>592</v>
      </c>
      <c r="G709" s="13">
        <v>200</v>
      </c>
      <c r="H709" s="14">
        <v>100</v>
      </c>
      <c r="I709" s="15">
        <v>213.84</v>
      </c>
      <c r="J709" s="16"/>
      <c r="K709" s="17">
        <v>21384</v>
      </c>
      <c r="L709" s="18">
        <v>46128</v>
      </c>
      <c r="M709" s="6" t="str">
        <f t="shared" si="33"/>
        <v>Due order</v>
      </c>
      <c r="N709" s="8">
        <f t="shared" ca="1" si="34"/>
        <v>-27</v>
      </c>
      <c r="O709" s="8" t="str">
        <f t="shared" ca="1" si="35"/>
        <v>With in 90 days</v>
      </c>
      <c r="P709" t="str">
        <f>VLOOKUP(C709,[1]Customer_Master!$A:$B,2,0)</f>
        <v>Group-2 (Veeresh- Bomsdr+Hosur)</v>
      </c>
      <c r="Q709" t="str">
        <f>VLOOKUP(D709,[2]Template!$A:$D,3,0)</f>
        <v>LAPP</v>
      </c>
      <c r="R709" t="str">
        <f>VLOOKUP(D709,[2]Template!$A:$D,4,0)</f>
        <v>Lapp-Planned Stock General</v>
      </c>
    </row>
    <row r="710" spans="1:18" ht="13.5" customHeight="1" x14ac:dyDescent="0.25">
      <c r="A710" s="9">
        <v>46128</v>
      </c>
      <c r="B710" s="10" t="s">
        <v>1271</v>
      </c>
      <c r="C710" s="11" t="s">
        <v>616</v>
      </c>
      <c r="D710" s="27" t="s">
        <v>799</v>
      </c>
      <c r="E710" s="12" t="s">
        <v>1072</v>
      </c>
      <c r="F710" s="12" t="s">
        <v>800</v>
      </c>
      <c r="G710" s="13">
        <v>200</v>
      </c>
      <c r="H710" s="14">
        <v>200</v>
      </c>
      <c r="I710" s="15">
        <v>278.58</v>
      </c>
      <c r="J710" s="21">
        <v>45</v>
      </c>
      <c r="K710" s="17">
        <v>30643.8</v>
      </c>
      <c r="L710" s="18">
        <v>46128</v>
      </c>
      <c r="M710" s="6" t="str">
        <f t="shared" si="33"/>
        <v>Due order</v>
      </c>
      <c r="N710" s="8">
        <f t="shared" ca="1" si="34"/>
        <v>-27</v>
      </c>
      <c r="O710" s="8" t="str">
        <f t="shared" ca="1" si="35"/>
        <v>With in 90 days</v>
      </c>
      <c r="P710" t="str">
        <f>VLOOKUP(C710,[1]Customer_Master!$A:$B,2,0)</f>
        <v>Group-2 (Veeresh- Bomsdr+Hosur)</v>
      </c>
      <c r="Q710" t="str">
        <f>VLOOKUP(D710,[2]Template!$A:$D,3,0)</f>
        <v>LAPP</v>
      </c>
      <c r="R710" t="str">
        <f>VLOOKUP(D710,[2]Template!$A:$D,4,0)</f>
        <v>Lapp-Non Moving Stocks</v>
      </c>
    </row>
    <row r="711" spans="1:18" ht="13.5" customHeight="1" x14ac:dyDescent="0.25">
      <c r="A711" s="9">
        <v>46128</v>
      </c>
      <c r="B711" s="10" t="s">
        <v>1271</v>
      </c>
      <c r="C711" s="11" t="s">
        <v>616</v>
      </c>
      <c r="D711" s="27" t="s">
        <v>919</v>
      </c>
      <c r="E711" s="12" t="s">
        <v>1072</v>
      </c>
      <c r="F711" s="12" t="s">
        <v>920</v>
      </c>
      <c r="G711" s="13">
        <v>300</v>
      </c>
      <c r="H711" s="14">
        <v>300</v>
      </c>
      <c r="I711" s="15">
        <v>168.98</v>
      </c>
      <c r="J711" s="21">
        <v>45</v>
      </c>
      <c r="K711" s="17">
        <v>27881.7</v>
      </c>
      <c r="L711" s="18">
        <v>46128</v>
      </c>
      <c r="M711" s="6" t="str">
        <f t="shared" si="33"/>
        <v>Due order</v>
      </c>
      <c r="N711" s="8">
        <f t="shared" ca="1" si="34"/>
        <v>-27</v>
      </c>
      <c r="O711" s="8" t="str">
        <f t="shared" ca="1" si="35"/>
        <v>With in 90 days</v>
      </c>
      <c r="P711" t="str">
        <f>VLOOKUP(C711,[1]Customer_Master!$A:$B,2,0)</f>
        <v>Group-2 (Veeresh- Bomsdr+Hosur)</v>
      </c>
      <c r="Q711" t="str">
        <f>VLOOKUP(D711,[2]Template!$A:$D,3,0)</f>
        <v>LAPP</v>
      </c>
      <c r="R711" t="str">
        <f>VLOOKUP(D711,[2]Template!$A:$D,4,0)</f>
        <v>Lapp-Non Moving Stocks</v>
      </c>
    </row>
    <row r="712" spans="1:18" ht="13.5" customHeight="1" x14ac:dyDescent="0.25">
      <c r="A712" s="9">
        <v>46128</v>
      </c>
      <c r="B712" s="10" t="s">
        <v>1271</v>
      </c>
      <c r="C712" s="11" t="s">
        <v>616</v>
      </c>
      <c r="D712" s="27" t="s">
        <v>1272</v>
      </c>
      <c r="E712" s="12" t="s">
        <v>1072</v>
      </c>
      <c r="F712" s="12" t="s">
        <v>1273</v>
      </c>
      <c r="G712" s="13">
        <v>250</v>
      </c>
      <c r="H712" s="14">
        <v>250</v>
      </c>
      <c r="I712" s="15">
        <v>123.97</v>
      </c>
      <c r="J712" s="21">
        <v>45</v>
      </c>
      <c r="K712" s="17">
        <v>17045.88</v>
      </c>
      <c r="L712" s="18">
        <v>46128</v>
      </c>
      <c r="M712" s="6" t="str">
        <f t="shared" si="33"/>
        <v>Due order</v>
      </c>
      <c r="N712" s="8">
        <f t="shared" ca="1" si="34"/>
        <v>-27</v>
      </c>
      <c r="O712" s="8" t="str">
        <f t="shared" ca="1" si="35"/>
        <v>With in 90 days</v>
      </c>
      <c r="P712" t="str">
        <f>VLOOKUP(C712,[1]Customer_Master!$A:$B,2,0)</f>
        <v>Group-2 (Veeresh- Bomsdr+Hosur)</v>
      </c>
      <c r="Q712" t="str">
        <f>VLOOKUP(D712,[2]Template!$A:$D,3,0)</f>
        <v>LAPP</v>
      </c>
      <c r="R712" t="str">
        <f>VLOOKUP(D712,[2]Template!$A:$D,4,0)</f>
        <v>Lapp-Non Moving Stocks</v>
      </c>
    </row>
    <row r="713" spans="1:18" ht="13.5" customHeight="1" x14ac:dyDescent="0.25">
      <c r="A713" s="9">
        <v>46128</v>
      </c>
      <c r="B713" s="10" t="s">
        <v>1274</v>
      </c>
      <c r="C713" s="11" t="s">
        <v>67</v>
      </c>
      <c r="D713" s="10" t="s">
        <v>451</v>
      </c>
      <c r="E713" s="12" t="s">
        <v>1072</v>
      </c>
      <c r="F713" s="12" t="s">
        <v>138</v>
      </c>
      <c r="G713" s="13">
        <v>2000</v>
      </c>
      <c r="H713" s="14">
        <v>2000</v>
      </c>
      <c r="I713" s="15">
        <v>329.19</v>
      </c>
      <c r="J713" s="16"/>
      <c r="K713" s="17">
        <v>658380</v>
      </c>
      <c r="L713" s="18">
        <v>46204</v>
      </c>
      <c r="M713" s="6" t="str">
        <f t="shared" si="33"/>
        <v>Schedule order</v>
      </c>
      <c r="N713" s="8">
        <f t="shared" ca="1" si="34"/>
        <v>49</v>
      </c>
      <c r="O713" s="8" t="str">
        <f t="shared" ca="1" si="35"/>
        <v>Lattest or shedule order</v>
      </c>
      <c r="P713" t="str">
        <f>VLOOKUP(C713,[1]Customer_Master!$A:$B,2,0)</f>
        <v>Group 1-Giridhar-Peenya</v>
      </c>
      <c r="Q713" t="str">
        <f>VLOOKUP(D713,[2]Template!$A:$D,3,0)</f>
        <v>LAPP</v>
      </c>
      <c r="R713" t="str">
        <f>VLOOKUP(D713,[2]Template!$A:$D,4,0)</f>
        <v>Lapp-Ace Group</v>
      </c>
    </row>
    <row r="714" spans="1:18" ht="13.5" customHeight="1" x14ac:dyDescent="0.25">
      <c r="A714" s="9">
        <v>46128</v>
      </c>
      <c r="B714" s="10" t="s">
        <v>1274</v>
      </c>
      <c r="C714" s="11" t="s">
        <v>67</v>
      </c>
      <c r="D714" s="10" t="s">
        <v>451</v>
      </c>
      <c r="E714" s="12" t="s">
        <v>1072</v>
      </c>
      <c r="F714" s="12" t="s">
        <v>138</v>
      </c>
      <c r="G714" s="13">
        <v>2000</v>
      </c>
      <c r="H714" s="14">
        <v>2000</v>
      </c>
      <c r="I714" s="15">
        <v>329.19</v>
      </c>
      <c r="J714" s="16"/>
      <c r="K714" s="17">
        <v>658380</v>
      </c>
      <c r="L714" s="18">
        <v>46235</v>
      </c>
      <c r="M714" s="6" t="str">
        <f t="shared" si="33"/>
        <v>Schedule order</v>
      </c>
      <c r="N714" s="8">
        <f t="shared" ca="1" si="34"/>
        <v>80</v>
      </c>
      <c r="O714" s="8" t="str">
        <f t="shared" ca="1" si="35"/>
        <v>Lattest or shedule order</v>
      </c>
      <c r="P714" t="str">
        <f>VLOOKUP(C714,[1]Customer_Master!$A:$B,2,0)</f>
        <v>Group 1-Giridhar-Peenya</v>
      </c>
      <c r="Q714" t="str">
        <f>VLOOKUP(D714,[2]Template!$A:$D,3,0)</f>
        <v>LAPP</v>
      </c>
      <c r="R714" t="str">
        <f>VLOOKUP(D714,[2]Template!$A:$D,4,0)</f>
        <v>Lapp-Ace Group</v>
      </c>
    </row>
    <row r="715" spans="1:18" ht="13.5" customHeight="1" x14ac:dyDescent="0.25">
      <c r="A715" s="9">
        <v>46128</v>
      </c>
      <c r="B715" s="10" t="s">
        <v>1274</v>
      </c>
      <c r="C715" s="11" t="s">
        <v>67</v>
      </c>
      <c r="D715" s="10" t="s">
        <v>451</v>
      </c>
      <c r="E715" s="12" t="s">
        <v>1072</v>
      </c>
      <c r="F715" s="12" t="s">
        <v>138</v>
      </c>
      <c r="G715" s="13">
        <v>2000</v>
      </c>
      <c r="H715" s="14">
        <v>2000</v>
      </c>
      <c r="I715" s="15">
        <v>329.19</v>
      </c>
      <c r="J715" s="16"/>
      <c r="K715" s="17">
        <v>658380</v>
      </c>
      <c r="L715" s="18">
        <v>46266</v>
      </c>
      <c r="M715" s="6" t="str">
        <f t="shared" si="33"/>
        <v>Schedule order</v>
      </c>
      <c r="N715" s="8">
        <f t="shared" ca="1" si="34"/>
        <v>111</v>
      </c>
      <c r="O715" s="8" t="str">
        <f t="shared" ca="1" si="35"/>
        <v>Lattest or shedule order</v>
      </c>
      <c r="P715" t="str">
        <f>VLOOKUP(C715,[1]Customer_Master!$A:$B,2,0)</f>
        <v>Group 1-Giridhar-Peenya</v>
      </c>
      <c r="Q715" t="str">
        <f>VLOOKUP(D715,[2]Template!$A:$D,3,0)</f>
        <v>LAPP</v>
      </c>
      <c r="R715" t="str">
        <f>VLOOKUP(D715,[2]Template!$A:$D,4,0)</f>
        <v>Lapp-Ace Group</v>
      </c>
    </row>
    <row r="716" spans="1:18" ht="13.5" customHeight="1" x14ac:dyDescent="0.25">
      <c r="A716" s="9">
        <v>46128</v>
      </c>
      <c r="B716" s="10" t="s">
        <v>1274</v>
      </c>
      <c r="C716" s="11" t="s">
        <v>67</v>
      </c>
      <c r="D716" s="10" t="s">
        <v>451</v>
      </c>
      <c r="E716" s="12" t="s">
        <v>1072</v>
      </c>
      <c r="F716" s="12" t="s">
        <v>138</v>
      </c>
      <c r="G716" s="13">
        <v>2500</v>
      </c>
      <c r="H716" s="14">
        <v>2500</v>
      </c>
      <c r="I716" s="15">
        <v>329.19</v>
      </c>
      <c r="J716" s="16"/>
      <c r="K716" s="17">
        <v>822975</v>
      </c>
      <c r="L716" s="18">
        <v>46296</v>
      </c>
      <c r="M716" s="6" t="str">
        <f t="shared" si="33"/>
        <v>Schedule order</v>
      </c>
      <c r="N716" s="8">
        <f t="shared" ca="1" si="34"/>
        <v>141</v>
      </c>
      <c r="O716" s="8" t="str">
        <f t="shared" ca="1" si="35"/>
        <v>Lattest or shedule order</v>
      </c>
      <c r="P716" t="str">
        <f>VLOOKUP(C716,[1]Customer_Master!$A:$B,2,0)</f>
        <v>Group 1-Giridhar-Peenya</v>
      </c>
      <c r="Q716" t="str">
        <f>VLOOKUP(D716,[2]Template!$A:$D,3,0)</f>
        <v>LAPP</v>
      </c>
      <c r="R716" t="str">
        <f>VLOOKUP(D716,[2]Template!$A:$D,4,0)</f>
        <v>Lapp-Ace Group</v>
      </c>
    </row>
    <row r="717" spans="1:18" ht="13.5" customHeight="1" x14ac:dyDescent="0.25">
      <c r="A717" s="9">
        <v>46128</v>
      </c>
      <c r="B717" s="10" t="s">
        <v>1274</v>
      </c>
      <c r="C717" s="11" t="s">
        <v>67</v>
      </c>
      <c r="D717" s="10" t="s">
        <v>450</v>
      </c>
      <c r="E717" s="12" t="s">
        <v>1072</v>
      </c>
      <c r="F717" s="12" t="s">
        <v>137</v>
      </c>
      <c r="G717" s="13">
        <v>1500</v>
      </c>
      <c r="H717" s="14">
        <v>1500</v>
      </c>
      <c r="I717" s="15">
        <v>390.46</v>
      </c>
      <c r="J717" s="16"/>
      <c r="K717" s="17">
        <v>585690</v>
      </c>
      <c r="L717" s="18">
        <v>46204</v>
      </c>
      <c r="M717" s="6" t="str">
        <f t="shared" si="33"/>
        <v>Schedule order</v>
      </c>
      <c r="N717" s="8">
        <f t="shared" ca="1" si="34"/>
        <v>49</v>
      </c>
      <c r="O717" s="8" t="str">
        <f t="shared" ca="1" si="35"/>
        <v>Lattest or shedule order</v>
      </c>
      <c r="P717" t="str">
        <f>VLOOKUP(C717,[1]Customer_Master!$A:$B,2,0)</f>
        <v>Group 1-Giridhar-Peenya</v>
      </c>
      <c r="Q717" t="str">
        <f>VLOOKUP(D717,[2]Template!$A:$D,3,0)</f>
        <v>LAPP</v>
      </c>
      <c r="R717" t="str">
        <f>VLOOKUP(D717,[2]Template!$A:$D,4,0)</f>
        <v>Lapp-Ace Group</v>
      </c>
    </row>
    <row r="718" spans="1:18" ht="13.5" customHeight="1" x14ac:dyDescent="0.25">
      <c r="A718" s="9">
        <v>46128</v>
      </c>
      <c r="B718" s="10" t="s">
        <v>1274</v>
      </c>
      <c r="C718" s="11" t="s">
        <v>67</v>
      </c>
      <c r="D718" s="10" t="s">
        <v>450</v>
      </c>
      <c r="E718" s="12" t="s">
        <v>1072</v>
      </c>
      <c r="F718" s="12" t="s">
        <v>137</v>
      </c>
      <c r="G718" s="13">
        <v>1500</v>
      </c>
      <c r="H718" s="14">
        <v>1500</v>
      </c>
      <c r="I718" s="15">
        <v>390.46</v>
      </c>
      <c r="J718" s="16"/>
      <c r="K718" s="17">
        <v>585690</v>
      </c>
      <c r="L718" s="18">
        <v>46235</v>
      </c>
      <c r="M718" s="6" t="str">
        <f t="shared" si="33"/>
        <v>Schedule order</v>
      </c>
      <c r="N718" s="8">
        <f t="shared" ca="1" si="34"/>
        <v>80</v>
      </c>
      <c r="O718" s="8" t="str">
        <f t="shared" ca="1" si="35"/>
        <v>Lattest or shedule order</v>
      </c>
      <c r="P718" t="str">
        <f>VLOOKUP(C718,[1]Customer_Master!$A:$B,2,0)</f>
        <v>Group 1-Giridhar-Peenya</v>
      </c>
      <c r="Q718" t="str">
        <f>VLOOKUP(D718,[2]Template!$A:$D,3,0)</f>
        <v>LAPP</v>
      </c>
      <c r="R718" t="str">
        <f>VLOOKUP(D718,[2]Template!$A:$D,4,0)</f>
        <v>Lapp-Ace Group</v>
      </c>
    </row>
    <row r="719" spans="1:18" ht="13.5" customHeight="1" x14ac:dyDescent="0.25">
      <c r="A719" s="9">
        <v>46128</v>
      </c>
      <c r="B719" s="10" t="s">
        <v>1274</v>
      </c>
      <c r="C719" s="11" t="s">
        <v>67</v>
      </c>
      <c r="D719" s="10" t="s">
        <v>450</v>
      </c>
      <c r="E719" s="12" t="s">
        <v>1072</v>
      </c>
      <c r="F719" s="12" t="s">
        <v>137</v>
      </c>
      <c r="G719" s="13">
        <v>1500</v>
      </c>
      <c r="H719" s="14">
        <v>1500</v>
      </c>
      <c r="I719" s="15">
        <v>390.46</v>
      </c>
      <c r="J719" s="16"/>
      <c r="K719" s="17">
        <v>585690</v>
      </c>
      <c r="L719" s="18">
        <v>46266</v>
      </c>
      <c r="M719" s="6" t="str">
        <f t="shared" si="33"/>
        <v>Schedule order</v>
      </c>
      <c r="N719" s="8">
        <f t="shared" ca="1" si="34"/>
        <v>111</v>
      </c>
      <c r="O719" s="8" t="str">
        <f t="shared" ca="1" si="35"/>
        <v>Lattest or shedule order</v>
      </c>
      <c r="P719" t="str">
        <f>VLOOKUP(C719,[1]Customer_Master!$A:$B,2,0)</f>
        <v>Group 1-Giridhar-Peenya</v>
      </c>
      <c r="Q719" t="str">
        <f>VLOOKUP(D719,[2]Template!$A:$D,3,0)</f>
        <v>LAPP</v>
      </c>
      <c r="R719" t="str">
        <f>VLOOKUP(D719,[2]Template!$A:$D,4,0)</f>
        <v>Lapp-Ace Group</v>
      </c>
    </row>
    <row r="720" spans="1:18" ht="13.5" customHeight="1" x14ac:dyDescent="0.25">
      <c r="A720" s="9">
        <v>46128</v>
      </c>
      <c r="B720" s="10" t="s">
        <v>1274</v>
      </c>
      <c r="C720" s="11" t="s">
        <v>67</v>
      </c>
      <c r="D720" s="10" t="s">
        <v>450</v>
      </c>
      <c r="E720" s="12" t="s">
        <v>1072</v>
      </c>
      <c r="F720" s="12" t="s">
        <v>137</v>
      </c>
      <c r="G720" s="13">
        <v>2000</v>
      </c>
      <c r="H720" s="14">
        <v>2000</v>
      </c>
      <c r="I720" s="15">
        <v>390.46</v>
      </c>
      <c r="J720" s="16"/>
      <c r="K720" s="17">
        <v>780920</v>
      </c>
      <c r="L720" s="18">
        <v>46296</v>
      </c>
      <c r="M720" s="6" t="str">
        <f t="shared" si="33"/>
        <v>Schedule order</v>
      </c>
      <c r="N720" s="8">
        <f t="shared" ca="1" si="34"/>
        <v>141</v>
      </c>
      <c r="O720" s="8" t="str">
        <f t="shared" ca="1" si="35"/>
        <v>Lattest or shedule order</v>
      </c>
      <c r="P720" t="str">
        <f>VLOOKUP(C720,[1]Customer_Master!$A:$B,2,0)</f>
        <v>Group 1-Giridhar-Peenya</v>
      </c>
      <c r="Q720" t="str">
        <f>VLOOKUP(D720,[2]Template!$A:$D,3,0)</f>
        <v>LAPP</v>
      </c>
      <c r="R720" t="str">
        <f>VLOOKUP(D720,[2]Template!$A:$D,4,0)</f>
        <v>Lapp-Ace Group</v>
      </c>
    </row>
    <row r="721" spans="1:18" ht="13.5" customHeight="1" x14ac:dyDescent="0.25">
      <c r="A721" s="9">
        <v>46128</v>
      </c>
      <c r="B721" s="10" t="s">
        <v>1274</v>
      </c>
      <c r="C721" s="11" t="s">
        <v>67</v>
      </c>
      <c r="D721" s="10" t="s">
        <v>316</v>
      </c>
      <c r="E721" s="12" t="s">
        <v>1072</v>
      </c>
      <c r="F721" s="12" t="s">
        <v>32</v>
      </c>
      <c r="G721" s="13">
        <v>10000</v>
      </c>
      <c r="H721" s="14">
        <v>10000</v>
      </c>
      <c r="I721" s="15">
        <v>91.45</v>
      </c>
      <c r="J721" s="16"/>
      <c r="K721" s="17">
        <v>914500</v>
      </c>
      <c r="L721" s="18">
        <v>46204</v>
      </c>
      <c r="M721" s="6" t="str">
        <f t="shared" si="33"/>
        <v>Schedule order</v>
      </c>
      <c r="N721" s="8">
        <f t="shared" ca="1" si="34"/>
        <v>49</v>
      </c>
      <c r="O721" s="8" t="str">
        <f t="shared" ca="1" si="35"/>
        <v>Lattest or shedule order</v>
      </c>
      <c r="P721" t="str">
        <f>VLOOKUP(C721,[1]Customer_Master!$A:$B,2,0)</f>
        <v>Group 1-Giridhar-Peenya</v>
      </c>
      <c r="Q721" t="str">
        <f>VLOOKUP(D721,[2]Template!$A:$D,3,0)</f>
        <v>LAPP</v>
      </c>
      <c r="R721" t="str">
        <f>VLOOKUP(D721,[2]Template!$A:$D,4,0)</f>
        <v>Lapp-Ace Group</v>
      </c>
    </row>
    <row r="722" spans="1:18" ht="13.5" customHeight="1" x14ac:dyDescent="0.25">
      <c r="A722" s="9">
        <v>46128</v>
      </c>
      <c r="B722" s="10" t="s">
        <v>1274</v>
      </c>
      <c r="C722" s="11" t="s">
        <v>67</v>
      </c>
      <c r="D722" s="10" t="s">
        <v>316</v>
      </c>
      <c r="E722" s="12" t="s">
        <v>1072</v>
      </c>
      <c r="F722" s="12" t="s">
        <v>32</v>
      </c>
      <c r="G722" s="13">
        <v>10000</v>
      </c>
      <c r="H722" s="14">
        <v>10000</v>
      </c>
      <c r="I722" s="15">
        <v>91.45</v>
      </c>
      <c r="J722" s="16"/>
      <c r="K722" s="17">
        <v>914500</v>
      </c>
      <c r="L722" s="18">
        <v>46235</v>
      </c>
      <c r="M722" s="6" t="str">
        <f t="shared" si="33"/>
        <v>Schedule order</v>
      </c>
      <c r="N722" s="8">
        <f t="shared" ca="1" si="34"/>
        <v>80</v>
      </c>
      <c r="O722" s="8" t="str">
        <f t="shared" ca="1" si="35"/>
        <v>Lattest or shedule order</v>
      </c>
      <c r="P722" t="str">
        <f>VLOOKUP(C722,[1]Customer_Master!$A:$B,2,0)</f>
        <v>Group 1-Giridhar-Peenya</v>
      </c>
      <c r="Q722" t="str">
        <f>VLOOKUP(D722,[2]Template!$A:$D,3,0)</f>
        <v>LAPP</v>
      </c>
      <c r="R722" t="str">
        <f>VLOOKUP(D722,[2]Template!$A:$D,4,0)</f>
        <v>Lapp-Ace Group</v>
      </c>
    </row>
    <row r="723" spans="1:18" ht="13.5" customHeight="1" x14ac:dyDescent="0.25">
      <c r="A723" s="9">
        <v>46128</v>
      </c>
      <c r="B723" s="10" t="s">
        <v>1274</v>
      </c>
      <c r="C723" s="11" t="s">
        <v>67</v>
      </c>
      <c r="D723" s="10" t="s">
        <v>316</v>
      </c>
      <c r="E723" s="12" t="s">
        <v>1072</v>
      </c>
      <c r="F723" s="12" t="s">
        <v>32</v>
      </c>
      <c r="G723" s="13">
        <v>10000</v>
      </c>
      <c r="H723" s="14">
        <v>10000</v>
      </c>
      <c r="I723" s="15">
        <v>91.45</v>
      </c>
      <c r="J723" s="16"/>
      <c r="K723" s="17">
        <v>914500</v>
      </c>
      <c r="L723" s="18">
        <v>46266</v>
      </c>
      <c r="M723" s="6" t="str">
        <f t="shared" si="33"/>
        <v>Schedule order</v>
      </c>
      <c r="N723" s="8">
        <f t="shared" ca="1" si="34"/>
        <v>111</v>
      </c>
      <c r="O723" s="8" t="str">
        <f t="shared" ca="1" si="35"/>
        <v>Lattest or shedule order</v>
      </c>
      <c r="P723" t="str">
        <f>VLOOKUP(C723,[1]Customer_Master!$A:$B,2,0)</f>
        <v>Group 1-Giridhar-Peenya</v>
      </c>
      <c r="Q723" t="str">
        <f>VLOOKUP(D723,[2]Template!$A:$D,3,0)</f>
        <v>LAPP</v>
      </c>
      <c r="R723" t="str">
        <f>VLOOKUP(D723,[2]Template!$A:$D,4,0)</f>
        <v>Lapp-Ace Group</v>
      </c>
    </row>
    <row r="724" spans="1:18" ht="13.5" customHeight="1" x14ac:dyDescent="0.25">
      <c r="A724" s="9">
        <v>46128</v>
      </c>
      <c r="B724" s="10" t="s">
        <v>1274</v>
      </c>
      <c r="C724" s="11" t="s">
        <v>67</v>
      </c>
      <c r="D724" s="10" t="s">
        <v>316</v>
      </c>
      <c r="E724" s="12" t="s">
        <v>1072</v>
      </c>
      <c r="F724" s="12" t="s">
        <v>32</v>
      </c>
      <c r="G724" s="13">
        <v>10000</v>
      </c>
      <c r="H724" s="14">
        <v>10000</v>
      </c>
      <c r="I724" s="15">
        <v>91.45</v>
      </c>
      <c r="J724" s="16"/>
      <c r="K724" s="17">
        <v>914500</v>
      </c>
      <c r="L724" s="18">
        <v>46296</v>
      </c>
      <c r="M724" s="6" t="str">
        <f t="shared" si="33"/>
        <v>Schedule order</v>
      </c>
      <c r="N724" s="8">
        <f t="shared" ca="1" si="34"/>
        <v>141</v>
      </c>
      <c r="O724" s="8" t="str">
        <f t="shared" ca="1" si="35"/>
        <v>Lattest or shedule order</v>
      </c>
      <c r="P724" t="str">
        <f>VLOOKUP(C724,[1]Customer_Master!$A:$B,2,0)</f>
        <v>Group 1-Giridhar-Peenya</v>
      </c>
      <c r="Q724" t="str">
        <f>VLOOKUP(D724,[2]Template!$A:$D,3,0)</f>
        <v>LAPP</v>
      </c>
      <c r="R724" t="str">
        <f>VLOOKUP(D724,[2]Template!$A:$D,4,0)</f>
        <v>Lapp-Ace Group</v>
      </c>
    </row>
    <row r="725" spans="1:18" ht="13.5" customHeight="1" x14ac:dyDescent="0.25">
      <c r="A725" s="9">
        <v>46128</v>
      </c>
      <c r="B725" s="10" t="s">
        <v>1274</v>
      </c>
      <c r="C725" s="11" t="s">
        <v>67</v>
      </c>
      <c r="D725" s="10" t="s">
        <v>315</v>
      </c>
      <c r="E725" s="12" t="s">
        <v>1072</v>
      </c>
      <c r="F725" s="12" t="s">
        <v>68</v>
      </c>
      <c r="G725" s="13">
        <v>5000</v>
      </c>
      <c r="H725" s="14">
        <v>5000</v>
      </c>
      <c r="I725" s="15">
        <v>51.39</v>
      </c>
      <c r="J725" s="16"/>
      <c r="K725" s="17">
        <v>256950</v>
      </c>
      <c r="L725" s="18">
        <v>46204</v>
      </c>
      <c r="M725" s="6" t="str">
        <f t="shared" si="33"/>
        <v>Schedule order</v>
      </c>
      <c r="N725" s="8">
        <f t="shared" ca="1" si="34"/>
        <v>49</v>
      </c>
      <c r="O725" s="8" t="str">
        <f t="shared" ca="1" si="35"/>
        <v>Lattest or shedule order</v>
      </c>
      <c r="P725" t="str">
        <f>VLOOKUP(C725,[1]Customer_Master!$A:$B,2,0)</f>
        <v>Group 1-Giridhar-Peenya</v>
      </c>
      <c r="Q725" t="str">
        <f>VLOOKUP(D725,[2]Template!$A:$D,3,0)</f>
        <v>LAPP</v>
      </c>
      <c r="R725" t="str">
        <f>VLOOKUP(D725,[2]Template!$A:$D,4,0)</f>
        <v>Lapp-Ace Group</v>
      </c>
    </row>
    <row r="726" spans="1:18" ht="13.5" customHeight="1" x14ac:dyDescent="0.25">
      <c r="A726" s="9">
        <v>46128</v>
      </c>
      <c r="B726" s="10" t="s">
        <v>1274</v>
      </c>
      <c r="C726" s="11" t="s">
        <v>67</v>
      </c>
      <c r="D726" s="10" t="s">
        <v>315</v>
      </c>
      <c r="E726" s="12" t="s">
        <v>1072</v>
      </c>
      <c r="F726" s="12" t="s">
        <v>68</v>
      </c>
      <c r="G726" s="13">
        <v>5000</v>
      </c>
      <c r="H726" s="14">
        <v>5000</v>
      </c>
      <c r="I726" s="15">
        <v>51.39</v>
      </c>
      <c r="J726" s="16"/>
      <c r="K726" s="17">
        <v>256950</v>
      </c>
      <c r="L726" s="18">
        <v>46235</v>
      </c>
      <c r="M726" s="6" t="str">
        <f t="shared" si="33"/>
        <v>Schedule order</v>
      </c>
      <c r="N726" s="8">
        <f t="shared" ca="1" si="34"/>
        <v>80</v>
      </c>
      <c r="O726" s="8" t="str">
        <f t="shared" ca="1" si="35"/>
        <v>Lattest or shedule order</v>
      </c>
      <c r="P726" t="str">
        <f>VLOOKUP(C726,[1]Customer_Master!$A:$B,2,0)</f>
        <v>Group 1-Giridhar-Peenya</v>
      </c>
      <c r="Q726" t="str">
        <f>VLOOKUP(D726,[2]Template!$A:$D,3,0)</f>
        <v>LAPP</v>
      </c>
      <c r="R726" t="str">
        <f>VLOOKUP(D726,[2]Template!$A:$D,4,0)</f>
        <v>Lapp-Ace Group</v>
      </c>
    </row>
    <row r="727" spans="1:18" ht="13.5" customHeight="1" x14ac:dyDescent="0.25">
      <c r="A727" s="9">
        <v>46128</v>
      </c>
      <c r="B727" s="10" t="s">
        <v>1274</v>
      </c>
      <c r="C727" s="11" t="s">
        <v>67</v>
      </c>
      <c r="D727" s="10" t="s">
        <v>315</v>
      </c>
      <c r="E727" s="12" t="s">
        <v>1072</v>
      </c>
      <c r="F727" s="12" t="s">
        <v>68</v>
      </c>
      <c r="G727" s="13">
        <v>5000</v>
      </c>
      <c r="H727" s="14">
        <v>5000</v>
      </c>
      <c r="I727" s="15">
        <v>51.39</v>
      </c>
      <c r="J727" s="16"/>
      <c r="K727" s="17">
        <v>256950</v>
      </c>
      <c r="L727" s="18">
        <v>46266</v>
      </c>
      <c r="M727" s="6" t="str">
        <f t="shared" si="33"/>
        <v>Schedule order</v>
      </c>
      <c r="N727" s="8">
        <f t="shared" ca="1" si="34"/>
        <v>111</v>
      </c>
      <c r="O727" s="8" t="str">
        <f t="shared" ca="1" si="35"/>
        <v>Lattest or shedule order</v>
      </c>
      <c r="P727" t="str">
        <f>VLOOKUP(C727,[1]Customer_Master!$A:$B,2,0)</f>
        <v>Group 1-Giridhar-Peenya</v>
      </c>
      <c r="Q727" t="str">
        <f>VLOOKUP(D727,[2]Template!$A:$D,3,0)</f>
        <v>LAPP</v>
      </c>
      <c r="R727" t="str">
        <f>VLOOKUP(D727,[2]Template!$A:$D,4,0)</f>
        <v>Lapp-Ace Group</v>
      </c>
    </row>
    <row r="728" spans="1:18" ht="13.5" customHeight="1" x14ac:dyDescent="0.25">
      <c r="A728" s="9">
        <v>46128</v>
      </c>
      <c r="B728" s="10" t="s">
        <v>1274</v>
      </c>
      <c r="C728" s="11" t="s">
        <v>67</v>
      </c>
      <c r="D728" s="10" t="s">
        <v>315</v>
      </c>
      <c r="E728" s="12" t="s">
        <v>1072</v>
      </c>
      <c r="F728" s="12" t="s">
        <v>68</v>
      </c>
      <c r="G728" s="13">
        <v>6000</v>
      </c>
      <c r="H728" s="14">
        <v>6000</v>
      </c>
      <c r="I728" s="15">
        <v>51.39</v>
      </c>
      <c r="J728" s="16"/>
      <c r="K728" s="17">
        <v>308340</v>
      </c>
      <c r="L728" s="18">
        <v>46296</v>
      </c>
      <c r="M728" s="6" t="str">
        <f t="shared" si="33"/>
        <v>Schedule order</v>
      </c>
      <c r="N728" s="8">
        <f t="shared" ca="1" si="34"/>
        <v>141</v>
      </c>
      <c r="O728" s="8" t="str">
        <f t="shared" ca="1" si="35"/>
        <v>Lattest or shedule order</v>
      </c>
      <c r="P728" t="str">
        <f>VLOOKUP(C728,[1]Customer_Master!$A:$B,2,0)</f>
        <v>Group 1-Giridhar-Peenya</v>
      </c>
      <c r="Q728" t="str">
        <f>VLOOKUP(D728,[2]Template!$A:$D,3,0)</f>
        <v>LAPP</v>
      </c>
      <c r="R728" t="str">
        <f>VLOOKUP(D728,[2]Template!$A:$D,4,0)</f>
        <v>Lapp-Ace Group</v>
      </c>
    </row>
    <row r="729" spans="1:18" ht="13.5" customHeight="1" x14ac:dyDescent="0.25">
      <c r="A729" s="9">
        <v>46128</v>
      </c>
      <c r="B729" s="10" t="s">
        <v>1275</v>
      </c>
      <c r="C729" s="11" t="s">
        <v>581</v>
      </c>
      <c r="D729" s="10" t="s">
        <v>1276</v>
      </c>
      <c r="E729" s="12" t="s">
        <v>1072</v>
      </c>
      <c r="F729" s="12" t="s">
        <v>1277</v>
      </c>
      <c r="G729" s="13">
        <v>60</v>
      </c>
      <c r="H729" s="14">
        <v>60</v>
      </c>
      <c r="I729" s="15">
        <v>113.36</v>
      </c>
      <c r="J729" s="16"/>
      <c r="K729" s="17">
        <v>6801.6</v>
      </c>
      <c r="L729" s="18">
        <v>46129</v>
      </c>
      <c r="M729" s="6" t="str">
        <f t="shared" si="33"/>
        <v>Due order</v>
      </c>
      <c r="N729" s="8">
        <f t="shared" ca="1" si="34"/>
        <v>-26</v>
      </c>
      <c r="O729" s="8" t="str">
        <f t="shared" ca="1" si="35"/>
        <v>With in 90 days</v>
      </c>
      <c r="P729" t="str">
        <f>VLOOKUP(C729,[1]Customer_Master!$A:$B,2,0)</f>
        <v>Group 1-Giridhar-Peenya</v>
      </c>
      <c r="Q729" t="str">
        <f>VLOOKUP(D729,[2]Template!$A:$D,3,0)</f>
        <v>LAPP</v>
      </c>
      <c r="R729" t="str">
        <f>VLOOKUP(D729,[2]Template!$A:$D,4,0)</f>
        <v>Lapp-Non Moving Stocks</v>
      </c>
    </row>
    <row r="730" spans="1:18" ht="13.5" customHeight="1" x14ac:dyDescent="0.25">
      <c r="A730" s="9">
        <v>46128</v>
      </c>
      <c r="B730" s="10" t="s">
        <v>1278</v>
      </c>
      <c r="C730" s="11" t="s">
        <v>98</v>
      </c>
      <c r="D730" s="10" t="s">
        <v>1279</v>
      </c>
      <c r="E730" s="12" t="s">
        <v>1072</v>
      </c>
      <c r="F730" s="12" t="s">
        <v>1280</v>
      </c>
      <c r="G730" s="22">
        <v>8</v>
      </c>
      <c r="H730" s="23">
        <v>8</v>
      </c>
      <c r="I730" s="15">
        <v>136.79</v>
      </c>
      <c r="J730" s="16"/>
      <c r="K730" s="17">
        <v>1094.32</v>
      </c>
      <c r="L730" s="18">
        <v>46158</v>
      </c>
      <c r="M730" s="6" t="str">
        <f t="shared" si="33"/>
        <v>Schedule order</v>
      </c>
      <c r="N730" s="8">
        <f t="shared" ca="1" si="34"/>
        <v>3</v>
      </c>
      <c r="O730" s="8" t="str">
        <f t="shared" ca="1" si="35"/>
        <v>Lattest or shedule order</v>
      </c>
      <c r="P730" t="str">
        <f>VLOOKUP(C730,[1]Customer_Master!$A:$B,2,0)</f>
        <v>Group - 5 (Ananthapadmanabha)</v>
      </c>
      <c r="Q730" t="str">
        <f>VLOOKUP(D730,[2]Template!$A:$D,3,0)</f>
        <v>LAPP</v>
      </c>
      <c r="R730" t="str">
        <f>VLOOKUP(D730,[2]Template!$A:$D,4,0)</f>
        <v>Lapp-Non Moving Stocks</v>
      </c>
    </row>
    <row r="731" spans="1:18" ht="13.5" customHeight="1" x14ac:dyDescent="0.25">
      <c r="A731" s="9">
        <v>46128</v>
      </c>
      <c r="B731" s="10" t="s">
        <v>1278</v>
      </c>
      <c r="C731" s="11" t="s">
        <v>98</v>
      </c>
      <c r="D731" s="10" t="s">
        <v>874</v>
      </c>
      <c r="E731" s="12" t="s">
        <v>1072</v>
      </c>
      <c r="F731" s="12" t="s">
        <v>875</v>
      </c>
      <c r="G731" s="19">
        <v>6</v>
      </c>
      <c r="H731" s="20">
        <v>6</v>
      </c>
      <c r="I731" s="15">
        <v>15.49</v>
      </c>
      <c r="J731" s="16"/>
      <c r="K731" s="17">
        <v>92.94</v>
      </c>
      <c r="L731" s="18">
        <v>46158</v>
      </c>
      <c r="M731" s="6" t="str">
        <f t="shared" si="33"/>
        <v>Schedule order</v>
      </c>
      <c r="N731" s="8">
        <f t="shared" ca="1" si="34"/>
        <v>3</v>
      </c>
      <c r="O731" s="8" t="str">
        <f t="shared" ca="1" si="35"/>
        <v>Lattest or shedule order</v>
      </c>
      <c r="P731" t="str">
        <f>VLOOKUP(C731,[1]Customer_Master!$A:$B,2,0)</f>
        <v>Group - 5 (Ananthapadmanabha)</v>
      </c>
      <c r="Q731" t="str">
        <f>VLOOKUP(D731,[2]Template!$A:$D,3,0)</f>
        <v>LAPP</v>
      </c>
      <c r="R731" t="str">
        <f>VLOOKUP(D731,[2]Template!$A:$D,4,0)</f>
        <v>Lapp-Against Customer PO</v>
      </c>
    </row>
    <row r="732" spans="1:18" ht="13.5" customHeight="1" x14ac:dyDescent="0.25">
      <c r="A732" s="9">
        <v>46128</v>
      </c>
      <c r="B732" s="10" t="s">
        <v>1281</v>
      </c>
      <c r="C732" s="11" t="s">
        <v>1014</v>
      </c>
      <c r="D732" s="10" t="s">
        <v>1247</v>
      </c>
      <c r="E732" s="12" t="s">
        <v>1072</v>
      </c>
      <c r="F732" s="12" t="s">
        <v>1248</v>
      </c>
      <c r="G732" s="19">
        <v>600</v>
      </c>
      <c r="H732" s="20">
        <v>400</v>
      </c>
      <c r="I732" s="15">
        <v>38</v>
      </c>
      <c r="J732" s="16"/>
      <c r="K732" s="17">
        <v>15200</v>
      </c>
      <c r="L732" s="18">
        <v>46128</v>
      </c>
      <c r="M732" s="6" t="str">
        <f t="shared" si="33"/>
        <v>Due order</v>
      </c>
      <c r="N732" s="8">
        <f t="shared" ca="1" si="34"/>
        <v>-27</v>
      </c>
      <c r="O732" s="8" t="str">
        <f t="shared" ca="1" si="35"/>
        <v>With in 90 days</v>
      </c>
      <c r="P732" t="str">
        <f>VLOOKUP(C732,[1]Customer_Master!$A:$B,2,0)</f>
        <v>Group-4 ( Office Account)</v>
      </c>
      <c r="Q732" t="str">
        <f>VLOOKUP(D732,[2]Template!$A:$D,3,0)</f>
        <v>LAPP</v>
      </c>
      <c r="R732" t="str">
        <f>VLOOKUP(D732,[2]Template!$A:$D,4,0)</f>
        <v>Lapp-Planned Stock General</v>
      </c>
    </row>
    <row r="733" spans="1:18" ht="13.5" customHeight="1" x14ac:dyDescent="0.25">
      <c r="A733" s="9">
        <v>46129</v>
      </c>
      <c r="B733" s="10" t="s">
        <v>1282</v>
      </c>
      <c r="C733" s="11" t="s">
        <v>758</v>
      </c>
      <c r="D733" s="27" t="s">
        <v>1283</v>
      </c>
      <c r="E733" s="12" t="s">
        <v>1072</v>
      </c>
      <c r="F733" s="26" t="s">
        <v>1284</v>
      </c>
      <c r="G733" s="19">
        <v>100</v>
      </c>
      <c r="H733" s="20">
        <v>100</v>
      </c>
      <c r="I733" s="15">
        <v>12.67</v>
      </c>
      <c r="J733" s="16"/>
      <c r="K733" s="17">
        <v>1267</v>
      </c>
      <c r="L733" s="18">
        <v>46137</v>
      </c>
      <c r="M733" s="6" t="str">
        <f t="shared" si="33"/>
        <v>Due order</v>
      </c>
      <c r="N733" s="8">
        <f t="shared" ca="1" si="34"/>
        <v>-18</v>
      </c>
      <c r="O733" s="8" t="str">
        <f t="shared" ca="1" si="35"/>
        <v>With in 90 days</v>
      </c>
      <c r="P733" t="str">
        <f>VLOOKUP(C733,[1]Customer_Master!$A:$B,2,0)</f>
        <v>Group 1-Giridhar-Peenya</v>
      </c>
      <c r="Q733" t="str">
        <f>VLOOKUP(D733,[2]Template!$A:$D,3,0)</f>
        <v>LAPP</v>
      </c>
      <c r="R733" t="str">
        <f>VLOOKUP(D733,[2]Template!$A:$D,4,0)</f>
        <v>Lapp-Non Moving Stocks</v>
      </c>
    </row>
    <row r="734" spans="1:18" ht="13.5" customHeight="1" x14ac:dyDescent="0.25">
      <c r="A734" s="9">
        <v>46129</v>
      </c>
      <c r="B734" s="10" t="s">
        <v>1285</v>
      </c>
      <c r="C734" s="11" t="s">
        <v>876</v>
      </c>
      <c r="D734" s="10" t="s">
        <v>1047</v>
      </c>
      <c r="E734" s="12" t="s">
        <v>1072</v>
      </c>
      <c r="F734" s="12" t="s">
        <v>1077</v>
      </c>
      <c r="G734" s="13">
        <v>10</v>
      </c>
      <c r="H734" s="14">
        <v>10</v>
      </c>
      <c r="I734" s="15">
        <v>1576.9</v>
      </c>
      <c r="J734" s="16"/>
      <c r="K734" s="17">
        <v>15769</v>
      </c>
      <c r="L734" s="18">
        <v>46129</v>
      </c>
      <c r="M734" s="6" t="str">
        <f t="shared" si="33"/>
        <v>Due order</v>
      </c>
      <c r="N734" s="8">
        <f t="shared" ca="1" si="34"/>
        <v>-26</v>
      </c>
      <c r="O734" s="8" t="str">
        <f t="shared" ca="1" si="35"/>
        <v>With in 90 days</v>
      </c>
      <c r="P734" t="str">
        <f>VLOOKUP(C734,[1]Customer_Master!$A:$B,2,0)</f>
        <v>Group 1-Giridhar-Peenya</v>
      </c>
      <c r="Q734" t="str">
        <f>VLOOKUP(D734,[2]Template!$A:$D,3,0)</f>
        <v>LAPP</v>
      </c>
      <c r="R734" t="str">
        <f>VLOOKUP(D734,[2]Template!$A:$D,4,0)</f>
        <v>Lapp-Non Moving Stocks</v>
      </c>
    </row>
    <row r="735" spans="1:18" ht="13.5" customHeight="1" x14ac:dyDescent="0.25">
      <c r="A735" s="9">
        <v>46129</v>
      </c>
      <c r="B735" s="10" t="s">
        <v>1285</v>
      </c>
      <c r="C735" s="11" t="s">
        <v>876</v>
      </c>
      <c r="D735" s="10" t="s">
        <v>690</v>
      </c>
      <c r="E735" s="12" t="s">
        <v>1072</v>
      </c>
      <c r="F735" s="12" t="s">
        <v>1072</v>
      </c>
      <c r="G735" s="24">
        <v>2</v>
      </c>
      <c r="H735" s="25">
        <v>2</v>
      </c>
      <c r="I735" s="15">
        <v>800</v>
      </c>
      <c r="J735" s="16"/>
      <c r="K735" s="17">
        <v>1600</v>
      </c>
      <c r="L735" s="18">
        <v>46129</v>
      </c>
      <c r="M735" s="6" t="str">
        <f t="shared" si="33"/>
        <v>Due order</v>
      </c>
      <c r="N735" s="8">
        <f t="shared" ca="1" si="34"/>
        <v>-26</v>
      </c>
      <c r="O735" s="8" t="str">
        <f t="shared" ca="1" si="35"/>
        <v>With in 90 days</v>
      </c>
      <c r="P735" t="str">
        <f>VLOOKUP(C735,[1]Customer_Master!$A:$B,2,0)</f>
        <v>Group 1-Giridhar-Peenya</v>
      </c>
      <c r="Q735" t="str">
        <f>VLOOKUP(D735,[2]Template!$A:$D,3,0)</f>
        <v>LAPP</v>
      </c>
      <c r="R735" t="str">
        <f>VLOOKUP(D735,[2]Template!$A:$D,4,0)</f>
        <v>Lapp-Non Moving Stocks</v>
      </c>
    </row>
    <row r="736" spans="1:18" ht="13.5" customHeight="1" x14ac:dyDescent="0.25">
      <c r="A736" s="9">
        <v>46129</v>
      </c>
      <c r="B736" s="10" t="s">
        <v>1285</v>
      </c>
      <c r="C736" s="11" t="s">
        <v>876</v>
      </c>
      <c r="D736" s="10" t="s">
        <v>242</v>
      </c>
      <c r="E736" s="12" t="s">
        <v>1072</v>
      </c>
      <c r="F736" s="12" t="s">
        <v>1072</v>
      </c>
      <c r="G736" s="19">
        <v>1</v>
      </c>
      <c r="H736" s="20">
        <v>1</v>
      </c>
      <c r="I736" s="15">
        <v>904.5</v>
      </c>
      <c r="J736" s="16"/>
      <c r="K736" s="17">
        <v>904.5</v>
      </c>
      <c r="L736" s="18">
        <v>46129</v>
      </c>
      <c r="M736" s="6" t="str">
        <f t="shared" si="33"/>
        <v>Due order</v>
      </c>
      <c r="N736" s="8">
        <f t="shared" ca="1" si="34"/>
        <v>-26</v>
      </c>
      <c r="O736" s="8" t="str">
        <f t="shared" ca="1" si="35"/>
        <v>With in 90 days</v>
      </c>
      <c r="P736" t="str">
        <f>VLOOKUP(C736,[1]Customer_Master!$A:$B,2,0)</f>
        <v>Group 1-Giridhar-Peenya</v>
      </c>
      <c r="Q736" t="str">
        <f>VLOOKUP(D736,[2]Template!$A:$D,3,0)</f>
        <v>LAPP</v>
      </c>
      <c r="R736" t="str">
        <f>VLOOKUP(D736,[2]Template!$A:$D,4,0)</f>
        <v>Lapp-Against Customer PO</v>
      </c>
    </row>
    <row r="737" spans="1:18" ht="13.5" customHeight="1" x14ac:dyDescent="0.25">
      <c r="A737" s="9">
        <v>46129</v>
      </c>
      <c r="B737" s="10" t="s">
        <v>1286</v>
      </c>
      <c r="C737" s="11" t="s">
        <v>54</v>
      </c>
      <c r="D737" s="10" t="s">
        <v>1030</v>
      </c>
      <c r="E737" s="12" t="s">
        <v>1072</v>
      </c>
      <c r="F737" s="12" t="s">
        <v>1031</v>
      </c>
      <c r="G737" s="19">
        <v>150</v>
      </c>
      <c r="H737" s="20">
        <v>150</v>
      </c>
      <c r="I737" s="15">
        <v>101.4</v>
      </c>
      <c r="J737" s="16"/>
      <c r="K737" s="17">
        <v>15210</v>
      </c>
      <c r="L737" s="18">
        <v>46128</v>
      </c>
      <c r="M737" s="6" t="str">
        <f t="shared" si="33"/>
        <v>Due order</v>
      </c>
      <c r="N737" s="8">
        <f t="shared" ca="1" si="34"/>
        <v>-27</v>
      </c>
      <c r="O737" s="8" t="str">
        <f t="shared" ca="1" si="35"/>
        <v>With in 90 days</v>
      </c>
      <c r="P737" t="str">
        <f>VLOOKUP(C737,[1]Customer_Master!$A:$B,2,0)</f>
        <v>Group 1-Giridhar-Peenya</v>
      </c>
      <c r="Q737" t="str">
        <f>VLOOKUP(D737,[2]Template!$A:$D,3,0)</f>
        <v>EATON</v>
      </c>
      <c r="R737" t="str">
        <f>VLOOKUP(D737,[2]Template!$A:$D,4,0)</f>
        <v>Eaton-Rinac</v>
      </c>
    </row>
    <row r="738" spans="1:18" ht="13.5" customHeight="1" x14ac:dyDescent="0.25">
      <c r="A738" s="9">
        <v>46129</v>
      </c>
      <c r="B738" s="10" t="s">
        <v>1286</v>
      </c>
      <c r="C738" s="11" t="s">
        <v>54</v>
      </c>
      <c r="D738" s="10" t="s">
        <v>1287</v>
      </c>
      <c r="E738" s="12" t="s">
        <v>1072</v>
      </c>
      <c r="F738" s="12" t="s">
        <v>1288</v>
      </c>
      <c r="G738" s="19">
        <v>40</v>
      </c>
      <c r="H738" s="20">
        <v>40</v>
      </c>
      <c r="I738" s="15">
        <v>480.6</v>
      </c>
      <c r="J738" s="16"/>
      <c r="K738" s="17">
        <v>19224</v>
      </c>
      <c r="L738" s="18">
        <v>46142</v>
      </c>
      <c r="M738" s="6" t="str">
        <f t="shared" si="33"/>
        <v>Schedule order</v>
      </c>
      <c r="N738" s="8">
        <f t="shared" ca="1" si="34"/>
        <v>-13</v>
      </c>
      <c r="O738" s="8" t="str">
        <f t="shared" ca="1" si="35"/>
        <v>With in 90 days</v>
      </c>
      <c r="P738" t="str">
        <f>VLOOKUP(C738,[1]Customer_Master!$A:$B,2,0)</f>
        <v>Group 1-Giridhar-Peenya</v>
      </c>
      <c r="Q738" t="str">
        <f>VLOOKUP(D738,[2]Template!$A:$D,3,0)</f>
        <v>EATON</v>
      </c>
      <c r="R738" t="str">
        <f>VLOOKUP(D738,[2]Template!$A:$D,4,0)</f>
        <v>Eaton-Rinac</v>
      </c>
    </row>
    <row r="739" spans="1:18" ht="13.5" customHeight="1" x14ac:dyDescent="0.25">
      <c r="A739" s="9">
        <v>46129</v>
      </c>
      <c r="B739" s="10" t="s">
        <v>1286</v>
      </c>
      <c r="C739" s="11" t="s">
        <v>54</v>
      </c>
      <c r="D739" s="10" t="s">
        <v>422</v>
      </c>
      <c r="E739" s="12" t="s">
        <v>1072</v>
      </c>
      <c r="F739" s="12" t="s">
        <v>239</v>
      </c>
      <c r="G739" s="19">
        <v>40</v>
      </c>
      <c r="H739" s="20">
        <v>40</v>
      </c>
      <c r="I739" s="15">
        <v>649.73</v>
      </c>
      <c r="J739" s="16"/>
      <c r="K739" s="17">
        <v>25989.200000000001</v>
      </c>
      <c r="L739" s="18">
        <v>46142</v>
      </c>
      <c r="M739" s="6" t="str">
        <f t="shared" si="33"/>
        <v>Schedule order</v>
      </c>
      <c r="N739" s="8">
        <f t="shared" ca="1" si="34"/>
        <v>-13</v>
      </c>
      <c r="O739" s="8" t="str">
        <f t="shared" ca="1" si="35"/>
        <v>With in 90 days</v>
      </c>
      <c r="P739" t="str">
        <f>VLOOKUP(C739,[1]Customer_Master!$A:$B,2,0)</f>
        <v>Group 1-Giridhar-Peenya</v>
      </c>
      <c r="Q739" t="str">
        <f>VLOOKUP(D739,[2]Template!$A:$D,3,0)</f>
        <v>EATON</v>
      </c>
      <c r="R739" t="str">
        <f>VLOOKUP(D739,[2]Template!$A:$D,4,0)</f>
        <v>Eaton-Rinac</v>
      </c>
    </row>
    <row r="740" spans="1:18" ht="13.5" customHeight="1" x14ac:dyDescent="0.25">
      <c r="A740" s="9">
        <v>46129</v>
      </c>
      <c r="B740" s="10" t="s">
        <v>1286</v>
      </c>
      <c r="C740" s="11" t="s">
        <v>54</v>
      </c>
      <c r="D740" s="10" t="s">
        <v>1289</v>
      </c>
      <c r="E740" s="12" t="s">
        <v>1072</v>
      </c>
      <c r="F740" s="12" t="s">
        <v>1290</v>
      </c>
      <c r="G740" s="19">
        <v>40</v>
      </c>
      <c r="H740" s="20">
        <v>35</v>
      </c>
      <c r="I740" s="15">
        <v>596.76</v>
      </c>
      <c r="J740" s="16"/>
      <c r="K740" s="17">
        <v>20886.599999999999</v>
      </c>
      <c r="L740" s="18">
        <v>46142</v>
      </c>
      <c r="M740" s="6" t="str">
        <f t="shared" si="33"/>
        <v>Schedule order</v>
      </c>
      <c r="N740" s="8">
        <f t="shared" ca="1" si="34"/>
        <v>-13</v>
      </c>
      <c r="O740" s="8" t="str">
        <f t="shared" ca="1" si="35"/>
        <v>With in 90 days</v>
      </c>
      <c r="P740" t="str">
        <f>VLOOKUP(C740,[1]Customer_Master!$A:$B,2,0)</f>
        <v>Group 1-Giridhar-Peenya</v>
      </c>
      <c r="Q740" t="str">
        <f>VLOOKUP(D740,[2]Template!$A:$D,3,0)</f>
        <v>EATON</v>
      </c>
      <c r="R740" t="str">
        <f>VLOOKUP(D740,[2]Template!$A:$D,4,0)</f>
        <v>Eaton-Rinac</v>
      </c>
    </row>
    <row r="741" spans="1:18" ht="13.5" customHeight="1" x14ac:dyDescent="0.25">
      <c r="A741" s="9">
        <v>46129</v>
      </c>
      <c r="B741" s="10" t="s">
        <v>1286</v>
      </c>
      <c r="C741" s="11" t="s">
        <v>54</v>
      </c>
      <c r="D741" s="10" t="s">
        <v>420</v>
      </c>
      <c r="E741" s="12" t="s">
        <v>1072</v>
      </c>
      <c r="F741" s="12" t="s">
        <v>186</v>
      </c>
      <c r="G741" s="19">
        <v>20</v>
      </c>
      <c r="H741" s="20">
        <v>20</v>
      </c>
      <c r="I741" s="15">
        <v>446.13</v>
      </c>
      <c r="J741" s="16"/>
      <c r="K741" s="17">
        <v>8922.6</v>
      </c>
      <c r="L741" s="18">
        <v>46142</v>
      </c>
      <c r="M741" s="6" t="str">
        <f t="shared" si="33"/>
        <v>Schedule order</v>
      </c>
      <c r="N741" s="8">
        <f t="shared" ca="1" si="34"/>
        <v>-13</v>
      </c>
      <c r="O741" s="8" t="str">
        <f t="shared" ca="1" si="35"/>
        <v>With in 90 days</v>
      </c>
      <c r="P741" t="str">
        <f>VLOOKUP(C741,[1]Customer_Master!$A:$B,2,0)</f>
        <v>Group 1-Giridhar-Peenya</v>
      </c>
      <c r="Q741" t="str">
        <f>VLOOKUP(D741,[2]Template!$A:$D,3,0)</f>
        <v>EATON</v>
      </c>
      <c r="R741" t="str">
        <f>VLOOKUP(D741,[2]Template!$A:$D,4,0)</f>
        <v>Eaton-Rinac</v>
      </c>
    </row>
    <row r="742" spans="1:18" ht="13.5" customHeight="1" x14ac:dyDescent="0.25">
      <c r="A742" s="9">
        <v>46129</v>
      </c>
      <c r="B742" s="10" t="s">
        <v>1286</v>
      </c>
      <c r="C742" s="11" t="s">
        <v>54</v>
      </c>
      <c r="D742" s="10" t="s">
        <v>1291</v>
      </c>
      <c r="E742" s="12" t="s">
        <v>1072</v>
      </c>
      <c r="F742" s="12" t="s">
        <v>1292</v>
      </c>
      <c r="G742" s="19">
        <v>140</v>
      </c>
      <c r="H742" s="20">
        <v>140</v>
      </c>
      <c r="I742" s="15">
        <v>596.76</v>
      </c>
      <c r="J742" s="16"/>
      <c r="K742" s="17">
        <v>83546.399999999994</v>
      </c>
      <c r="L742" s="18">
        <v>46142</v>
      </c>
      <c r="M742" s="6" t="str">
        <f t="shared" si="33"/>
        <v>Schedule order</v>
      </c>
      <c r="N742" s="8">
        <f t="shared" ca="1" si="34"/>
        <v>-13</v>
      </c>
      <c r="O742" s="8" t="str">
        <f t="shared" ca="1" si="35"/>
        <v>With in 90 days</v>
      </c>
      <c r="P742" t="str">
        <f>VLOOKUP(C742,[1]Customer_Master!$A:$B,2,0)</f>
        <v>Group 1-Giridhar-Peenya</v>
      </c>
      <c r="Q742" t="str">
        <f>VLOOKUP(D742,[2]Template!$A:$D,3,0)</f>
        <v>EATON</v>
      </c>
      <c r="R742" t="str">
        <f>VLOOKUP(D742,[2]Template!$A:$D,4,0)</f>
        <v>Eaton-Rinac</v>
      </c>
    </row>
    <row r="743" spans="1:18" ht="13.5" customHeight="1" x14ac:dyDescent="0.25">
      <c r="A743" s="9">
        <v>46129</v>
      </c>
      <c r="B743" s="10" t="s">
        <v>1286</v>
      </c>
      <c r="C743" s="11" t="s">
        <v>54</v>
      </c>
      <c r="D743" s="10" t="s">
        <v>1149</v>
      </c>
      <c r="E743" s="12" t="s">
        <v>1072</v>
      </c>
      <c r="F743" s="12" t="s">
        <v>1150</v>
      </c>
      <c r="G743" s="19">
        <v>20</v>
      </c>
      <c r="H743" s="20">
        <v>20</v>
      </c>
      <c r="I743" s="15">
        <v>459</v>
      </c>
      <c r="J743" s="16"/>
      <c r="K743" s="17">
        <v>9180</v>
      </c>
      <c r="L743" s="18">
        <v>46142</v>
      </c>
      <c r="M743" s="6" t="str">
        <f t="shared" si="33"/>
        <v>Schedule order</v>
      </c>
      <c r="N743" s="8">
        <f t="shared" ca="1" si="34"/>
        <v>-13</v>
      </c>
      <c r="O743" s="8" t="str">
        <f t="shared" ca="1" si="35"/>
        <v>With in 90 days</v>
      </c>
      <c r="P743" t="str">
        <f>VLOOKUP(C743,[1]Customer_Master!$A:$B,2,0)</f>
        <v>Group 1-Giridhar-Peenya</v>
      </c>
      <c r="Q743" t="str">
        <f>VLOOKUP(D743,[2]Template!$A:$D,3,0)</f>
        <v>EATON</v>
      </c>
      <c r="R743" t="str">
        <f>VLOOKUP(D743,[2]Template!$A:$D,4,0)</f>
        <v>Eaton-Rinac</v>
      </c>
    </row>
    <row r="744" spans="1:18" ht="13.5" customHeight="1" x14ac:dyDescent="0.25">
      <c r="A744" s="9">
        <v>46129</v>
      </c>
      <c r="B744" s="10" t="s">
        <v>1286</v>
      </c>
      <c r="C744" s="11" t="s">
        <v>54</v>
      </c>
      <c r="D744" s="10" t="s">
        <v>1293</v>
      </c>
      <c r="E744" s="12" t="s">
        <v>1072</v>
      </c>
      <c r="F744" s="12" t="s">
        <v>1294</v>
      </c>
      <c r="G744" s="19">
        <v>20</v>
      </c>
      <c r="H744" s="20">
        <v>1</v>
      </c>
      <c r="I744" s="15">
        <v>596.76</v>
      </c>
      <c r="J744" s="16"/>
      <c r="K744" s="17">
        <v>596.76</v>
      </c>
      <c r="L744" s="18">
        <v>46142</v>
      </c>
      <c r="M744" s="6" t="str">
        <f t="shared" si="33"/>
        <v>Schedule order</v>
      </c>
      <c r="N744" s="8">
        <f t="shared" ca="1" si="34"/>
        <v>-13</v>
      </c>
      <c r="O744" s="8" t="str">
        <f t="shared" ca="1" si="35"/>
        <v>With in 90 days</v>
      </c>
      <c r="P744" t="str">
        <f>VLOOKUP(C744,[1]Customer_Master!$A:$B,2,0)</f>
        <v>Group 1-Giridhar-Peenya</v>
      </c>
      <c r="Q744" t="str">
        <f>VLOOKUP(D744,[2]Template!$A:$D,3,0)</f>
        <v>EATON</v>
      </c>
      <c r="R744" t="str">
        <f>VLOOKUP(D744,[2]Template!$A:$D,4,0)</f>
        <v>Eaton-Rinac</v>
      </c>
    </row>
    <row r="745" spans="1:18" ht="13.5" customHeight="1" x14ac:dyDescent="0.25">
      <c r="A745" s="9">
        <v>46129</v>
      </c>
      <c r="B745" s="10" t="s">
        <v>1286</v>
      </c>
      <c r="C745" s="11" t="s">
        <v>54</v>
      </c>
      <c r="D745" s="10" t="s">
        <v>1295</v>
      </c>
      <c r="E745" s="12" t="s">
        <v>1072</v>
      </c>
      <c r="F745" s="12" t="s">
        <v>1296</v>
      </c>
      <c r="G745" s="19">
        <v>80</v>
      </c>
      <c r="H745" s="20">
        <v>80</v>
      </c>
      <c r="I745" s="15">
        <v>702</v>
      </c>
      <c r="J745" s="16"/>
      <c r="K745" s="17">
        <v>56160</v>
      </c>
      <c r="L745" s="18">
        <v>46142</v>
      </c>
      <c r="M745" s="6" t="str">
        <f t="shared" si="33"/>
        <v>Schedule order</v>
      </c>
      <c r="N745" s="8">
        <f t="shared" ca="1" si="34"/>
        <v>-13</v>
      </c>
      <c r="O745" s="8" t="str">
        <f t="shared" ca="1" si="35"/>
        <v>With in 90 days</v>
      </c>
      <c r="P745" t="str">
        <f>VLOOKUP(C745,[1]Customer_Master!$A:$B,2,0)</f>
        <v>Group 1-Giridhar-Peenya</v>
      </c>
      <c r="Q745" t="str">
        <f>VLOOKUP(D745,[2]Template!$A:$D,3,0)</f>
        <v>EATON</v>
      </c>
      <c r="R745" t="str">
        <f>VLOOKUP(D745,[2]Template!$A:$D,4,0)</f>
        <v>Eaton-Rinac</v>
      </c>
    </row>
    <row r="746" spans="1:18" ht="13.5" customHeight="1" x14ac:dyDescent="0.25">
      <c r="A746" s="9">
        <v>46129</v>
      </c>
      <c r="B746" s="10" t="s">
        <v>1297</v>
      </c>
      <c r="C746" s="11" t="s">
        <v>54</v>
      </c>
      <c r="D746" s="10" t="s">
        <v>1291</v>
      </c>
      <c r="E746" s="12" t="s">
        <v>1072</v>
      </c>
      <c r="F746" s="12" t="s">
        <v>1292</v>
      </c>
      <c r="G746" s="19">
        <v>140</v>
      </c>
      <c r="H746" s="20">
        <v>132</v>
      </c>
      <c r="I746" s="15">
        <v>596.76</v>
      </c>
      <c r="J746" s="16"/>
      <c r="K746" s="17">
        <v>78772.320000000007</v>
      </c>
      <c r="L746" s="18">
        <v>46142</v>
      </c>
      <c r="M746" s="6" t="str">
        <f t="shared" si="33"/>
        <v>Schedule order</v>
      </c>
      <c r="N746" s="8">
        <f t="shared" ca="1" si="34"/>
        <v>-13</v>
      </c>
      <c r="O746" s="8" t="str">
        <f t="shared" ca="1" si="35"/>
        <v>With in 90 days</v>
      </c>
      <c r="P746" t="str">
        <f>VLOOKUP(C746,[1]Customer_Master!$A:$B,2,0)</f>
        <v>Group 1-Giridhar-Peenya</v>
      </c>
      <c r="Q746" t="str">
        <f>VLOOKUP(D746,[2]Template!$A:$D,3,0)</f>
        <v>EATON</v>
      </c>
      <c r="R746" t="str">
        <f>VLOOKUP(D746,[2]Template!$A:$D,4,0)</f>
        <v>Eaton-Rinac</v>
      </c>
    </row>
    <row r="747" spans="1:18" ht="13.5" customHeight="1" x14ac:dyDescent="0.25">
      <c r="A747" s="9">
        <v>46129</v>
      </c>
      <c r="B747" s="10" t="s">
        <v>1297</v>
      </c>
      <c r="C747" s="11" t="s">
        <v>54</v>
      </c>
      <c r="D747" s="10" t="s">
        <v>1295</v>
      </c>
      <c r="E747" s="12" t="s">
        <v>1072</v>
      </c>
      <c r="F747" s="12" t="s">
        <v>1296</v>
      </c>
      <c r="G747" s="19">
        <v>80</v>
      </c>
      <c r="H747" s="20">
        <v>44</v>
      </c>
      <c r="I747" s="15">
        <v>702</v>
      </c>
      <c r="J747" s="16"/>
      <c r="K747" s="17">
        <v>30888</v>
      </c>
      <c r="L747" s="18">
        <v>46142</v>
      </c>
      <c r="M747" s="6" t="str">
        <f t="shared" si="33"/>
        <v>Schedule order</v>
      </c>
      <c r="N747" s="8">
        <f t="shared" ca="1" si="34"/>
        <v>-13</v>
      </c>
      <c r="O747" s="8" t="str">
        <f t="shared" ca="1" si="35"/>
        <v>With in 90 days</v>
      </c>
      <c r="P747" t="str">
        <f>VLOOKUP(C747,[1]Customer_Master!$A:$B,2,0)</f>
        <v>Group 1-Giridhar-Peenya</v>
      </c>
      <c r="Q747" t="str">
        <f>VLOOKUP(D747,[2]Template!$A:$D,3,0)</f>
        <v>EATON</v>
      </c>
      <c r="R747" t="str">
        <f>VLOOKUP(D747,[2]Template!$A:$D,4,0)</f>
        <v>Eaton-Rinac</v>
      </c>
    </row>
    <row r="748" spans="1:18" ht="13.5" customHeight="1" x14ac:dyDescent="0.25">
      <c r="A748" s="9">
        <v>46129</v>
      </c>
      <c r="B748" s="10" t="s">
        <v>1297</v>
      </c>
      <c r="C748" s="11" t="s">
        <v>54</v>
      </c>
      <c r="D748" s="10" t="s">
        <v>1030</v>
      </c>
      <c r="E748" s="12" t="s">
        <v>1072</v>
      </c>
      <c r="F748" s="12" t="s">
        <v>1031</v>
      </c>
      <c r="G748" s="19">
        <v>150</v>
      </c>
      <c r="H748" s="20">
        <v>150</v>
      </c>
      <c r="I748" s="15">
        <v>101.4</v>
      </c>
      <c r="J748" s="16"/>
      <c r="K748" s="17">
        <v>15210</v>
      </c>
      <c r="L748" s="18">
        <v>46142</v>
      </c>
      <c r="M748" s="6" t="str">
        <f t="shared" si="33"/>
        <v>Schedule order</v>
      </c>
      <c r="N748" s="8">
        <f t="shared" ca="1" si="34"/>
        <v>-13</v>
      </c>
      <c r="O748" s="8" t="str">
        <f t="shared" ca="1" si="35"/>
        <v>With in 90 days</v>
      </c>
      <c r="P748" t="str">
        <f>VLOOKUP(C748,[1]Customer_Master!$A:$B,2,0)</f>
        <v>Group 1-Giridhar-Peenya</v>
      </c>
      <c r="Q748" t="str">
        <f>VLOOKUP(D748,[2]Template!$A:$D,3,0)</f>
        <v>EATON</v>
      </c>
      <c r="R748" t="str">
        <f>VLOOKUP(D748,[2]Template!$A:$D,4,0)</f>
        <v>Eaton-Rinac</v>
      </c>
    </row>
    <row r="749" spans="1:18" ht="13.5" customHeight="1" x14ac:dyDescent="0.25">
      <c r="A749" s="9">
        <v>46129</v>
      </c>
      <c r="B749" s="10" t="s">
        <v>1297</v>
      </c>
      <c r="C749" s="11" t="s">
        <v>54</v>
      </c>
      <c r="D749" s="10" t="s">
        <v>422</v>
      </c>
      <c r="E749" s="12" t="s">
        <v>1072</v>
      </c>
      <c r="F749" s="12" t="s">
        <v>239</v>
      </c>
      <c r="G749" s="19">
        <v>40</v>
      </c>
      <c r="H749" s="20">
        <v>40</v>
      </c>
      <c r="I749" s="15">
        <v>649.73</v>
      </c>
      <c r="J749" s="16"/>
      <c r="K749" s="17">
        <v>25989.200000000001</v>
      </c>
      <c r="L749" s="18">
        <v>46142</v>
      </c>
      <c r="M749" s="6" t="str">
        <f t="shared" si="33"/>
        <v>Schedule order</v>
      </c>
      <c r="N749" s="8">
        <f t="shared" ca="1" si="34"/>
        <v>-13</v>
      </c>
      <c r="O749" s="8" t="str">
        <f t="shared" ca="1" si="35"/>
        <v>With in 90 days</v>
      </c>
      <c r="P749" t="str">
        <f>VLOOKUP(C749,[1]Customer_Master!$A:$B,2,0)</f>
        <v>Group 1-Giridhar-Peenya</v>
      </c>
      <c r="Q749" t="str">
        <f>VLOOKUP(D749,[2]Template!$A:$D,3,0)</f>
        <v>EATON</v>
      </c>
      <c r="R749" t="str">
        <f>VLOOKUP(D749,[2]Template!$A:$D,4,0)</f>
        <v>Eaton-Rinac</v>
      </c>
    </row>
    <row r="750" spans="1:18" ht="13.5" customHeight="1" x14ac:dyDescent="0.25">
      <c r="A750" s="9">
        <v>46129</v>
      </c>
      <c r="B750" s="10" t="s">
        <v>1297</v>
      </c>
      <c r="C750" s="11" t="s">
        <v>54</v>
      </c>
      <c r="D750" s="10" t="s">
        <v>420</v>
      </c>
      <c r="E750" s="12" t="s">
        <v>1072</v>
      </c>
      <c r="F750" s="12" t="s">
        <v>186</v>
      </c>
      <c r="G750" s="19">
        <v>20</v>
      </c>
      <c r="H750" s="20">
        <v>20</v>
      </c>
      <c r="I750" s="15">
        <v>446.13</v>
      </c>
      <c r="J750" s="16"/>
      <c r="K750" s="17">
        <v>8922.6</v>
      </c>
      <c r="L750" s="18">
        <v>46142</v>
      </c>
      <c r="M750" s="6" t="str">
        <f t="shared" si="33"/>
        <v>Schedule order</v>
      </c>
      <c r="N750" s="8">
        <f t="shared" ca="1" si="34"/>
        <v>-13</v>
      </c>
      <c r="O750" s="8" t="str">
        <f t="shared" ca="1" si="35"/>
        <v>With in 90 days</v>
      </c>
      <c r="P750" t="str">
        <f>VLOOKUP(C750,[1]Customer_Master!$A:$B,2,0)</f>
        <v>Group 1-Giridhar-Peenya</v>
      </c>
      <c r="Q750" t="str">
        <f>VLOOKUP(D750,[2]Template!$A:$D,3,0)</f>
        <v>EATON</v>
      </c>
      <c r="R750" t="str">
        <f>VLOOKUP(D750,[2]Template!$A:$D,4,0)</f>
        <v>Eaton-Rinac</v>
      </c>
    </row>
    <row r="751" spans="1:18" ht="13.5" customHeight="1" x14ac:dyDescent="0.25">
      <c r="A751" s="9">
        <v>46129</v>
      </c>
      <c r="B751" s="10" t="s">
        <v>1297</v>
      </c>
      <c r="C751" s="11" t="s">
        <v>54</v>
      </c>
      <c r="D751" s="10" t="s">
        <v>1149</v>
      </c>
      <c r="E751" s="12" t="s">
        <v>1072</v>
      </c>
      <c r="F751" s="12" t="s">
        <v>1150</v>
      </c>
      <c r="G751" s="19">
        <v>20</v>
      </c>
      <c r="H751" s="20">
        <v>20</v>
      </c>
      <c r="I751" s="15">
        <v>459</v>
      </c>
      <c r="J751" s="16"/>
      <c r="K751" s="17">
        <v>9180</v>
      </c>
      <c r="L751" s="18">
        <v>46142</v>
      </c>
      <c r="M751" s="6" t="str">
        <f t="shared" si="33"/>
        <v>Schedule order</v>
      </c>
      <c r="N751" s="8">
        <f t="shared" ca="1" si="34"/>
        <v>-13</v>
      </c>
      <c r="O751" s="8" t="str">
        <f t="shared" ca="1" si="35"/>
        <v>With in 90 days</v>
      </c>
      <c r="P751" t="str">
        <f>VLOOKUP(C751,[1]Customer_Master!$A:$B,2,0)</f>
        <v>Group 1-Giridhar-Peenya</v>
      </c>
      <c r="Q751" t="str">
        <f>VLOOKUP(D751,[2]Template!$A:$D,3,0)</f>
        <v>EATON</v>
      </c>
      <c r="R751" t="str">
        <f>VLOOKUP(D751,[2]Template!$A:$D,4,0)</f>
        <v>Eaton-Rinac</v>
      </c>
    </row>
    <row r="752" spans="1:18" ht="13.5" customHeight="1" x14ac:dyDescent="0.25">
      <c r="A752" s="9">
        <v>46129</v>
      </c>
      <c r="B752" s="10" t="s">
        <v>1298</v>
      </c>
      <c r="C752" s="11" t="s">
        <v>1299</v>
      </c>
      <c r="D752" s="10" t="s">
        <v>1300</v>
      </c>
      <c r="E752" s="12" t="s">
        <v>1072</v>
      </c>
      <c r="F752" s="12" t="s">
        <v>1301</v>
      </c>
      <c r="G752" s="13">
        <v>50</v>
      </c>
      <c r="H752" s="14">
        <v>50</v>
      </c>
      <c r="I752" s="15">
        <v>76.61</v>
      </c>
      <c r="J752" s="16"/>
      <c r="K752" s="17">
        <v>3830.5</v>
      </c>
      <c r="L752" s="18">
        <v>46129</v>
      </c>
      <c r="M752" s="6" t="str">
        <f t="shared" si="33"/>
        <v>Due order</v>
      </c>
      <c r="N752" s="8">
        <f t="shared" ca="1" si="34"/>
        <v>-26</v>
      </c>
      <c r="O752" s="8" t="str">
        <f t="shared" ca="1" si="35"/>
        <v>With in 90 days</v>
      </c>
      <c r="P752" t="str">
        <f>VLOOKUP(C752,[1]Customer_Master!$A:$B,2,0)</f>
        <v>Group-2 (Veeresh- Bomsdr+Hosur)</v>
      </c>
      <c r="Q752" t="str">
        <f>VLOOKUP(D752,[2]Template!$A:$D,3,0)</f>
        <v>LAPP</v>
      </c>
      <c r="R752" t="str">
        <f>VLOOKUP(D752,[2]Template!$A:$D,4,0)</f>
        <v>Lapp-Against Customer PO</v>
      </c>
    </row>
    <row r="753" spans="1:18" ht="13.5" customHeight="1" x14ac:dyDescent="0.25">
      <c r="A753" s="9">
        <v>46129</v>
      </c>
      <c r="B753" s="10" t="s">
        <v>1302</v>
      </c>
      <c r="C753" s="11" t="s">
        <v>1299</v>
      </c>
      <c r="D753" s="10" t="s">
        <v>486</v>
      </c>
      <c r="E753" s="12" t="s">
        <v>1072</v>
      </c>
      <c r="F753" s="12" t="s">
        <v>487</v>
      </c>
      <c r="G753" s="22">
        <v>44</v>
      </c>
      <c r="H753" s="23">
        <v>24</v>
      </c>
      <c r="I753" s="15">
        <v>51.06</v>
      </c>
      <c r="J753" s="16"/>
      <c r="K753" s="17">
        <v>1225.44</v>
      </c>
      <c r="L753" s="18">
        <v>46129</v>
      </c>
      <c r="M753" s="6" t="str">
        <f t="shared" si="33"/>
        <v>Due order</v>
      </c>
      <c r="N753" s="8">
        <f t="shared" ca="1" si="34"/>
        <v>-26</v>
      </c>
      <c r="O753" s="8" t="str">
        <f t="shared" ca="1" si="35"/>
        <v>With in 90 days</v>
      </c>
      <c r="P753" t="str">
        <f>VLOOKUP(C753,[1]Customer_Master!$A:$B,2,0)</f>
        <v>Group-2 (Veeresh- Bomsdr+Hosur)</v>
      </c>
      <c r="Q753" t="str">
        <f>VLOOKUP(D753,[2]Template!$A:$D,3,0)</f>
        <v>LAPP</v>
      </c>
      <c r="R753" t="str">
        <f>VLOOKUP(D753,[2]Template!$A:$D,4,0)</f>
        <v>Lapp-Planned Stock General</v>
      </c>
    </row>
    <row r="754" spans="1:18" ht="13.5" customHeight="1" x14ac:dyDescent="0.25">
      <c r="A754" s="9">
        <v>46129</v>
      </c>
      <c r="B754" s="10" t="s">
        <v>1303</v>
      </c>
      <c r="C754" s="11" t="s">
        <v>576</v>
      </c>
      <c r="D754" s="10" t="s">
        <v>654</v>
      </c>
      <c r="E754" s="12" t="s">
        <v>1072</v>
      </c>
      <c r="F754" s="12" t="s">
        <v>655</v>
      </c>
      <c r="G754" s="13">
        <v>150</v>
      </c>
      <c r="H754" s="14">
        <v>48</v>
      </c>
      <c r="I754" s="15">
        <v>43.73</v>
      </c>
      <c r="J754" s="16"/>
      <c r="K754" s="17">
        <v>2099.04</v>
      </c>
      <c r="L754" s="18">
        <v>46129</v>
      </c>
      <c r="M754" s="6" t="str">
        <f t="shared" si="33"/>
        <v>Due order</v>
      </c>
      <c r="N754" s="8">
        <f t="shared" ca="1" si="34"/>
        <v>-26</v>
      </c>
      <c r="O754" s="8" t="str">
        <f t="shared" ca="1" si="35"/>
        <v>With in 90 days</v>
      </c>
      <c r="P754" t="str">
        <f>VLOOKUP(C754,[1]Customer_Master!$A:$B,2,0)</f>
        <v>Group-2 (Veeresh- Bomsdr+Hosur)</v>
      </c>
      <c r="Q754" t="str">
        <f>VLOOKUP(D754,[2]Template!$A:$D,3,0)</f>
        <v>LAPP</v>
      </c>
      <c r="R754" t="str">
        <f>VLOOKUP(D754,[2]Template!$A:$D,4,0)</f>
        <v>Lapp-Ace Group</v>
      </c>
    </row>
    <row r="755" spans="1:18" ht="13.5" customHeight="1" x14ac:dyDescent="0.25">
      <c r="A755" s="9">
        <v>46129</v>
      </c>
      <c r="B755" s="10" t="s">
        <v>1308</v>
      </c>
      <c r="C755" s="11" t="s">
        <v>581</v>
      </c>
      <c r="D755" s="10" t="s">
        <v>1309</v>
      </c>
      <c r="E755" s="12" t="s">
        <v>1072</v>
      </c>
      <c r="F755" s="12" t="s">
        <v>1310</v>
      </c>
      <c r="G755" s="22">
        <v>40</v>
      </c>
      <c r="H755" s="23">
        <v>40</v>
      </c>
      <c r="I755" s="15">
        <v>221.7</v>
      </c>
      <c r="J755" s="16"/>
      <c r="K755" s="17">
        <v>8868</v>
      </c>
      <c r="L755" s="18">
        <v>46129</v>
      </c>
      <c r="M755" s="6" t="str">
        <f t="shared" si="33"/>
        <v>Due order</v>
      </c>
      <c r="N755" s="8">
        <f t="shared" ca="1" si="34"/>
        <v>-26</v>
      </c>
      <c r="O755" s="8" t="str">
        <f t="shared" ca="1" si="35"/>
        <v>With in 90 days</v>
      </c>
      <c r="P755" t="str">
        <f>VLOOKUP(C755,[1]Customer_Master!$A:$B,2,0)</f>
        <v>Group 1-Giridhar-Peenya</v>
      </c>
      <c r="Q755" t="str">
        <f>VLOOKUP(D755,[2]Template!$A:$D,3,0)</f>
        <v>LAPP</v>
      </c>
      <c r="R755" t="str">
        <f>VLOOKUP(D755,[2]Template!$A:$D,4,0)</f>
        <v>Lapp-Non Moving Stocks</v>
      </c>
    </row>
    <row r="756" spans="1:18" ht="13.5" customHeight="1" x14ac:dyDescent="0.25">
      <c r="A756" s="9">
        <v>46129</v>
      </c>
      <c r="B756" s="10" t="s">
        <v>1311</v>
      </c>
      <c r="C756" s="11" t="s">
        <v>236</v>
      </c>
      <c r="D756" s="10" t="s">
        <v>847</v>
      </c>
      <c r="E756" s="12" t="s">
        <v>1072</v>
      </c>
      <c r="F756" s="12" t="s">
        <v>848</v>
      </c>
      <c r="G756" s="19">
        <v>8</v>
      </c>
      <c r="H756" s="20">
        <v>8</v>
      </c>
      <c r="I756" s="15">
        <v>381</v>
      </c>
      <c r="J756" s="16"/>
      <c r="K756" s="17">
        <v>3048</v>
      </c>
      <c r="L756" s="18">
        <v>46142</v>
      </c>
      <c r="M756" s="6" t="str">
        <f t="shared" si="33"/>
        <v>Schedule order</v>
      </c>
      <c r="N756" s="8">
        <f t="shared" ca="1" si="34"/>
        <v>-13</v>
      </c>
      <c r="O756" s="8" t="str">
        <f t="shared" ca="1" si="35"/>
        <v>With in 90 days</v>
      </c>
      <c r="P756" t="str">
        <f>VLOOKUP(C756,[1]Customer_Master!$A:$B,2,0)</f>
        <v>Group 1-Giridhar-Peenya</v>
      </c>
      <c r="Q756" t="str">
        <f>VLOOKUP(D756,[2]Template!$A:$D,3,0)</f>
        <v>EATON</v>
      </c>
      <c r="R756" t="str">
        <f>VLOOKUP(D756,[2]Template!$A:$D,4,0)</f>
        <v>Eaton-ETA Technology</v>
      </c>
    </row>
    <row r="757" spans="1:18" ht="13.5" customHeight="1" x14ac:dyDescent="0.25">
      <c r="A757" s="9">
        <v>46129</v>
      </c>
      <c r="B757" s="10" t="s">
        <v>1311</v>
      </c>
      <c r="C757" s="11" t="s">
        <v>236</v>
      </c>
      <c r="D757" s="10" t="s">
        <v>849</v>
      </c>
      <c r="E757" s="12" t="s">
        <v>1072</v>
      </c>
      <c r="F757" s="12" t="s">
        <v>850</v>
      </c>
      <c r="G757" s="19">
        <v>4</v>
      </c>
      <c r="H757" s="20">
        <v>4</v>
      </c>
      <c r="I757" s="15">
        <v>104.17</v>
      </c>
      <c r="J757" s="16"/>
      <c r="K757" s="17">
        <v>416.68</v>
      </c>
      <c r="L757" s="18">
        <v>46142</v>
      </c>
      <c r="M757" s="6" t="str">
        <f t="shared" si="33"/>
        <v>Schedule order</v>
      </c>
      <c r="N757" s="8">
        <f t="shared" ca="1" si="34"/>
        <v>-13</v>
      </c>
      <c r="O757" s="8" t="str">
        <f t="shared" ca="1" si="35"/>
        <v>With in 90 days</v>
      </c>
      <c r="P757" t="str">
        <f>VLOOKUP(C757,[1]Customer_Master!$A:$B,2,0)</f>
        <v>Group 1-Giridhar-Peenya</v>
      </c>
      <c r="Q757" t="str">
        <f>VLOOKUP(D757,[2]Template!$A:$D,3,0)</f>
        <v>EATON</v>
      </c>
      <c r="R757" t="str">
        <f>VLOOKUP(D757,[2]Template!$A:$D,4,0)</f>
        <v>Eaton-ETA Technology</v>
      </c>
    </row>
    <row r="758" spans="1:18" ht="13.5" customHeight="1" x14ac:dyDescent="0.25">
      <c r="A758" s="9">
        <v>46129</v>
      </c>
      <c r="B758" s="10" t="s">
        <v>1311</v>
      </c>
      <c r="C758" s="11" t="s">
        <v>236</v>
      </c>
      <c r="D758" s="10" t="s">
        <v>589</v>
      </c>
      <c r="E758" s="12" t="s">
        <v>1072</v>
      </c>
      <c r="F758" s="12" t="s">
        <v>590</v>
      </c>
      <c r="G758" s="19">
        <v>24</v>
      </c>
      <c r="H758" s="20">
        <v>24</v>
      </c>
      <c r="I758" s="15">
        <v>33.6</v>
      </c>
      <c r="J758" s="16"/>
      <c r="K758" s="17">
        <v>806.4</v>
      </c>
      <c r="L758" s="18">
        <v>46142</v>
      </c>
      <c r="M758" s="6" t="str">
        <f t="shared" si="33"/>
        <v>Schedule order</v>
      </c>
      <c r="N758" s="8">
        <f t="shared" ca="1" si="34"/>
        <v>-13</v>
      </c>
      <c r="O758" s="8" t="str">
        <f t="shared" ca="1" si="35"/>
        <v>With in 90 days</v>
      </c>
      <c r="P758" t="str">
        <f>VLOOKUP(C758,[1]Customer_Master!$A:$B,2,0)</f>
        <v>Group 1-Giridhar-Peenya</v>
      </c>
      <c r="Q758" t="str">
        <f>VLOOKUP(D758,[2]Template!$A:$D,3,0)</f>
        <v>EATON</v>
      </c>
      <c r="R758" t="str">
        <f>VLOOKUP(D758,[2]Template!$A:$D,4,0)</f>
        <v>Eaton-ETA Technology</v>
      </c>
    </row>
    <row r="759" spans="1:18" ht="13.5" customHeight="1" x14ac:dyDescent="0.25">
      <c r="A759" s="9">
        <v>46130</v>
      </c>
      <c r="B759" s="10" t="s">
        <v>1312</v>
      </c>
      <c r="C759" s="11" t="s">
        <v>13</v>
      </c>
      <c r="D759" s="10" t="s">
        <v>322</v>
      </c>
      <c r="E759" s="12" t="s">
        <v>1072</v>
      </c>
      <c r="F759" s="12" t="s">
        <v>78</v>
      </c>
      <c r="G759" s="19">
        <v>35</v>
      </c>
      <c r="H759" s="20">
        <v>26</v>
      </c>
      <c r="I759" s="15">
        <v>9470</v>
      </c>
      <c r="J759" s="16"/>
      <c r="K759" s="17">
        <v>246220</v>
      </c>
      <c r="L759" s="18">
        <v>46132</v>
      </c>
      <c r="M759" s="6" t="str">
        <f t="shared" si="33"/>
        <v>Due order</v>
      </c>
      <c r="N759" s="8">
        <f t="shared" ca="1" si="34"/>
        <v>-23</v>
      </c>
      <c r="O759" s="8" t="str">
        <f t="shared" ca="1" si="35"/>
        <v>With in 90 days</v>
      </c>
      <c r="P759" t="str">
        <f>VLOOKUP(C759,[1]Customer_Master!$A:$B,2,0)</f>
        <v>Group-2 (Veeresh- Bomsdr+Hosur)</v>
      </c>
      <c r="Q759" t="str">
        <f>VLOOKUP(D759,[2]Template!$A:$D,3,0)</f>
        <v>EATON</v>
      </c>
      <c r="R759" t="str">
        <f>VLOOKUP(D759,[2]Template!$A:$D,4,0)</f>
        <v>Eaton-Faiveley-Non E70</v>
      </c>
    </row>
    <row r="760" spans="1:18" ht="13.5" customHeight="1" x14ac:dyDescent="0.25">
      <c r="A760" s="9">
        <v>46130</v>
      </c>
      <c r="B760" s="10" t="s">
        <v>1313</v>
      </c>
      <c r="C760" s="11" t="s">
        <v>778</v>
      </c>
      <c r="D760" s="10" t="s">
        <v>924</v>
      </c>
      <c r="E760" s="12" t="s">
        <v>1072</v>
      </c>
      <c r="F760" s="12" t="s">
        <v>925</v>
      </c>
      <c r="G760" s="13">
        <v>100</v>
      </c>
      <c r="H760" s="14">
        <v>100</v>
      </c>
      <c r="I760" s="15">
        <v>15.94</v>
      </c>
      <c r="J760" s="16"/>
      <c r="K760" s="17">
        <v>1594</v>
      </c>
      <c r="L760" s="18">
        <v>46193</v>
      </c>
      <c r="M760" s="6" t="str">
        <f t="shared" si="33"/>
        <v>Schedule order</v>
      </c>
      <c r="N760" s="8">
        <f t="shared" ca="1" si="34"/>
        <v>38</v>
      </c>
      <c r="O760" s="8" t="str">
        <f t="shared" ca="1" si="35"/>
        <v>Lattest or shedule order</v>
      </c>
      <c r="P760" t="str">
        <f>VLOOKUP(C760,[1]Customer_Master!$A:$B,2,0)</f>
        <v>Group-2 (Veeresh- Bomsdr+Hosur)</v>
      </c>
      <c r="Q760" t="str">
        <f>VLOOKUP(D760,[2]Template!$A:$D,3,0)</f>
        <v>LAPP</v>
      </c>
      <c r="R760" t="str">
        <f>VLOOKUP(D760,[2]Template!$A:$D,4,0)</f>
        <v>Lapp-Planned Stock General</v>
      </c>
    </row>
    <row r="761" spans="1:18" ht="13.5" customHeight="1" x14ac:dyDescent="0.25">
      <c r="A761" s="9">
        <v>46130</v>
      </c>
      <c r="B761" s="10" t="s">
        <v>1314</v>
      </c>
      <c r="C761" s="11" t="s">
        <v>811</v>
      </c>
      <c r="D761" s="10" t="s">
        <v>1315</v>
      </c>
      <c r="E761" s="12" t="s">
        <v>1072</v>
      </c>
      <c r="F761" s="12" t="s">
        <v>1316</v>
      </c>
      <c r="G761" s="19">
        <v>5</v>
      </c>
      <c r="H761" s="20">
        <v>3</v>
      </c>
      <c r="I761" s="15">
        <v>2634.08</v>
      </c>
      <c r="J761" s="16"/>
      <c r="K761" s="17">
        <v>7902.24</v>
      </c>
      <c r="L761" s="18">
        <v>46130</v>
      </c>
      <c r="M761" s="6" t="str">
        <f t="shared" si="33"/>
        <v>Due order</v>
      </c>
      <c r="N761" s="8">
        <f t="shared" ca="1" si="34"/>
        <v>-25</v>
      </c>
      <c r="O761" s="8" t="str">
        <f t="shared" ca="1" si="35"/>
        <v>With in 90 days</v>
      </c>
      <c r="P761" t="str">
        <f>VLOOKUP(C761,[1]Customer_Master!$A:$B,2,0)</f>
        <v>Group-4 ( Office Account)</v>
      </c>
      <c r="Q761" t="str">
        <f>VLOOKUP(D761,[2]Template!$A:$D,3,0)</f>
        <v>OTHER PRODUCTS</v>
      </c>
      <c r="R761" t="str">
        <f>VLOOKUP(D761,[2]Template!$A:$D,4,0)</f>
        <v>OTHER PRODUCTS</v>
      </c>
    </row>
    <row r="762" spans="1:18" ht="13.5" customHeight="1" x14ac:dyDescent="0.25">
      <c r="A762" s="9">
        <v>46130</v>
      </c>
      <c r="B762" s="10" t="s">
        <v>1314</v>
      </c>
      <c r="C762" s="11" t="s">
        <v>811</v>
      </c>
      <c r="D762" s="10" t="s">
        <v>1317</v>
      </c>
      <c r="E762" s="12" t="s">
        <v>1072</v>
      </c>
      <c r="F762" s="12" t="s">
        <v>1318</v>
      </c>
      <c r="G762" s="19">
        <v>5</v>
      </c>
      <c r="H762" s="20">
        <v>3</v>
      </c>
      <c r="I762" s="15">
        <v>3205.91</v>
      </c>
      <c r="J762" s="16"/>
      <c r="K762" s="17">
        <v>9617.73</v>
      </c>
      <c r="L762" s="18">
        <v>46130</v>
      </c>
      <c r="M762" s="6" t="str">
        <f t="shared" si="33"/>
        <v>Due order</v>
      </c>
      <c r="N762" s="8">
        <f t="shared" ca="1" si="34"/>
        <v>-25</v>
      </c>
      <c r="O762" s="8" t="str">
        <f t="shared" ca="1" si="35"/>
        <v>With in 90 days</v>
      </c>
      <c r="P762" t="str">
        <f>VLOOKUP(C762,[1]Customer_Master!$A:$B,2,0)</f>
        <v>Group-4 ( Office Account)</v>
      </c>
      <c r="Q762" t="str">
        <f>VLOOKUP(D762,[2]Template!$A:$D,3,0)</f>
        <v>MENNEKES</v>
      </c>
      <c r="R762" t="str">
        <f>VLOOKUP(D762,[2]Template!$A:$D,4,0)</f>
        <v>MENNEKES</v>
      </c>
    </row>
    <row r="763" spans="1:18" ht="13.5" customHeight="1" x14ac:dyDescent="0.25">
      <c r="A763" s="9">
        <v>46132</v>
      </c>
      <c r="B763" s="10" t="s">
        <v>1626</v>
      </c>
      <c r="C763" s="11" t="s">
        <v>528</v>
      </c>
      <c r="D763" s="10" t="s">
        <v>1627</v>
      </c>
      <c r="E763" s="12" t="s">
        <v>1072</v>
      </c>
      <c r="F763" s="12" t="s">
        <v>1628</v>
      </c>
      <c r="G763" s="22">
        <v>1000</v>
      </c>
      <c r="H763" s="23">
        <v>175</v>
      </c>
      <c r="I763" s="15">
        <v>45.7</v>
      </c>
      <c r="J763" s="16"/>
      <c r="K763" s="17">
        <v>7997.5</v>
      </c>
      <c r="L763" s="18">
        <v>46132</v>
      </c>
      <c r="M763" s="6" t="str">
        <f t="shared" si="33"/>
        <v>Due order</v>
      </c>
      <c r="N763" s="8">
        <f t="shared" ca="1" si="34"/>
        <v>-23</v>
      </c>
      <c r="O763" s="8" t="str">
        <f t="shared" ca="1" si="35"/>
        <v>With in 90 days</v>
      </c>
      <c r="P763" t="str">
        <f>VLOOKUP(C763,[1]Customer_Master!$A:$B,2,0)</f>
        <v>Group-2 (Veeresh- Bomsdr+Hosur)</v>
      </c>
      <c r="Q763" t="str">
        <f>VLOOKUP(D763,[2]Template!$A:$D,3,0)</f>
        <v>LAPP</v>
      </c>
      <c r="R763" t="str">
        <f>VLOOKUP(D763,[2]Template!$A:$D,4,0)</f>
        <v>Lapp-Planned Stock General</v>
      </c>
    </row>
    <row r="764" spans="1:18" ht="13.5" customHeight="1" x14ac:dyDescent="0.25">
      <c r="A764" s="9">
        <v>46133</v>
      </c>
      <c r="B764" s="10" t="s">
        <v>1319</v>
      </c>
      <c r="C764" s="11" t="s">
        <v>70</v>
      </c>
      <c r="D764" s="27" t="s">
        <v>1320</v>
      </c>
      <c r="E764" s="12" t="s">
        <v>1072</v>
      </c>
      <c r="F764" s="26" t="s">
        <v>1321</v>
      </c>
      <c r="G764" s="13">
        <v>75</v>
      </c>
      <c r="H764" s="14">
        <v>45</v>
      </c>
      <c r="I764" s="15">
        <v>907.35</v>
      </c>
      <c r="J764" s="16"/>
      <c r="K764" s="17">
        <v>40830.75</v>
      </c>
      <c r="L764" s="18">
        <v>46133</v>
      </c>
      <c r="M764" s="6" t="str">
        <f t="shared" si="33"/>
        <v>Due order</v>
      </c>
      <c r="N764" s="8">
        <f t="shared" ca="1" si="34"/>
        <v>-22</v>
      </c>
      <c r="O764" s="8" t="str">
        <f t="shared" ca="1" si="35"/>
        <v>With in 90 days</v>
      </c>
      <c r="P764" t="str">
        <f>VLOOKUP(C764,[1]Customer_Master!$A:$B,2,0)</f>
        <v>Group-2 (Veeresh- Bomsdr+Hosur)</v>
      </c>
      <c r="Q764" t="str">
        <f>VLOOKUP(D764,[2]Template!$A:$D,3,0)</f>
        <v>LAPP</v>
      </c>
      <c r="R764" t="str">
        <f>VLOOKUP(D764,[2]Template!$A:$D,4,0)</f>
        <v>Lapp-Non Moving Stocks</v>
      </c>
    </row>
    <row r="765" spans="1:18" ht="13.5" customHeight="1" x14ac:dyDescent="0.25">
      <c r="A765" s="9">
        <v>46133</v>
      </c>
      <c r="B765" s="10" t="s">
        <v>1322</v>
      </c>
      <c r="C765" s="11" t="s">
        <v>76</v>
      </c>
      <c r="D765" s="10" t="s">
        <v>583</v>
      </c>
      <c r="E765" s="12" t="s">
        <v>1072</v>
      </c>
      <c r="F765" s="12" t="s">
        <v>584</v>
      </c>
      <c r="G765" s="19">
        <v>1100</v>
      </c>
      <c r="H765" s="20">
        <v>1100</v>
      </c>
      <c r="I765" s="15">
        <v>147</v>
      </c>
      <c r="J765" s="16"/>
      <c r="K765" s="17">
        <v>161700</v>
      </c>
      <c r="L765" s="18">
        <v>46198</v>
      </c>
      <c r="M765" s="6" t="str">
        <f t="shared" si="33"/>
        <v>Schedule order</v>
      </c>
      <c r="N765" s="8">
        <f t="shared" ca="1" si="34"/>
        <v>43</v>
      </c>
      <c r="O765" s="8" t="str">
        <f t="shared" ca="1" si="35"/>
        <v>Lattest or shedule order</v>
      </c>
      <c r="P765" t="str">
        <f>VLOOKUP(C765,[1]Customer_Master!$A:$B,2,0)</f>
        <v>Group 1-Giridhar-Peenya</v>
      </c>
      <c r="Q765" t="str">
        <f>VLOOKUP(D765,[2]Template!$A:$D,3,0)</f>
        <v>EATON</v>
      </c>
      <c r="R765" t="str">
        <f>VLOOKUP(D765,[2]Template!$A:$D,4,0)</f>
        <v>Eaton-Biesse</v>
      </c>
    </row>
    <row r="766" spans="1:18" ht="13.5" customHeight="1" x14ac:dyDescent="0.25">
      <c r="A766" s="9">
        <v>46133</v>
      </c>
      <c r="B766" s="10" t="s">
        <v>1323</v>
      </c>
      <c r="C766" s="11" t="s">
        <v>76</v>
      </c>
      <c r="D766" s="10" t="s">
        <v>563</v>
      </c>
      <c r="E766" s="12" t="s">
        <v>1072</v>
      </c>
      <c r="F766" s="12" t="s">
        <v>564</v>
      </c>
      <c r="G766" s="19">
        <v>26</v>
      </c>
      <c r="H766" s="20">
        <v>26</v>
      </c>
      <c r="I766" s="15">
        <v>990</v>
      </c>
      <c r="J766" s="16"/>
      <c r="K766" s="17">
        <v>25740</v>
      </c>
      <c r="L766" s="18">
        <v>46218</v>
      </c>
      <c r="M766" s="6" t="str">
        <f t="shared" si="33"/>
        <v>Schedule order</v>
      </c>
      <c r="N766" s="8">
        <f t="shared" ca="1" si="34"/>
        <v>63</v>
      </c>
      <c r="O766" s="8" t="str">
        <f t="shared" ca="1" si="35"/>
        <v>Lattest or shedule order</v>
      </c>
      <c r="P766" t="str">
        <f>VLOOKUP(C766,[1]Customer_Master!$A:$B,2,0)</f>
        <v>Group 1-Giridhar-Peenya</v>
      </c>
      <c r="Q766" t="str">
        <f>VLOOKUP(D766,[2]Template!$A:$D,3,0)</f>
        <v>EATON</v>
      </c>
      <c r="R766" t="str">
        <f>VLOOKUP(D766,[2]Template!$A:$D,4,0)</f>
        <v>Eaton-Biesse</v>
      </c>
    </row>
    <row r="767" spans="1:18" ht="13.5" customHeight="1" x14ac:dyDescent="0.25">
      <c r="A767" s="9">
        <v>46133</v>
      </c>
      <c r="B767" s="10" t="s">
        <v>1323</v>
      </c>
      <c r="C767" s="11" t="s">
        <v>76</v>
      </c>
      <c r="D767" s="10" t="s">
        <v>563</v>
      </c>
      <c r="E767" s="12" t="s">
        <v>1072</v>
      </c>
      <c r="F767" s="12" t="s">
        <v>564</v>
      </c>
      <c r="G767" s="19">
        <v>34</v>
      </c>
      <c r="H767" s="20">
        <v>34</v>
      </c>
      <c r="I767" s="15">
        <v>990</v>
      </c>
      <c r="J767" s="16"/>
      <c r="K767" s="17">
        <v>33660</v>
      </c>
      <c r="L767" s="18">
        <v>46247</v>
      </c>
      <c r="M767" s="6" t="str">
        <f t="shared" si="33"/>
        <v>Schedule order</v>
      </c>
      <c r="N767" s="8">
        <f t="shared" ca="1" si="34"/>
        <v>92</v>
      </c>
      <c r="O767" s="8" t="str">
        <f t="shared" ca="1" si="35"/>
        <v>Lattest or shedule order</v>
      </c>
      <c r="P767" t="str">
        <f>VLOOKUP(C767,[1]Customer_Master!$A:$B,2,0)</f>
        <v>Group 1-Giridhar-Peenya</v>
      </c>
      <c r="Q767" t="str">
        <f>VLOOKUP(D767,[2]Template!$A:$D,3,0)</f>
        <v>EATON</v>
      </c>
      <c r="R767" t="str">
        <f>VLOOKUP(D767,[2]Template!$A:$D,4,0)</f>
        <v>Eaton-Biesse</v>
      </c>
    </row>
    <row r="768" spans="1:18" ht="13.5" customHeight="1" x14ac:dyDescent="0.25">
      <c r="A768" s="9">
        <v>46133</v>
      </c>
      <c r="B768" s="10" t="s">
        <v>1324</v>
      </c>
      <c r="C768" s="11" t="s">
        <v>209</v>
      </c>
      <c r="D768" s="27" t="s">
        <v>1158</v>
      </c>
      <c r="E768" s="12" t="s">
        <v>1072</v>
      </c>
      <c r="F768" s="12" t="s">
        <v>1159</v>
      </c>
      <c r="G768" s="13">
        <v>2000</v>
      </c>
      <c r="H768" s="14">
        <v>2000</v>
      </c>
      <c r="I768" s="15">
        <v>113.64</v>
      </c>
      <c r="J768" s="16"/>
      <c r="K768" s="17">
        <v>227280</v>
      </c>
      <c r="L768" s="18">
        <v>46133</v>
      </c>
      <c r="M768" s="6" t="str">
        <f t="shared" si="33"/>
        <v>Due order</v>
      </c>
      <c r="N768" s="8">
        <f t="shared" ca="1" si="34"/>
        <v>-22</v>
      </c>
      <c r="O768" s="8" t="str">
        <f t="shared" ca="1" si="35"/>
        <v>With in 90 days</v>
      </c>
      <c r="P768" t="str">
        <f>VLOOKUP(C768,[1]Customer_Master!$A:$B,2,0)</f>
        <v>Group 1-Giridhar-Peenya</v>
      </c>
      <c r="Q768" t="str">
        <f>VLOOKUP(D768,[2]Template!$A:$D,3,0)</f>
        <v>LAPP</v>
      </c>
      <c r="R768" t="str">
        <f>VLOOKUP(D768,[2]Template!$A:$D,4,0)</f>
        <v>Lapp-Non Moving Stocks</v>
      </c>
    </row>
    <row r="769" spans="1:18" ht="13.5" customHeight="1" x14ac:dyDescent="0.25">
      <c r="A769" s="9">
        <v>46133</v>
      </c>
      <c r="B769" s="10" t="s">
        <v>1324</v>
      </c>
      <c r="C769" s="11" t="s">
        <v>209</v>
      </c>
      <c r="D769" s="10" t="s">
        <v>1168</v>
      </c>
      <c r="E769" s="12" t="s">
        <v>1072</v>
      </c>
      <c r="F769" s="12" t="s">
        <v>1169</v>
      </c>
      <c r="G769" s="13">
        <v>100</v>
      </c>
      <c r="H769" s="14">
        <v>100</v>
      </c>
      <c r="I769" s="15">
        <v>314.89999999999998</v>
      </c>
      <c r="J769" s="16"/>
      <c r="K769" s="17">
        <v>31490</v>
      </c>
      <c r="L769" s="18">
        <v>46133</v>
      </c>
      <c r="M769" s="6" t="str">
        <f t="shared" si="33"/>
        <v>Due order</v>
      </c>
      <c r="N769" s="8">
        <f t="shared" ca="1" si="34"/>
        <v>-22</v>
      </c>
      <c r="O769" s="8" t="str">
        <f t="shared" ca="1" si="35"/>
        <v>With in 90 days</v>
      </c>
      <c r="P769" t="str">
        <f>VLOOKUP(C769,[1]Customer_Master!$A:$B,2,0)</f>
        <v>Group 1-Giridhar-Peenya</v>
      </c>
      <c r="Q769" t="str">
        <f>VLOOKUP(D769,[2]Template!$A:$D,3,0)</f>
        <v>LAPP</v>
      </c>
      <c r="R769" t="str">
        <f>VLOOKUP(D769,[2]Template!$A:$D,4,0)</f>
        <v>Lapp-Non Moving Stocks</v>
      </c>
    </row>
    <row r="770" spans="1:18" ht="13.5" customHeight="1" x14ac:dyDescent="0.25">
      <c r="A770" s="9">
        <v>46133</v>
      </c>
      <c r="B770" s="10" t="s">
        <v>1324</v>
      </c>
      <c r="C770" s="11" t="s">
        <v>209</v>
      </c>
      <c r="D770" s="10" t="s">
        <v>1166</v>
      </c>
      <c r="E770" s="12" t="s">
        <v>1072</v>
      </c>
      <c r="F770" s="12" t="s">
        <v>1167</v>
      </c>
      <c r="G770" s="13">
        <v>50</v>
      </c>
      <c r="H770" s="14">
        <v>50</v>
      </c>
      <c r="I770" s="15">
        <v>134.36000000000001</v>
      </c>
      <c r="J770" s="16"/>
      <c r="K770" s="17">
        <v>6718</v>
      </c>
      <c r="L770" s="18">
        <v>46133</v>
      </c>
      <c r="M770" s="6" t="str">
        <f t="shared" si="33"/>
        <v>Due order</v>
      </c>
      <c r="N770" s="8">
        <f t="shared" ca="1" si="34"/>
        <v>-22</v>
      </c>
      <c r="O770" s="8" t="str">
        <f t="shared" ca="1" si="35"/>
        <v>With in 90 days</v>
      </c>
      <c r="P770" t="str">
        <f>VLOOKUP(C770,[1]Customer_Master!$A:$B,2,0)</f>
        <v>Group 1-Giridhar-Peenya</v>
      </c>
      <c r="Q770" t="str">
        <f>VLOOKUP(D770,[2]Template!$A:$D,3,0)</f>
        <v>LAPP</v>
      </c>
      <c r="R770" t="str">
        <f>VLOOKUP(D770,[2]Template!$A:$D,4,0)</f>
        <v>Lapp-Non Moving Stocks</v>
      </c>
    </row>
    <row r="771" spans="1:18" ht="13.5" customHeight="1" x14ac:dyDescent="0.25">
      <c r="A771" s="9">
        <v>46133</v>
      </c>
      <c r="B771" s="10" t="s">
        <v>1324</v>
      </c>
      <c r="C771" s="11" t="s">
        <v>209</v>
      </c>
      <c r="D771" s="10" t="s">
        <v>1325</v>
      </c>
      <c r="E771" s="12" t="s">
        <v>1072</v>
      </c>
      <c r="F771" s="12" t="s">
        <v>1326</v>
      </c>
      <c r="G771" s="13">
        <v>350</v>
      </c>
      <c r="H771" s="14">
        <v>350</v>
      </c>
      <c r="I771" s="15">
        <v>208.65</v>
      </c>
      <c r="J771" s="16"/>
      <c r="K771" s="17">
        <v>73027.5</v>
      </c>
      <c r="L771" s="18">
        <v>46133</v>
      </c>
      <c r="M771" s="6" t="str">
        <f t="shared" ref="M771:M834" si="36">IF(L771&lt;DATE(2026,4,30),"Due order","Schedule order")</f>
        <v>Due order</v>
      </c>
      <c r="N771" s="8">
        <f t="shared" ref="N771:N834" ca="1" si="37">L771-TODAY()</f>
        <v>-22</v>
      </c>
      <c r="O771" s="8" t="str">
        <f t="shared" ref="O771:O834" ca="1" si="38">IF(N771&lt;-365,"More than 1 Year old",IF(N771&lt;-180," More than 180 days old",IF(N771&lt;-90,"More than 90 day old",IF(N771&lt;0,"With in 90 days","Lattest or shedule order"))))</f>
        <v>With in 90 days</v>
      </c>
      <c r="P771" t="str">
        <f>VLOOKUP(C771,[1]Customer_Master!$A:$B,2,0)</f>
        <v>Group 1-Giridhar-Peenya</v>
      </c>
      <c r="Q771" t="str">
        <f>VLOOKUP(D771,[2]Template!$A:$D,3,0)</f>
        <v>LAPP</v>
      </c>
      <c r="R771" t="str">
        <f>VLOOKUP(D771,[2]Template!$A:$D,4,0)</f>
        <v>Lapp-Non Moving Stocks</v>
      </c>
    </row>
    <row r="772" spans="1:18" ht="13.5" customHeight="1" x14ac:dyDescent="0.25">
      <c r="A772" s="9">
        <v>46133</v>
      </c>
      <c r="B772" s="10" t="s">
        <v>1324</v>
      </c>
      <c r="C772" s="11" t="s">
        <v>209</v>
      </c>
      <c r="D772" s="27" t="s">
        <v>1172</v>
      </c>
      <c r="E772" s="12" t="s">
        <v>1072</v>
      </c>
      <c r="F772" s="12" t="s">
        <v>1173</v>
      </c>
      <c r="G772" s="13">
        <v>80</v>
      </c>
      <c r="H772" s="14">
        <v>80</v>
      </c>
      <c r="I772" s="15">
        <v>954.33</v>
      </c>
      <c r="J772" s="16"/>
      <c r="K772" s="17">
        <v>76346.399999999994</v>
      </c>
      <c r="L772" s="18">
        <v>46133</v>
      </c>
      <c r="M772" s="6" t="str">
        <f t="shared" si="36"/>
        <v>Due order</v>
      </c>
      <c r="N772" s="8">
        <f t="shared" ca="1" si="37"/>
        <v>-22</v>
      </c>
      <c r="O772" s="8" t="str">
        <f t="shared" ca="1" si="38"/>
        <v>With in 90 days</v>
      </c>
      <c r="P772" t="str">
        <f>VLOOKUP(C772,[1]Customer_Master!$A:$B,2,0)</f>
        <v>Group 1-Giridhar-Peenya</v>
      </c>
      <c r="Q772" t="str">
        <f>VLOOKUP(D772,[2]Template!$A:$D,3,0)</f>
        <v>LAPP</v>
      </c>
      <c r="R772" t="str">
        <f>VLOOKUP(D772,[2]Template!$A:$D,4,0)</f>
        <v>Lapp-Non Moving Stocks</v>
      </c>
    </row>
    <row r="773" spans="1:18" ht="13.5" customHeight="1" x14ac:dyDescent="0.25">
      <c r="A773" s="9">
        <v>46133</v>
      </c>
      <c r="B773" s="10" t="s">
        <v>1324</v>
      </c>
      <c r="C773" s="11" t="s">
        <v>209</v>
      </c>
      <c r="D773" s="10" t="s">
        <v>1181</v>
      </c>
      <c r="E773" s="12" t="s">
        <v>1072</v>
      </c>
      <c r="F773" s="12" t="s">
        <v>1182</v>
      </c>
      <c r="G773" s="13">
        <v>1000</v>
      </c>
      <c r="H773" s="14">
        <v>1000</v>
      </c>
      <c r="I773" s="15">
        <v>14.49</v>
      </c>
      <c r="J773" s="16"/>
      <c r="K773" s="17">
        <v>14490</v>
      </c>
      <c r="L773" s="18">
        <v>46133</v>
      </c>
      <c r="M773" s="6" t="str">
        <f t="shared" si="36"/>
        <v>Due order</v>
      </c>
      <c r="N773" s="8">
        <f t="shared" ca="1" si="37"/>
        <v>-22</v>
      </c>
      <c r="O773" s="8" t="str">
        <f t="shared" ca="1" si="38"/>
        <v>With in 90 days</v>
      </c>
      <c r="P773" t="str">
        <f>VLOOKUP(C773,[1]Customer_Master!$A:$B,2,0)</f>
        <v>Group 1-Giridhar-Peenya</v>
      </c>
      <c r="Q773" t="str">
        <f>VLOOKUP(D773,[2]Template!$A:$D,3,0)</f>
        <v>LAPP</v>
      </c>
      <c r="R773" t="str">
        <f>VLOOKUP(D773,[2]Template!$A:$D,4,0)</f>
        <v>Lapp-Against Customer PO</v>
      </c>
    </row>
    <row r="774" spans="1:18" ht="13.5" customHeight="1" x14ac:dyDescent="0.25">
      <c r="A774" s="9">
        <v>46133</v>
      </c>
      <c r="B774" s="10" t="s">
        <v>1324</v>
      </c>
      <c r="C774" s="11" t="s">
        <v>209</v>
      </c>
      <c r="D774" s="27" t="s">
        <v>700</v>
      </c>
      <c r="E774" s="12" t="s">
        <v>1072</v>
      </c>
      <c r="F774" s="12" t="s">
        <v>701</v>
      </c>
      <c r="G774" s="13">
        <v>200</v>
      </c>
      <c r="H774" s="14">
        <v>200</v>
      </c>
      <c r="I774" s="15">
        <v>83.48</v>
      </c>
      <c r="J774" s="16"/>
      <c r="K774" s="17">
        <v>16696</v>
      </c>
      <c r="L774" s="18">
        <v>46133</v>
      </c>
      <c r="M774" s="6" t="str">
        <f t="shared" si="36"/>
        <v>Due order</v>
      </c>
      <c r="N774" s="8">
        <f t="shared" ca="1" si="37"/>
        <v>-22</v>
      </c>
      <c r="O774" s="8" t="str">
        <f t="shared" ca="1" si="38"/>
        <v>With in 90 days</v>
      </c>
      <c r="P774" t="str">
        <f>VLOOKUP(C774,[1]Customer_Master!$A:$B,2,0)</f>
        <v>Group 1-Giridhar-Peenya</v>
      </c>
      <c r="Q774" t="str">
        <f>VLOOKUP(D774,[2]Template!$A:$D,3,0)</f>
        <v>LAPP</v>
      </c>
      <c r="R774" t="str">
        <f>VLOOKUP(D774,[2]Template!$A:$D,4,0)</f>
        <v>Lapp-Non Moving Stocks</v>
      </c>
    </row>
    <row r="775" spans="1:18" ht="13.5" customHeight="1" x14ac:dyDescent="0.25">
      <c r="A775" s="9">
        <v>46133</v>
      </c>
      <c r="B775" s="10" t="s">
        <v>1324</v>
      </c>
      <c r="C775" s="11" t="s">
        <v>209</v>
      </c>
      <c r="D775" s="10" t="s">
        <v>1327</v>
      </c>
      <c r="E775" s="12" t="s">
        <v>1072</v>
      </c>
      <c r="F775" s="12" t="s">
        <v>1328</v>
      </c>
      <c r="G775" s="13">
        <v>30</v>
      </c>
      <c r="H775" s="14">
        <v>30</v>
      </c>
      <c r="I775" s="15">
        <v>205.37</v>
      </c>
      <c r="J775" s="16"/>
      <c r="K775" s="17">
        <v>6161.1</v>
      </c>
      <c r="L775" s="18">
        <v>46133</v>
      </c>
      <c r="M775" s="6" t="str">
        <f t="shared" si="36"/>
        <v>Due order</v>
      </c>
      <c r="N775" s="8">
        <f t="shared" ca="1" si="37"/>
        <v>-22</v>
      </c>
      <c r="O775" s="8" t="str">
        <f t="shared" ca="1" si="38"/>
        <v>With in 90 days</v>
      </c>
      <c r="P775" t="str">
        <f>VLOOKUP(C775,[1]Customer_Master!$A:$B,2,0)</f>
        <v>Group 1-Giridhar-Peenya</v>
      </c>
      <c r="Q775" t="str">
        <f>VLOOKUP(D775,[2]Template!$A:$D,3,0)</f>
        <v>LAPP</v>
      </c>
      <c r="R775" t="str">
        <f>VLOOKUP(D775,[2]Template!$A:$D,4,0)</f>
        <v>Lapp-Non Moving Stocks</v>
      </c>
    </row>
    <row r="776" spans="1:18" ht="13.5" customHeight="1" x14ac:dyDescent="0.25">
      <c r="A776" s="9">
        <v>46133</v>
      </c>
      <c r="B776" s="10" t="s">
        <v>1324</v>
      </c>
      <c r="C776" s="11" t="s">
        <v>209</v>
      </c>
      <c r="D776" s="27" t="s">
        <v>1329</v>
      </c>
      <c r="E776" s="12" t="s">
        <v>1072</v>
      </c>
      <c r="F776" s="12" t="s">
        <v>1330</v>
      </c>
      <c r="G776" s="13">
        <v>30</v>
      </c>
      <c r="H776" s="14">
        <v>30</v>
      </c>
      <c r="I776" s="15">
        <v>263.63</v>
      </c>
      <c r="J776" s="16"/>
      <c r="K776" s="17">
        <v>7908.9</v>
      </c>
      <c r="L776" s="18">
        <v>46133</v>
      </c>
      <c r="M776" s="6" t="str">
        <f t="shared" si="36"/>
        <v>Due order</v>
      </c>
      <c r="N776" s="8">
        <f t="shared" ca="1" si="37"/>
        <v>-22</v>
      </c>
      <c r="O776" s="8" t="str">
        <f t="shared" ca="1" si="38"/>
        <v>With in 90 days</v>
      </c>
      <c r="P776" t="str">
        <f>VLOOKUP(C776,[1]Customer_Master!$A:$B,2,0)</f>
        <v>Group 1-Giridhar-Peenya</v>
      </c>
      <c r="Q776" t="str">
        <f>VLOOKUP(D776,[2]Template!$A:$D,3,0)</f>
        <v>LAPP</v>
      </c>
      <c r="R776" t="str">
        <f>VLOOKUP(D776,[2]Template!$A:$D,4,0)</f>
        <v>Lapp-Non Moving Stocks</v>
      </c>
    </row>
    <row r="777" spans="1:18" ht="13.5" customHeight="1" x14ac:dyDescent="0.25">
      <c r="A777" s="9">
        <v>46133</v>
      </c>
      <c r="B777" s="10" t="s">
        <v>1331</v>
      </c>
      <c r="C777" s="11" t="s">
        <v>617</v>
      </c>
      <c r="D777" s="10" t="s">
        <v>933</v>
      </c>
      <c r="E777" s="12" t="s">
        <v>1072</v>
      </c>
      <c r="F777" s="12" t="s">
        <v>934</v>
      </c>
      <c r="G777" s="13">
        <v>15</v>
      </c>
      <c r="H777" s="14">
        <v>15</v>
      </c>
      <c r="I777" s="15">
        <v>5244.98</v>
      </c>
      <c r="J777" s="16"/>
      <c r="K777" s="17">
        <v>78674.7</v>
      </c>
      <c r="L777" s="18">
        <v>46133</v>
      </c>
      <c r="M777" s="6" t="str">
        <f t="shared" si="36"/>
        <v>Due order</v>
      </c>
      <c r="N777" s="8">
        <f t="shared" ca="1" si="37"/>
        <v>-22</v>
      </c>
      <c r="O777" s="8" t="str">
        <f t="shared" ca="1" si="38"/>
        <v>With in 90 days</v>
      </c>
      <c r="P777" t="str">
        <f>VLOOKUP(C777,[1]Customer_Master!$A:$B,2,0)</f>
        <v>Group 1-Giridhar-Peenya</v>
      </c>
      <c r="Q777" t="str">
        <f>VLOOKUP(D777,[2]Template!$A:$D,3,0)</f>
        <v>LAPP</v>
      </c>
      <c r="R777" t="str">
        <f>VLOOKUP(D777,[2]Template!$A:$D,4,0)</f>
        <v>Lapp-Non Moving Stocks</v>
      </c>
    </row>
    <row r="778" spans="1:18" ht="13.5" customHeight="1" x14ac:dyDescent="0.25">
      <c r="A778" s="9">
        <v>46133</v>
      </c>
      <c r="B778" s="10" t="s">
        <v>1332</v>
      </c>
      <c r="C778" s="11" t="s">
        <v>824</v>
      </c>
      <c r="D778" s="27" t="s">
        <v>1333</v>
      </c>
      <c r="E778" s="12" t="s">
        <v>1072</v>
      </c>
      <c r="F778" s="12" t="s">
        <v>1334</v>
      </c>
      <c r="G778" s="19">
        <v>2</v>
      </c>
      <c r="H778" s="20">
        <v>2</v>
      </c>
      <c r="I778" s="15">
        <v>2008</v>
      </c>
      <c r="J778" s="16"/>
      <c r="K778" s="17">
        <v>4016</v>
      </c>
      <c r="L778" s="18">
        <v>46133</v>
      </c>
      <c r="M778" s="6" t="str">
        <f t="shared" si="36"/>
        <v>Due order</v>
      </c>
      <c r="N778" s="8">
        <f t="shared" ca="1" si="37"/>
        <v>-22</v>
      </c>
      <c r="O778" s="8" t="str">
        <f t="shared" ca="1" si="38"/>
        <v>With in 90 days</v>
      </c>
      <c r="P778" t="str">
        <f>VLOOKUP(C778,[1]Customer_Master!$A:$B,2,0)</f>
        <v>Group 1-Giridhar-Peenya</v>
      </c>
      <c r="Q778" t="str">
        <f>VLOOKUP(D778,[2]Template!$A:$D,3,0)</f>
        <v>EATON</v>
      </c>
      <c r="R778" t="str">
        <f>VLOOKUP(D778,[2]Template!$A:$D,4,0)</f>
        <v>Eaton-Non Moving Stock</v>
      </c>
    </row>
    <row r="779" spans="1:18" ht="13.5" customHeight="1" x14ac:dyDescent="0.25">
      <c r="A779" s="9">
        <v>46133</v>
      </c>
      <c r="B779" s="10" t="s">
        <v>1332</v>
      </c>
      <c r="C779" s="11" t="s">
        <v>824</v>
      </c>
      <c r="D779" s="27" t="s">
        <v>1335</v>
      </c>
      <c r="E779" s="12" t="s">
        <v>1072</v>
      </c>
      <c r="F779" s="12" t="s">
        <v>1336</v>
      </c>
      <c r="G779" s="19">
        <v>2</v>
      </c>
      <c r="H779" s="20">
        <v>2</v>
      </c>
      <c r="I779" s="15">
        <v>2008</v>
      </c>
      <c r="J779" s="16"/>
      <c r="K779" s="17">
        <v>4016</v>
      </c>
      <c r="L779" s="18">
        <v>46133</v>
      </c>
      <c r="M779" s="6" t="str">
        <f t="shared" si="36"/>
        <v>Due order</v>
      </c>
      <c r="N779" s="8">
        <f t="shared" ca="1" si="37"/>
        <v>-22</v>
      </c>
      <c r="O779" s="8" t="str">
        <f t="shared" ca="1" si="38"/>
        <v>With in 90 days</v>
      </c>
      <c r="P779" t="str">
        <f>VLOOKUP(C779,[1]Customer_Master!$A:$B,2,0)</f>
        <v>Group 1-Giridhar-Peenya</v>
      </c>
      <c r="Q779" t="str">
        <f>VLOOKUP(D779,[2]Template!$A:$D,3,0)</f>
        <v>EATON</v>
      </c>
      <c r="R779" t="str">
        <f>VLOOKUP(D779,[2]Template!$A:$D,4,0)</f>
        <v>Eaton-Non Moving Stock</v>
      </c>
    </row>
    <row r="780" spans="1:18" ht="13.5" customHeight="1" x14ac:dyDescent="0.25">
      <c r="A780" s="9">
        <v>46133</v>
      </c>
      <c r="B780" s="10" t="s">
        <v>1332</v>
      </c>
      <c r="C780" s="11" t="s">
        <v>824</v>
      </c>
      <c r="D780" s="10" t="s">
        <v>1337</v>
      </c>
      <c r="E780" s="12" t="s">
        <v>1072</v>
      </c>
      <c r="F780" s="12" t="s">
        <v>1338</v>
      </c>
      <c r="G780" s="19">
        <v>7</v>
      </c>
      <c r="H780" s="20">
        <v>7</v>
      </c>
      <c r="I780" s="15">
        <v>462</v>
      </c>
      <c r="J780" s="16"/>
      <c r="K780" s="17">
        <v>3234</v>
      </c>
      <c r="L780" s="18">
        <v>46133</v>
      </c>
      <c r="M780" s="6" t="str">
        <f t="shared" si="36"/>
        <v>Due order</v>
      </c>
      <c r="N780" s="8">
        <f t="shared" ca="1" si="37"/>
        <v>-22</v>
      </c>
      <c r="O780" s="8" t="str">
        <f t="shared" ca="1" si="38"/>
        <v>With in 90 days</v>
      </c>
      <c r="P780" t="str">
        <f>VLOOKUP(C780,[1]Customer_Master!$A:$B,2,0)</f>
        <v>Group 1-Giridhar-Peenya</v>
      </c>
      <c r="Q780" t="str">
        <f>VLOOKUP(D780,[2]Template!$A:$D,3,0)</f>
        <v>EATON</v>
      </c>
      <c r="R780" t="str">
        <f>VLOOKUP(D780,[2]Template!$A:$D,4,0)</f>
        <v>Eaton-Non Moving Stock</v>
      </c>
    </row>
    <row r="781" spans="1:18" ht="13.5" customHeight="1" x14ac:dyDescent="0.25">
      <c r="A781" s="9">
        <v>46133</v>
      </c>
      <c r="B781" s="10" t="s">
        <v>1332</v>
      </c>
      <c r="C781" s="11" t="s">
        <v>824</v>
      </c>
      <c r="D781" s="10" t="s">
        <v>1339</v>
      </c>
      <c r="E781" s="12" t="s">
        <v>1072</v>
      </c>
      <c r="F781" s="12" t="s">
        <v>1340</v>
      </c>
      <c r="G781" s="19">
        <v>1</v>
      </c>
      <c r="H781" s="20">
        <v>1</v>
      </c>
      <c r="I781" s="15">
        <v>669</v>
      </c>
      <c r="J781" s="16"/>
      <c r="K781" s="17">
        <v>669</v>
      </c>
      <c r="L781" s="18">
        <v>46133</v>
      </c>
      <c r="M781" s="6" t="str">
        <f t="shared" si="36"/>
        <v>Due order</v>
      </c>
      <c r="N781" s="8">
        <f t="shared" ca="1" si="37"/>
        <v>-22</v>
      </c>
      <c r="O781" s="8" t="str">
        <f t="shared" ca="1" si="38"/>
        <v>With in 90 days</v>
      </c>
      <c r="P781" t="str">
        <f>VLOOKUP(C781,[1]Customer_Master!$A:$B,2,0)</f>
        <v>Group 1-Giridhar-Peenya</v>
      </c>
      <c r="Q781" t="str">
        <f>VLOOKUP(D781,[2]Template!$A:$D,3,0)</f>
        <v>EATON</v>
      </c>
      <c r="R781" t="str">
        <f>VLOOKUP(D781,[2]Template!$A:$D,4,0)</f>
        <v>Eaton-Planned Stock General</v>
      </c>
    </row>
    <row r="782" spans="1:18" ht="13.5" customHeight="1" x14ac:dyDescent="0.25">
      <c r="A782" s="9">
        <v>46133</v>
      </c>
      <c r="B782" s="10" t="s">
        <v>1341</v>
      </c>
      <c r="C782" s="11" t="s">
        <v>62</v>
      </c>
      <c r="D782" s="27" t="s">
        <v>319</v>
      </c>
      <c r="E782" s="12" t="s">
        <v>1072</v>
      </c>
      <c r="F782" s="26" t="s">
        <v>72</v>
      </c>
      <c r="G782" s="13">
        <v>5000</v>
      </c>
      <c r="H782" s="14">
        <v>5000</v>
      </c>
      <c r="I782" s="15">
        <v>34.979999999999997</v>
      </c>
      <c r="J782" s="16"/>
      <c r="K782" s="17">
        <v>174900</v>
      </c>
      <c r="L782" s="18">
        <v>46162</v>
      </c>
      <c r="M782" s="6" t="str">
        <f t="shared" si="36"/>
        <v>Schedule order</v>
      </c>
      <c r="N782" s="8">
        <f t="shared" ca="1" si="37"/>
        <v>7</v>
      </c>
      <c r="O782" s="8" t="str">
        <f t="shared" ca="1" si="38"/>
        <v>Lattest or shedule order</v>
      </c>
      <c r="P782" t="str">
        <f>VLOOKUP(C782,[1]Customer_Master!$A:$B,2,0)</f>
        <v>Group 1-Giridhar-Peenya</v>
      </c>
      <c r="Q782" t="str">
        <f>VLOOKUP(D782,[2]Template!$A:$D,3,0)</f>
        <v>LAPP</v>
      </c>
      <c r="R782" t="str">
        <f>VLOOKUP(D782,[2]Template!$A:$D,4,0)</f>
        <v>Lapp-TD Power</v>
      </c>
    </row>
    <row r="783" spans="1:18" ht="13.5" customHeight="1" x14ac:dyDescent="0.25">
      <c r="A783" s="9">
        <v>46133</v>
      </c>
      <c r="B783" s="10" t="s">
        <v>1341</v>
      </c>
      <c r="C783" s="11" t="s">
        <v>62</v>
      </c>
      <c r="D783" s="27" t="s">
        <v>319</v>
      </c>
      <c r="E783" s="12" t="s">
        <v>1072</v>
      </c>
      <c r="F783" s="26" t="s">
        <v>72</v>
      </c>
      <c r="G783" s="13">
        <v>5000</v>
      </c>
      <c r="H783" s="14">
        <v>5000</v>
      </c>
      <c r="I783" s="15">
        <v>34.979999999999997</v>
      </c>
      <c r="J783" s="16"/>
      <c r="K783" s="17">
        <v>174900</v>
      </c>
      <c r="L783" s="18">
        <v>46195</v>
      </c>
      <c r="M783" s="6" t="str">
        <f t="shared" si="36"/>
        <v>Schedule order</v>
      </c>
      <c r="N783" s="8">
        <f t="shared" ca="1" si="37"/>
        <v>40</v>
      </c>
      <c r="O783" s="8" t="str">
        <f t="shared" ca="1" si="38"/>
        <v>Lattest or shedule order</v>
      </c>
      <c r="P783" t="str">
        <f>VLOOKUP(C783,[1]Customer_Master!$A:$B,2,0)</f>
        <v>Group 1-Giridhar-Peenya</v>
      </c>
      <c r="Q783" t="str">
        <f>VLOOKUP(D783,[2]Template!$A:$D,3,0)</f>
        <v>LAPP</v>
      </c>
      <c r="R783" t="str">
        <f>VLOOKUP(D783,[2]Template!$A:$D,4,0)</f>
        <v>Lapp-TD Power</v>
      </c>
    </row>
    <row r="784" spans="1:18" ht="13.5" customHeight="1" x14ac:dyDescent="0.25">
      <c r="A784" s="9">
        <v>46133</v>
      </c>
      <c r="B784" s="10" t="s">
        <v>1341</v>
      </c>
      <c r="C784" s="11" t="s">
        <v>62</v>
      </c>
      <c r="D784" s="27" t="s">
        <v>402</v>
      </c>
      <c r="E784" s="12" t="s">
        <v>1072</v>
      </c>
      <c r="F784" s="26" t="s">
        <v>132</v>
      </c>
      <c r="G784" s="13">
        <v>2000</v>
      </c>
      <c r="H784" s="14">
        <v>2000</v>
      </c>
      <c r="I784" s="15">
        <v>141.57</v>
      </c>
      <c r="J784" s="16"/>
      <c r="K784" s="17">
        <v>283140</v>
      </c>
      <c r="L784" s="18">
        <v>46162</v>
      </c>
      <c r="M784" s="6" t="str">
        <f t="shared" si="36"/>
        <v>Schedule order</v>
      </c>
      <c r="N784" s="8">
        <f t="shared" ca="1" si="37"/>
        <v>7</v>
      </c>
      <c r="O784" s="8" t="str">
        <f t="shared" ca="1" si="38"/>
        <v>Lattest or shedule order</v>
      </c>
      <c r="P784" t="str">
        <f>VLOOKUP(C784,[1]Customer_Master!$A:$B,2,0)</f>
        <v>Group 1-Giridhar-Peenya</v>
      </c>
      <c r="Q784" t="str">
        <f>VLOOKUP(D784,[2]Template!$A:$D,3,0)</f>
        <v>LAPP</v>
      </c>
      <c r="R784" t="str">
        <f>VLOOKUP(D784,[2]Template!$A:$D,4,0)</f>
        <v>Lapp-TD Power</v>
      </c>
    </row>
    <row r="785" spans="1:18" ht="13.5" customHeight="1" x14ac:dyDescent="0.25">
      <c r="A785" s="9">
        <v>46133</v>
      </c>
      <c r="B785" s="10" t="s">
        <v>1341</v>
      </c>
      <c r="C785" s="11" t="s">
        <v>62</v>
      </c>
      <c r="D785" s="27" t="s">
        <v>402</v>
      </c>
      <c r="E785" s="12" t="s">
        <v>1072</v>
      </c>
      <c r="F785" s="26" t="s">
        <v>132</v>
      </c>
      <c r="G785" s="13">
        <v>2000</v>
      </c>
      <c r="H785" s="14">
        <v>2000</v>
      </c>
      <c r="I785" s="15">
        <v>141.57</v>
      </c>
      <c r="J785" s="16"/>
      <c r="K785" s="17">
        <v>283140</v>
      </c>
      <c r="L785" s="18">
        <v>46195</v>
      </c>
      <c r="M785" s="6" t="str">
        <f t="shared" si="36"/>
        <v>Schedule order</v>
      </c>
      <c r="N785" s="8">
        <f t="shared" ca="1" si="37"/>
        <v>40</v>
      </c>
      <c r="O785" s="8" t="str">
        <f t="shared" ca="1" si="38"/>
        <v>Lattest or shedule order</v>
      </c>
      <c r="P785" t="str">
        <f>VLOOKUP(C785,[1]Customer_Master!$A:$B,2,0)</f>
        <v>Group 1-Giridhar-Peenya</v>
      </c>
      <c r="Q785" t="str">
        <f>VLOOKUP(D785,[2]Template!$A:$D,3,0)</f>
        <v>LAPP</v>
      </c>
      <c r="R785" t="str">
        <f>VLOOKUP(D785,[2]Template!$A:$D,4,0)</f>
        <v>Lapp-TD Power</v>
      </c>
    </row>
    <row r="786" spans="1:18" ht="13.5" customHeight="1" x14ac:dyDescent="0.25">
      <c r="A786" s="9">
        <v>46133</v>
      </c>
      <c r="B786" s="10" t="s">
        <v>1341</v>
      </c>
      <c r="C786" s="11" t="s">
        <v>62</v>
      </c>
      <c r="D786" s="27" t="s">
        <v>369</v>
      </c>
      <c r="E786" s="12" t="s">
        <v>1072</v>
      </c>
      <c r="F786" s="26" t="s">
        <v>90</v>
      </c>
      <c r="G786" s="13">
        <v>2500</v>
      </c>
      <c r="H786" s="14">
        <v>2500</v>
      </c>
      <c r="I786" s="15">
        <v>66.19</v>
      </c>
      <c r="J786" s="16"/>
      <c r="K786" s="17">
        <v>165475</v>
      </c>
      <c r="L786" s="18">
        <v>46162</v>
      </c>
      <c r="M786" s="6" t="str">
        <f t="shared" si="36"/>
        <v>Schedule order</v>
      </c>
      <c r="N786" s="8">
        <f t="shared" ca="1" si="37"/>
        <v>7</v>
      </c>
      <c r="O786" s="8" t="str">
        <f t="shared" ca="1" si="38"/>
        <v>Lattest or shedule order</v>
      </c>
      <c r="P786" t="str">
        <f>VLOOKUP(C786,[1]Customer_Master!$A:$B,2,0)</f>
        <v>Group 1-Giridhar-Peenya</v>
      </c>
      <c r="Q786" t="str">
        <f>VLOOKUP(D786,[2]Template!$A:$D,3,0)</f>
        <v>LAPP</v>
      </c>
      <c r="R786" t="str">
        <f>VLOOKUP(D786,[2]Template!$A:$D,4,0)</f>
        <v>Lapp-TD Power</v>
      </c>
    </row>
    <row r="787" spans="1:18" ht="13.5" customHeight="1" x14ac:dyDescent="0.25">
      <c r="A787" s="9">
        <v>46133</v>
      </c>
      <c r="B787" s="10" t="s">
        <v>1341</v>
      </c>
      <c r="C787" s="11" t="s">
        <v>62</v>
      </c>
      <c r="D787" s="27" t="s">
        <v>369</v>
      </c>
      <c r="E787" s="12" t="s">
        <v>1072</v>
      </c>
      <c r="F787" s="26" t="s">
        <v>90</v>
      </c>
      <c r="G787" s="13">
        <v>2500</v>
      </c>
      <c r="H787" s="14">
        <v>2500</v>
      </c>
      <c r="I787" s="15">
        <v>66.19</v>
      </c>
      <c r="J787" s="16"/>
      <c r="K787" s="17">
        <v>165475</v>
      </c>
      <c r="L787" s="18">
        <v>46195</v>
      </c>
      <c r="M787" s="6" t="str">
        <f t="shared" si="36"/>
        <v>Schedule order</v>
      </c>
      <c r="N787" s="8">
        <f t="shared" ca="1" si="37"/>
        <v>40</v>
      </c>
      <c r="O787" s="8" t="str">
        <f t="shared" ca="1" si="38"/>
        <v>Lattest or shedule order</v>
      </c>
      <c r="P787" t="str">
        <f>VLOOKUP(C787,[1]Customer_Master!$A:$B,2,0)</f>
        <v>Group 1-Giridhar-Peenya</v>
      </c>
      <c r="Q787" t="str">
        <f>VLOOKUP(D787,[2]Template!$A:$D,3,0)</f>
        <v>LAPP</v>
      </c>
      <c r="R787" t="str">
        <f>VLOOKUP(D787,[2]Template!$A:$D,4,0)</f>
        <v>Lapp-TD Power</v>
      </c>
    </row>
    <row r="788" spans="1:18" ht="13.5" customHeight="1" x14ac:dyDescent="0.25">
      <c r="A788" s="9">
        <v>46133</v>
      </c>
      <c r="B788" s="10" t="s">
        <v>1341</v>
      </c>
      <c r="C788" s="11" t="s">
        <v>62</v>
      </c>
      <c r="D788" s="27" t="s">
        <v>387</v>
      </c>
      <c r="E788" s="12" t="s">
        <v>1072</v>
      </c>
      <c r="F788" s="26" t="s">
        <v>152</v>
      </c>
      <c r="G788" s="13">
        <v>100</v>
      </c>
      <c r="H788" s="14">
        <v>100</v>
      </c>
      <c r="I788" s="15">
        <v>141.56</v>
      </c>
      <c r="J788" s="16"/>
      <c r="K788" s="17">
        <v>14156</v>
      </c>
      <c r="L788" s="18">
        <v>46162</v>
      </c>
      <c r="M788" s="6" t="str">
        <f t="shared" si="36"/>
        <v>Schedule order</v>
      </c>
      <c r="N788" s="8">
        <f t="shared" ca="1" si="37"/>
        <v>7</v>
      </c>
      <c r="O788" s="8" t="str">
        <f t="shared" ca="1" si="38"/>
        <v>Lattest or shedule order</v>
      </c>
      <c r="P788" t="str">
        <f>VLOOKUP(C788,[1]Customer_Master!$A:$B,2,0)</f>
        <v>Group 1-Giridhar-Peenya</v>
      </c>
      <c r="Q788" t="str">
        <f>VLOOKUP(D788,[2]Template!$A:$D,3,0)</f>
        <v>LAPP</v>
      </c>
      <c r="R788" t="str">
        <f>VLOOKUP(D788,[2]Template!$A:$D,4,0)</f>
        <v>Lapp-TD Power</v>
      </c>
    </row>
    <row r="789" spans="1:18" ht="13.5" customHeight="1" x14ac:dyDescent="0.25">
      <c r="A789" s="9">
        <v>46133</v>
      </c>
      <c r="B789" s="10" t="s">
        <v>1341</v>
      </c>
      <c r="C789" s="11" t="s">
        <v>62</v>
      </c>
      <c r="D789" s="27" t="s">
        <v>387</v>
      </c>
      <c r="E789" s="12" t="s">
        <v>1072</v>
      </c>
      <c r="F789" s="26" t="s">
        <v>152</v>
      </c>
      <c r="G789" s="13">
        <v>100</v>
      </c>
      <c r="H789" s="14">
        <v>100</v>
      </c>
      <c r="I789" s="15">
        <v>141.56</v>
      </c>
      <c r="J789" s="16"/>
      <c r="K789" s="17">
        <v>14156</v>
      </c>
      <c r="L789" s="18">
        <v>46195</v>
      </c>
      <c r="M789" s="6" t="str">
        <f t="shared" si="36"/>
        <v>Schedule order</v>
      </c>
      <c r="N789" s="8">
        <f t="shared" ca="1" si="37"/>
        <v>40</v>
      </c>
      <c r="O789" s="8" t="str">
        <f t="shared" ca="1" si="38"/>
        <v>Lattest or shedule order</v>
      </c>
      <c r="P789" t="str">
        <f>VLOOKUP(C789,[1]Customer_Master!$A:$B,2,0)</f>
        <v>Group 1-Giridhar-Peenya</v>
      </c>
      <c r="Q789" t="str">
        <f>VLOOKUP(D789,[2]Template!$A:$D,3,0)</f>
        <v>LAPP</v>
      </c>
      <c r="R789" t="str">
        <f>VLOOKUP(D789,[2]Template!$A:$D,4,0)</f>
        <v>Lapp-TD Power</v>
      </c>
    </row>
    <row r="790" spans="1:18" ht="13.5" customHeight="1" x14ac:dyDescent="0.25">
      <c r="A790" s="9">
        <v>46133</v>
      </c>
      <c r="B790" s="10" t="s">
        <v>1341</v>
      </c>
      <c r="C790" s="11" t="s">
        <v>62</v>
      </c>
      <c r="D790" s="27" t="s">
        <v>320</v>
      </c>
      <c r="E790" s="12" t="s">
        <v>1072</v>
      </c>
      <c r="F790" s="26" t="s">
        <v>73</v>
      </c>
      <c r="G790" s="13">
        <v>10000</v>
      </c>
      <c r="H790" s="14">
        <v>10000</v>
      </c>
      <c r="I790" s="15">
        <v>76.88</v>
      </c>
      <c r="J790" s="16"/>
      <c r="K790" s="17">
        <v>768800</v>
      </c>
      <c r="L790" s="18">
        <v>46162</v>
      </c>
      <c r="M790" s="6" t="str">
        <f t="shared" si="36"/>
        <v>Schedule order</v>
      </c>
      <c r="N790" s="8">
        <f t="shared" ca="1" si="37"/>
        <v>7</v>
      </c>
      <c r="O790" s="8" t="str">
        <f t="shared" ca="1" si="38"/>
        <v>Lattest or shedule order</v>
      </c>
      <c r="P790" t="str">
        <f>VLOOKUP(C790,[1]Customer_Master!$A:$B,2,0)</f>
        <v>Group 1-Giridhar-Peenya</v>
      </c>
      <c r="Q790" t="str">
        <f>VLOOKUP(D790,[2]Template!$A:$D,3,0)</f>
        <v>LAPP</v>
      </c>
      <c r="R790" t="str">
        <f>VLOOKUP(D790,[2]Template!$A:$D,4,0)</f>
        <v>Lapp-TD Power</v>
      </c>
    </row>
    <row r="791" spans="1:18" ht="13.5" customHeight="1" x14ac:dyDescent="0.25">
      <c r="A791" s="9">
        <v>46133</v>
      </c>
      <c r="B791" s="10" t="s">
        <v>1341</v>
      </c>
      <c r="C791" s="11" t="s">
        <v>62</v>
      </c>
      <c r="D791" s="27" t="s">
        <v>320</v>
      </c>
      <c r="E791" s="12" t="s">
        <v>1072</v>
      </c>
      <c r="F791" s="26" t="s">
        <v>73</v>
      </c>
      <c r="G791" s="13">
        <v>10000</v>
      </c>
      <c r="H791" s="14">
        <v>10000</v>
      </c>
      <c r="I791" s="15">
        <v>76.88</v>
      </c>
      <c r="J791" s="16"/>
      <c r="K791" s="17">
        <v>768800</v>
      </c>
      <c r="L791" s="18">
        <v>46195</v>
      </c>
      <c r="M791" s="6" t="str">
        <f t="shared" si="36"/>
        <v>Schedule order</v>
      </c>
      <c r="N791" s="8">
        <f t="shared" ca="1" si="37"/>
        <v>40</v>
      </c>
      <c r="O791" s="8" t="str">
        <f t="shared" ca="1" si="38"/>
        <v>Lattest or shedule order</v>
      </c>
      <c r="P791" t="str">
        <f>VLOOKUP(C791,[1]Customer_Master!$A:$B,2,0)</f>
        <v>Group 1-Giridhar-Peenya</v>
      </c>
      <c r="Q791" t="str">
        <f>VLOOKUP(D791,[2]Template!$A:$D,3,0)</f>
        <v>LAPP</v>
      </c>
      <c r="R791" t="str">
        <f>VLOOKUP(D791,[2]Template!$A:$D,4,0)</f>
        <v>Lapp-TD Power</v>
      </c>
    </row>
    <row r="792" spans="1:18" ht="13.5" customHeight="1" x14ac:dyDescent="0.25">
      <c r="A792" s="9">
        <v>46133</v>
      </c>
      <c r="B792" s="10" t="s">
        <v>1341</v>
      </c>
      <c r="C792" s="11" t="s">
        <v>62</v>
      </c>
      <c r="D792" s="27" t="s">
        <v>401</v>
      </c>
      <c r="E792" s="12" t="s">
        <v>1072</v>
      </c>
      <c r="F792" s="12" t="s">
        <v>205</v>
      </c>
      <c r="G792" s="13">
        <v>100</v>
      </c>
      <c r="H792" s="14">
        <v>100</v>
      </c>
      <c r="I792" s="15">
        <v>408.24</v>
      </c>
      <c r="J792" s="16"/>
      <c r="K792" s="17">
        <v>40824</v>
      </c>
      <c r="L792" s="18">
        <v>46162</v>
      </c>
      <c r="M792" s="6" t="str">
        <f t="shared" si="36"/>
        <v>Schedule order</v>
      </c>
      <c r="N792" s="8">
        <f t="shared" ca="1" si="37"/>
        <v>7</v>
      </c>
      <c r="O792" s="8" t="str">
        <f t="shared" ca="1" si="38"/>
        <v>Lattest or shedule order</v>
      </c>
      <c r="P792" t="str">
        <f>VLOOKUP(C792,[1]Customer_Master!$A:$B,2,0)</f>
        <v>Group 1-Giridhar-Peenya</v>
      </c>
      <c r="Q792" t="str">
        <f>VLOOKUP(D792,[2]Template!$A:$D,3,0)</f>
        <v>LAPP</v>
      </c>
      <c r="R792" t="str">
        <f>VLOOKUP(D792,[2]Template!$A:$D,4,0)</f>
        <v>Lapp-TD Power</v>
      </c>
    </row>
    <row r="793" spans="1:18" ht="13.5" customHeight="1" x14ac:dyDescent="0.25">
      <c r="A793" s="9">
        <v>46133</v>
      </c>
      <c r="B793" s="10" t="s">
        <v>1341</v>
      </c>
      <c r="C793" s="11" t="s">
        <v>62</v>
      </c>
      <c r="D793" s="27" t="s">
        <v>401</v>
      </c>
      <c r="E793" s="12" t="s">
        <v>1072</v>
      </c>
      <c r="F793" s="12" t="s">
        <v>205</v>
      </c>
      <c r="G793" s="13">
        <v>100</v>
      </c>
      <c r="H793" s="14">
        <v>100</v>
      </c>
      <c r="I793" s="15">
        <v>408.24</v>
      </c>
      <c r="J793" s="16"/>
      <c r="K793" s="17">
        <v>40824</v>
      </c>
      <c r="L793" s="18">
        <v>46195</v>
      </c>
      <c r="M793" s="6" t="str">
        <f t="shared" si="36"/>
        <v>Schedule order</v>
      </c>
      <c r="N793" s="8">
        <f t="shared" ca="1" si="37"/>
        <v>40</v>
      </c>
      <c r="O793" s="8" t="str">
        <f t="shared" ca="1" si="38"/>
        <v>Lattest or shedule order</v>
      </c>
      <c r="P793" t="str">
        <f>VLOOKUP(C793,[1]Customer_Master!$A:$B,2,0)</f>
        <v>Group 1-Giridhar-Peenya</v>
      </c>
      <c r="Q793" t="str">
        <f>VLOOKUP(D793,[2]Template!$A:$D,3,0)</f>
        <v>LAPP</v>
      </c>
      <c r="R793" t="str">
        <f>VLOOKUP(D793,[2]Template!$A:$D,4,0)</f>
        <v>Lapp-TD Power</v>
      </c>
    </row>
    <row r="794" spans="1:18" ht="13.5" customHeight="1" x14ac:dyDescent="0.25">
      <c r="A794" s="9">
        <v>46133</v>
      </c>
      <c r="B794" s="10" t="s">
        <v>1341</v>
      </c>
      <c r="C794" s="11" t="s">
        <v>62</v>
      </c>
      <c r="D794" s="27" t="s">
        <v>1342</v>
      </c>
      <c r="E794" s="12" t="s">
        <v>1072</v>
      </c>
      <c r="F794" s="12" t="s">
        <v>1343</v>
      </c>
      <c r="G794" s="13">
        <v>4000</v>
      </c>
      <c r="H794" s="14">
        <v>4000</v>
      </c>
      <c r="I794" s="15">
        <v>91.48</v>
      </c>
      <c r="J794" s="16"/>
      <c r="K794" s="17">
        <v>365920</v>
      </c>
      <c r="L794" s="18">
        <v>46162</v>
      </c>
      <c r="M794" s="6" t="str">
        <f t="shared" si="36"/>
        <v>Schedule order</v>
      </c>
      <c r="N794" s="8">
        <f t="shared" ca="1" si="37"/>
        <v>7</v>
      </c>
      <c r="O794" s="8" t="str">
        <f t="shared" ca="1" si="38"/>
        <v>Lattest or shedule order</v>
      </c>
      <c r="P794" t="str">
        <f>VLOOKUP(C794,[1]Customer_Master!$A:$B,2,0)</f>
        <v>Group 1-Giridhar-Peenya</v>
      </c>
      <c r="Q794" t="str">
        <f>VLOOKUP(D794,[2]Template!$A:$D,3,0)</f>
        <v>LAPP</v>
      </c>
      <c r="R794" t="str">
        <f>VLOOKUP(D794,[2]Template!$A:$D,4,0)</f>
        <v>Lapp-TD Power</v>
      </c>
    </row>
    <row r="795" spans="1:18" ht="13.5" customHeight="1" x14ac:dyDescent="0.25">
      <c r="A795" s="9">
        <v>46133</v>
      </c>
      <c r="B795" s="10" t="s">
        <v>1341</v>
      </c>
      <c r="C795" s="11" t="s">
        <v>62</v>
      </c>
      <c r="D795" s="27" t="s">
        <v>1342</v>
      </c>
      <c r="E795" s="12" t="s">
        <v>1072</v>
      </c>
      <c r="F795" s="12" t="s">
        <v>1343</v>
      </c>
      <c r="G795" s="13">
        <v>4000</v>
      </c>
      <c r="H795" s="14">
        <v>4000</v>
      </c>
      <c r="I795" s="15">
        <v>91.48</v>
      </c>
      <c r="J795" s="16"/>
      <c r="K795" s="17">
        <v>365920</v>
      </c>
      <c r="L795" s="18">
        <v>46195</v>
      </c>
      <c r="M795" s="6" t="str">
        <f t="shared" si="36"/>
        <v>Schedule order</v>
      </c>
      <c r="N795" s="8">
        <f t="shared" ca="1" si="37"/>
        <v>40</v>
      </c>
      <c r="O795" s="8" t="str">
        <f t="shared" ca="1" si="38"/>
        <v>Lattest or shedule order</v>
      </c>
      <c r="P795" t="str">
        <f>VLOOKUP(C795,[1]Customer_Master!$A:$B,2,0)</f>
        <v>Group 1-Giridhar-Peenya</v>
      </c>
      <c r="Q795" t="str">
        <f>VLOOKUP(D795,[2]Template!$A:$D,3,0)</f>
        <v>LAPP</v>
      </c>
      <c r="R795" t="str">
        <f>VLOOKUP(D795,[2]Template!$A:$D,4,0)</f>
        <v>Lapp-TD Power</v>
      </c>
    </row>
    <row r="796" spans="1:18" ht="13.5" customHeight="1" x14ac:dyDescent="0.25">
      <c r="A796" s="9">
        <v>46134</v>
      </c>
      <c r="B796" s="10" t="s">
        <v>1344</v>
      </c>
      <c r="C796" s="11" t="s">
        <v>83</v>
      </c>
      <c r="D796" s="10" t="s">
        <v>1345</v>
      </c>
      <c r="E796" s="12" t="s">
        <v>1072</v>
      </c>
      <c r="F796" s="12" t="s">
        <v>1346</v>
      </c>
      <c r="G796" s="13">
        <v>15</v>
      </c>
      <c r="H796" s="14">
        <v>15</v>
      </c>
      <c r="I796" s="15">
        <v>1023.99</v>
      </c>
      <c r="J796" s="16"/>
      <c r="K796" s="17">
        <v>15359.85</v>
      </c>
      <c r="L796" s="18">
        <v>46134</v>
      </c>
      <c r="M796" s="6" t="str">
        <f t="shared" si="36"/>
        <v>Due order</v>
      </c>
      <c r="N796" s="8">
        <f t="shared" ca="1" si="37"/>
        <v>-21</v>
      </c>
      <c r="O796" s="8" t="str">
        <f t="shared" ca="1" si="38"/>
        <v>With in 90 days</v>
      </c>
      <c r="P796" t="str">
        <f>VLOOKUP(C796,[1]Customer_Master!$A:$B,2,0)</f>
        <v>Group 1-Giridhar-Peenya</v>
      </c>
      <c r="Q796" t="str">
        <f>VLOOKUP(D796,[2]Template!$A:$D,3,0)</f>
        <v>LAPP</v>
      </c>
      <c r="R796" t="str">
        <f>VLOOKUP(D796,[2]Template!$A:$D,4,0)</f>
        <v>Lapp-Non Moving Stocks</v>
      </c>
    </row>
    <row r="797" spans="1:18" ht="13.5" customHeight="1" x14ac:dyDescent="0.25">
      <c r="A797" s="9">
        <v>46134</v>
      </c>
      <c r="B797" s="10" t="s">
        <v>1347</v>
      </c>
      <c r="C797" s="11" t="s">
        <v>243</v>
      </c>
      <c r="D797" s="10" t="s">
        <v>1164</v>
      </c>
      <c r="E797" s="12" t="s">
        <v>1072</v>
      </c>
      <c r="F797" s="12" t="s">
        <v>1165</v>
      </c>
      <c r="G797" s="13">
        <v>50</v>
      </c>
      <c r="H797" s="14">
        <v>50</v>
      </c>
      <c r="I797" s="15">
        <v>397.31</v>
      </c>
      <c r="J797" s="16"/>
      <c r="K797" s="17">
        <v>19865.5</v>
      </c>
      <c r="L797" s="18">
        <v>46134</v>
      </c>
      <c r="M797" s="6" t="str">
        <f t="shared" si="36"/>
        <v>Due order</v>
      </c>
      <c r="N797" s="8">
        <f t="shared" ca="1" si="37"/>
        <v>-21</v>
      </c>
      <c r="O797" s="8" t="str">
        <f t="shared" ca="1" si="38"/>
        <v>With in 90 days</v>
      </c>
      <c r="P797" t="str">
        <f>VLOOKUP(C797,[1]Customer_Master!$A:$B,2,0)</f>
        <v>Group 1-Giridhar-Peenya</v>
      </c>
      <c r="Q797" t="str">
        <f>VLOOKUP(D797,[2]Template!$A:$D,3,0)</f>
        <v>LAPP</v>
      </c>
      <c r="R797" t="str">
        <f>VLOOKUP(D797,[2]Template!$A:$D,4,0)</f>
        <v>Lapp-Against Customer PO</v>
      </c>
    </row>
    <row r="798" spans="1:18" ht="13.5" customHeight="1" x14ac:dyDescent="0.25">
      <c r="A798" s="9">
        <v>46134</v>
      </c>
      <c r="B798" s="10" t="s">
        <v>1347</v>
      </c>
      <c r="C798" s="11" t="s">
        <v>243</v>
      </c>
      <c r="D798" s="10" t="s">
        <v>591</v>
      </c>
      <c r="E798" s="12" t="s">
        <v>1072</v>
      </c>
      <c r="F798" s="12" t="s">
        <v>592</v>
      </c>
      <c r="G798" s="13">
        <v>100</v>
      </c>
      <c r="H798" s="14">
        <v>100</v>
      </c>
      <c r="I798" s="15">
        <v>213.84</v>
      </c>
      <c r="J798" s="16"/>
      <c r="K798" s="17">
        <v>21384</v>
      </c>
      <c r="L798" s="18">
        <v>46134</v>
      </c>
      <c r="M798" s="6" t="str">
        <f t="shared" si="36"/>
        <v>Due order</v>
      </c>
      <c r="N798" s="8">
        <f t="shared" ca="1" si="37"/>
        <v>-21</v>
      </c>
      <c r="O798" s="8" t="str">
        <f t="shared" ca="1" si="38"/>
        <v>With in 90 days</v>
      </c>
      <c r="P798" t="str">
        <f>VLOOKUP(C798,[1]Customer_Master!$A:$B,2,0)</f>
        <v>Group 1-Giridhar-Peenya</v>
      </c>
      <c r="Q798" t="str">
        <f>VLOOKUP(D798,[2]Template!$A:$D,3,0)</f>
        <v>LAPP</v>
      </c>
      <c r="R798" t="str">
        <f>VLOOKUP(D798,[2]Template!$A:$D,4,0)</f>
        <v>Lapp-Planned Stock General</v>
      </c>
    </row>
    <row r="799" spans="1:18" ht="13.5" customHeight="1" x14ac:dyDescent="0.25">
      <c r="A799" s="9">
        <v>46134</v>
      </c>
      <c r="B799" s="10" t="s">
        <v>1347</v>
      </c>
      <c r="C799" s="11" t="s">
        <v>243</v>
      </c>
      <c r="D799" s="10" t="s">
        <v>415</v>
      </c>
      <c r="E799" s="12" t="s">
        <v>1072</v>
      </c>
      <c r="F799" s="12" t="s">
        <v>232</v>
      </c>
      <c r="G799" s="13">
        <v>50</v>
      </c>
      <c r="H799" s="14">
        <v>50</v>
      </c>
      <c r="I799" s="15">
        <v>357.07</v>
      </c>
      <c r="J799" s="16"/>
      <c r="K799" s="17">
        <v>17853.5</v>
      </c>
      <c r="L799" s="18">
        <v>46134</v>
      </c>
      <c r="M799" s="6" t="str">
        <f t="shared" si="36"/>
        <v>Due order</v>
      </c>
      <c r="N799" s="8">
        <f t="shared" ca="1" si="37"/>
        <v>-21</v>
      </c>
      <c r="O799" s="8" t="str">
        <f t="shared" ca="1" si="38"/>
        <v>With in 90 days</v>
      </c>
      <c r="P799" t="str">
        <f>VLOOKUP(C799,[1]Customer_Master!$A:$B,2,0)</f>
        <v>Group 1-Giridhar-Peenya</v>
      </c>
      <c r="Q799" t="str">
        <f>VLOOKUP(D799,[2]Template!$A:$D,3,0)</f>
        <v>LAPP</v>
      </c>
      <c r="R799" t="str">
        <f>VLOOKUP(D799,[2]Template!$A:$D,4,0)</f>
        <v>Lapp-Against Customer PO</v>
      </c>
    </row>
    <row r="800" spans="1:18" ht="13.5" customHeight="1" x14ac:dyDescent="0.25">
      <c r="A800" s="9">
        <v>46134</v>
      </c>
      <c r="B800" s="10" t="s">
        <v>1347</v>
      </c>
      <c r="C800" s="11" t="s">
        <v>243</v>
      </c>
      <c r="D800" s="10" t="s">
        <v>1141</v>
      </c>
      <c r="E800" s="12" t="s">
        <v>1072</v>
      </c>
      <c r="F800" s="12" t="s">
        <v>1142</v>
      </c>
      <c r="G800" s="13">
        <v>50</v>
      </c>
      <c r="H800" s="14">
        <v>50</v>
      </c>
      <c r="I800" s="15">
        <v>1423.75</v>
      </c>
      <c r="J800" s="16"/>
      <c r="K800" s="17">
        <v>71187.5</v>
      </c>
      <c r="L800" s="18">
        <v>46134</v>
      </c>
      <c r="M800" s="6" t="str">
        <f t="shared" si="36"/>
        <v>Due order</v>
      </c>
      <c r="N800" s="8">
        <f t="shared" ca="1" si="37"/>
        <v>-21</v>
      </c>
      <c r="O800" s="8" t="str">
        <f t="shared" ca="1" si="38"/>
        <v>With in 90 days</v>
      </c>
      <c r="P800" t="str">
        <f>VLOOKUP(C800,[1]Customer_Master!$A:$B,2,0)</f>
        <v>Group 1-Giridhar-Peenya</v>
      </c>
      <c r="Q800" t="str">
        <f>VLOOKUP(D800,[2]Template!$A:$D,3,0)</f>
        <v>LAPP</v>
      </c>
      <c r="R800" t="str">
        <f>VLOOKUP(D800,[2]Template!$A:$D,4,0)</f>
        <v>Lapp-Against Customer PO</v>
      </c>
    </row>
    <row r="801" spans="1:18" ht="13.5" customHeight="1" x14ac:dyDescent="0.25">
      <c r="A801" s="9">
        <v>46134</v>
      </c>
      <c r="B801" s="10" t="s">
        <v>1348</v>
      </c>
      <c r="C801" s="11" t="s">
        <v>243</v>
      </c>
      <c r="D801" s="10" t="s">
        <v>591</v>
      </c>
      <c r="E801" s="12" t="s">
        <v>1072</v>
      </c>
      <c r="F801" s="12" t="s">
        <v>592</v>
      </c>
      <c r="G801" s="13">
        <v>50</v>
      </c>
      <c r="H801" s="14">
        <v>50</v>
      </c>
      <c r="I801" s="15">
        <v>213.84</v>
      </c>
      <c r="J801" s="16"/>
      <c r="K801" s="17">
        <v>10692</v>
      </c>
      <c r="L801" s="18">
        <v>46134</v>
      </c>
      <c r="M801" s="6" t="str">
        <f t="shared" si="36"/>
        <v>Due order</v>
      </c>
      <c r="N801" s="8">
        <f t="shared" ca="1" si="37"/>
        <v>-21</v>
      </c>
      <c r="O801" s="8" t="str">
        <f t="shared" ca="1" si="38"/>
        <v>With in 90 days</v>
      </c>
      <c r="P801" t="str">
        <f>VLOOKUP(C801,[1]Customer_Master!$A:$B,2,0)</f>
        <v>Group 1-Giridhar-Peenya</v>
      </c>
      <c r="Q801" t="str">
        <f>VLOOKUP(D801,[2]Template!$A:$D,3,0)</f>
        <v>LAPP</v>
      </c>
      <c r="R801" t="str">
        <f>VLOOKUP(D801,[2]Template!$A:$D,4,0)</f>
        <v>Lapp-Planned Stock General</v>
      </c>
    </row>
    <row r="802" spans="1:18" ht="13.5" customHeight="1" x14ac:dyDescent="0.25">
      <c r="A802" s="9">
        <v>46134</v>
      </c>
      <c r="B802" s="10" t="s">
        <v>1348</v>
      </c>
      <c r="C802" s="11" t="s">
        <v>243</v>
      </c>
      <c r="D802" s="10" t="s">
        <v>415</v>
      </c>
      <c r="E802" s="12" t="s">
        <v>1072</v>
      </c>
      <c r="F802" s="12" t="s">
        <v>232</v>
      </c>
      <c r="G802" s="13">
        <v>50</v>
      </c>
      <c r="H802" s="14">
        <v>50</v>
      </c>
      <c r="I802" s="15">
        <v>357.07</v>
      </c>
      <c r="J802" s="16"/>
      <c r="K802" s="17">
        <v>17853.5</v>
      </c>
      <c r="L802" s="18">
        <v>46134</v>
      </c>
      <c r="M802" s="6" t="str">
        <f t="shared" si="36"/>
        <v>Due order</v>
      </c>
      <c r="N802" s="8">
        <f t="shared" ca="1" si="37"/>
        <v>-21</v>
      </c>
      <c r="O802" s="8" t="str">
        <f t="shared" ca="1" si="38"/>
        <v>With in 90 days</v>
      </c>
      <c r="P802" t="str">
        <f>VLOOKUP(C802,[1]Customer_Master!$A:$B,2,0)</f>
        <v>Group 1-Giridhar-Peenya</v>
      </c>
      <c r="Q802" t="str">
        <f>VLOOKUP(D802,[2]Template!$A:$D,3,0)</f>
        <v>LAPP</v>
      </c>
      <c r="R802" t="str">
        <f>VLOOKUP(D802,[2]Template!$A:$D,4,0)</f>
        <v>Lapp-Against Customer PO</v>
      </c>
    </row>
    <row r="803" spans="1:18" ht="13.5" customHeight="1" x14ac:dyDescent="0.25">
      <c r="A803" s="9">
        <v>46134</v>
      </c>
      <c r="B803" s="10" t="s">
        <v>1349</v>
      </c>
      <c r="C803" s="11" t="s">
        <v>811</v>
      </c>
      <c r="D803" s="27" t="s">
        <v>1350</v>
      </c>
      <c r="E803" s="12" t="s">
        <v>1072</v>
      </c>
      <c r="F803" s="26" t="s">
        <v>1351</v>
      </c>
      <c r="G803" s="13">
        <v>250</v>
      </c>
      <c r="H803" s="14">
        <v>250</v>
      </c>
      <c r="I803" s="15">
        <v>22.22</v>
      </c>
      <c r="J803" s="16"/>
      <c r="K803" s="17">
        <v>5555</v>
      </c>
      <c r="L803" s="18">
        <v>46134</v>
      </c>
      <c r="M803" s="6" t="str">
        <f t="shared" si="36"/>
        <v>Due order</v>
      </c>
      <c r="N803" s="8">
        <f t="shared" ca="1" si="37"/>
        <v>-21</v>
      </c>
      <c r="O803" s="8" t="str">
        <f t="shared" ca="1" si="38"/>
        <v>With in 90 days</v>
      </c>
      <c r="P803" t="str">
        <f>VLOOKUP(C803,[1]Customer_Master!$A:$B,2,0)</f>
        <v>Group-4 ( Office Account)</v>
      </c>
      <c r="Q803" t="str">
        <f>VLOOKUP(D803,[2]Template!$A:$D,3,0)</f>
        <v>LAPP</v>
      </c>
      <c r="R803" t="str">
        <f>VLOOKUP(D803,[2]Template!$A:$D,4,0)</f>
        <v>Lapp-Against Customer PO</v>
      </c>
    </row>
    <row r="804" spans="1:18" ht="13.5" customHeight="1" x14ac:dyDescent="0.25">
      <c r="A804" s="9">
        <v>46134</v>
      </c>
      <c r="B804" s="10" t="s">
        <v>1349</v>
      </c>
      <c r="C804" s="11" t="s">
        <v>811</v>
      </c>
      <c r="D804" s="27" t="s">
        <v>1352</v>
      </c>
      <c r="E804" s="12" t="s">
        <v>1072</v>
      </c>
      <c r="F804" s="26" t="s">
        <v>1353</v>
      </c>
      <c r="G804" s="13">
        <v>250</v>
      </c>
      <c r="H804" s="14">
        <v>250</v>
      </c>
      <c r="I804" s="15">
        <v>22.22</v>
      </c>
      <c r="J804" s="16"/>
      <c r="K804" s="17">
        <v>5555</v>
      </c>
      <c r="L804" s="18">
        <v>46134</v>
      </c>
      <c r="M804" s="6" t="str">
        <f t="shared" si="36"/>
        <v>Due order</v>
      </c>
      <c r="N804" s="8">
        <f t="shared" ca="1" si="37"/>
        <v>-21</v>
      </c>
      <c r="O804" s="8" t="str">
        <f t="shared" ca="1" si="38"/>
        <v>With in 90 days</v>
      </c>
      <c r="P804" t="str">
        <f>VLOOKUP(C804,[1]Customer_Master!$A:$B,2,0)</f>
        <v>Group-4 ( Office Account)</v>
      </c>
      <c r="Q804" t="str">
        <f>VLOOKUP(D804,[2]Template!$A:$D,3,0)</f>
        <v>LAPP</v>
      </c>
      <c r="R804" t="str">
        <f>VLOOKUP(D804,[2]Template!$A:$D,4,0)</f>
        <v>Lapp-Against Customer PO</v>
      </c>
    </row>
    <row r="805" spans="1:18" ht="13.5" customHeight="1" x14ac:dyDescent="0.25">
      <c r="A805" s="9">
        <v>46134</v>
      </c>
      <c r="B805" s="10" t="s">
        <v>1349</v>
      </c>
      <c r="C805" s="11" t="s">
        <v>811</v>
      </c>
      <c r="D805" s="27" t="s">
        <v>1354</v>
      </c>
      <c r="E805" s="12" t="s">
        <v>1072</v>
      </c>
      <c r="F805" s="26" t="s">
        <v>1355</v>
      </c>
      <c r="G805" s="13">
        <v>250</v>
      </c>
      <c r="H805" s="14">
        <v>250</v>
      </c>
      <c r="I805" s="15">
        <v>22.22</v>
      </c>
      <c r="J805" s="16"/>
      <c r="K805" s="17">
        <v>5555</v>
      </c>
      <c r="L805" s="18">
        <v>46134</v>
      </c>
      <c r="M805" s="6" t="str">
        <f t="shared" si="36"/>
        <v>Due order</v>
      </c>
      <c r="N805" s="8">
        <f t="shared" ca="1" si="37"/>
        <v>-21</v>
      </c>
      <c r="O805" s="8" t="str">
        <f t="shared" ca="1" si="38"/>
        <v>With in 90 days</v>
      </c>
      <c r="P805" t="str">
        <f>VLOOKUP(C805,[1]Customer_Master!$A:$B,2,0)</f>
        <v>Group-4 ( Office Account)</v>
      </c>
      <c r="Q805" t="str">
        <f>VLOOKUP(D805,[2]Template!$A:$D,3,0)</f>
        <v>LAPP</v>
      </c>
      <c r="R805" t="str">
        <f>VLOOKUP(D805,[2]Template!$A:$D,4,0)</f>
        <v>Lapp-Against Customer PO</v>
      </c>
    </row>
    <row r="806" spans="1:18" ht="13.5" customHeight="1" x14ac:dyDescent="0.25">
      <c r="A806" s="9">
        <v>46134</v>
      </c>
      <c r="B806" s="10" t="s">
        <v>1349</v>
      </c>
      <c r="C806" s="11" t="s">
        <v>811</v>
      </c>
      <c r="D806" s="27" t="s">
        <v>893</v>
      </c>
      <c r="E806" s="12" t="s">
        <v>1072</v>
      </c>
      <c r="F806" s="26" t="s">
        <v>894</v>
      </c>
      <c r="G806" s="13">
        <v>250</v>
      </c>
      <c r="H806" s="14">
        <v>250</v>
      </c>
      <c r="I806" s="15">
        <v>22.22</v>
      </c>
      <c r="J806" s="16"/>
      <c r="K806" s="17">
        <v>5555</v>
      </c>
      <c r="L806" s="18">
        <v>46134</v>
      </c>
      <c r="M806" s="6" t="str">
        <f t="shared" si="36"/>
        <v>Due order</v>
      </c>
      <c r="N806" s="8">
        <f t="shared" ca="1" si="37"/>
        <v>-21</v>
      </c>
      <c r="O806" s="8" t="str">
        <f t="shared" ca="1" si="38"/>
        <v>With in 90 days</v>
      </c>
      <c r="P806" t="str">
        <f>VLOOKUP(C806,[1]Customer_Master!$A:$B,2,0)</f>
        <v>Group-4 ( Office Account)</v>
      </c>
      <c r="Q806" t="str">
        <f>VLOOKUP(D806,[2]Template!$A:$D,3,0)</f>
        <v>LAPP</v>
      </c>
      <c r="R806" t="str">
        <f>VLOOKUP(D806,[2]Template!$A:$D,4,0)</f>
        <v>Lapp-Against Customer PO</v>
      </c>
    </row>
    <row r="807" spans="1:18" ht="13.5" customHeight="1" x14ac:dyDescent="0.25">
      <c r="A807" s="9">
        <v>46134</v>
      </c>
      <c r="B807" s="10" t="s">
        <v>1349</v>
      </c>
      <c r="C807" s="11" t="s">
        <v>811</v>
      </c>
      <c r="D807" s="27" t="s">
        <v>895</v>
      </c>
      <c r="E807" s="12" t="s">
        <v>1072</v>
      </c>
      <c r="F807" s="26" t="s">
        <v>896</v>
      </c>
      <c r="G807" s="13">
        <v>250</v>
      </c>
      <c r="H807" s="14">
        <v>250</v>
      </c>
      <c r="I807" s="15">
        <v>22.22</v>
      </c>
      <c r="J807" s="16"/>
      <c r="K807" s="17">
        <v>5555</v>
      </c>
      <c r="L807" s="18">
        <v>46134</v>
      </c>
      <c r="M807" s="6" t="str">
        <f t="shared" si="36"/>
        <v>Due order</v>
      </c>
      <c r="N807" s="8">
        <f t="shared" ca="1" si="37"/>
        <v>-21</v>
      </c>
      <c r="O807" s="8" t="str">
        <f t="shared" ca="1" si="38"/>
        <v>With in 90 days</v>
      </c>
      <c r="P807" t="str">
        <f>VLOOKUP(C807,[1]Customer_Master!$A:$B,2,0)</f>
        <v>Group-4 ( Office Account)</v>
      </c>
      <c r="Q807" t="str">
        <f>VLOOKUP(D807,[2]Template!$A:$D,3,0)</f>
        <v>LAPP</v>
      </c>
      <c r="R807" t="str">
        <f>VLOOKUP(D807,[2]Template!$A:$D,4,0)</f>
        <v>Lapp-Against Customer PO</v>
      </c>
    </row>
    <row r="808" spans="1:18" ht="13.5" customHeight="1" x14ac:dyDescent="0.25">
      <c r="A808" s="9">
        <v>46134</v>
      </c>
      <c r="B808" s="10" t="s">
        <v>1349</v>
      </c>
      <c r="C808" s="11" t="s">
        <v>811</v>
      </c>
      <c r="D808" s="10" t="s">
        <v>1039</v>
      </c>
      <c r="E808" s="12" t="s">
        <v>1072</v>
      </c>
      <c r="F808" s="12" t="s">
        <v>1040</v>
      </c>
      <c r="G808" s="13">
        <v>250</v>
      </c>
      <c r="H808" s="14">
        <v>250</v>
      </c>
      <c r="I808" s="15">
        <v>22.22</v>
      </c>
      <c r="J808" s="16"/>
      <c r="K808" s="17">
        <v>5555</v>
      </c>
      <c r="L808" s="18">
        <v>46134</v>
      </c>
      <c r="M808" s="6" t="str">
        <f t="shared" si="36"/>
        <v>Due order</v>
      </c>
      <c r="N808" s="8">
        <f t="shared" ca="1" si="37"/>
        <v>-21</v>
      </c>
      <c r="O808" s="8" t="str">
        <f t="shared" ca="1" si="38"/>
        <v>With in 90 days</v>
      </c>
      <c r="P808" t="str">
        <f>VLOOKUP(C808,[1]Customer_Master!$A:$B,2,0)</f>
        <v>Group-4 ( Office Account)</v>
      </c>
      <c r="Q808" t="str">
        <f>VLOOKUP(D808,[2]Template!$A:$D,3,0)</f>
        <v>LAPP</v>
      </c>
      <c r="R808" t="str">
        <f>VLOOKUP(D808,[2]Template!$A:$D,4,0)</f>
        <v>Lapp-AMS Group</v>
      </c>
    </row>
    <row r="809" spans="1:18" ht="13.5" customHeight="1" x14ac:dyDescent="0.25">
      <c r="A809" s="9">
        <v>46134</v>
      </c>
      <c r="B809" s="10" t="s">
        <v>1356</v>
      </c>
      <c r="C809" s="11" t="s">
        <v>1357</v>
      </c>
      <c r="D809" s="27" t="s">
        <v>797</v>
      </c>
      <c r="E809" s="12" t="s">
        <v>1072</v>
      </c>
      <c r="F809" s="12" t="s">
        <v>798</v>
      </c>
      <c r="G809" s="13">
        <v>180</v>
      </c>
      <c r="H809" s="14">
        <v>180</v>
      </c>
      <c r="I809" s="15">
        <v>203.41</v>
      </c>
      <c r="J809" s="16"/>
      <c r="K809" s="17">
        <v>36613.800000000003</v>
      </c>
      <c r="L809" s="18">
        <v>46134</v>
      </c>
      <c r="M809" s="6" t="str">
        <f t="shared" si="36"/>
        <v>Due order</v>
      </c>
      <c r="N809" s="8">
        <f t="shared" ca="1" si="37"/>
        <v>-21</v>
      </c>
      <c r="O809" s="8" t="str">
        <f t="shared" ca="1" si="38"/>
        <v>With in 90 days</v>
      </c>
      <c r="P809" t="str">
        <f>VLOOKUP(C809,[1]Customer_Master!$A:$B,2,0)</f>
        <v>Group 1-Giridhar-Peenya</v>
      </c>
      <c r="Q809" t="str">
        <f>VLOOKUP(D809,[2]Template!$A:$D,3,0)</f>
        <v>LAPP</v>
      </c>
      <c r="R809" t="str">
        <f>VLOOKUP(D809,[2]Template!$A:$D,4,0)</f>
        <v>Lapp-Against Customer PO</v>
      </c>
    </row>
    <row r="810" spans="1:18" ht="13.5" customHeight="1" x14ac:dyDescent="0.25">
      <c r="A810" s="9">
        <v>46134</v>
      </c>
      <c r="B810" s="10" t="s">
        <v>1358</v>
      </c>
      <c r="C810" s="11" t="s">
        <v>116</v>
      </c>
      <c r="D810" s="10" t="s">
        <v>880</v>
      </c>
      <c r="E810" s="12" t="s">
        <v>1072</v>
      </c>
      <c r="F810" s="12" t="s">
        <v>881</v>
      </c>
      <c r="G810" s="13">
        <v>40</v>
      </c>
      <c r="H810" s="14">
        <v>40</v>
      </c>
      <c r="I810" s="15">
        <v>148.66</v>
      </c>
      <c r="J810" s="16"/>
      <c r="K810" s="17">
        <v>5946.4</v>
      </c>
      <c r="L810" s="18">
        <v>46142</v>
      </c>
      <c r="M810" s="6" t="str">
        <f t="shared" si="36"/>
        <v>Schedule order</v>
      </c>
      <c r="N810" s="8">
        <f t="shared" ca="1" si="37"/>
        <v>-13</v>
      </c>
      <c r="O810" s="8" t="str">
        <f t="shared" ca="1" si="38"/>
        <v>With in 90 days</v>
      </c>
      <c r="P810" t="str">
        <f>VLOOKUP(C810,[1]Customer_Master!$A:$B,2,0)</f>
        <v>Group-2 (Veeresh- Bomsdr+Hosur)</v>
      </c>
      <c r="Q810" t="str">
        <f>VLOOKUP(D810,[2]Template!$A:$D,3,0)</f>
        <v>LAPP</v>
      </c>
      <c r="R810" t="str">
        <f>VLOOKUP(D810,[2]Template!$A:$D,4,0)</f>
        <v>Lapp-Non Moving Stocks</v>
      </c>
    </row>
    <row r="811" spans="1:18" ht="13.5" customHeight="1" x14ac:dyDescent="0.25">
      <c r="A811" s="9">
        <v>46134</v>
      </c>
      <c r="B811" s="10" t="s">
        <v>1358</v>
      </c>
      <c r="C811" s="11" t="s">
        <v>116</v>
      </c>
      <c r="D811" s="10" t="s">
        <v>524</v>
      </c>
      <c r="E811" s="12" t="s">
        <v>1072</v>
      </c>
      <c r="F811" s="12" t="s">
        <v>525</v>
      </c>
      <c r="G811" s="13">
        <v>50</v>
      </c>
      <c r="H811" s="14">
        <v>50</v>
      </c>
      <c r="I811" s="15">
        <v>135.85</v>
      </c>
      <c r="J811" s="16"/>
      <c r="K811" s="17">
        <v>6792.5</v>
      </c>
      <c r="L811" s="18">
        <v>46142</v>
      </c>
      <c r="M811" s="6" t="str">
        <f t="shared" si="36"/>
        <v>Schedule order</v>
      </c>
      <c r="N811" s="8">
        <f t="shared" ca="1" si="37"/>
        <v>-13</v>
      </c>
      <c r="O811" s="8" t="str">
        <f t="shared" ca="1" si="38"/>
        <v>With in 90 days</v>
      </c>
      <c r="P811" t="str">
        <f>VLOOKUP(C811,[1]Customer_Master!$A:$B,2,0)</f>
        <v>Group-2 (Veeresh- Bomsdr+Hosur)</v>
      </c>
      <c r="Q811" t="str">
        <f>VLOOKUP(D811,[2]Template!$A:$D,3,0)</f>
        <v>LAPP</v>
      </c>
      <c r="R811" t="str">
        <f>VLOOKUP(D811,[2]Template!$A:$D,4,0)</f>
        <v>Lapp-Planned Stock General</v>
      </c>
    </row>
    <row r="812" spans="1:18" ht="13.5" customHeight="1" x14ac:dyDescent="0.25">
      <c r="A812" s="9">
        <v>46134</v>
      </c>
      <c r="B812" s="10" t="s">
        <v>1359</v>
      </c>
      <c r="C812" s="11" t="s">
        <v>617</v>
      </c>
      <c r="D812" s="10" t="s">
        <v>452</v>
      </c>
      <c r="E812" s="12" t="s">
        <v>1072</v>
      </c>
      <c r="F812" s="12" t="s">
        <v>278</v>
      </c>
      <c r="G812" s="13">
        <v>1000</v>
      </c>
      <c r="H812" s="14">
        <v>1000</v>
      </c>
      <c r="I812" s="15">
        <v>85.99</v>
      </c>
      <c r="J812" s="16"/>
      <c r="K812" s="17">
        <v>85990</v>
      </c>
      <c r="L812" s="18">
        <v>46134</v>
      </c>
      <c r="M812" s="6" t="str">
        <f t="shared" si="36"/>
        <v>Due order</v>
      </c>
      <c r="N812" s="8">
        <f t="shared" ca="1" si="37"/>
        <v>-21</v>
      </c>
      <c r="O812" s="8" t="str">
        <f t="shared" ca="1" si="38"/>
        <v>With in 90 days</v>
      </c>
      <c r="P812" t="str">
        <f>VLOOKUP(C812,[1]Customer_Master!$A:$B,2,0)</f>
        <v>Group 1-Giridhar-Peenya</v>
      </c>
      <c r="Q812" t="str">
        <f>VLOOKUP(D812,[2]Template!$A:$D,3,0)</f>
        <v>LAPP</v>
      </c>
      <c r="R812" t="str">
        <f>VLOOKUP(D812,[2]Template!$A:$D,4,0)</f>
        <v>Lapp-Planned Stock General</v>
      </c>
    </row>
    <row r="813" spans="1:18" ht="13.5" customHeight="1" x14ac:dyDescent="0.25">
      <c r="A813" s="9">
        <v>46134</v>
      </c>
      <c r="B813" s="10" t="s">
        <v>1360</v>
      </c>
      <c r="C813" s="11" t="s">
        <v>1361</v>
      </c>
      <c r="D813" s="10" t="s">
        <v>339</v>
      </c>
      <c r="E813" s="12" t="s">
        <v>1072</v>
      </c>
      <c r="F813" s="12" t="s">
        <v>124</v>
      </c>
      <c r="G813" s="13">
        <v>6000</v>
      </c>
      <c r="H813" s="14">
        <v>3500</v>
      </c>
      <c r="I813" s="15">
        <v>20.46</v>
      </c>
      <c r="J813" s="16"/>
      <c r="K813" s="17">
        <v>71610</v>
      </c>
      <c r="L813" s="18">
        <v>46195</v>
      </c>
      <c r="M813" s="6" t="str">
        <f t="shared" si="36"/>
        <v>Schedule order</v>
      </c>
      <c r="N813" s="8">
        <f t="shared" ca="1" si="37"/>
        <v>40</v>
      </c>
      <c r="O813" s="8" t="str">
        <f t="shared" ca="1" si="38"/>
        <v>Lattest or shedule order</v>
      </c>
      <c r="P813" t="str">
        <f>VLOOKUP(C813,[1]Customer_Master!$A:$B,2,0)</f>
        <v>Group 1-Giridhar-Peenya</v>
      </c>
      <c r="Q813" t="str">
        <f>VLOOKUP(D813,[2]Template!$A:$D,3,0)</f>
        <v>LAPP</v>
      </c>
      <c r="R813" t="str">
        <f>VLOOKUP(D813,[2]Template!$A:$D,4,0)</f>
        <v>Lapp-Planned Stock General</v>
      </c>
    </row>
    <row r="814" spans="1:18" ht="13.5" customHeight="1" x14ac:dyDescent="0.25">
      <c r="A814" s="9">
        <v>46134</v>
      </c>
      <c r="B814" s="10" t="s">
        <v>1360</v>
      </c>
      <c r="C814" s="11" t="s">
        <v>1361</v>
      </c>
      <c r="D814" s="10" t="s">
        <v>339</v>
      </c>
      <c r="E814" s="12" t="s">
        <v>1072</v>
      </c>
      <c r="F814" s="12" t="s">
        <v>124</v>
      </c>
      <c r="G814" s="13">
        <v>6000</v>
      </c>
      <c r="H814" s="14">
        <v>6000</v>
      </c>
      <c r="I814" s="15">
        <v>20.46</v>
      </c>
      <c r="J814" s="16"/>
      <c r="K814" s="17">
        <v>122760</v>
      </c>
      <c r="L814" s="18">
        <v>46225</v>
      </c>
      <c r="M814" s="6" t="str">
        <f t="shared" si="36"/>
        <v>Schedule order</v>
      </c>
      <c r="N814" s="8">
        <f t="shared" ca="1" si="37"/>
        <v>70</v>
      </c>
      <c r="O814" s="8" t="str">
        <f t="shared" ca="1" si="38"/>
        <v>Lattest or shedule order</v>
      </c>
      <c r="P814" t="str">
        <f>VLOOKUP(C814,[1]Customer_Master!$A:$B,2,0)</f>
        <v>Group 1-Giridhar-Peenya</v>
      </c>
      <c r="Q814" t="str">
        <f>VLOOKUP(D814,[2]Template!$A:$D,3,0)</f>
        <v>LAPP</v>
      </c>
      <c r="R814" t="str">
        <f>VLOOKUP(D814,[2]Template!$A:$D,4,0)</f>
        <v>Lapp-Planned Stock General</v>
      </c>
    </row>
    <row r="815" spans="1:18" ht="13.5" customHeight="1" x14ac:dyDescent="0.25">
      <c r="A815" s="9">
        <v>46134</v>
      </c>
      <c r="B815" s="10" t="s">
        <v>1360</v>
      </c>
      <c r="C815" s="11" t="s">
        <v>1361</v>
      </c>
      <c r="D815" s="10" t="s">
        <v>317</v>
      </c>
      <c r="E815" s="12" t="s">
        <v>1072</v>
      </c>
      <c r="F815" s="12" t="s">
        <v>71</v>
      </c>
      <c r="G815" s="13">
        <v>8000</v>
      </c>
      <c r="H815" s="14">
        <v>2000</v>
      </c>
      <c r="I815" s="15">
        <v>7.87</v>
      </c>
      <c r="J815" s="16"/>
      <c r="K815" s="17">
        <v>15740</v>
      </c>
      <c r="L815" s="18">
        <v>46195</v>
      </c>
      <c r="M815" s="6" t="str">
        <f t="shared" si="36"/>
        <v>Schedule order</v>
      </c>
      <c r="N815" s="8">
        <f t="shared" ca="1" si="37"/>
        <v>40</v>
      </c>
      <c r="O815" s="8" t="str">
        <f t="shared" ca="1" si="38"/>
        <v>Lattest or shedule order</v>
      </c>
      <c r="P815" t="str">
        <f>VLOOKUP(C815,[1]Customer_Master!$A:$B,2,0)</f>
        <v>Group 1-Giridhar-Peenya</v>
      </c>
      <c r="Q815" t="str">
        <f>VLOOKUP(D815,[2]Template!$A:$D,3,0)</f>
        <v>LAPP</v>
      </c>
      <c r="R815" t="str">
        <f>VLOOKUP(D815,[2]Template!$A:$D,4,0)</f>
        <v>Lapp-Planned Stock General</v>
      </c>
    </row>
    <row r="816" spans="1:18" ht="13.5" customHeight="1" x14ac:dyDescent="0.25">
      <c r="A816" s="9">
        <v>46134</v>
      </c>
      <c r="B816" s="10" t="s">
        <v>1360</v>
      </c>
      <c r="C816" s="11" t="s">
        <v>1361</v>
      </c>
      <c r="D816" s="10" t="s">
        <v>317</v>
      </c>
      <c r="E816" s="12" t="s">
        <v>1072</v>
      </c>
      <c r="F816" s="12" t="s">
        <v>71</v>
      </c>
      <c r="G816" s="13">
        <v>8000</v>
      </c>
      <c r="H816" s="14">
        <v>8000</v>
      </c>
      <c r="I816" s="15">
        <v>7.87</v>
      </c>
      <c r="J816" s="16"/>
      <c r="K816" s="17">
        <v>62960</v>
      </c>
      <c r="L816" s="18">
        <v>46225</v>
      </c>
      <c r="M816" s="6" t="str">
        <f t="shared" si="36"/>
        <v>Schedule order</v>
      </c>
      <c r="N816" s="8">
        <f t="shared" ca="1" si="37"/>
        <v>70</v>
      </c>
      <c r="O816" s="8" t="str">
        <f t="shared" ca="1" si="38"/>
        <v>Lattest or shedule order</v>
      </c>
      <c r="P816" t="str">
        <f>VLOOKUP(C816,[1]Customer_Master!$A:$B,2,0)</f>
        <v>Group 1-Giridhar-Peenya</v>
      </c>
      <c r="Q816" t="str">
        <f>VLOOKUP(D816,[2]Template!$A:$D,3,0)</f>
        <v>LAPP</v>
      </c>
      <c r="R816" t="str">
        <f>VLOOKUP(D816,[2]Template!$A:$D,4,0)</f>
        <v>Lapp-Planned Stock General</v>
      </c>
    </row>
    <row r="817" spans="1:18" ht="13.5" customHeight="1" x14ac:dyDescent="0.25">
      <c r="A817" s="9">
        <v>46134</v>
      </c>
      <c r="B817" s="10" t="s">
        <v>1360</v>
      </c>
      <c r="C817" s="11" t="s">
        <v>1361</v>
      </c>
      <c r="D817" s="10" t="s">
        <v>357</v>
      </c>
      <c r="E817" s="12" t="s">
        <v>1072</v>
      </c>
      <c r="F817" s="12" t="s">
        <v>53</v>
      </c>
      <c r="G817" s="13">
        <v>800</v>
      </c>
      <c r="H817" s="14">
        <v>500</v>
      </c>
      <c r="I817" s="15">
        <v>20.46</v>
      </c>
      <c r="J817" s="16"/>
      <c r="K817" s="17">
        <v>10230</v>
      </c>
      <c r="L817" s="18">
        <v>46225</v>
      </c>
      <c r="M817" s="6" t="str">
        <f t="shared" si="36"/>
        <v>Schedule order</v>
      </c>
      <c r="N817" s="8">
        <f t="shared" ca="1" si="37"/>
        <v>70</v>
      </c>
      <c r="O817" s="8" t="str">
        <f t="shared" ca="1" si="38"/>
        <v>Lattest or shedule order</v>
      </c>
      <c r="P817" t="str">
        <f>VLOOKUP(C817,[1]Customer_Master!$A:$B,2,0)</f>
        <v>Group 1-Giridhar-Peenya</v>
      </c>
      <c r="Q817" t="str">
        <f>VLOOKUP(D817,[2]Template!$A:$D,3,0)</f>
        <v>LAPP</v>
      </c>
      <c r="R817" t="str">
        <f>VLOOKUP(D817,[2]Template!$A:$D,4,0)</f>
        <v>Lapp-Planned Stock General</v>
      </c>
    </row>
    <row r="818" spans="1:18" ht="13.5" customHeight="1" x14ac:dyDescent="0.25">
      <c r="A818" s="9">
        <v>46134</v>
      </c>
      <c r="B818" s="10" t="s">
        <v>1360</v>
      </c>
      <c r="C818" s="11" t="s">
        <v>1361</v>
      </c>
      <c r="D818" s="10" t="s">
        <v>362</v>
      </c>
      <c r="E818" s="12" t="s">
        <v>1072</v>
      </c>
      <c r="F818" s="12" t="s">
        <v>145</v>
      </c>
      <c r="G818" s="13">
        <v>500</v>
      </c>
      <c r="H818" s="14">
        <v>300</v>
      </c>
      <c r="I818" s="15">
        <v>47.4</v>
      </c>
      <c r="J818" s="16"/>
      <c r="K818" s="17">
        <v>14220</v>
      </c>
      <c r="L818" s="18">
        <v>46225</v>
      </c>
      <c r="M818" s="6" t="str">
        <f t="shared" si="36"/>
        <v>Schedule order</v>
      </c>
      <c r="N818" s="8">
        <f t="shared" ca="1" si="37"/>
        <v>70</v>
      </c>
      <c r="O818" s="8" t="str">
        <f t="shared" ca="1" si="38"/>
        <v>Lattest or shedule order</v>
      </c>
      <c r="P818" t="str">
        <f>VLOOKUP(C818,[1]Customer_Master!$A:$B,2,0)</f>
        <v>Group 1-Giridhar-Peenya</v>
      </c>
      <c r="Q818" t="str">
        <f>VLOOKUP(D818,[2]Template!$A:$D,3,0)</f>
        <v>LAPP</v>
      </c>
      <c r="R818" t="str">
        <f>VLOOKUP(D818,[2]Template!$A:$D,4,0)</f>
        <v>Lapp-Ace Group</v>
      </c>
    </row>
    <row r="819" spans="1:18" ht="13.5" customHeight="1" x14ac:dyDescent="0.25">
      <c r="A819" s="9">
        <v>46134</v>
      </c>
      <c r="B819" s="10" t="s">
        <v>1360</v>
      </c>
      <c r="C819" s="11" t="s">
        <v>1361</v>
      </c>
      <c r="D819" s="10" t="s">
        <v>1629</v>
      </c>
      <c r="E819" s="12" t="s">
        <v>1072</v>
      </c>
      <c r="F819" s="12" t="s">
        <v>1630</v>
      </c>
      <c r="G819" s="13">
        <v>300</v>
      </c>
      <c r="H819" s="14">
        <v>300</v>
      </c>
      <c r="I819" s="15">
        <v>20.83</v>
      </c>
      <c r="J819" s="16"/>
      <c r="K819" s="17">
        <v>6249</v>
      </c>
      <c r="L819" s="18">
        <v>46195</v>
      </c>
      <c r="M819" s="6" t="str">
        <f t="shared" si="36"/>
        <v>Schedule order</v>
      </c>
      <c r="N819" s="8">
        <f t="shared" ca="1" si="37"/>
        <v>40</v>
      </c>
      <c r="O819" s="8" t="str">
        <f t="shared" ca="1" si="38"/>
        <v>Lattest or shedule order</v>
      </c>
      <c r="P819" t="str">
        <f>VLOOKUP(C819,[1]Customer_Master!$A:$B,2,0)</f>
        <v>Group 1-Giridhar-Peenya</v>
      </c>
      <c r="Q819" t="str">
        <f>VLOOKUP(D819,[2]Template!$A:$D,3,0)</f>
        <v>LAPP</v>
      </c>
      <c r="R819" t="str">
        <f>VLOOKUP(D819,[2]Template!$A:$D,4,0)</f>
        <v>Lapp-AMS Group</v>
      </c>
    </row>
    <row r="820" spans="1:18" ht="13.5" customHeight="1" x14ac:dyDescent="0.25">
      <c r="A820" s="9">
        <v>46134</v>
      </c>
      <c r="B820" s="10" t="s">
        <v>1360</v>
      </c>
      <c r="C820" s="11" t="s">
        <v>1361</v>
      </c>
      <c r="D820" s="10" t="s">
        <v>1629</v>
      </c>
      <c r="E820" s="12" t="s">
        <v>1072</v>
      </c>
      <c r="F820" s="12" t="s">
        <v>1630</v>
      </c>
      <c r="G820" s="13">
        <v>500</v>
      </c>
      <c r="H820" s="14">
        <v>500</v>
      </c>
      <c r="I820" s="15">
        <v>20.83</v>
      </c>
      <c r="J820" s="16"/>
      <c r="K820" s="17">
        <v>10415</v>
      </c>
      <c r="L820" s="18">
        <v>46225</v>
      </c>
      <c r="M820" s="6" t="str">
        <f t="shared" si="36"/>
        <v>Schedule order</v>
      </c>
      <c r="N820" s="8">
        <f t="shared" ca="1" si="37"/>
        <v>70</v>
      </c>
      <c r="O820" s="8" t="str">
        <f t="shared" ca="1" si="38"/>
        <v>Lattest or shedule order</v>
      </c>
      <c r="P820" t="str">
        <f>VLOOKUP(C820,[1]Customer_Master!$A:$B,2,0)</f>
        <v>Group 1-Giridhar-Peenya</v>
      </c>
      <c r="Q820" t="str">
        <f>VLOOKUP(D820,[2]Template!$A:$D,3,0)</f>
        <v>LAPP</v>
      </c>
      <c r="R820" t="str">
        <f>VLOOKUP(D820,[2]Template!$A:$D,4,0)</f>
        <v>Lapp-AMS Group</v>
      </c>
    </row>
    <row r="821" spans="1:18" ht="13.5" customHeight="1" x14ac:dyDescent="0.25">
      <c r="A821" s="9">
        <v>46134</v>
      </c>
      <c r="B821" s="10" t="s">
        <v>1360</v>
      </c>
      <c r="C821" s="11" t="s">
        <v>1361</v>
      </c>
      <c r="D821" s="10" t="s">
        <v>326</v>
      </c>
      <c r="E821" s="12" t="s">
        <v>1072</v>
      </c>
      <c r="F821" s="12" t="s">
        <v>95</v>
      </c>
      <c r="G821" s="13">
        <v>500</v>
      </c>
      <c r="H821" s="14">
        <v>500</v>
      </c>
      <c r="I821" s="15">
        <v>84.65</v>
      </c>
      <c r="J821" s="16"/>
      <c r="K821" s="17">
        <v>42325</v>
      </c>
      <c r="L821" s="18">
        <v>46195</v>
      </c>
      <c r="M821" s="6" t="str">
        <f t="shared" si="36"/>
        <v>Schedule order</v>
      </c>
      <c r="N821" s="8">
        <f t="shared" ca="1" si="37"/>
        <v>40</v>
      </c>
      <c r="O821" s="8" t="str">
        <f t="shared" ca="1" si="38"/>
        <v>Lattest or shedule order</v>
      </c>
      <c r="P821" t="str">
        <f>VLOOKUP(C821,[1]Customer_Master!$A:$B,2,0)</f>
        <v>Group 1-Giridhar-Peenya</v>
      </c>
      <c r="Q821" t="str">
        <f>VLOOKUP(D821,[2]Template!$A:$D,3,0)</f>
        <v>LAPP</v>
      </c>
      <c r="R821" t="str">
        <f>VLOOKUP(D821,[2]Template!$A:$D,4,0)</f>
        <v>Lapp-Planned Stock General</v>
      </c>
    </row>
    <row r="822" spans="1:18" ht="13.5" customHeight="1" x14ac:dyDescent="0.25">
      <c r="A822" s="9">
        <v>46134</v>
      </c>
      <c r="B822" s="10" t="s">
        <v>1360</v>
      </c>
      <c r="C822" s="11" t="s">
        <v>1361</v>
      </c>
      <c r="D822" s="10" t="s">
        <v>326</v>
      </c>
      <c r="E822" s="12" t="s">
        <v>1072</v>
      </c>
      <c r="F822" s="12" t="s">
        <v>95</v>
      </c>
      <c r="G822" s="13">
        <v>1000</v>
      </c>
      <c r="H822" s="14">
        <v>1000</v>
      </c>
      <c r="I822" s="15">
        <v>84.65</v>
      </c>
      <c r="J822" s="16"/>
      <c r="K822" s="17">
        <v>84650</v>
      </c>
      <c r="L822" s="18">
        <v>46225</v>
      </c>
      <c r="M822" s="6" t="str">
        <f t="shared" si="36"/>
        <v>Schedule order</v>
      </c>
      <c r="N822" s="8">
        <f t="shared" ca="1" si="37"/>
        <v>70</v>
      </c>
      <c r="O822" s="8" t="str">
        <f t="shared" ca="1" si="38"/>
        <v>Lattest or shedule order</v>
      </c>
      <c r="P822" t="str">
        <f>VLOOKUP(C822,[1]Customer_Master!$A:$B,2,0)</f>
        <v>Group 1-Giridhar-Peenya</v>
      </c>
      <c r="Q822" t="str">
        <f>VLOOKUP(D822,[2]Template!$A:$D,3,0)</f>
        <v>LAPP</v>
      </c>
      <c r="R822" t="str">
        <f>VLOOKUP(D822,[2]Template!$A:$D,4,0)</f>
        <v>Lapp-Planned Stock General</v>
      </c>
    </row>
    <row r="823" spans="1:18" ht="13.5" customHeight="1" x14ac:dyDescent="0.25">
      <c r="A823" s="9">
        <v>46134</v>
      </c>
      <c r="B823" s="10" t="s">
        <v>1360</v>
      </c>
      <c r="C823" s="11" t="s">
        <v>1361</v>
      </c>
      <c r="D823" s="10" t="s">
        <v>335</v>
      </c>
      <c r="E823" s="12" t="s">
        <v>1072</v>
      </c>
      <c r="F823" s="12" t="s">
        <v>122</v>
      </c>
      <c r="G823" s="13">
        <v>200</v>
      </c>
      <c r="H823" s="14">
        <v>200</v>
      </c>
      <c r="I823" s="15">
        <v>33.590000000000003</v>
      </c>
      <c r="J823" s="16"/>
      <c r="K823" s="17">
        <v>6718</v>
      </c>
      <c r="L823" s="18">
        <v>46195</v>
      </c>
      <c r="M823" s="6" t="str">
        <f t="shared" si="36"/>
        <v>Schedule order</v>
      </c>
      <c r="N823" s="8">
        <f t="shared" ca="1" si="37"/>
        <v>40</v>
      </c>
      <c r="O823" s="8" t="str">
        <f t="shared" ca="1" si="38"/>
        <v>Lattest or shedule order</v>
      </c>
      <c r="P823" t="str">
        <f>VLOOKUP(C823,[1]Customer_Master!$A:$B,2,0)</f>
        <v>Group 1-Giridhar-Peenya</v>
      </c>
      <c r="Q823" t="str">
        <f>VLOOKUP(D823,[2]Template!$A:$D,3,0)</f>
        <v>LAPP</v>
      </c>
      <c r="R823" t="str">
        <f>VLOOKUP(D823,[2]Template!$A:$D,4,0)</f>
        <v>Lapp-Planned Stock General</v>
      </c>
    </row>
    <row r="824" spans="1:18" ht="13.5" customHeight="1" x14ac:dyDescent="0.25">
      <c r="A824" s="9">
        <v>46134</v>
      </c>
      <c r="B824" s="10" t="s">
        <v>1360</v>
      </c>
      <c r="C824" s="11" t="s">
        <v>1361</v>
      </c>
      <c r="D824" s="10" t="s">
        <v>335</v>
      </c>
      <c r="E824" s="12" t="s">
        <v>1072</v>
      </c>
      <c r="F824" s="12" t="s">
        <v>122</v>
      </c>
      <c r="G824" s="13">
        <v>300</v>
      </c>
      <c r="H824" s="14">
        <v>300</v>
      </c>
      <c r="I824" s="15">
        <v>33.590000000000003</v>
      </c>
      <c r="J824" s="16"/>
      <c r="K824" s="17">
        <v>10077</v>
      </c>
      <c r="L824" s="18">
        <v>46225</v>
      </c>
      <c r="M824" s="6" t="str">
        <f t="shared" si="36"/>
        <v>Schedule order</v>
      </c>
      <c r="N824" s="8">
        <f t="shared" ca="1" si="37"/>
        <v>70</v>
      </c>
      <c r="O824" s="8" t="str">
        <f t="shared" ca="1" si="38"/>
        <v>Lattest or shedule order</v>
      </c>
      <c r="P824" t="str">
        <f>VLOOKUP(C824,[1]Customer_Master!$A:$B,2,0)</f>
        <v>Group 1-Giridhar-Peenya</v>
      </c>
      <c r="Q824" t="str">
        <f>VLOOKUP(D824,[2]Template!$A:$D,3,0)</f>
        <v>LAPP</v>
      </c>
      <c r="R824" t="str">
        <f>VLOOKUP(D824,[2]Template!$A:$D,4,0)</f>
        <v>Lapp-Planned Stock General</v>
      </c>
    </row>
    <row r="825" spans="1:18" ht="13.5" customHeight="1" x14ac:dyDescent="0.25">
      <c r="A825" s="9">
        <v>46134</v>
      </c>
      <c r="B825" s="10" t="s">
        <v>1360</v>
      </c>
      <c r="C825" s="11" t="s">
        <v>1361</v>
      </c>
      <c r="D825" s="10" t="s">
        <v>334</v>
      </c>
      <c r="E825" s="12" t="s">
        <v>1072</v>
      </c>
      <c r="F825" s="12" t="s">
        <v>87</v>
      </c>
      <c r="G825" s="13">
        <v>300</v>
      </c>
      <c r="H825" s="14">
        <v>300</v>
      </c>
      <c r="I825" s="15">
        <v>33.590000000000003</v>
      </c>
      <c r="J825" s="16"/>
      <c r="K825" s="17">
        <v>10077</v>
      </c>
      <c r="L825" s="18">
        <v>46195</v>
      </c>
      <c r="M825" s="6" t="str">
        <f t="shared" si="36"/>
        <v>Schedule order</v>
      </c>
      <c r="N825" s="8">
        <f t="shared" ca="1" si="37"/>
        <v>40</v>
      </c>
      <c r="O825" s="8" t="str">
        <f t="shared" ca="1" si="38"/>
        <v>Lattest or shedule order</v>
      </c>
      <c r="P825" t="str">
        <f>VLOOKUP(C825,[1]Customer_Master!$A:$B,2,0)</f>
        <v>Group 1-Giridhar-Peenya</v>
      </c>
      <c r="Q825" t="str">
        <f>VLOOKUP(D825,[2]Template!$A:$D,3,0)</f>
        <v>LAPP</v>
      </c>
      <c r="R825" t="str">
        <f>VLOOKUP(D825,[2]Template!$A:$D,4,0)</f>
        <v>Lapp-Planned Stock General</v>
      </c>
    </row>
    <row r="826" spans="1:18" ht="13.5" customHeight="1" x14ac:dyDescent="0.25">
      <c r="A826" s="9">
        <v>46134</v>
      </c>
      <c r="B826" s="10" t="s">
        <v>1360</v>
      </c>
      <c r="C826" s="11" t="s">
        <v>1361</v>
      </c>
      <c r="D826" s="10" t="s">
        <v>334</v>
      </c>
      <c r="E826" s="12" t="s">
        <v>1072</v>
      </c>
      <c r="F826" s="12" t="s">
        <v>87</v>
      </c>
      <c r="G826" s="13">
        <v>500</v>
      </c>
      <c r="H826" s="14">
        <v>500</v>
      </c>
      <c r="I826" s="15">
        <v>33.590000000000003</v>
      </c>
      <c r="J826" s="16"/>
      <c r="K826" s="17">
        <v>16795</v>
      </c>
      <c r="L826" s="18">
        <v>46225</v>
      </c>
      <c r="M826" s="6" t="str">
        <f t="shared" si="36"/>
        <v>Schedule order</v>
      </c>
      <c r="N826" s="8">
        <f t="shared" ca="1" si="37"/>
        <v>70</v>
      </c>
      <c r="O826" s="8" t="str">
        <f t="shared" ca="1" si="38"/>
        <v>Lattest or shedule order</v>
      </c>
      <c r="P826" t="str">
        <f>VLOOKUP(C826,[1]Customer_Master!$A:$B,2,0)</f>
        <v>Group 1-Giridhar-Peenya</v>
      </c>
      <c r="Q826" t="str">
        <f>VLOOKUP(D826,[2]Template!$A:$D,3,0)</f>
        <v>LAPP</v>
      </c>
      <c r="R826" t="str">
        <f>VLOOKUP(D826,[2]Template!$A:$D,4,0)</f>
        <v>Lapp-Planned Stock General</v>
      </c>
    </row>
    <row r="827" spans="1:18" ht="13.5" customHeight="1" x14ac:dyDescent="0.25">
      <c r="A827" s="9">
        <v>46134</v>
      </c>
      <c r="B827" s="10" t="s">
        <v>1362</v>
      </c>
      <c r="C827" s="11" t="s">
        <v>1363</v>
      </c>
      <c r="D827" s="10" t="s">
        <v>712</v>
      </c>
      <c r="E827" s="12" t="s">
        <v>1072</v>
      </c>
      <c r="F827" s="12" t="s">
        <v>713</v>
      </c>
      <c r="G827" s="13">
        <v>100</v>
      </c>
      <c r="H827" s="14">
        <v>100</v>
      </c>
      <c r="I827" s="15">
        <v>402.64</v>
      </c>
      <c r="J827" s="16"/>
      <c r="K827" s="17">
        <v>40264</v>
      </c>
      <c r="L827" s="18">
        <v>46134</v>
      </c>
      <c r="M827" s="6" t="str">
        <f t="shared" si="36"/>
        <v>Due order</v>
      </c>
      <c r="N827" s="8">
        <f t="shared" ca="1" si="37"/>
        <v>-21</v>
      </c>
      <c r="O827" s="8" t="str">
        <f t="shared" ca="1" si="38"/>
        <v>With in 90 days</v>
      </c>
      <c r="P827" t="str">
        <f>VLOOKUP(C827,[1]Customer_Master!$A:$B,2,0)</f>
        <v>Group 1-Giridhar-Peenya</v>
      </c>
      <c r="Q827" t="str">
        <f>VLOOKUP(D827,[2]Template!$A:$D,3,0)</f>
        <v>LAPP</v>
      </c>
      <c r="R827" t="str">
        <f>VLOOKUP(D827,[2]Template!$A:$D,4,0)</f>
        <v>Lapp-Planned Stock General</v>
      </c>
    </row>
    <row r="828" spans="1:18" ht="13.5" customHeight="1" x14ac:dyDescent="0.25">
      <c r="A828" s="9">
        <v>46135</v>
      </c>
      <c r="B828" s="10" t="s">
        <v>1364</v>
      </c>
      <c r="C828" s="11" t="s">
        <v>76</v>
      </c>
      <c r="D828" s="10" t="s">
        <v>1073</v>
      </c>
      <c r="E828" s="12" t="s">
        <v>1072</v>
      </c>
      <c r="F828" s="12" t="s">
        <v>1074</v>
      </c>
      <c r="G828" s="19">
        <v>75</v>
      </c>
      <c r="H828" s="20">
        <v>75</v>
      </c>
      <c r="I828" s="15">
        <v>187</v>
      </c>
      <c r="J828" s="16"/>
      <c r="K828" s="17">
        <v>14025</v>
      </c>
      <c r="L828" s="18">
        <v>46258</v>
      </c>
      <c r="M828" s="6" t="str">
        <f t="shared" si="36"/>
        <v>Schedule order</v>
      </c>
      <c r="N828" s="8">
        <f t="shared" ca="1" si="37"/>
        <v>103</v>
      </c>
      <c r="O828" s="8" t="str">
        <f t="shared" ca="1" si="38"/>
        <v>Lattest or shedule order</v>
      </c>
      <c r="P828" t="str">
        <f>VLOOKUP(C828,[1]Customer_Master!$A:$B,2,0)</f>
        <v>Group 1-Giridhar-Peenya</v>
      </c>
      <c r="Q828" t="str">
        <f>VLOOKUP(D828,[2]Template!$A:$D,3,0)</f>
        <v>EATON</v>
      </c>
      <c r="R828" t="str">
        <f>VLOOKUP(D828,[2]Template!$A:$D,4,0)</f>
        <v>Eaton-Biesse</v>
      </c>
    </row>
    <row r="829" spans="1:18" ht="13.5" customHeight="1" x14ac:dyDescent="0.25">
      <c r="A829" s="9">
        <v>46135</v>
      </c>
      <c r="B829" s="10" t="s">
        <v>1364</v>
      </c>
      <c r="C829" s="11" t="s">
        <v>76</v>
      </c>
      <c r="D829" s="10" t="s">
        <v>406</v>
      </c>
      <c r="E829" s="12" t="s">
        <v>1072</v>
      </c>
      <c r="F829" s="12" t="s">
        <v>133</v>
      </c>
      <c r="G829" s="19">
        <v>11</v>
      </c>
      <c r="H829" s="20">
        <v>11</v>
      </c>
      <c r="I829" s="15">
        <v>156</v>
      </c>
      <c r="J829" s="16"/>
      <c r="K829" s="17">
        <v>1716</v>
      </c>
      <c r="L829" s="18">
        <v>46244</v>
      </c>
      <c r="M829" s="6" t="str">
        <f t="shared" si="36"/>
        <v>Schedule order</v>
      </c>
      <c r="N829" s="8">
        <f t="shared" ca="1" si="37"/>
        <v>89</v>
      </c>
      <c r="O829" s="8" t="str">
        <f t="shared" ca="1" si="38"/>
        <v>Lattest or shedule order</v>
      </c>
      <c r="P829" t="str">
        <f>VLOOKUP(C829,[1]Customer_Master!$A:$B,2,0)</f>
        <v>Group 1-Giridhar-Peenya</v>
      </c>
      <c r="Q829" t="str">
        <f>VLOOKUP(D829,[2]Template!$A:$D,3,0)</f>
        <v>EATON</v>
      </c>
      <c r="R829" t="str">
        <f>VLOOKUP(D829,[2]Template!$A:$D,4,0)</f>
        <v>Eaton-Biesse</v>
      </c>
    </row>
    <row r="830" spans="1:18" ht="13.5" customHeight="1" x14ac:dyDescent="0.25">
      <c r="A830" s="9">
        <v>46135</v>
      </c>
      <c r="B830" s="10" t="s">
        <v>1364</v>
      </c>
      <c r="C830" s="11" t="s">
        <v>76</v>
      </c>
      <c r="D830" s="10" t="s">
        <v>353</v>
      </c>
      <c r="E830" s="12" t="s">
        <v>1072</v>
      </c>
      <c r="F830" s="12" t="s">
        <v>92</v>
      </c>
      <c r="G830" s="19">
        <v>28</v>
      </c>
      <c r="H830" s="20">
        <v>28</v>
      </c>
      <c r="I830" s="15">
        <v>1353</v>
      </c>
      <c r="J830" s="16"/>
      <c r="K830" s="17">
        <v>37884</v>
      </c>
      <c r="L830" s="18">
        <v>46258</v>
      </c>
      <c r="M830" s="6" t="str">
        <f t="shared" si="36"/>
        <v>Schedule order</v>
      </c>
      <c r="N830" s="8">
        <f t="shared" ca="1" si="37"/>
        <v>103</v>
      </c>
      <c r="O830" s="8" t="str">
        <f t="shared" ca="1" si="38"/>
        <v>Lattest or shedule order</v>
      </c>
      <c r="P830" t="str">
        <f>VLOOKUP(C830,[1]Customer_Master!$A:$B,2,0)</f>
        <v>Group 1-Giridhar-Peenya</v>
      </c>
      <c r="Q830" t="str">
        <f>VLOOKUP(D830,[2]Template!$A:$D,3,0)</f>
        <v>EATON</v>
      </c>
      <c r="R830" t="str">
        <f>VLOOKUP(D830,[2]Template!$A:$D,4,0)</f>
        <v>Eaton-Biesse</v>
      </c>
    </row>
    <row r="831" spans="1:18" ht="13.5" customHeight="1" x14ac:dyDescent="0.25">
      <c r="A831" s="9">
        <v>46135</v>
      </c>
      <c r="B831" s="10" t="s">
        <v>1365</v>
      </c>
      <c r="C831" s="11" t="s">
        <v>94</v>
      </c>
      <c r="D831" s="10" t="s">
        <v>1366</v>
      </c>
      <c r="E831" s="12" t="s">
        <v>1072</v>
      </c>
      <c r="F831" s="12" t="s">
        <v>1367</v>
      </c>
      <c r="G831" s="13">
        <v>100</v>
      </c>
      <c r="H831" s="14">
        <v>100</v>
      </c>
      <c r="I831" s="15">
        <v>762.62</v>
      </c>
      <c r="J831" s="16"/>
      <c r="K831" s="17">
        <v>76262</v>
      </c>
      <c r="L831" s="18">
        <v>46149</v>
      </c>
      <c r="M831" s="6" t="str">
        <f t="shared" si="36"/>
        <v>Schedule order</v>
      </c>
      <c r="N831" s="8">
        <f t="shared" ca="1" si="37"/>
        <v>-6</v>
      </c>
      <c r="O831" s="8" t="str">
        <f t="shared" ca="1" si="38"/>
        <v>With in 90 days</v>
      </c>
      <c r="P831" t="str">
        <f>VLOOKUP(C831,[1]Customer_Master!$A:$B,2,0)</f>
        <v>Group 1-Giridhar-Peenya</v>
      </c>
      <c r="Q831" t="str">
        <f>VLOOKUP(D831,[2]Template!$A:$D,3,0)</f>
        <v>LAPP</v>
      </c>
      <c r="R831" t="str">
        <f>VLOOKUP(D831,[2]Template!$A:$D,4,0)</f>
        <v>Lapp-Non Moving Stocks</v>
      </c>
    </row>
    <row r="832" spans="1:18" ht="13.5" customHeight="1" x14ac:dyDescent="0.25">
      <c r="A832" s="9">
        <v>46135</v>
      </c>
      <c r="B832" s="10" t="s">
        <v>1368</v>
      </c>
      <c r="C832" s="11" t="s">
        <v>194</v>
      </c>
      <c r="D832" s="27" t="s">
        <v>1369</v>
      </c>
      <c r="E832" s="12" t="s">
        <v>1072</v>
      </c>
      <c r="F832" s="12" t="s">
        <v>1370</v>
      </c>
      <c r="G832" s="19">
        <v>20</v>
      </c>
      <c r="H832" s="20">
        <v>20</v>
      </c>
      <c r="I832" s="15">
        <v>1801.6</v>
      </c>
      <c r="J832" s="16"/>
      <c r="K832" s="17">
        <v>36032</v>
      </c>
      <c r="L832" s="18">
        <v>46135</v>
      </c>
      <c r="M832" s="6" t="str">
        <f t="shared" si="36"/>
        <v>Due order</v>
      </c>
      <c r="N832" s="8">
        <f t="shared" ca="1" si="37"/>
        <v>-20</v>
      </c>
      <c r="O832" s="8" t="str">
        <f t="shared" ca="1" si="38"/>
        <v>With in 90 days</v>
      </c>
      <c r="P832" t="str">
        <f>VLOOKUP(C832,[1]Customer_Master!$A:$B,2,0)</f>
        <v>Group 1-Giridhar-Peenya</v>
      </c>
      <c r="Q832" t="str">
        <f>VLOOKUP(D832,[2]Template!$A:$D,3,0)</f>
        <v>EATON</v>
      </c>
      <c r="R832" t="str">
        <f>VLOOKUP(D832,[2]Template!$A:$D,4,0)</f>
        <v>Eaton-Non Moving Stock</v>
      </c>
    </row>
    <row r="833" spans="1:18" ht="13.5" customHeight="1" x14ac:dyDescent="0.25">
      <c r="A833" s="9">
        <v>46135</v>
      </c>
      <c r="B833" s="10" t="s">
        <v>1371</v>
      </c>
      <c r="C833" s="11" t="s">
        <v>1372</v>
      </c>
      <c r="D833" s="10" t="s">
        <v>897</v>
      </c>
      <c r="E833" s="12" t="s">
        <v>1072</v>
      </c>
      <c r="F833" s="12" t="s">
        <v>898</v>
      </c>
      <c r="G833" s="13">
        <v>50</v>
      </c>
      <c r="H833" s="14">
        <v>50</v>
      </c>
      <c r="I833" s="15">
        <v>452.53</v>
      </c>
      <c r="J833" s="16"/>
      <c r="K833" s="17">
        <v>22626.5</v>
      </c>
      <c r="L833" s="18">
        <v>46135</v>
      </c>
      <c r="M833" s="6" t="str">
        <f t="shared" si="36"/>
        <v>Due order</v>
      </c>
      <c r="N833" s="8">
        <f t="shared" ca="1" si="37"/>
        <v>-20</v>
      </c>
      <c r="O833" s="8" t="str">
        <f t="shared" ca="1" si="38"/>
        <v>With in 90 days</v>
      </c>
      <c r="P833" t="str">
        <f>VLOOKUP(C833,[1]Customer_Master!$A:$B,2,0)</f>
        <v>Group - 5 (Ananthapadmanabha)</v>
      </c>
      <c r="Q833" t="str">
        <f>VLOOKUP(D833,[2]Template!$A:$D,3,0)</f>
        <v>LAPP</v>
      </c>
      <c r="R833" t="str">
        <f>VLOOKUP(D833,[2]Template!$A:$D,4,0)</f>
        <v>Lapp-Non Moving Stocks</v>
      </c>
    </row>
    <row r="834" spans="1:18" ht="13.5" customHeight="1" x14ac:dyDescent="0.25">
      <c r="A834" s="9">
        <v>46135</v>
      </c>
      <c r="B834" s="10" t="s">
        <v>1371</v>
      </c>
      <c r="C834" s="11" t="s">
        <v>1372</v>
      </c>
      <c r="D834" s="27" t="s">
        <v>1373</v>
      </c>
      <c r="E834" s="12" t="s">
        <v>1072</v>
      </c>
      <c r="F834" s="12" t="s">
        <v>1374</v>
      </c>
      <c r="G834" s="13">
        <v>50</v>
      </c>
      <c r="H834" s="14">
        <v>50</v>
      </c>
      <c r="I834" s="15">
        <v>161.80000000000001</v>
      </c>
      <c r="J834" s="16"/>
      <c r="K834" s="17">
        <v>8090</v>
      </c>
      <c r="L834" s="18">
        <v>46135</v>
      </c>
      <c r="M834" s="6" t="str">
        <f t="shared" si="36"/>
        <v>Due order</v>
      </c>
      <c r="N834" s="8">
        <f t="shared" ca="1" si="37"/>
        <v>-20</v>
      </c>
      <c r="O834" s="8" t="str">
        <f t="shared" ca="1" si="38"/>
        <v>With in 90 days</v>
      </c>
      <c r="P834" t="str">
        <f>VLOOKUP(C834,[1]Customer_Master!$A:$B,2,0)</f>
        <v>Group - 5 (Ananthapadmanabha)</v>
      </c>
      <c r="Q834" t="str">
        <f>VLOOKUP(D834,[2]Template!$A:$D,3,0)</f>
        <v>LAPP</v>
      </c>
      <c r="R834" t="str">
        <f>VLOOKUP(D834,[2]Template!$A:$D,4,0)</f>
        <v>Lapp-Non Moving Stocks</v>
      </c>
    </row>
    <row r="835" spans="1:18" ht="13.5" customHeight="1" x14ac:dyDescent="0.25">
      <c r="A835" s="9">
        <v>46135</v>
      </c>
      <c r="B835" s="10" t="s">
        <v>1371</v>
      </c>
      <c r="C835" s="11" t="s">
        <v>1372</v>
      </c>
      <c r="D835" s="27" t="s">
        <v>899</v>
      </c>
      <c r="E835" s="12" t="s">
        <v>1072</v>
      </c>
      <c r="F835" s="12" t="s">
        <v>900</v>
      </c>
      <c r="G835" s="13">
        <v>50</v>
      </c>
      <c r="H835" s="14">
        <v>50</v>
      </c>
      <c r="I835" s="15">
        <v>292.43</v>
      </c>
      <c r="J835" s="16"/>
      <c r="K835" s="17">
        <v>14621.5</v>
      </c>
      <c r="L835" s="18">
        <v>46135</v>
      </c>
      <c r="M835" s="6" t="str">
        <f t="shared" ref="M835:M898" si="39">IF(L835&lt;DATE(2026,4,30),"Due order","Schedule order")</f>
        <v>Due order</v>
      </c>
      <c r="N835" s="8">
        <f t="shared" ref="N835:N898" ca="1" si="40">L835-TODAY()</f>
        <v>-20</v>
      </c>
      <c r="O835" s="8" t="str">
        <f t="shared" ref="O835:O898" ca="1" si="41">IF(N835&lt;-365,"More than 1 Year old",IF(N835&lt;-180," More than 180 days old",IF(N835&lt;-90,"More than 90 day old",IF(N835&lt;0,"With in 90 days","Lattest or shedule order"))))</f>
        <v>With in 90 days</v>
      </c>
      <c r="P835" t="str">
        <f>VLOOKUP(C835,[1]Customer_Master!$A:$B,2,0)</f>
        <v>Group - 5 (Ananthapadmanabha)</v>
      </c>
      <c r="Q835" t="str">
        <f>VLOOKUP(D835,[2]Template!$A:$D,3,0)</f>
        <v>LAPP</v>
      </c>
      <c r="R835" t="str">
        <f>VLOOKUP(D835,[2]Template!$A:$D,4,0)</f>
        <v>Lapp-Non Moving Stocks</v>
      </c>
    </row>
    <row r="836" spans="1:18" ht="13.5" customHeight="1" x14ac:dyDescent="0.25">
      <c r="A836" s="9">
        <v>46135</v>
      </c>
      <c r="B836" s="10" t="s">
        <v>1393</v>
      </c>
      <c r="C836" s="11" t="s">
        <v>1394</v>
      </c>
      <c r="D836" s="10" t="s">
        <v>1395</v>
      </c>
      <c r="E836" s="12" t="s">
        <v>1072</v>
      </c>
      <c r="F836" s="12" t="s">
        <v>1396</v>
      </c>
      <c r="G836" s="13">
        <v>200</v>
      </c>
      <c r="H836" s="14">
        <v>200</v>
      </c>
      <c r="I836" s="15">
        <v>74.13</v>
      </c>
      <c r="J836" s="16"/>
      <c r="K836" s="17">
        <v>14826</v>
      </c>
      <c r="L836" s="18">
        <v>46135</v>
      </c>
      <c r="M836" s="6" t="str">
        <f t="shared" si="39"/>
        <v>Due order</v>
      </c>
      <c r="N836" s="8">
        <f t="shared" ca="1" si="40"/>
        <v>-20</v>
      </c>
      <c r="O836" s="8" t="str">
        <f t="shared" ca="1" si="41"/>
        <v>With in 90 days</v>
      </c>
      <c r="P836" t="str">
        <f>VLOOKUP(C836,[1]Customer_Master!$A:$B,2,0)</f>
        <v>Group 1-Giridhar-Peenya</v>
      </c>
      <c r="Q836" t="str">
        <f>VLOOKUP(D836,[2]Template!$A:$D,3,0)</f>
        <v>LAPP</v>
      </c>
      <c r="R836" t="str">
        <f>VLOOKUP(D836,[2]Template!$A:$D,4,0)</f>
        <v>Lapp-Non Moving Stocks</v>
      </c>
    </row>
    <row r="837" spans="1:18" ht="13.5" customHeight="1" x14ac:dyDescent="0.25">
      <c r="A837" s="9">
        <v>46135</v>
      </c>
      <c r="B837" s="10" t="s">
        <v>1393</v>
      </c>
      <c r="C837" s="11" t="s">
        <v>1394</v>
      </c>
      <c r="D837" s="10" t="s">
        <v>1397</v>
      </c>
      <c r="E837" s="12" t="s">
        <v>1072</v>
      </c>
      <c r="F837" s="12" t="s">
        <v>1398</v>
      </c>
      <c r="G837" s="13">
        <v>200</v>
      </c>
      <c r="H837" s="14">
        <v>200</v>
      </c>
      <c r="I837" s="15">
        <v>74.13</v>
      </c>
      <c r="J837" s="16"/>
      <c r="K837" s="17">
        <v>14826</v>
      </c>
      <c r="L837" s="18">
        <v>46135</v>
      </c>
      <c r="M837" s="6" t="str">
        <f t="shared" si="39"/>
        <v>Due order</v>
      </c>
      <c r="N837" s="8">
        <f t="shared" ca="1" si="40"/>
        <v>-20</v>
      </c>
      <c r="O837" s="8" t="str">
        <f t="shared" ca="1" si="41"/>
        <v>With in 90 days</v>
      </c>
      <c r="P837" t="str">
        <f>VLOOKUP(C837,[1]Customer_Master!$A:$B,2,0)</f>
        <v>Group 1-Giridhar-Peenya</v>
      </c>
      <c r="Q837" t="str">
        <f>VLOOKUP(D837,[2]Template!$A:$D,3,0)</f>
        <v>LAPP</v>
      </c>
      <c r="R837" t="str">
        <f>VLOOKUP(D837,[2]Template!$A:$D,4,0)</f>
        <v>Lapp-Non Moving Stocks</v>
      </c>
    </row>
    <row r="838" spans="1:18" ht="13.5" customHeight="1" x14ac:dyDescent="0.25">
      <c r="A838" s="9">
        <v>46135</v>
      </c>
      <c r="B838" s="10" t="s">
        <v>1393</v>
      </c>
      <c r="C838" s="11" t="s">
        <v>1394</v>
      </c>
      <c r="D838" s="27" t="s">
        <v>1399</v>
      </c>
      <c r="E838" s="12" t="s">
        <v>1072</v>
      </c>
      <c r="F838" s="26" t="s">
        <v>1400</v>
      </c>
      <c r="G838" s="13">
        <v>100</v>
      </c>
      <c r="H838" s="14">
        <v>100</v>
      </c>
      <c r="I838" s="15">
        <v>74.13</v>
      </c>
      <c r="J838" s="16"/>
      <c r="K838" s="17">
        <v>7413</v>
      </c>
      <c r="L838" s="18">
        <v>46135</v>
      </c>
      <c r="M838" s="6" t="str">
        <f t="shared" si="39"/>
        <v>Due order</v>
      </c>
      <c r="N838" s="8">
        <f t="shared" ca="1" si="40"/>
        <v>-20</v>
      </c>
      <c r="O838" s="8" t="str">
        <f t="shared" ca="1" si="41"/>
        <v>With in 90 days</v>
      </c>
      <c r="P838" t="str">
        <f>VLOOKUP(C838,[1]Customer_Master!$A:$B,2,0)</f>
        <v>Group 1-Giridhar-Peenya</v>
      </c>
      <c r="Q838" t="str">
        <f>VLOOKUP(D838,[2]Template!$A:$D,3,0)</f>
        <v>LAPP</v>
      </c>
      <c r="R838" t="str">
        <f>VLOOKUP(D838,[2]Template!$A:$D,4,0)</f>
        <v>Lapp-Against Customer PO</v>
      </c>
    </row>
    <row r="839" spans="1:18" ht="13.5" customHeight="1" x14ac:dyDescent="0.25">
      <c r="A839" s="9">
        <v>46135</v>
      </c>
      <c r="B839" s="10" t="s">
        <v>1401</v>
      </c>
      <c r="C839" s="11" t="s">
        <v>738</v>
      </c>
      <c r="D839" s="10" t="s">
        <v>1402</v>
      </c>
      <c r="E839" s="12" t="s">
        <v>1072</v>
      </c>
      <c r="F839" s="12" t="s">
        <v>1403</v>
      </c>
      <c r="G839" s="13">
        <v>500</v>
      </c>
      <c r="H839" s="14">
        <v>500</v>
      </c>
      <c r="I839" s="15">
        <v>156</v>
      </c>
      <c r="J839" s="16"/>
      <c r="K839" s="17">
        <v>78000</v>
      </c>
      <c r="L839" s="18">
        <v>46135</v>
      </c>
      <c r="M839" s="6" t="str">
        <f t="shared" si="39"/>
        <v>Due order</v>
      </c>
      <c r="N839" s="8">
        <f t="shared" ca="1" si="40"/>
        <v>-20</v>
      </c>
      <c r="O839" s="8" t="str">
        <f t="shared" ca="1" si="41"/>
        <v>With in 90 days</v>
      </c>
      <c r="P839" t="str">
        <f>VLOOKUP(C839,[1]Customer_Master!$A:$B,2,0)</f>
        <v>Group 1-Giridhar-Peenya</v>
      </c>
      <c r="Q839" t="str">
        <f>VLOOKUP(D839,[2]Template!$A:$D,3,0)</f>
        <v>LAPP</v>
      </c>
      <c r="R839" t="str">
        <f>VLOOKUP(D839,[2]Template!$A:$D,4,0)</f>
        <v>Lapp-Rinac</v>
      </c>
    </row>
    <row r="840" spans="1:18" ht="13.5" customHeight="1" x14ac:dyDescent="0.25">
      <c r="A840" s="9">
        <v>46135</v>
      </c>
      <c r="B840" s="10" t="s">
        <v>1375</v>
      </c>
      <c r="C840" s="11" t="s">
        <v>617</v>
      </c>
      <c r="D840" s="10" t="s">
        <v>933</v>
      </c>
      <c r="E840" s="12" t="s">
        <v>1072</v>
      </c>
      <c r="F840" s="12" t="s">
        <v>934</v>
      </c>
      <c r="G840" s="13">
        <v>5</v>
      </c>
      <c r="H840" s="14">
        <v>5</v>
      </c>
      <c r="I840" s="15">
        <v>5244.98</v>
      </c>
      <c r="J840" s="16"/>
      <c r="K840" s="17">
        <v>26224.9</v>
      </c>
      <c r="L840" s="18">
        <v>46135</v>
      </c>
      <c r="M840" s="6" t="str">
        <f t="shared" si="39"/>
        <v>Due order</v>
      </c>
      <c r="N840" s="8">
        <f t="shared" ca="1" si="40"/>
        <v>-20</v>
      </c>
      <c r="O840" s="8" t="str">
        <f t="shared" ca="1" si="41"/>
        <v>With in 90 days</v>
      </c>
      <c r="P840" t="str">
        <f>VLOOKUP(C840,[1]Customer_Master!$A:$B,2,0)</f>
        <v>Group 1-Giridhar-Peenya</v>
      </c>
      <c r="Q840" t="str">
        <f>VLOOKUP(D840,[2]Template!$A:$D,3,0)</f>
        <v>LAPP</v>
      </c>
      <c r="R840" t="str">
        <f>VLOOKUP(D840,[2]Template!$A:$D,4,0)</f>
        <v>Lapp-Non Moving Stocks</v>
      </c>
    </row>
    <row r="841" spans="1:18" ht="13.5" customHeight="1" x14ac:dyDescent="0.25">
      <c r="A841" s="9">
        <v>46135</v>
      </c>
      <c r="B841" s="10" t="s">
        <v>1404</v>
      </c>
      <c r="C841" s="11" t="s">
        <v>843</v>
      </c>
      <c r="D841" s="10" t="s">
        <v>779</v>
      </c>
      <c r="E841" s="12" t="s">
        <v>1072</v>
      </c>
      <c r="F841" s="12" t="s">
        <v>780</v>
      </c>
      <c r="G841" s="13">
        <v>500</v>
      </c>
      <c r="H841" s="14">
        <v>500</v>
      </c>
      <c r="I841" s="15">
        <v>15.93</v>
      </c>
      <c r="J841" s="16"/>
      <c r="K841" s="17">
        <v>7965</v>
      </c>
      <c r="L841" s="18">
        <v>46135</v>
      </c>
      <c r="M841" s="6" t="str">
        <f t="shared" si="39"/>
        <v>Due order</v>
      </c>
      <c r="N841" s="8">
        <f t="shared" ca="1" si="40"/>
        <v>-20</v>
      </c>
      <c r="O841" s="8" t="str">
        <f t="shared" ca="1" si="41"/>
        <v>With in 90 days</v>
      </c>
      <c r="P841" t="str">
        <f>VLOOKUP(C841,[1]Customer_Master!$A:$B,2,0)</f>
        <v>Group-2 (Veeresh- Bomsdr+Hosur)</v>
      </c>
      <c r="Q841" t="str">
        <f>VLOOKUP(D841,[2]Template!$A:$D,3,0)</f>
        <v>LAPP</v>
      </c>
      <c r="R841" t="str">
        <f>VLOOKUP(D841,[2]Template!$A:$D,4,0)</f>
        <v>Lapp-Planned Stock General</v>
      </c>
    </row>
    <row r="842" spans="1:18" ht="13.5" customHeight="1" x14ac:dyDescent="0.25">
      <c r="A842" s="9">
        <v>46135</v>
      </c>
      <c r="B842" s="10" t="s">
        <v>1376</v>
      </c>
      <c r="C842" s="11" t="s">
        <v>98</v>
      </c>
      <c r="D842" s="10" t="s">
        <v>1377</v>
      </c>
      <c r="E842" s="12" t="s">
        <v>1072</v>
      </c>
      <c r="F842" s="12" t="s">
        <v>1378</v>
      </c>
      <c r="G842" s="13">
        <v>100</v>
      </c>
      <c r="H842" s="14">
        <v>100</v>
      </c>
      <c r="I842" s="15">
        <v>35.29</v>
      </c>
      <c r="J842" s="16"/>
      <c r="K842" s="17">
        <v>3529</v>
      </c>
      <c r="L842" s="18">
        <v>46135</v>
      </c>
      <c r="M842" s="6" t="str">
        <f t="shared" si="39"/>
        <v>Due order</v>
      </c>
      <c r="N842" s="8">
        <f t="shared" ca="1" si="40"/>
        <v>-20</v>
      </c>
      <c r="O842" s="8" t="str">
        <f t="shared" ca="1" si="41"/>
        <v>With in 90 days</v>
      </c>
      <c r="P842" t="str">
        <f>VLOOKUP(C842,[1]Customer_Master!$A:$B,2,0)</f>
        <v>Group - 5 (Ananthapadmanabha)</v>
      </c>
      <c r="Q842" t="str">
        <f>VLOOKUP(D842,[2]Template!$A:$D,3,0)</f>
        <v>LAPP</v>
      </c>
      <c r="R842" t="str">
        <f>VLOOKUP(D842,[2]Template!$A:$D,4,0)</f>
        <v>Lapp-Against Customer PO</v>
      </c>
    </row>
    <row r="843" spans="1:18" ht="13.5" customHeight="1" x14ac:dyDescent="0.25">
      <c r="A843" s="9">
        <v>46135</v>
      </c>
      <c r="B843" s="10" t="s">
        <v>1376</v>
      </c>
      <c r="C843" s="11" t="s">
        <v>98</v>
      </c>
      <c r="D843" s="10" t="s">
        <v>1379</v>
      </c>
      <c r="E843" s="12" t="s">
        <v>1072</v>
      </c>
      <c r="F843" s="12" t="s">
        <v>1380</v>
      </c>
      <c r="G843" s="13">
        <v>100</v>
      </c>
      <c r="H843" s="14">
        <v>100</v>
      </c>
      <c r="I843" s="15">
        <v>35.29</v>
      </c>
      <c r="J843" s="16"/>
      <c r="K843" s="17">
        <v>3529</v>
      </c>
      <c r="L843" s="18">
        <v>46135</v>
      </c>
      <c r="M843" s="6" t="str">
        <f t="shared" si="39"/>
        <v>Due order</v>
      </c>
      <c r="N843" s="8">
        <f t="shared" ca="1" si="40"/>
        <v>-20</v>
      </c>
      <c r="O843" s="8" t="str">
        <f t="shared" ca="1" si="41"/>
        <v>With in 90 days</v>
      </c>
      <c r="P843" t="str">
        <f>VLOOKUP(C843,[1]Customer_Master!$A:$B,2,0)</f>
        <v>Group - 5 (Ananthapadmanabha)</v>
      </c>
      <c r="Q843" t="str">
        <f>VLOOKUP(D843,[2]Template!$A:$D,3,0)</f>
        <v>LAPP</v>
      </c>
      <c r="R843" t="str">
        <f>VLOOKUP(D843,[2]Template!$A:$D,4,0)</f>
        <v>Lapp-Against Customer PO</v>
      </c>
    </row>
    <row r="844" spans="1:18" ht="13.5" customHeight="1" x14ac:dyDescent="0.25">
      <c r="A844" s="9">
        <v>46135</v>
      </c>
      <c r="B844" s="10" t="s">
        <v>1376</v>
      </c>
      <c r="C844" s="11" t="s">
        <v>98</v>
      </c>
      <c r="D844" s="10" t="s">
        <v>1381</v>
      </c>
      <c r="E844" s="12" t="s">
        <v>1072</v>
      </c>
      <c r="F844" s="12" t="s">
        <v>1382</v>
      </c>
      <c r="G844" s="13">
        <v>100</v>
      </c>
      <c r="H844" s="14">
        <v>100</v>
      </c>
      <c r="I844" s="15">
        <v>35.29</v>
      </c>
      <c r="J844" s="16"/>
      <c r="K844" s="17">
        <v>3529</v>
      </c>
      <c r="L844" s="18">
        <v>46135</v>
      </c>
      <c r="M844" s="6" t="str">
        <f t="shared" si="39"/>
        <v>Due order</v>
      </c>
      <c r="N844" s="8">
        <f t="shared" ca="1" si="40"/>
        <v>-20</v>
      </c>
      <c r="O844" s="8" t="str">
        <f t="shared" ca="1" si="41"/>
        <v>With in 90 days</v>
      </c>
      <c r="P844" t="str">
        <f>VLOOKUP(C844,[1]Customer_Master!$A:$B,2,0)</f>
        <v>Group - 5 (Ananthapadmanabha)</v>
      </c>
      <c r="Q844" t="str">
        <f>VLOOKUP(D844,[2]Template!$A:$D,3,0)</f>
        <v>LAPP</v>
      </c>
      <c r="R844" t="str">
        <f>VLOOKUP(D844,[2]Template!$A:$D,4,0)</f>
        <v>Lapp-Against Customer PO</v>
      </c>
    </row>
    <row r="845" spans="1:18" ht="13.5" customHeight="1" x14ac:dyDescent="0.25">
      <c r="A845" s="9">
        <v>46137</v>
      </c>
      <c r="B845" s="10" t="s">
        <v>1405</v>
      </c>
      <c r="C845" s="11" t="s">
        <v>1406</v>
      </c>
      <c r="D845" s="10" t="s">
        <v>1407</v>
      </c>
      <c r="E845" s="12" t="s">
        <v>1072</v>
      </c>
      <c r="F845" s="12" t="s">
        <v>1408</v>
      </c>
      <c r="G845" s="19">
        <v>2</v>
      </c>
      <c r="H845" s="20">
        <v>2</v>
      </c>
      <c r="I845" s="15">
        <v>772.2</v>
      </c>
      <c r="J845" s="16"/>
      <c r="K845" s="17">
        <v>1544.4</v>
      </c>
      <c r="L845" s="18">
        <v>46137</v>
      </c>
      <c r="M845" s="6" t="str">
        <f t="shared" si="39"/>
        <v>Due order</v>
      </c>
      <c r="N845" s="8">
        <f t="shared" ca="1" si="40"/>
        <v>-18</v>
      </c>
      <c r="O845" s="8" t="str">
        <f t="shared" ca="1" si="41"/>
        <v>With in 90 days</v>
      </c>
      <c r="P845" t="str">
        <f>VLOOKUP(C845,[1]Customer_Master!$A:$B,2,0)</f>
        <v>Group-4 ( Office Account)</v>
      </c>
      <c r="Q845" t="str">
        <f>VLOOKUP(D845,[2]Template!$A:$D,3,0)</f>
        <v>EATON</v>
      </c>
      <c r="R845" t="str">
        <f>VLOOKUP(D845,[2]Template!$A:$D,4,0)</f>
        <v>Eaton-Non Moving Stock</v>
      </c>
    </row>
    <row r="846" spans="1:18" ht="13.5" customHeight="1" x14ac:dyDescent="0.25">
      <c r="A846" s="9">
        <v>46139</v>
      </c>
      <c r="B846" s="10" t="s">
        <v>1409</v>
      </c>
      <c r="C846" s="11" t="s">
        <v>1410</v>
      </c>
      <c r="D846" s="27" t="s">
        <v>1411</v>
      </c>
      <c r="E846" s="12" t="s">
        <v>1072</v>
      </c>
      <c r="F846" s="12" t="s">
        <v>1412</v>
      </c>
      <c r="G846" s="13">
        <v>100</v>
      </c>
      <c r="H846" s="14">
        <v>100</v>
      </c>
      <c r="I846" s="15">
        <v>358.56</v>
      </c>
      <c r="J846" s="16"/>
      <c r="K846" s="17">
        <v>35856</v>
      </c>
      <c r="L846" s="18">
        <v>46139</v>
      </c>
      <c r="M846" s="6" t="str">
        <f t="shared" si="39"/>
        <v>Due order</v>
      </c>
      <c r="N846" s="8">
        <f t="shared" ca="1" si="40"/>
        <v>-16</v>
      </c>
      <c r="O846" s="8" t="str">
        <f t="shared" ca="1" si="41"/>
        <v>With in 90 days</v>
      </c>
      <c r="P846" t="str">
        <f>VLOOKUP(C846,[1]Customer_Master!$A:$B,2,0)</f>
        <v>Group 1-Giridhar-Peenya</v>
      </c>
      <c r="Q846" t="str">
        <f>VLOOKUP(D846,[2]Template!$A:$D,3,0)</f>
        <v>LAPP</v>
      </c>
      <c r="R846" t="str">
        <f>VLOOKUP(D846,[2]Template!$A:$D,4,0)</f>
        <v>Lapp-Non Moving Stocks</v>
      </c>
    </row>
    <row r="847" spans="1:18" ht="13.5" customHeight="1" x14ac:dyDescent="0.25">
      <c r="A847" s="9">
        <v>46139</v>
      </c>
      <c r="B847" s="10" t="s">
        <v>1413</v>
      </c>
      <c r="C847" s="11" t="s">
        <v>1414</v>
      </c>
      <c r="D847" s="10" t="s">
        <v>1415</v>
      </c>
      <c r="E847" s="26" t="s">
        <v>1416</v>
      </c>
      <c r="F847" s="12" t="s">
        <v>1417</v>
      </c>
      <c r="G847" s="22">
        <v>25</v>
      </c>
      <c r="H847" s="23">
        <v>4</v>
      </c>
      <c r="I847" s="15">
        <v>135.06</v>
      </c>
      <c r="J847" s="16"/>
      <c r="K847" s="17">
        <v>540.24</v>
      </c>
      <c r="L847" s="18">
        <v>46139</v>
      </c>
      <c r="M847" s="6" t="str">
        <f t="shared" si="39"/>
        <v>Due order</v>
      </c>
      <c r="N847" s="8">
        <f t="shared" ca="1" si="40"/>
        <v>-16</v>
      </c>
      <c r="O847" s="8" t="str">
        <f t="shared" ca="1" si="41"/>
        <v>With in 90 days</v>
      </c>
      <c r="P847" t="str">
        <f>VLOOKUP(C847,[1]Customer_Master!$A:$B,2,0)</f>
        <v>Group 1-Giridhar-Peenya</v>
      </c>
      <c r="Q847" t="str">
        <f>VLOOKUP(D847,[2]Template!$A:$D,3,0)</f>
        <v>LAPP</v>
      </c>
      <c r="R847" t="str">
        <f>VLOOKUP(D847,[2]Template!$A:$D,4,0)</f>
        <v>Lapp-Against Customer PO</v>
      </c>
    </row>
    <row r="848" spans="1:18" ht="13.5" customHeight="1" x14ac:dyDescent="0.25">
      <c r="A848" s="9">
        <v>46139</v>
      </c>
      <c r="B848" s="10" t="s">
        <v>1419</v>
      </c>
      <c r="C848" s="11" t="s">
        <v>1418</v>
      </c>
      <c r="D848" s="10" t="s">
        <v>1420</v>
      </c>
      <c r="E848" s="12" t="s">
        <v>1072</v>
      </c>
      <c r="F848" s="12" t="s">
        <v>1421</v>
      </c>
      <c r="G848" s="13">
        <v>130</v>
      </c>
      <c r="H848" s="14">
        <v>130</v>
      </c>
      <c r="I848" s="15">
        <v>846.61</v>
      </c>
      <c r="J848" s="21">
        <v>45</v>
      </c>
      <c r="K848" s="17">
        <v>60532.62</v>
      </c>
      <c r="L848" s="18">
        <v>46139</v>
      </c>
      <c r="M848" s="6" t="str">
        <f t="shared" si="39"/>
        <v>Due order</v>
      </c>
      <c r="N848" s="8">
        <f t="shared" ca="1" si="40"/>
        <v>-16</v>
      </c>
      <c r="O848" s="8" t="str">
        <f t="shared" ca="1" si="41"/>
        <v>With in 90 days</v>
      </c>
      <c r="P848" t="str">
        <f>VLOOKUP(C848,[1]Customer_Master!$A:$B,2,0)</f>
        <v>Group 1-Giridhar-Peenya</v>
      </c>
      <c r="Q848" t="str">
        <f>VLOOKUP(D848,[2]Template!$A:$D,3,0)</f>
        <v>LAPP</v>
      </c>
      <c r="R848" t="str">
        <f>VLOOKUP(D848,[2]Template!$A:$D,4,0)</f>
        <v>Lapp-Planned Stock General</v>
      </c>
    </row>
    <row r="849" spans="1:18" ht="13.5" customHeight="1" x14ac:dyDescent="0.25">
      <c r="A849" s="9">
        <v>46139</v>
      </c>
      <c r="B849" s="10" t="s">
        <v>1419</v>
      </c>
      <c r="C849" s="11" t="s">
        <v>1418</v>
      </c>
      <c r="D849" s="10" t="s">
        <v>522</v>
      </c>
      <c r="E849" s="12" t="s">
        <v>1072</v>
      </c>
      <c r="F849" s="12" t="s">
        <v>523</v>
      </c>
      <c r="G849" s="13">
        <v>20</v>
      </c>
      <c r="H849" s="14">
        <v>20</v>
      </c>
      <c r="I849" s="15">
        <v>4080.23</v>
      </c>
      <c r="J849" s="21">
        <v>45</v>
      </c>
      <c r="K849" s="17">
        <v>44882.53</v>
      </c>
      <c r="L849" s="18">
        <v>46139</v>
      </c>
      <c r="M849" s="6" t="str">
        <f t="shared" si="39"/>
        <v>Due order</v>
      </c>
      <c r="N849" s="8">
        <f t="shared" ca="1" si="40"/>
        <v>-16</v>
      </c>
      <c r="O849" s="8" t="str">
        <f t="shared" ca="1" si="41"/>
        <v>With in 90 days</v>
      </c>
      <c r="P849" t="str">
        <f>VLOOKUP(C849,[1]Customer_Master!$A:$B,2,0)</f>
        <v>Group 1-Giridhar-Peenya</v>
      </c>
      <c r="Q849" t="str">
        <f>VLOOKUP(D849,[2]Template!$A:$D,3,0)</f>
        <v>LAPP</v>
      </c>
      <c r="R849" t="str">
        <f>VLOOKUP(D849,[2]Template!$A:$D,4,0)</f>
        <v>Lapp-Against Customer PO</v>
      </c>
    </row>
    <row r="850" spans="1:18" ht="13.5" customHeight="1" x14ac:dyDescent="0.25">
      <c r="A850" s="9">
        <v>46139</v>
      </c>
      <c r="B850" s="10" t="s">
        <v>1419</v>
      </c>
      <c r="C850" s="11" t="s">
        <v>1418</v>
      </c>
      <c r="D850" s="10" t="s">
        <v>1422</v>
      </c>
      <c r="E850" s="12" t="s">
        <v>1072</v>
      </c>
      <c r="F850" s="12" t="s">
        <v>1423</v>
      </c>
      <c r="G850" s="13">
        <v>10</v>
      </c>
      <c r="H850" s="14">
        <v>10</v>
      </c>
      <c r="I850" s="15">
        <v>2870.83</v>
      </c>
      <c r="J850" s="21">
        <v>45</v>
      </c>
      <c r="K850" s="17">
        <v>15789.57</v>
      </c>
      <c r="L850" s="18">
        <v>46139</v>
      </c>
      <c r="M850" s="6" t="str">
        <f t="shared" si="39"/>
        <v>Due order</v>
      </c>
      <c r="N850" s="8">
        <f t="shared" ca="1" si="40"/>
        <v>-16</v>
      </c>
      <c r="O850" s="8" t="str">
        <f t="shared" ca="1" si="41"/>
        <v>With in 90 days</v>
      </c>
      <c r="P850" t="str">
        <f>VLOOKUP(C850,[1]Customer_Master!$A:$B,2,0)</f>
        <v>Group 1-Giridhar-Peenya</v>
      </c>
      <c r="Q850" t="str">
        <f>VLOOKUP(D850,[2]Template!$A:$D,3,0)</f>
        <v>LAPP</v>
      </c>
      <c r="R850" t="str">
        <f>VLOOKUP(D850,[2]Template!$A:$D,4,0)</f>
        <v>Lapp-Non Moving Stocks</v>
      </c>
    </row>
    <row r="851" spans="1:18" ht="13.5" customHeight="1" x14ac:dyDescent="0.25">
      <c r="A851" s="9">
        <v>46139</v>
      </c>
      <c r="B851" s="10" t="s">
        <v>1424</v>
      </c>
      <c r="C851" s="11" t="s">
        <v>209</v>
      </c>
      <c r="D851" s="27" t="s">
        <v>1162</v>
      </c>
      <c r="E851" s="12" t="s">
        <v>1072</v>
      </c>
      <c r="F851" s="12" t="s">
        <v>1163</v>
      </c>
      <c r="G851" s="13">
        <v>120</v>
      </c>
      <c r="H851" s="14">
        <v>120</v>
      </c>
      <c r="I851" s="15">
        <v>1752.97</v>
      </c>
      <c r="J851" s="16"/>
      <c r="K851" s="17">
        <v>210356.4</v>
      </c>
      <c r="L851" s="18">
        <v>46139</v>
      </c>
      <c r="M851" s="6" t="str">
        <f t="shared" si="39"/>
        <v>Due order</v>
      </c>
      <c r="N851" s="8">
        <f t="shared" ca="1" si="40"/>
        <v>-16</v>
      </c>
      <c r="O851" s="8" t="str">
        <f t="shared" ca="1" si="41"/>
        <v>With in 90 days</v>
      </c>
      <c r="P851" t="str">
        <f>VLOOKUP(C851,[1]Customer_Master!$A:$B,2,0)</f>
        <v>Group 1-Giridhar-Peenya</v>
      </c>
      <c r="Q851" t="str">
        <f>VLOOKUP(D851,[2]Template!$A:$D,3,0)</f>
        <v>LAPP</v>
      </c>
      <c r="R851" t="str">
        <f>VLOOKUP(D851,[2]Template!$A:$D,4,0)</f>
        <v>Lapp-Non Moving Stocks</v>
      </c>
    </row>
    <row r="852" spans="1:18" ht="13.5" customHeight="1" x14ac:dyDescent="0.25">
      <c r="A852" s="9">
        <v>46139</v>
      </c>
      <c r="B852" s="10" t="s">
        <v>1424</v>
      </c>
      <c r="C852" s="11" t="s">
        <v>209</v>
      </c>
      <c r="D852" s="27" t="s">
        <v>1425</v>
      </c>
      <c r="E852" s="12" t="s">
        <v>1072</v>
      </c>
      <c r="F852" s="12" t="s">
        <v>1426</v>
      </c>
      <c r="G852" s="13">
        <v>1000</v>
      </c>
      <c r="H852" s="14">
        <v>1000</v>
      </c>
      <c r="I852" s="15">
        <v>50.22</v>
      </c>
      <c r="J852" s="16"/>
      <c r="K852" s="17">
        <v>50220</v>
      </c>
      <c r="L852" s="18">
        <v>46139</v>
      </c>
      <c r="M852" s="6" t="str">
        <f t="shared" si="39"/>
        <v>Due order</v>
      </c>
      <c r="N852" s="8">
        <f t="shared" ca="1" si="40"/>
        <v>-16</v>
      </c>
      <c r="O852" s="8" t="str">
        <f t="shared" ca="1" si="41"/>
        <v>With in 90 days</v>
      </c>
      <c r="P852" t="str">
        <f>VLOOKUP(C852,[1]Customer_Master!$A:$B,2,0)</f>
        <v>Group 1-Giridhar-Peenya</v>
      </c>
      <c r="Q852" t="str">
        <f>VLOOKUP(D852,[2]Template!$A:$D,3,0)</f>
        <v>LAPP</v>
      </c>
      <c r="R852" t="str">
        <f>VLOOKUP(D852,[2]Template!$A:$D,4,0)</f>
        <v>Lapp-Non Moving Stocks</v>
      </c>
    </row>
    <row r="853" spans="1:18" ht="13.5" customHeight="1" x14ac:dyDescent="0.25">
      <c r="A853" s="9">
        <v>46139</v>
      </c>
      <c r="B853" s="10" t="s">
        <v>1424</v>
      </c>
      <c r="C853" s="11" t="s">
        <v>209</v>
      </c>
      <c r="D853" s="27" t="s">
        <v>1427</v>
      </c>
      <c r="E853" s="12" t="s">
        <v>1072</v>
      </c>
      <c r="F853" s="12" t="s">
        <v>1428</v>
      </c>
      <c r="G853" s="13">
        <v>500</v>
      </c>
      <c r="H853" s="14">
        <v>500</v>
      </c>
      <c r="I853" s="15">
        <v>61.99</v>
      </c>
      <c r="J853" s="16"/>
      <c r="K853" s="17">
        <v>30995</v>
      </c>
      <c r="L853" s="18">
        <v>46139</v>
      </c>
      <c r="M853" s="6" t="str">
        <f t="shared" si="39"/>
        <v>Due order</v>
      </c>
      <c r="N853" s="8">
        <f t="shared" ca="1" si="40"/>
        <v>-16</v>
      </c>
      <c r="O853" s="8" t="str">
        <f t="shared" ca="1" si="41"/>
        <v>With in 90 days</v>
      </c>
      <c r="P853" t="str">
        <f>VLOOKUP(C853,[1]Customer_Master!$A:$B,2,0)</f>
        <v>Group 1-Giridhar-Peenya</v>
      </c>
      <c r="Q853" t="str">
        <f>VLOOKUP(D853,[2]Template!$A:$D,3,0)</f>
        <v>LAPP</v>
      </c>
      <c r="R853" t="str">
        <f>VLOOKUP(D853,[2]Template!$A:$D,4,0)</f>
        <v>Lapp-Non Moving Stocks</v>
      </c>
    </row>
    <row r="854" spans="1:18" ht="13.5" customHeight="1" x14ac:dyDescent="0.25">
      <c r="A854" s="9">
        <v>46139</v>
      </c>
      <c r="B854" s="10" t="s">
        <v>1429</v>
      </c>
      <c r="C854" s="11" t="s">
        <v>209</v>
      </c>
      <c r="D854" s="10" t="s">
        <v>1430</v>
      </c>
      <c r="E854" s="12" t="s">
        <v>1072</v>
      </c>
      <c r="F854" s="12" t="s">
        <v>1431</v>
      </c>
      <c r="G854" s="13">
        <v>120</v>
      </c>
      <c r="H854" s="14">
        <v>120</v>
      </c>
      <c r="I854" s="15">
        <v>585.79</v>
      </c>
      <c r="J854" s="16"/>
      <c r="K854" s="17">
        <v>70294.8</v>
      </c>
      <c r="L854" s="18">
        <v>46139</v>
      </c>
      <c r="M854" s="6" t="str">
        <f t="shared" si="39"/>
        <v>Due order</v>
      </c>
      <c r="N854" s="8">
        <f t="shared" ca="1" si="40"/>
        <v>-16</v>
      </c>
      <c r="O854" s="8" t="str">
        <f t="shared" ca="1" si="41"/>
        <v>With in 90 days</v>
      </c>
      <c r="P854" t="str">
        <f>VLOOKUP(C854,[1]Customer_Master!$A:$B,2,0)</f>
        <v>Group 1-Giridhar-Peenya</v>
      </c>
      <c r="Q854" t="str">
        <f>VLOOKUP(D854,[2]Template!$A:$D,3,0)</f>
        <v>LAPP</v>
      </c>
      <c r="R854" t="str">
        <f>VLOOKUP(D854,[2]Template!$A:$D,4,0)</f>
        <v>Lapp-Non Moving Stocks</v>
      </c>
    </row>
    <row r="855" spans="1:18" ht="13.5" customHeight="1" x14ac:dyDescent="0.25">
      <c r="A855" s="9">
        <v>46139</v>
      </c>
      <c r="B855" s="10" t="s">
        <v>1429</v>
      </c>
      <c r="C855" s="11" t="s">
        <v>209</v>
      </c>
      <c r="D855" s="27" t="s">
        <v>1174</v>
      </c>
      <c r="E855" s="12" t="s">
        <v>1072</v>
      </c>
      <c r="F855" s="12" t="s">
        <v>1175</v>
      </c>
      <c r="G855" s="13">
        <v>240</v>
      </c>
      <c r="H855" s="14">
        <v>240</v>
      </c>
      <c r="I855" s="15">
        <v>393.62</v>
      </c>
      <c r="J855" s="16"/>
      <c r="K855" s="17">
        <v>94468.800000000003</v>
      </c>
      <c r="L855" s="18">
        <v>46139</v>
      </c>
      <c r="M855" s="6" t="str">
        <f t="shared" si="39"/>
        <v>Due order</v>
      </c>
      <c r="N855" s="8">
        <f t="shared" ca="1" si="40"/>
        <v>-16</v>
      </c>
      <c r="O855" s="8" t="str">
        <f t="shared" ca="1" si="41"/>
        <v>With in 90 days</v>
      </c>
      <c r="P855" t="str">
        <f>VLOOKUP(C855,[1]Customer_Master!$A:$B,2,0)</f>
        <v>Group 1-Giridhar-Peenya</v>
      </c>
      <c r="Q855" t="str">
        <f>VLOOKUP(D855,[2]Template!$A:$D,3,0)</f>
        <v>LAPP</v>
      </c>
      <c r="R855" t="str">
        <f>VLOOKUP(D855,[2]Template!$A:$D,4,0)</f>
        <v>Lapp-Non Moving Stocks</v>
      </c>
    </row>
    <row r="856" spans="1:18" ht="13.5" customHeight="1" x14ac:dyDescent="0.25">
      <c r="A856" s="9">
        <v>46139</v>
      </c>
      <c r="B856" s="10" t="s">
        <v>1429</v>
      </c>
      <c r="C856" s="11" t="s">
        <v>209</v>
      </c>
      <c r="D856" s="10" t="s">
        <v>1432</v>
      </c>
      <c r="E856" s="12" t="s">
        <v>1072</v>
      </c>
      <c r="F856" s="12" t="s">
        <v>1433</v>
      </c>
      <c r="G856" s="13">
        <v>30</v>
      </c>
      <c r="H856" s="14">
        <v>30</v>
      </c>
      <c r="I856" s="15">
        <v>844.48</v>
      </c>
      <c r="J856" s="16"/>
      <c r="K856" s="17">
        <v>25334.400000000001</v>
      </c>
      <c r="L856" s="18">
        <v>46139</v>
      </c>
      <c r="M856" s="6" t="str">
        <f t="shared" si="39"/>
        <v>Due order</v>
      </c>
      <c r="N856" s="8">
        <f t="shared" ca="1" si="40"/>
        <v>-16</v>
      </c>
      <c r="O856" s="8" t="str">
        <f t="shared" ca="1" si="41"/>
        <v>With in 90 days</v>
      </c>
      <c r="P856" t="str">
        <f>VLOOKUP(C856,[1]Customer_Master!$A:$B,2,0)</f>
        <v>Group 1-Giridhar-Peenya</v>
      </c>
      <c r="Q856" t="str">
        <f>VLOOKUP(D856,[2]Template!$A:$D,3,0)</f>
        <v>LAPP</v>
      </c>
      <c r="R856" t="str">
        <f>VLOOKUP(D856,[2]Template!$A:$D,4,0)</f>
        <v>Lapp-Against Customer PO</v>
      </c>
    </row>
    <row r="857" spans="1:18" ht="13.5" customHeight="1" x14ac:dyDescent="0.25">
      <c r="A857" s="9">
        <v>46139</v>
      </c>
      <c r="B857" s="10" t="s">
        <v>1434</v>
      </c>
      <c r="C857" s="11" t="s">
        <v>91</v>
      </c>
      <c r="D857" s="27" t="s">
        <v>863</v>
      </c>
      <c r="E857" s="12" t="s">
        <v>1072</v>
      </c>
      <c r="F857" s="26" t="s">
        <v>864</v>
      </c>
      <c r="G857" s="13">
        <v>900</v>
      </c>
      <c r="H857" s="14">
        <v>900</v>
      </c>
      <c r="I857" s="15">
        <v>136.25</v>
      </c>
      <c r="J857" s="16"/>
      <c r="K857" s="17">
        <v>122625</v>
      </c>
      <c r="L857" s="18">
        <v>46139</v>
      </c>
      <c r="M857" s="6" t="str">
        <f t="shared" si="39"/>
        <v>Due order</v>
      </c>
      <c r="N857" s="8">
        <f t="shared" ca="1" si="40"/>
        <v>-16</v>
      </c>
      <c r="O857" s="8" t="str">
        <f t="shared" ca="1" si="41"/>
        <v>With in 90 days</v>
      </c>
      <c r="P857" t="str">
        <f>VLOOKUP(C857,[1]Customer_Master!$A:$B,2,0)</f>
        <v>Group-2 (Veeresh- Bomsdr+Hosur)</v>
      </c>
      <c r="Q857" t="str">
        <f>VLOOKUP(D857,[2]Template!$A:$D,3,0)</f>
        <v>LAPP</v>
      </c>
      <c r="R857" t="str">
        <f>VLOOKUP(D857,[2]Template!$A:$D,4,0)</f>
        <v>Lapp-TD Power</v>
      </c>
    </row>
    <row r="858" spans="1:18" ht="13.5" customHeight="1" x14ac:dyDescent="0.25">
      <c r="A858" s="9">
        <v>46139</v>
      </c>
      <c r="B858" s="10" t="s">
        <v>1435</v>
      </c>
      <c r="C858" s="11" t="s">
        <v>116</v>
      </c>
      <c r="D858" s="10" t="s">
        <v>812</v>
      </c>
      <c r="E858" s="12" t="s">
        <v>1072</v>
      </c>
      <c r="F858" s="12" t="s">
        <v>813</v>
      </c>
      <c r="G858" s="13">
        <v>252</v>
      </c>
      <c r="H858" s="14">
        <v>252</v>
      </c>
      <c r="I858" s="15">
        <v>129.87</v>
      </c>
      <c r="J858" s="16"/>
      <c r="K858" s="17">
        <v>32727.24</v>
      </c>
      <c r="L858" s="18">
        <v>46147</v>
      </c>
      <c r="M858" s="6" t="str">
        <f t="shared" si="39"/>
        <v>Schedule order</v>
      </c>
      <c r="N858" s="8">
        <f t="shared" ca="1" si="40"/>
        <v>-8</v>
      </c>
      <c r="O858" s="8" t="str">
        <f t="shared" ca="1" si="41"/>
        <v>With in 90 days</v>
      </c>
      <c r="P858" t="str">
        <f>VLOOKUP(C858,[1]Customer_Master!$A:$B,2,0)</f>
        <v>Group-2 (Veeresh- Bomsdr+Hosur)</v>
      </c>
      <c r="Q858" t="str">
        <f>VLOOKUP(D858,[2]Template!$A:$D,3,0)</f>
        <v>LAPP</v>
      </c>
      <c r="R858" t="str">
        <f>VLOOKUP(D858,[2]Template!$A:$D,4,0)</f>
        <v>Lapp-Titan</v>
      </c>
    </row>
    <row r="859" spans="1:18" ht="13.5" customHeight="1" x14ac:dyDescent="0.25">
      <c r="A859" s="9">
        <v>46139</v>
      </c>
      <c r="B859" s="10" t="s">
        <v>1436</v>
      </c>
      <c r="C859" s="11" t="s">
        <v>116</v>
      </c>
      <c r="D859" s="10" t="s">
        <v>591</v>
      </c>
      <c r="E859" s="12" t="s">
        <v>1072</v>
      </c>
      <c r="F859" s="12" t="s">
        <v>592</v>
      </c>
      <c r="G859" s="13">
        <v>38</v>
      </c>
      <c r="H859" s="14">
        <v>38</v>
      </c>
      <c r="I859" s="15">
        <v>200.62</v>
      </c>
      <c r="J859" s="16"/>
      <c r="K859" s="17">
        <v>7623.56</v>
      </c>
      <c r="L859" s="18">
        <v>46142</v>
      </c>
      <c r="M859" s="6" t="str">
        <f t="shared" si="39"/>
        <v>Schedule order</v>
      </c>
      <c r="N859" s="8">
        <f t="shared" ca="1" si="40"/>
        <v>-13</v>
      </c>
      <c r="O859" s="8" t="str">
        <f t="shared" ca="1" si="41"/>
        <v>With in 90 days</v>
      </c>
      <c r="P859" t="str">
        <f>VLOOKUP(C859,[1]Customer_Master!$A:$B,2,0)</f>
        <v>Group-2 (Veeresh- Bomsdr+Hosur)</v>
      </c>
      <c r="Q859" t="str">
        <f>VLOOKUP(D859,[2]Template!$A:$D,3,0)</f>
        <v>LAPP</v>
      </c>
      <c r="R859" t="str">
        <f>VLOOKUP(D859,[2]Template!$A:$D,4,0)</f>
        <v>Lapp-Planned Stock General</v>
      </c>
    </row>
    <row r="860" spans="1:18" ht="13.5" customHeight="1" x14ac:dyDescent="0.25">
      <c r="A860" s="9">
        <v>46139</v>
      </c>
      <c r="B860" s="10" t="s">
        <v>1436</v>
      </c>
      <c r="C860" s="11" t="s">
        <v>116</v>
      </c>
      <c r="D860" s="10" t="s">
        <v>1437</v>
      </c>
      <c r="E860" s="12" t="s">
        <v>1072</v>
      </c>
      <c r="F860" s="12" t="s">
        <v>1438</v>
      </c>
      <c r="G860" s="19">
        <v>40</v>
      </c>
      <c r="H860" s="20">
        <v>40</v>
      </c>
      <c r="I860" s="15">
        <v>2401.46</v>
      </c>
      <c r="J860" s="16"/>
      <c r="K860" s="17">
        <v>96058.4</v>
      </c>
      <c r="L860" s="18">
        <v>46142</v>
      </c>
      <c r="M860" s="6" t="str">
        <f t="shared" si="39"/>
        <v>Schedule order</v>
      </c>
      <c r="N860" s="8">
        <f t="shared" ca="1" si="40"/>
        <v>-13</v>
      </c>
      <c r="O860" s="8" t="str">
        <f t="shared" ca="1" si="41"/>
        <v>With in 90 days</v>
      </c>
      <c r="P860" t="str">
        <f>VLOOKUP(C860,[1]Customer_Master!$A:$B,2,0)</f>
        <v>Group-2 (Veeresh- Bomsdr+Hosur)</v>
      </c>
      <c r="Q860" t="str">
        <f>VLOOKUP(D860,[2]Template!$A:$D,3,0)</f>
        <v>LAPP</v>
      </c>
      <c r="R860" t="str">
        <f>VLOOKUP(D860,[2]Template!$A:$D,4,0)</f>
        <v>Lapp-Against Customer PO</v>
      </c>
    </row>
    <row r="861" spans="1:18" ht="13.5" customHeight="1" x14ac:dyDescent="0.25">
      <c r="A861" s="9">
        <v>46139</v>
      </c>
      <c r="B861" s="10" t="s">
        <v>1436</v>
      </c>
      <c r="C861" s="11" t="s">
        <v>116</v>
      </c>
      <c r="D861" s="10" t="s">
        <v>1439</v>
      </c>
      <c r="E861" s="12" t="s">
        <v>1072</v>
      </c>
      <c r="F861" s="12" t="s">
        <v>1440</v>
      </c>
      <c r="G861" s="13">
        <v>20</v>
      </c>
      <c r="H861" s="14">
        <v>20</v>
      </c>
      <c r="I861" s="15">
        <v>251.21</v>
      </c>
      <c r="J861" s="16"/>
      <c r="K861" s="17">
        <v>5024.2</v>
      </c>
      <c r="L861" s="18">
        <v>46142</v>
      </c>
      <c r="M861" s="6" t="str">
        <f t="shared" si="39"/>
        <v>Schedule order</v>
      </c>
      <c r="N861" s="8">
        <f t="shared" ca="1" si="40"/>
        <v>-13</v>
      </c>
      <c r="O861" s="8" t="str">
        <f t="shared" ca="1" si="41"/>
        <v>With in 90 days</v>
      </c>
      <c r="P861" t="str">
        <f>VLOOKUP(C861,[1]Customer_Master!$A:$B,2,0)</f>
        <v>Group-2 (Veeresh- Bomsdr+Hosur)</v>
      </c>
      <c r="Q861" t="str">
        <f>VLOOKUP(D861,[2]Template!$A:$D,3,0)</f>
        <v>LAPP</v>
      </c>
      <c r="R861" t="str">
        <f>VLOOKUP(D861,[2]Template!$A:$D,4,0)</f>
        <v>Lapp-Non Moving Stocks</v>
      </c>
    </row>
    <row r="862" spans="1:18" ht="13.5" customHeight="1" x14ac:dyDescent="0.25">
      <c r="A862" s="9">
        <v>46139</v>
      </c>
      <c r="B862" s="10" t="s">
        <v>1436</v>
      </c>
      <c r="C862" s="11" t="s">
        <v>116</v>
      </c>
      <c r="D862" s="10" t="s">
        <v>812</v>
      </c>
      <c r="E862" s="12" t="s">
        <v>1072</v>
      </c>
      <c r="F862" s="12" t="s">
        <v>813</v>
      </c>
      <c r="G862" s="13">
        <v>20</v>
      </c>
      <c r="H862" s="14">
        <v>20</v>
      </c>
      <c r="I862" s="15">
        <v>87.29</v>
      </c>
      <c r="J862" s="16"/>
      <c r="K862" s="17">
        <v>1745.8</v>
      </c>
      <c r="L862" s="18">
        <v>46142</v>
      </c>
      <c r="M862" s="6" t="str">
        <f t="shared" si="39"/>
        <v>Schedule order</v>
      </c>
      <c r="N862" s="8">
        <f t="shared" ca="1" si="40"/>
        <v>-13</v>
      </c>
      <c r="O862" s="8" t="str">
        <f t="shared" ca="1" si="41"/>
        <v>With in 90 days</v>
      </c>
      <c r="P862" t="str">
        <f>VLOOKUP(C862,[1]Customer_Master!$A:$B,2,0)</f>
        <v>Group-2 (Veeresh- Bomsdr+Hosur)</v>
      </c>
      <c r="Q862" t="str">
        <f>VLOOKUP(D862,[2]Template!$A:$D,3,0)</f>
        <v>LAPP</v>
      </c>
      <c r="R862" t="str">
        <f>VLOOKUP(D862,[2]Template!$A:$D,4,0)</f>
        <v>Lapp-Titan</v>
      </c>
    </row>
    <row r="863" spans="1:18" ht="13.5" customHeight="1" x14ac:dyDescent="0.25">
      <c r="A863" s="9">
        <v>46139</v>
      </c>
      <c r="B863" s="10" t="s">
        <v>1441</v>
      </c>
      <c r="C863" s="11" t="s">
        <v>61</v>
      </c>
      <c r="D863" s="10" t="s">
        <v>952</v>
      </c>
      <c r="E863" s="12" t="s">
        <v>1072</v>
      </c>
      <c r="F863" s="12" t="s">
        <v>953</v>
      </c>
      <c r="G863" s="22">
        <v>9</v>
      </c>
      <c r="H863" s="23">
        <v>9</v>
      </c>
      <c r="I863" s="15">
        <v>59.73</v>
      </c>
      <c r="J863" s="21">
        <v>43</v>
      </c>
      <c r="K863" s="17">
        <v>306.41000000000003</v>
      </c>
      <c r="L863" s="18">
        <v>46157</v>
      </c>
      <c r="M863" s="6" t="str">
        <f t="shared" si="39"/>
        <v>Schedule order</v>
      </c>
      <c r="N863" s="8">
        <f t="shared" ca="1" si="40"/>
        <v>2</v>
      </c>
      <c r="O863" s="8" t="str">
        <f t="shared" ca="1" si="41"/>
        <v>Lattest or shedule order</v>
      </c>
      <c r="P863" t="str">
        <f>VLOOKUP(C863,[1]Customer_Master!$A:$B,2,0)</f>
        <v>Group 1-Giridhar-Peenya</v>
      </c>
      <c r="Q863" t="str">
        <f>VLOOKUP(D863,[2]Template!$A:$D,3,0)</f>
        <v>LAPP</v>
      </c>
      <c r="R863" t="str">
        <f>VLOOKUP(D863,[2]Template!$A:$D,4,0)</f>
        <v>Lapp-Against Customer PO</v>
      </c>
    </row>
    <row r="864" spans="1:18" ht="13.5" customHeight="1" x14ac:dyDescent="0.25">
      <c r="A864" s="9">
        <v>46139</v>
      </c>
      <c r="B864" s="10" t="s">
        <v>1441</v>
      </c>
      <c r="C864" s="11" t="s">
        <v>61</v>
      </c>
      <c r="D864" s="10" t="s">
        <v>1442</v>
      </c>
      <c r="E864" s="12" t="s">
        <v>1072</v>
      </c>
      <c r="F864" s="12" t="s">
        <v>1443</v>
      </c>
      <c r="G864" s="22">
        <v>28</v>
      </c>
      <c r="H864" s="23">
        <v>28</v>
      </c>
      <c r="I864" s="15">
        <v>69.89</v>
      </c>
      <c r="J864" s="21">
        <v>43</v>
      </c>
      <c r="K864" s="17">
        <v>1115.44</v>
      </c>
      <c r="L864" s="18">
        <v>46157</v>
      </c>
      <c r="M864" s="6" t="str">
        <f t="shared" si="39"/>
        <v>Schedule order</v>
      </c>
      <c r="N864" s="8">
        <f t="shared" ca="1" si="40"/>
        <v>2</v>
      </c>
      <c r="O864" s="8" t="str">
        <f t="shared" ca="1" si="41"/>
        <v>Lattest or shedule order</v>
      </c>
      <c r="P864" t="str">
        <f>VLOOKUP(C864,[1]Customer_Master!$A:$B,2,0)</f>
        <v>Group 1-Giridhar-Peenya</v>
      </c>
      <c r="Q864" t="str">
        <f>VLOOKUP(D864,[2]Template!$A:$D,3,0)</f>
        <v>LAPP</v>
      </c>
      <c r="R864" t="str">
        <f>VLOOKUP(D864,[2]Template!$A:$D,4,0)</f>
        <v>Lapp-Against Customer PO</v>
      </c>
    </row>
    <row r="865" spans="1:18" ht="13.5" customHeight="1" x14ac:dyDescent="0.25">
      <c r="A865" s="9">
        <v>46139</v>
      </c>
      <c r="B865" s="10" t="s">
        <v>1441</v>
      </c>
      <c r="C865" s="11" t="s">
        <v>61</v>
      </c>
      <c r="D865" s="10" t="s">
        <v>1444</v>
      </c>
      <c r="E865" s="12" t="s">
        <v>1072</v>
      </c>
      <c r="F865" s="12" t="s">
        <v>1445</v>
      </c>
      <c r="G865" s="22">
        <v>2</v>
      </c>
      <c r="H865" s="23">
        <v>2</v>
      </c>
      <c r="I865" s="15">
        <v>88.46</v>
      </c>
      <c r="J865" s="21">
        <v>43</v>
      </c>
      <c r="K865" s="17">
        <v>100.84</v>
      </c>
      <c r="L865" s="18">
        <v>46157</v>
      </c>
      <c r="M865" s="6" t="str">
        <f t="shared" si="39"/>
        <v>Schedule order</v>
      </c>
      <c r="N865" s="8">
        <f t="shared" ca="1" si="40"/>
        <v>2</v>
      </c>
      <c r="O865" s="8" t="str">
        <f t="shared" ca="1" si="41"/>
        <v>Lattest or shedule order</v>
      </c>
      <c r="P865" t="str">
        <f>VLOOKUP(C865,[1]Customer_Master!$A:$B,2,0)</f>
        <v>Group 1-Giridhar-Peenya</v>
      </c>
      <c r="Q865" t="str">
        <f>VLOOKUP(D865,[2]Template!$A:$D,3,0)</f>
        <v>LAPP</v>
      </c>
      <c r="R865" t="str">
        <f>VLOOKUP(D865,[2]Template!$A:$D,4,0)</f>
        <v>Lapp-Against Customer PO</v>
      </c>
    </row>
    <row r="866" spans="1:18" ht="13.5" customHeight="1" x14ac:dyDescent="0.25">
      <c r="A866" s="9">
        <v>46139</v>
      </c>
      <c r="B866" s="10" t="s">
        <v>1441</v>
      </c>
      <c r="C866" s="11" t="s">
        <v>61</v>
      </c>
      <c r="D866" s="10" t="s">
        <v>1446</v>
      </c>
      <c r="E866" s="12" t="s">
        <v>1072</v>
      </c>
      <c r="F866" s="12" t="s">
        <v>1447</v>
      </c>
      <c r="G866" s="22">
        <v>2</v>
      </c>
      <c r="H866" s="23">
        <v>2</v>
      </c>
      <c r="I866" s="15">
        <v>240.95</v>
      </c>
      <c r="J866" s="21">
        <v>43</v>
      </c>
      <c r="K866" s="17">
        <v>274.68</v>
      </c>
      <c r="L866" s="18">
        <v>46157</v>
      </c>
      <c r="M866" s="6" t="str">
        <f t="shared" si="39"/>
        <v>Schedule order</v>
      </c>
      <c r="N866" s="8">
        <f t="shared" ca="1" si="40"/>
        <v>2</v>
      </c>
      <c r="O866" s="8" t="str">
        <f t="shared" ca="1" si="41"/>
        <v>Lattest or shedule order</v>
      </c>
      <c r="P866" t="str">
        <f>VLOOKUP(C866,[1]Customer_Master!$A:$B,2,0)</f>
        <v>Group 1-Giridhar-Peenya</v>
      </c>
      <c r="Q866" t="str">
        <f>VLOOKUP(D866,[2]Template!$A:$D,3,0)</f>
        <v>LAPP</v>
      </c>
      <c r="R866" t="str">
        <f>VLOOKUP(D866,[2]Template!$A:$D,4,0)</f>
        <v>Lapp-Against Customer PO</v>
      </c>
    </row>
    <row r="867" spans="1:18" ht="13.5" customHeight="1" x14ac:dyDescent="0.25">
      <c r="A867" s="9">
        <v>46139</v>
      </c>
      <c r="B867" s="10" t="s">
        <v>1441</v>
      </c>
      <c r="C867" s="11" t="s">
        <v>61</v>
      </c>
      <c r="D867" s="10" t="s">
        <v>1448</v>
      </c>
      <c r="E867" s="12" t="s">
        <v>1072</v>
      </c>
      <c r="F867" s="12" t="s">
        <v>1449</v>
      </c>
      <c r="G867" s="22">
        <v>9</v>
      </c>
      <c r="H867" s="23">
        <v>9</v>
      </c>
      <c r="I867" s="15">
        <v>19.329999999999998</v>
      </c>
      <c r="J867" s="21">
        <v>43</v>
      </c>
      <c r="K867" s="17">
        <v>99.16</v>
      </c>
      <c r="L867" s="18">
        <v>46157</v>
      </c>
      <c r="M867" s="6" t="str">
        <f t="shared" si="39"/>
        <v>Schedule order</v>
      </c>
      <c r="N867" s="8">
        <f t="shared" ca="1" si="40"/>
        <v>2</v>
      </c>
      <c r="O867" s="8" t="str">
        <f t="shared" ca="1" si="41"/>
        <v>Lattest or shedule order</v>
      </c>
      <c r="P867" t="str">
        <f>VLOOKUP(C867,[1]Customer_Master!$A:$B,2,0)</f>
        <v>Group 1-Giridhar-Peenya</v>
      </c>
      <c r="Q867" t="str">
        <f>VLOOKUP(D867,[2]Template!$A:$D,3,0)</f>
        <v>LAPP</v>
      </c>
      <c r="R867" t="str">
        <f>VLOOKUP(D867,[2]Template!$A:$D,4,0)</f>
        <v>Lapp-Against Customer PO</v>
      </c>
    </row>
    <row r="868" spans="1:18" ht="13.5" customHeight="1" x14ac:dyDescent="0.25">
      <c r="A868" s="9">
        <v>46139</v>
      </c>
      <c r="B868" s="10" t="s">
        <v>1441</v>
      </c>
      <c r="C868" s="11" t="s">
        <v>61</v>
      </c>
      <c r="D868" s="10" t="s">
        <v>1044</v>
      </c>
      <c r="E868" s="12" t="s">
        <v>1072</v>
      </c>
      <c r="F868" s="12" t="s">
        <v>1075</v>
      </c>
      <c r="G868" s="22">
        <v>28</v>
      </c>
      <c r="H868" s="23">
        <v>28</v>
      </c>
      <c r="I868" s="15">
        <v>14.98</v>
      </c>
      <c r="J868" s="21">
        <v>43</v>
      </c>
      <c r="K868" s="17">
        <v>239.08</v>
      </c>
      <c r="L868" s="18">
        <v>46157</v>
      </c>
      <c r="M868" s="6" t="str">
        <f t="shared" si="39"/>
        <v>Schedule order</v>
      </c>
      <c r="N868" s="8">
        <f t="shared" ca="1" si="40"/>
        <v>2</v>
      </c>
      <c r="O868" s="8" t="str">
        <f t="shared" ca="1" si="41"/>
        <v>Lattest or shedule order</v>
      </c>
      <c r="P868" t="str">
        <f>VLOOKUP(C868,[1]Customer_Master!$A:$B,2,0)</f>
        <v>Group 1-Giridhar-Peenya</v>
      </c>
      <c r="Q868" t="str">
        <f>VLOOKUP(D868,[2]Template!$A:$D,3,0)</f>
        <v>LAPP</v>
      </c>
      <c r="R868" t="str">
        <f>VLOOKUP(D868,[2]Template!$A:$D,4,0)</f>
        <v>Lapp-Against Customer PO</v>
      </c>
    </row>
    <row r="869" spans="1:18" ht="13.5" customHeight="1" x14ac:dyDescent="0.25">
      <c r="A869" s="9">
        <v>46139</v>
      </c>
      <c r="B869" s="10" t="s">
        <v>1441</v>
      </c>
      <c r="C869" s="11" t="s">
        <v>61</v>
      </c>
      <c r="D869" s="10" t="s">
        <v>949</v>
      </c>
      <c r="E869" s="12" t="s">
        <v>1072</v>
      </c>
      <c r="F869" s="12" t="s">
        <v>950</v>
      </c>
      <c r="G869" s="22">
        <v>2</v>
      </c>
      <c r="H869" s="23">
        <v>2</v>
      </c>
      <c r="I869" s="15">
        <v>23.17</v>
      </c>
      <c r="J869" s="21">
        <v>43</v>
      </c>
      <c r="K869" s="17">
        <v>26.41</v>
      </c>
      <c r="L869" s="18">
        <v>46157</v>
      </c>
      <c r="M869" s="6" t="str">
        <f t="shared" si="39"/>
        <v>Schedule order</v>
      </c>
      <c r="N869" s="8">
        <f t="shared" ca="1" si="40"/>
        <v>2</v>
      </c>
      <c r="O869" s="8" t="str">
        <f t="shared" ca="1" si="41"/>
        <v>Lattest or shedule order</v>
      </c>
      <c r="P869" t="str">
        <f>VLOOKUP(C869,[1]Customer_Master!$A:$B,2,0)</f>
        <v>Group 1-Giridhar-Peenya</v>
      </c>
      <c r="Q869" t="str">
        <f>VLOOKUP(D869,[2]Template!$A:$D,3,0)</f>
        <v>LAPP</v>
      </c>
      <c r="R869" t="str">
        <f>VLOOKUP(D869,[2]Template!$A:$D,4,0)</f>
        <v>Lapp-Against Customer PO</v>
      </c>
    </row>
    <row r="870" spans="1:18" ht="13.5" customHeight="1" x14ac:dyDescent="0.25">
      <c r="A870" s="9">
        <v>46139</v>
      </c>
      <c r="B870" s="10" t="s">
        <v>1441</v>
      </c>
      <c r="C870" s="11" t="s">
        <v>61</v>
      </c>
      <c r="D870" s="10" t="s">
        <v>1450</v>
      </c>
      <c r="E870" s="12" t="s">
        <v>1072</v>
      </c>
      <c r="F870" s="12" t="s">
        <v>1451</v>
      </c>
      <c r="G870" s="22">
        <v>1</v>
      </c>
      <c r="H870" s="23">
        <v>1</v>
      </c>
      <c r="I870" s="15">
        <v>73.77</v>
      </c>
      <c r="J870" s="21">
        <v>43</v>
      </c>
      <c r="K870" s="17">
        <v>42.05</v>
      </c>
      <c r="L870" s="18">
        <v>46157</v>
      </c>
      <c r="M870" s="6" t="str">
        <f t="shared" si="39"/>
        <v>Schedule order</v>
      </c>
      <c r="N870" s="8">
        <f t="shared" ca="1" si="40"/>
        <v>2</v>
      </c>
      <c r="O870" s="8" t="str">
        <f t="shared" ca="1" si="41"/>
        <v>Lattest or shedule order</v>
      </c>
      <c r="P870" t="str">
        <f>VLOOKUP(C870,[1]Customer_Master!$A:$B,2,0)</f>
        <v>Group 1-Giridhar-Peenya</v>
      </c>
      <c r="Q870" t="str">
        <f>VLOOKUP(D870,[2]Template!$A:$D,3,0)</f>
        <v>LAPP</v>
      </c>
      <c r="R870" t="str">
        <f>VLOOKUP(D870,[2]Template!$A:$D,4,0)</f>
        <v>Lapp-Against Customer PO</v>
      </c>
    </row>
    <row r="871" spans="1:18" ht="13.5" customHeight="1" x14ac:dyDescent="0.25">
      <c r="A871" s="9">
        <v>46139</v>
      </c>
      <c r="B871" s="10" t="s">
        <v>1452</v>
      </c>
      <c r="C871" s="11" t="s">
        <v>62</v>
      </c>
      <c r="D871" s="27" t="s">
        <v>1453</v>
      </c>
      <c r="E871" s="12" t="s">
        <v>1072</v>
      </c>
      <c r="F871" s="12" t="s">
        <v>1454</v>
      </c>
      <c r="G871" s="19">
        <v>1000</v>
      </c>
      <c r="H871" s="20">
        <v>600</v>
      </c>
      <c r="I871" s="15">
        <v>53.94</v>
      </c>
      <c r="J871" s="16"/>
      <c r="K871" s="17">
        <v>32364</v>
      </c>
      <c r="L871" s="18">
        <v>46139</v>
      </c>
      <c r="M871" s="6" t="str">
        <f t="shared" si="39"/>
        <v>Due order</v>
      </c>
      <c r="N871" s="8">
        <f t="shared" ca="1" si="40"/>
        <v>-16</v>
      </c>
      <c r="O871" s="8" t="str">
        <f t="shared" ca="1" si="41"/>
        <v>With in 90 days</v>
      </c>
      <c r="P871" t="str">
        <f>VLOOKUP(C871,[1]Customer_Master!$A:$B,2,0)</f>
        <v>Group 1-Giridhar-Peenya</v>
      </c>
      <c r="Q871" t="str">
        <f>VLOOKUP(D871,[2]Template!$A:$D,3,0)</f>
        <v>LAPP</v>
      </c>
      <c r="R871" t="str">
        <f>VLOOKUP(D871,[2]Template!$A:$D,4,0)</f>
        <v>Lapp-Non Moving Stocks</v>
      </c>
    </row>
    <row r="872" spans="1:18" ht="13.5" customHeight="1" x14ac:dyDescent="0.25">
      <c r="A872" s="9">
        <v>46140</v>
      </c>
      <c r="B872" s="10" t="s">
        <v>1455</v>
      </c>
      <c r="C872" s="11" t="s">
        <v>744</v>
      </c>
      <c r="D872" s="10" t="s">
        <v>1456</v>
      </c>
      <c r="E872" s="12" t="s">
        <v>1072</v>
      </c>
      <c r="F872" s="12" t="s">
        <v>1457</v>
      </c>
      <c r="G872" s="13">
        <v>46</v>
      </c>
      <c r="H872" s="14">
        <v>46</v>
      </c>
      <c r="I872" s="15">
        <v>273.02</v>
      </c>
      <c r="J872" s="16"/>
      <c r="K872" s="17">
        <v>12558.92</v>
      </c>
      <c r="L872" s="18">
        <v>46140</v>
      </c>
      <c r="M872" s="6" t="str">
        <f t="shared" si="39"/>
        <v>Due order</v>
      </c>
      <c r="N872" s="8">
        <f t="shared" ca="1" si="40"/>
        <v>-15</v>
      </c>
      <c r="O872" s="8" t="str">
        <f t="shared" ca="1" si="41"/>
        <v>With in 90 days</v>
      </c>
      <c r="P872" t="str">
        <f>VLOOKUP(C872,[1]Customer_Master!$A:$B,2,0)</f>
        <v>Group 1-Giridhar-Peenya</v>
      </c>
      <c r="Q872" t="str">
        <f>VLOOKUP(D872,[2]Template!$A:$D,3,0)</f>
        <v>LAPP</v>
      </c>
      <c r="R872" t="str">
        <f>VLOOKUP(D872,[2]Template!$A:$D,4,0)</f>
        <v>Lapp-Planned Stock General</v>
      </c>
    </row>
    <row r="873" spans="1:18" ht="13.5" customHeight="1" x14ac:dyDescent="0.25">
      <c r="A873" s="9">
        <v>46140</v>
      </c>
      <c r="B873" s="10" t="s">
        <v>1458</v>
      </c>
      <c r="C873" s="11" t="s">
        <v>34</v>
      </c>
      <c r="D873" s="10" t="s">
        <v>317</v>
      </c>
      <c r="E873" s="12" t="s">
        <v>1072</v>
      </c>
      <c r="F873" s="12" t="s">
        <v>71</v>
      </c>
      <c r="G873" s="13">
        <v>10000</v>
      </c>
      <c r="H873" s="14">
        <v>10000</v>
      </c>
      <c r="I873" s="15">
        <v>7.87</v>
      </c>
      <c r="J873" s="16"/>
      <c r="K873" s="17">
        <v>78700</v>
      </c>
      <c r="L873" s="18">
        <v>46178</v>
      </c>
      <c r="M873" s="6" t="str">
        <f t="shared" si="39"/>
        <v>Schedule order</v>
      </c>
      <c r="N873" s="8">
        <f t="shared" ca="1" si="40"/>
        <v>23</v>
      </c>
      <c r="O873" s="8" t="str">
        <f t="shared" ca="1" si="41"/>
        <v>Lattest or shedule order</v>
      </c>
      <c r="P873" t="str">
        <f>VLOOKUP(C873,[1]Customer_Master!$A:$B,2,0)</f>
        <v>Group 1-Giridhar-Peenya</v>
      </c>
      <c r="Q873" t="str">
        <f>VLOOKUP(D873,[2]Template!$A:$D,3,0)</f>
        <v>LAPP</v>
      </c>
      <c r="R873" t="str">
        <f>VLOOKUP(D873,[2]Template!$A:$D,4,0)</f>
        <v>Lapp-Planned Stock General</v>
      </c>
    </row>
    <row r="874" spans="1:18" ht="13.5" customHeight="1" x14ac:dyDescent="0.25">
      <c r="A874" s="9">
        <v>46140</v>
      </c>
      <c r="B874" s="10" t="s">
        <v>1458</v>
      </c>
      <c r="C874" s="11" t="s">
        <v>34</v>
      </c>
      <c r="D874" s="10" t="s">
        <v>355</v>
      </c>
      <c r="E874" s="12" t="s">
        <v>1072</v>
      </c>
      <c r="F874" s="12" t="s">
        <v>135</v>
      </c>
      <c r="G874" s="13">
        <v>2500</v>
      </c>
      <c r="H874" s="14">
        <v>2500</v>
      </c>
      <c r="I874" s="15">
        <v>10.64</v>
      </c>
      <c r="J874" s="16"/>
      <c r="K874" s="17">
        <v>26600</v>
      </c>
      <c r="L874" s="18">
        <v>46178</v>
      </c>
      <c r="M874" s="6" t="str">
        <f t="shared" si="39"/>
        <v>Schedule order</v>
      </c>
      <c r="N874" s="8">
        <f t="shared" ca="1" si="40"/>
        <v>23</v>
      </c>
      <c r="O874" s="8" t="str">
        <f t="shared" ca="1" si="41"/>
        <v>Lattest or shedule order</v>
      </c>
      <c r="P874" t="str">
        <f>VLOOKUP(C874,[1]Customer_Master!$A:$B,2,0)</f>
        <v>Group 1-Giridhar-Peenya</v>
      </c>
      <c r="Q874" t="str">
        <f>VLOOKUP(D874,[2]Template!$A:$D,3,0)</f>
        <v>LAPP</v>
      </c>
      <c r="R874" t="str">
        <f>VLOOKUP(D874,[2]Template!$A:$D,4,0)</f>
        <v>Lapp-Planned Stock General</v>
      </c>
    </row>
    <row r="875" spans="1:18" ht="13.5" customHeight="1" x14ac:dyDescent="0.25">
      <c r="A875" s="9">
        <v>46140</v>
      </c>
      <c r="B875" s="10" t="s">
        <v>1458</v>
      </c>
      <c r="C875" s="11" t="s">
        <v>34</v>
      </c>
      <c r="D875" s="10" t="s">
        <v>392</v>
      </c>
      <c r="E875" s="12" t="s">
        <v>1072</v>
      </c>
      <c r="F875" s="12" t="s">
        <v>184</v>
      </c>
      <c r="G875" s="13">
        <v>6000</v>
      </c>
      <c r="H875" s="14">
        <v>6000</v>
      </c>
      <c r="I875" s="15">
        <v>14.53</v>
      </c>
      <c r="J875" s="16"/>
      <c r="K875" s="17">
        <v>87180</v>
      </c>
      <c r="L875" s="18">
        <v>46178</v>
      </c>
      <c r="M875" s="6" t="str">
        <f t="shared" si="39"/>
        <v>Schedule order</v>
      </c>
      <c r="N875" s="8">
        <f t="shared" ca="1" si="40"/>
        <v>23</v>
      </c>
      <c r="O875" s="8" t="str">
        <f t="shared" ca="1" si="41"/>
        <v>Lattest or shedule order</v>
      </c>
      <c r="P875" t="str">
        <f>VLOOKUP(C875,[1]Customer_Master!$A:$B,2,0)</f>
        <v>Group 1-Giridhar-Peenya</v>
      </c>
      <c r="Q875" t="str">
        <f>VLOOKUP(D875,[2]Template!$A:$D,3,0)</f>
        <v>LAPP</v>
      </c>
      <c r="R875" t="str">
        <f>VLOOKUP(D875,[2]Template!$A:$D,4,0)</f>
        <v>Lapp-Planned Stock General</v>
      </c>
    </row>
    <row r="876" spans="1:18" ht="13.5" customHeight="1" x14ac:dyDescent="0.25">
      <c r="A876" s="9">
        <v>46140</v>
      </c>
      <c r="B876" s="10" t="s">
        <v>1458</v>
      </c>
      <c r="C876" s="11" t="s">
        <v>34</v>
      </c>
      <c r="D876" s="10" t="s">
        <v>357</v>
      </c>
      <c r="E876" s="12" t="s">
        <v>1072</v>
      </c>
      <c r="F876" s="12" t="s">
        <v>53</v>
      </c>
      <c r="G876" s="13">
        <v>1000</v>
      </c>
      <c r="H876" s="14">
        <v>1000</v>
      </c>
      <c r="I876" s="15">
        <v>20.46</v>
      </c>
      <c r="J876" s="16"/>
      <c r="K876" s="17">
        <v>20460</v>
      </c>
      <c r="L876" s="18">
        <v>46178</v>
      </c>
      <c r="M876" s="6" t="str">
        <f t="shared" si="39"/>
        <v>Schedule order</v>
      </c>
      <c r="N876" s="8">
        <f t="shared" ca="1" si="40"/>
        <v>23</v>
      </c>
      <c r="O876" s="8" t="str">
        <f t="shared" ca="1" si="41"/>
        <v>Lattest or shedule order</v>
      </c>
      <c r="P876" t="str">
        <f>VLOOKUP(C876,[1]Customer_Master!$A:$B,2,0)</f>
        <v>Group 1-Giridhar-Peenya</v>
      </c>
      <c r="Q876" t="str">
        <f>VLOOKUP(D876,[2]Template!$A:$D,3,0)</f>
        <v>LAPP</v>
      </c>
      <c r="R876" t="str">
        <f>VLOOKUP(D876,[2]Template!$A:$D,4,0)</f>
        <v>Lapp-Planned Stock General</v>
      </c>
    </row>
    <row r="877" spans="1:18" ht="13.5" customHeight="1" x14ac:dyDescent="0.25">
      <c r="A877" s="9">
        <v>46140</v>
      </c>
      <c r="B877" s="10" t="s">
        <v>1459</v>
      </c>
      <c r="C877" s="11" t="s">
        <v>31</v>
      </c>
      <c r="D877" s="27" t="s">
        <v>393</v>
      </c>
      <c r="E877" s="12" t="s">
        <v>1072</v>
      </c>
      <c r="F877" s="26" t="s">
        <v>151</v>
      </c>
      <c r="G877" s="13">
        <v>1000</v>
      </c>
      <c r="H877" s="14">
        <v>1000</v>
      </c>
      <c r="I877" s="15">
        <v>64.36</v>
      </c>
      <c r="J877" s="16"/>
      <c r="K877" s="17">
        <v>64360</v>
      </c>
      <c r="L877" s="18">
        <v>46203</v>
      </c>
      <c r="M877" s="6" t="str">
        <f t="shared" si="39"/>
        <v>Schedule order</v>
      </c>
      <c r="N877" s="8">
        <f t="shared" ca="1" si="40"/>
        <v>48</v>
      </c>
      <c r="O877" s="8" t="str">
        <f t="shared" ca="1" si="41"/>
        <v>Lattest or shedule order</v>
      </c>
      <c r="P877" t="str">
        <f>VLOOKUP(C877,[1]Customer_Master!$A:$B,2,0)</f>
        <v>Group 1-Giridhar-Peenya</v>
      </c>
      <c r="Q877" t="str">
        <f>VLOOKUP(D877,[2]Template!$A:$D,3,0)</f>
        <v>LAPP</v>
      </c>
      <c r="R877" t="str">
        <f>VLOOKUP(D877,[2]Template!$A:$D,4,0)</f>
        <v>Lapp-TD Power</v>
      </c>
    </row>
    <row r="878" spans="1:18" ht="13.5" customHeight="1" x14ac:dyDescent="0.25">
      <c r="A878" s="9">
        <v>46140</v>
      </c>
      <c r="B878" s="10" t="s">
        <v>1459</v>
      </c>
      <c r="C878" s="11" t="s">
        <v>31</v>
      </c>
      <c r="D878" s="27" t="s">
        <v>369</v>
      </c>
      <c r="E878" s="12" t="s">
        <v>1072</v>
      </c>
      <c r="F878" s="26" t="s">
        <v>90</v>
      </c>
      <c r="G878" s="13">
        <v>1000</v>
      </c>
      <c r="H878" s="14">
        <v>1000</v>
      </c>
      <c r="I878" s="15">
        <v>66.19</v>
      </c>
      <c r="J878" s="16"/>
      <c r="K878" s="17">
        <v>66190</v>
      </c>
      <c r="L878" s="18">
        <v>46203</v>
      </c>
      <c r="M878" s="6" t="str">
        <f t="shared" si="39"/>
        <v>Schedule order</v>
      </c>
      <c r="N878" s="8">
        <f t="shared" ca="1" si="40"/>
        <v>48</v>
      </c>
      <c r="O878" s="8" t="str">
        <f t="shared" ca="1" si="41"/>
        <v>Lattest or shedule order</v>
      </c>
      <c r="P878" t="str">
        <f>VLOOKUP(C878,[1]Customer_Master!$A:$B,2,0)</f>
        <v>Group 1-Giridhar-Peenya</v>
      </c>
      <c r="Q878" t="str">
        <f>VLOOKUP(D878,[2]Template!$A:$D,3,0)</f>
        <v>LAPP</v>
      </c>
      <c r="R878" t="str">
        <f>VLOOKUP(D878,[2]Template!$A:$D,4,0)</f>
        <v>Lapp-TD Power</v>
      </c>
    </row>
    <row r="879" spans="1:18" ht="13.5" customHeight="1" x14ac:dyDescent="0.25">
      <c r="A879" s="9">
        <v>46140</v>
      </c>
      <c r="B879" s="10" t="s">
        <v>1459</v>
      </c>
      <c r="C879" s="11" t="s">
        <v>31</v>
      </c>
      <c r="D879" s="27" t="s">
        <v>319</v>
      </c>
      <c r="E879" s="12" t="s">
        <v>1072</v>
      </c>
      <c r="F879" s="26" t="s">
        <v>72</v>
      </c>
      <c r="G879" s="13">
        <v>500</v>
      </c>
      <c r="H879" s="14">
        <v>500</v>
      </c>
      <c r="I879" s="15">
        <v>34.979999999999997</v>
      </c>
      <c r="J879" s="16"/>
      <c r="K879" s="17">
        <v>17490</v>
      </c>
      <c r="L879" s="18">
        <v>46203</v>
      </c>
      <c r="M879" s="6" t="str">
        <f t="shared" si="39"/>
        <v>Schedule order</v>
      </c>
      <c r="N879" s="8">
        <f t="shared" ca="1" si="40"/>
        <v>48</v>
      </c>
      <c r="O879" s="8" t="str">
        <f t="shared" ca="1" si="41"/>
        <v>Lattest or shedule order</v>
      </c>
      <c r="P879" t="str">
        <f>VLOOKUP(C879,[1]Customer_Master!$A:$B,2,0)</f>
        <v>Group 1-Giridhar-Peenya</v>
      </c>
      <c r="Q879" t="str">
        <f>VLOOKUP(D879,[2]Template!$A:$D,3,0)</f>
        <v>LAPP</v>
      </c>
      <c r="R879" t="str">
        <f>VLOOKUP(D879,[2]Template!$A:$D,4,0)</f>
        <v>Lapp-TD Power</v>
      </c>
    </row>
    <row r="880" spans="1:18" ht="13.5" customHeight="1" x14ac:dyDescent="0.25">
      <c r="A880" s="9">
        <v>46140</v>
      </c>
      <c r="B880" s="10" t="s">
        <v>1459</v>
      </c>
      <c r="C880" s="11" t="s">
        <v>31</v>
      </c>
      <c r="D880" s="27" t="s">
        <v>320</v>
      </c>
      <c r="E880" s="12" t="s">
        <v>1072</v>
      </c>
      <c r="F880" s="26" t="s">
        <v>73</v>
      </c>
      <c r="G880" s="13">
        <v>1500</v>
      </c>
      <c r="H880" s="14">
        <v>1500</v>
      </c>
      <c r="I880" s="15">
        <v>76.88</v>
      </c>
      <c r="J880" s="16"/>
      <c r="K880" s="17">
        <v>115320</v>
      </c>
      <c r="L880" s="18">
        <v>46203</v>
      </c>
      <c r="M880" s="6" t="str">
        <f t="shared" si="39"/>
        <v>Schedule order</v>
      </c>
      <c r="N880" s="8">
        <f t="shared" ca="1" si="40"/>
        <v>48</v>
      </c>
      <c r="O880" s="8" t="str">
        <f t="shared" ca="1" si="41"/>
        <v>Lattest or shedule order</v>
      </c>
      <c r="P880" t="str">
        <f>VLOOKUP(C880,[1]Customer_Master!$A:$B,2,0)</f>
        <v>Group 1-Giridhar-Peenya</v>
      </c>
      <c r="Q880" t="str">
        <f>VLOOKUP(D880,[2]Template!$A:$D,3,0)</f>
        <v>LAPP</v>
      </c>
      <c r="R880" t="str">
        <f>VLOOKUP(D880,[2]Template!$A:$D,4,0)</f>
        <v>Lapp-TD Power</v>
      </c>
    </row>
    <row r="881" spans="1:18" ht="13.5" customHeight="1" x14ac:dyDescent="0.25">
      <c r="A881" s="9">
        <v>46140</v>
      </c>
      <c r="B881" s="10" t="s">
        <v>1459</v>
      </c>
      <c r="C881" s="11" t="s">
        <v>31</v>
      </c>
      <c r="D881" s="27" t="s">
        <v>468</v>
      </c>
      <c r="E881" s="12" t="s">
        <v>1072</v>
      </c>
      <c r="F881" s="26" t="s">
        <v>469</v>
      </c>
      <c r="G881" s="13">
        <v>1000</v>
      </c>
      <c r="H881" s="14">
        <v>1000</v>
      </c>
      <c r="I881" s="15">
        <v>102</v>
      </c>
      <c r="J881" s="16"/>
      <c r="K881" s="17">
        <v>102000</v>
      </c>
      <c r="L881" s="18">
        <v>46203</v>
      </c>
      <c r="M881" s="6" t="str">
        <f t="shared" si="39"/>
        <v>Schedule order</v>
      </c>
      <c r="N881" s="8">
        <f t="shared" ca="1" si="40"/>
        <v>48</v>
      </c>
      <c r="O881" s="8" t="str">
        <f t="shared" ca="1" si="41"/>
        <v>Lattest or shedule order</v>
      </c>
      <c r="P881" t="str">
        <f>VLOOKUP(C881,[1]Customer_Master!$A:$B,2,0)</f>
        <v>Group 1-Giridhar-Peenya</v>
      </c>
      <c r="Q881" t="str">
        <f>VLOOKUP(D881,[2]Template!$A:$D,3,0)</f>
        <v>LAPP</v>
      </c>
      <c r="R881" t="str">
        <f>VLOOKUP(D881,[2]Template!$A:$D,4,0)</f>
        <v>Lapp-TD Power</v>
      </c>
    </row>
    <row r="882" spans="1:18" ht="13.5" customHeight="1" x14ac:dyDescent="0.25">
      <c r="A882" s="9">
        <v>46140</v>
      </c>
      <c r="B882" s="10" t="s">
        <v>1460</v>
      </c>
      <c r="C882" s="11" t="s">
        <v>747</v>
      </c>
      <c r="D882" s="10" t="s">
        <v>428</v>
      </c>
      <c r="E882" s="12" t="s">
        <v>1072</v>
      </c>
      <c r="F882" s="12" t="s">
        <v>257</v>
      </c>
      <c r="G882" s="13">
        <v>400</v>
      </c>
      <c r="H882" s="14">
        <v>400</v>
      </c>
      <c r="I882" s="15">
        <v>14.53</v>
      </c>
      <c r="J882" s="16"/>
      <c r="K882" s="17">
        <v>5812</v>
      </c>
      <c r="L882" s="18">
        <v>46140</v>
      </c>
      <c r="M882" s="6" t="str">
        <f t="shared" si="39"/>
        <v>Due order</v>
      </c>
      <c r="N882" s="8">
        <f t="shared" ca="1" si="40"/>
        <v>-15</v>
      </c>
      <c r="O882" s="8" t="str">
        <f t="shared" ca="1" si="41"/>
        <v>With in 90 days</v>
      </c>
      <c r="P882" t="str">
        <f>VLOOKUP(C882,[1]Customer_Master!$A:$B,2,0)</f>
        <v>Group 1-Giridhar-Peenya</v>
      </c>
      <c r="Q882" t="str">
        <f>VLOOKUP(D882,[2]Template!$A:$D,3,0)</f>
        <v>LAPP</v>
      </c>
      <c r="R882" t="str">
        <f>VLOOKUP(D882,[2]Template!$A:$D,4,0)</f>
        <v>Lapp-Against Customer PO</v>
      </c>
    </row>
    <row r="883" spans="1:18" ht="13.5" customHeight="1" x14ac:dyDescent="0.25">
      <c r="A883" s="9">
        <v>46140</v>
      </c>
      <c r="B883" s="10" t="s">
        <v>1461</v>
      </c>
      <c r="C883" s="11" t="s">
        <v>747</v>
      </c>
      <c r="D883" s="10" t="s">
        <v>428</v>
      </c>
      <c r="E883" s="12" t="s">
        <v>1072</v>
      </c>
      <c r="F883" s="12" t="s">
        <v>257</v>
      </c>
      <c r="G883" s="13">
        <v>400</v>
      </c>
      <c r="H883" s="14">
        <v>400</v>
      </c>
      <c r="I883" s="15">
        <v>14.53</v>
      </c>
      <c r="J883" s="16"/>
      <c r="K883" s="17">
        <v>5812</v>
      </c>
      <c r="L883" s="18">
        <v>46140</v>
      </c>
      <c r="M883" s="6" t="str">
        <f t="shared" si="39"/>
        <v>Due order</v>
      </c>
      <c r="N883" s="8">
        <f t="shared" ca="1" si="40"/>
        <v>-15</v>
      </c>
      <c r="O883" s="8" t="str">
        <f t="shared" ca="1" si="41"/>
        <v>With in 90 days</v>
      </c>
      <c r="P883" t="str">
        <f>VLOOKUP(C883,[1]Customer_Master!$A:$B,2,0)</f>
        <v>Group 1-Giridhar-Peenya</v>
      </c>
      <c r="Q883" t="str">
        <f>VLOOKUP(D883,[2]Template!$A:$D,3,0)</f>
        <v>LAPP</v>
      </c>
      <c r="R883" t="str">
        <f>VLOOKUP(D883,[2]Template!$A:$D,4,0)</f>
        <v>Lapp-Against Customer PO</v>
      </c>
    </row>
    <row r="884" spans="1:18" ht="13.5" customHeight="1" x14ac:dyDescent="0.25">
      <c r="A884" s="9">
        <v>46140</v>
      </c>
      <c r="B884" s="10" t="s">
        <v>1462</v>
      </c>
      <c r="C884" s="11" t="s">
        <v>116</v>
      </c>
      <c r="D884" s="10" t="s">
        <v>1304</v>
      </c>
      <c r="E884" s="12" t="s">
        <v>1072</v>
      </c>
      <c r="F884" s="12" t="s">
        <v>1305</v>
      </c>
      <c r="G884" s="13">
        <v>100</v>
      </c>
      <c r="H884" s="14">
        <v>100</v>
      </c>
      <c r="I884" s="15">
        <v>12.66</v>
      </c>
      <c r="J884" s="16"/>
      <c r="K884" s="17">
        <v>1266</v>
      </c>
      <c r="L884" s="18">
        <v>46142</v>
      </c>
      <c r="M884" s="6" t="str">
        <f t="shared" si="39"/>
        <v>Schedule order</v>
      </c>
      <c r="N884" s="8">
        <f t="shared" ca="1" si="40"/>
        <v>-13</v>
      </c>
      <c r="O884" s="8" t="str">
        <f t="shared" ca="1" si="41"/>
        <v>With in 90 days</v>
      </c>
      <c r="P884" t="str">
        <f>VLOOKUP(C884,[1]Customer_Master!$A:$B,2,0)</f>
        <v>Group-2 (Veeresh- Bomsdr+Hosur)</v>
      </c>
      <c r="Q884" t="str">
        <f>VLOOKUP(D884,[2]Template!$A:$D,3,0)</f>
        <v>LAPP</v>
      </c>
      <c r="R884" t="str">
        <f>VLOOKUP(D884,[2]Template!$A:$D,4,0)</f>
        <v>Lapp-Planned Stock General</v>
      </c>
    </row>
    <row r="885" spans="1:18" ht="13.5" customHeight="1" x14ac:dyDescent="0.25">
      <c r="A885" s="9">
        <v>46140</v>
      </c>
      <c r="B885" s="10" t="s">
        <v>1462</v>
      </c>
      <c r="C885" s="11" t="s">
        <v>116</v>
      </c>
      <c r="D885" s="10" t="s">
        <v>357</v>
      </c>
      <c r="E885" s="12" t="s">
        <v>1072</v>
      </c>
      <c r="F885" s="12" t="s">
        <v>53</v>
      </c>
      <c r="G885" s="13">
        <v>100</v>
      </c>
      <c r="H885" s="14">
        <v>100</v>
      </c>
      <c r="I885" s="15">
        <v>23.25</v>
      </c>
      <c r="J885" s="16"/>
      <c r="K885" s="17">
        <v>2325</v>
      </c>
      <c r="L885" s="18">
        <v>46142</v>
      </c>
      <c r="M885" s="6" t="str">
        <f t="shared" si="39"/>
        <v>Schedule order</v>
      </c>
      <c r="N885" s="8">
        <f t="shared" ca="1" si="40"/>
        <v>-13</v>
      </c>
      <c r="O885" s="8" t="str">
        <f t="shared" ca="1" si="41"/>
        <v>With in 90 days</v>
      </c>
      <c r="P885" t="str">
        <f>VLOOKUP(C885,[1]Customer_Master!$A:$B,2,0)</f>
        <v>Group-2 (Veeresh- Bomsdr+Hosur)</v>
      </c>
      <c r="Q885" t="str">
        <f>VLOOKUP(D885,[2]Template!$A:$D,3,0)</f>
        <v>LAPP</v>
      </c>
      <c r="R885" t="str">
        <f>VLOOKUP(D885,[2]Template!$A:$D,4,0)</f>
        <v>Lapp-Planned Stock General</v>
      </c>
    </row>
    <row r="886" spans="1:18" ht="13.5" customHeight="1" x14ac:dyDescent="0.25">
      <c r="A886" s="9">
        <v>46140</v>
      </c>
      <c r="B886" s="10" t="s">
        <v>1463</v>
      </c>
      <c r="C886" s="11" t="s">
        <v>581</v>
      </c>
      <c r="D886" s="27" t="s">
        <v>1464</v>
      </c>
      <c r="E886" s="12" t="s">
        <v>1072</v>
      </c>
      <c r="F886" s="12" t="s">
        <v>1465</v>
      </c>
      <c r="G886" s="19">
        <v>100</v>
      </c>
      <c r="H886" s="20">
        <v>100</v>
      </c>
      <c r="I886" s="15">
        <v>7.41</v>
      </c>
      <c r="J886" s="16"/>
      <c r="K886" s="17">
        <v>741</v>
      </c>
      <c r="L886" s="18">
        <v>46140</v>
      </c>
      <c r="M886" s="6" t="str">
        <f t="shared" si="39"/>
        <v>Due order</v>
      </c>
      <c r="N886" s="8">
        <f t="shared" ca="1" si="40"/>
        <v>-15</v>
      </c>
      <c r="O886" s="8" t="str">
        <f t="shared" ca="1" si="41"/>
        <v>With in 90 days</v>
      </c>
      <c r="P886" t="str">
        <f>VLOOKUP(C886,[1]Customer_Master!$A:$B,2,0)</f>
        <v>Group 1-Giridhar-Peenya</v>
      </c>
      <c r="Q886" t="str">
        <f>VLOOKUP(D886,[2]Template!$A:$D,3,0)</f>
        <v>LAPP</v>
      </c>
      <c r="R886" t="str">
        <f>VLOOKUP(D886,[2]Template!$A:$D,4,0)</f>
        <v>Lapp-Non Moving Stocks</v>
      </c>
    </row>
    <row r="887" spans="1:18" ht="13.5" customHeight="1" x14ac:dyDescent="0.25">
      <c r="A887" s="9">
        <v>46140</v>
      </c>
      <c r="B887" s="10" t="s">
        <v>1466</v>
      </c>
      <c r="C887" s="11" t="s">
        <v>581</v>
      </c>
      <c r="D887" s="10" t="s">
        <v>816</v>
      </c>
      <c r="E887" s="12" t="s">
        <v>1072</v>
      </c>
      <c r="F887" s="12" t="s">
        <v>817</v>
      </c>
      <c r="G887" s="13">
        <v>30</v>
      </c>
      <c r="H887" s="14">
        <v>30</v>
      </c>
      <c r="I887" s="15">
        <v>180</v>
      </c>
      <c r="J887" s="16"/>
      <c r="K887" s="17">
        <v>5400</v>
      </c>
      <c r="L887" s="18">
        <v>46140</v>
      </c>
      <c r="M887" s="6" t="str">
        <f t="shared" si="39"/>
        <v>Due order</v>
      </c>
      <c r="N887" s="8">
        <f t="shared" ca="1" si="40"/>
        <v>-15</v>
      </c>
      <c r="O887" s="8" t="str">
        <f t="shared" ca="1" si="41"/>
        <v>With in 90 days</v>
      </c>
      <c r="P887" t="str">
        <f>VLOOKUP(C887,[1]Customer_Master!$A:$B,2,0)</f>
        <v>Group 1-Giridhar-Peenya</v>
      </c>
      <c r="Q887" t="str">
        <f>VLOOKUP(D887,[2]Template!$A:$D,3,0)</f>
        <v>LAPP</v>
      </c>
      <c r="R887" t="str">
        <f>VLOOKUP(D887,[2]Template!$A:$D,4,0)</f>
        <v>Lapp-Against Customer PO</v>
      </c>
    </row>
    <row r="888" spans="1:18" ht="13.5" customHeight="1" x14ac:dyDescent="0.25">
      <c r="A888" s="9">
        <v>46140</v>
      </c>
      <c r="B888" s="10" t="s">
        <v>1466</v>
      </c>
      <c r="C888" s="11" t="s">
        <v>581</v>
      </c>
      <c r="D888" s="10" t="s">
        <v>603</v>
      </c>
      <c r="E888" s="12" t="s">
        <v>1072</v>
      </c>
      <c r="F888" s="12" t="s">
        <v>604</v>
      </c>
      <c r="G888" s="22">
        <v>36</v>
      </c>
      <c r="H888" s="23">
        <v>18</v>
      </c>
      <c r="I888" s="15">
        <v>35</v>
      </c>
      <c r="J888" s="16"/>
      <c r="K888" s="17">
        <v>630</v>
      </c>
      <c r="L888" s="18">
        <v>46140</v>
      </c>
      <c r="M888" s="6" t="str">
        <f t="shared" si="39"/>
        <v>Due order</v>
      </c>
      <c r="N888" s="8">
        <f t="shared" ca="1" si="40"/>
        <v>-15</v>
      </c>
      <c r="O888" s="8" t="str">
        <f t="shared" ca="1" si="41"/>
        <v>With in 90 days</v>
      </c>
      <c r="P888" t="str">
        <f>VLOOKUP(C888,[1]Customer_Master!$A:$B,2,0)</f>
        <v>Group 1-Giridhar-Peenya</v>
      </c>
      <c r="Q888" t="str">
        <f>VLOOKUP(D888,[2]Template!$A:$D,3,0)</f>
        <v>LAPP</v>
      </c>
      <c r="R888" t="str">
        <f>VLOOKUP(D888,[2]Template!$A:$D,4,0)</f>
        <v>Lapp-Against Customer PO</v>
      </c>
    </row>
    <row r="889" spans="1:18" ht="13.5" customHeight="1" x14ac:dyDescent="0.25">
      <c r="A889" s="9">
        <v>46140</v>
      </c>
      <c r="B889" s="10" t="s">
        <v>1467</v>
      </c>
      <c r="C889" s="11" t="s">
        <v>1468</v>
      </c>
      <c r="D889" s="10" t="s">
        <v>1469</v>
      </c>
      <c r="E889" s="12" t="s">
        <v>1072</v>
      </c>
      <c r="F889" s="12" t="s">
        <v>1470</v>
      </c>
      <c r="G889" s="13">
        <v>100</v>
      </c>
      <c r="H889" s="14">
        <v>100</v>
      </c>
      <c r="I889" s="15">
        <v>510.5</v>
      </c>
      <c r="J889" s="16"/>
      <c r="K889" s="17">
        <v>51050</v>
      </c>
      <c r="L889" s="18">
        <v>46140</v>
      </c>
      <c r="M889" s="6" t="str">
        <f t="shared" si="39"/>
        <v>Due order</v>
      </c>
      <c r="N889" s="8">
        <f t="shared" ca="1" si="40"/>
        <v>-15</v>
      </c>
      <c r="O889" s="8" t="str">
        <f t="shared" ca="1" si="41"/>
        <v>With in 90 days</v>
      </c>
      <c r="P889" t="str">
        <f>VLOOKUP(C889,[1]Customer_Master!$A:$B,2,0)</f>
        <v>Group-2 (Veeresh- Bomsdr+Hosur)</v>
      </c>
      <c r="Q889" t="str">
        <f>VLOOKUP(D889,[2]Template!$A:$D,3,0)</f>
        <v>LAPP</v>
      </c>
      <c r="R889" t="str">
        <f>VLOOKUP(D889,[2]Template!$A:$D,4,0)</f>
        <v>Lapp-Against Customer PO</v>
      </c>
    </row>
    <row r="890" spans="1:18" ht="13.5" customHeight="1" x14ac:dyDescent="0.25">
      <c r="A890" s="9">
        <v>46140</v>
      </c>
      <c r="B890" s="10" t="s">
        <v>1471</v>
      </c>
      <c r="C890" s="11" t="s">
        <v>62</v>
      </c>
      <c r="D890" s="10" t="s">
        <v>403</v>
      </c>
      <c r="E890" s="12" t="s">
        <v>1072</v>
      </c>
      <c r="F890" s="12" t="s">
        <v>148</v>
      </c>
      <c r="G890" s="13">
        <v>2000</v>
      </c>
      <c r="H890" s="14">
        <v>2000</v>
      </c>
      <c r="I890" s="15">
        <v>15.3</v>
      </c>
      <c r="J890" s="16"/>
      <c r="K890" s="17">
        <v>30600</v>
      </c>
      <c r="L890" s="18">
        <v>46195</v>
      </c>
      <c r="M890" s="6" t="str">
        <f t="shared" si="39"/>
        <v>Schedule order</v>
      </c>
      <c r="N890" s="8">
        <f t="shared" ca="1" si="40"/>
        <v>40</v>
      </c>
      <c r="O890" s="8" t="str">
        <f t="shared" ca="1" si="41"/>
        <v>Lattest or shedule order</v>
      </c>
      <c r="P890" t="str">
        <f>VLOOKUP(C890,[1]Customer_Master!$A:$B,2,0)</f>
        <v>Group 1-Giridhar-Peenya</v>
      </c>
      <c r="Q890" t="str">
        <f>VLOOKUP(D890,[2]Template!$A:$D,3,0)</f>
        <v>LAPP</v>
      </c>
      <c r="R890" t="str">
        <f>VLOOKUP(D890,[2]Template!$A:$D,4,0)</f>
        <v>Lapp-Planned Stock General</v>
      </c>
    </row>
    <row r="891" spans="1:18" ht="13.5" customHeight="1" x14ac:dyDescent="0.25">
      <c r="A891" s="9">
        <v>46140</v>
      </c>
      <c r="B891" s="10" t="s">
        <v>1471</v>
      </c>
      <c r="C891" s="11" t="s">
        <v>62</v>
      </c>
      <c r="D891" s="10" t="s">
        <v>403</v>
      </c>
      <c r="E891" s="12" t="s">
        <v>1072</v>
      </c>
      <c r="F891" s="12" t="s">
        <v>148</v>
      </c>
      <c r="G891" s="13">
        <v>3000</v>
      </c>
      <c r="H891" s="14">
        <v>3000</v>
      </c>
      <c r="I891" s="15">
        <v>15.3</v>
      </c>
      <c r="J891" s="16"/>
      <c r="K891" s="17">
        <v>45900</v>
      </c>
      <c r="L891" s="18">
        <v>46237</v>
      </c>
      <c r="M891" s="6" t="str">
        <f t="shared" si="39"/>
        <v>Schedule order</v>
      </c>
      <c r="N891" s="8">
        <f t="shared" ca="1" si="40"/>
        <v>82</v>
      </c>
      <c r="O891" s="8" t="str">
        <f t="shared" ca="1" si="41"/>
        <v>Lattest or shedule order</v>
      </c>
      <c r="P891" t="str">
        <f>VLOOKUP(C891,[1]Customer_Master!$A:$B,2,0)</f>
        <v>Group 1-Giridhar-Peenya</v>
      </c>
      <c r="Q891" t="str">
        <f>VLOOKUP(D891,[2]Template!$A:$D,3,0)</f>
        <v>LAPP</v>
      </c>
      <c r="R891" t="str">
        <f>VLOOKUP(D891,[2]Template!$A:$D,4,0)</f>
        <v>Lapp-Planned Stock General</v>
      </c>
    </row>
    <row r="892" spans="1:18" ht="13.5" customHeight="1" x14ac:dyDescent="0.25">
      <c r="A892" s="9">
        <v>46140</v>
      </c>
      <c r="B892" s="10" t="s">
        <v>1471</v>
      </c>
      <c r="C892" s="11" t="s">
        <v>62</v>
      </c>
      <c r="D892" s="10" t="s">
        <v>334</v>
      </c>
      <c r="E892" s="12" t="s">
        <v>1072</v>
      </c>
      <c r="F892" s="12" t="s">
        <v>87</v>
      </c>
      <c r="G892" s="13">
        <v>3000</v>
      </c>
      <c r="H892" s="14">
        <v>3000</v>
      </c>
      <c r="I892" s="15">
        <v>34.450000000000003</v>
      </c>
      <c r="J892" s="16"/>
      <c r="K892" s="17">
        <v>103350</v>
      </c>
      <c r="L892" s="18">
        <v>46195</v>
      </c>
      <c r="M892" s="6" t="str">
        <f t="shared" si="39"/>
        <v>Schedule order</v>
      </c>
      <c r="N892" s="8">
        <f t="shared" ca="1" si="40"/>
        <v>40</v>
      </c>
      <c r="O892" s="8" t="str">
        <f t="shared" ca="1" si="41"/>
        <v>Lattest or shedule order</v>
      </c>
      <c r="P892" t="str">
        <f>VLOOKUP(C892,[1]Customer_Master!$A:$B,2,0)</f>
        <v>Group 1-Giridhar-Peenya</v>
      </c>
      <c r="Q892" t="str">
        <f>VLOOKUP(D892,[2]Template!$A:$D,3,0)</f>
        <v>LAPP</v>
      </c>
      <c r="R892" t="str">
        <f>VLOOKUP(D892,[2]Template!$A:$D,4,0)</f>
        <v>Lapp-Planned Stock General</v>
      </c>
    </row>
    <row r="893" spans="1:18" ht="13.5" customHeight="1" x14ac:dyDescent="0.25">
      <c r="A893" s="9">
        <v>46140</v>
      </c>
      <c r="B893" s="10" t="s">
        <v>1471</v>
      </c>
      <c r="C893" s="11" t="s">
        <v>62</v>
      </c>
      <c r="D893" s="10" t="s">
        <v>334</v>
      </c>
      <c r="E893" s="12" t="s">
        <v>1072</v>
      </c>
      <c r="F893" s="12" t="s">
        <v>87</v>
      </c>
      <c r="G893" s="13">
        <v>3000</v>
      </c>
      <c r="H893" s="14">
        <v>3000</v>
      </c>
      <c r="I893" s="15">
        <v>34.450000000000003</v>
      </c>
      <c r="J893" s="16"/>
      <c r="K893" s="17">
        <v>103350</v>
      </c>
      <c r="L893" s="18">
        <v>46237</v>
      </c>
      <c r="M893" s="6" t="str">
        <f t="shared" si="39"/>
        <v>Schedule order</v>
      </c>
      <c r="N893" s="8">
        <f t="shared" ca="1" si="40"/>
        <v>82</v>
      </c>
      <c r="O893" s="8" t="str">
        <f t="shared" ca="1" si="41"/>
        <v>Lattest or shedule order</v>
      </c>
      <c r="P893" t="str">
        <f>VLOOKUP(C893,[1]Customer_Master!$A:$B,2,0)</f>
        <v>Group 1-Giridhar-Peenya</v>
      </c>
      <c r="Q893" t="str">
        <f>VLOOKUP(D893,[2]Template!$A:$D,3,0)</f>
        <v>LAPP</v>
      </c>
      <c r="R893" t="str">
        <f>VLOOKUP(D893,[2]Template!$A:$D,4,0)</f>
        <v>Lapp-Planned Stock General</v>
      </c>
    </row>
    <row r="894" spans="1:18" ht="13.5" customHeight="1" x14ac:dyDescent="0.25">
      <c r="A894" s="9">
        <v>46140</v>
      </c>
      <c r="B894" s="10" t="s">
        <v>1472</v>
      </c>
      <c r="C894" s="11" t="s">
        <v>62</v>
      </c>
      <c r="D894" s="10" t="s">
        <v>334</v>
      </c>
      <c r="E894" s="12" t="s">
        <v>1072</v>
      </c>
      <c r="F894" s="12" t="s">
        <v>87</v>
      </c>
      <c r="G894" s="13">
        <v>1500</v>
      </c>
      <c r="H894" s="14">
        <v>1500</v>
      </c>
      <c r="I894" s="15">
        <v>34.450000000000003</v>
      </c>
      <c r="J894" s="16"/>
      <c r="K894" s="17">
        <v>51675</v>
      </c>
      <c r="L894" s="18">
        <v>46254</v>
      </c>
      <c r="M894" s="6" t="str">
        <f t="shared" si="39"/>
        <v>Schedule order</v>
      </c>
      <c r="N894" s="8">
        <f t="shared" ca="1" si="40"/>
        <v>99</v>
      </c>
      <c r="O894" s="8" t="str">
        <f t="shared" ca="1" si="41"/>
        <v>Lattest or shedule order</v>
      </c>
      <c r="P894" t="str">
        <f>VLOOKUP(C894,[1]Customer_Master!$A:$B,2,0)</f>
        <v>Group 1-Giridhar-Peenya</v>
      </c>
      <c r="Q894" t="str">
        <f>VLOOKUP(D894,[2]Template!$A:$D,3,0)</f>
        <v>LAPP</v>
      </c>
      <c r="R894" t="str">
        <f>VLOOKUP(D894,[2]Template!$A:$D,4,0)</f>
        <v>Lapp-Planned Stock General</v>
      </c>
    </row>
    <row r="895" spans="1:18" ht="13.5" customHeight="1" x14ac:dyDescent="0.25">
      <c r="A895" s="9">
        <v>46140</v>
      </c>
      <c r="B895" s="10" t="s">
        <v>1472</v>
      </c>
      <c r="C895" s="11" t="s">
        <v>62</v>
      </c>
      <c r="D895" s="10" t="s">
        <v>334</v>
      </c>
      <c r="E895" s="12" t="s">
        <v>1072</v>
      </c>
      <c r="F895" s="12" t="s">
        <v>87</v>
      </c>
      <c r="G895" s="13">
        <v>2500</v>
      </c>
      <c r="H895" s="14">
        <v>2500</v>
      </c>
      <c r="I895" s="15">
        <v>34.450000000000003</v>
      </c>
      <c r="J895" s="16"/>
      <c r="K895" s="17">
        <v>86125</v>
      </c>
      <c r="L895" s="18">
        <v>46272</v>
      </c>
      <c r="M895" s="6" t="str">
        <f t="shared" si="39"/>
        <v>Schedule order</v>
      </c>
      <c r="N895" s="8">
        <f t="shared" ca="1" si="40"/>
        <v>117</v>
      </c>
      <c r="O895" s="8" t="str">
        <f t="shared" ca="1" si="41"/>
        <v>Lattest or shedule order</v>
      </c>
      <c r="P895" t="str">
        <f>VLOOKUP(C895,[1]Customer_Master!$A:$B,2,0)</f>
        <v>Group 1-Giridhar-Peenya</v>
      </c>
      <c r="Q895" t="str">
        <f>VLOOKUP(D895,[2]Template!$A:$D,3,0)</f>
        <v>LAPP</v>
      </c>
      <c r="R895" t="str">
        <f>VLOOKUP(D895,[2]Template!$A:$D,4,0)</f>
        <v>Lapp-Planned Stock General</v>
      </c>
    </row>
    <row r="896" spans="1:18" ht="13.5" customHeight="1" x14ac:dyDescent="0.25">
      <c r="A896" s="9">
        <v>46140</v>
      </c>
      <c r="B896" s="10" t="s">
        <v>1472</v>
      </c>
      <c r="C896" s="11" t="s">
        <v>62</v>
      </c>
      <c r="D896" s="10" t="s">
        <v>403</v>
      </c>
      <c r="E896" s="12" t="s">
        <v>1072</v>
      </c>
      <c r="F896" s="12" t="s">
        <v>148</v>
      </c>
      <c r="G896" s="13">
        <v>500</v>
      </c>
      <c r="H896" s="14">
        <v>500</v>
      </c>
      <c r="I896" s="15">
        <v>15.3</v>
      </c>
      <c r="J896" s="16"/>
      <c r="K896" s="17">
        <v>7650</v>
      </c>
      <c r="L896" s="18">
        <v>46254</v>
      </c>
      <c r="M896" s="6" t="str">
        <f t="shared" si="39"/>
        <v>Schedule order</v>
      </c>
      <c r="N896" s="8">
        <f t="shared" ca="1" si="40"/>
        <v>99</v>
      </c>
      <c r="O896" s="8" t="str">
        <f t="shared" ca="1" si="41"/>
        <v>Lattest or shedule order</v>
      </c>
      <c r="P896" t="str">
        <f>VLOOKUP(C896,[1]Customer_Master!$A:$B,2,0)</f>
        <v>Group 1-Giridhar-Peenya</v>
      </c>
      <c r="Q896" t="str">
        <f>VLOOKUP(D896,[2]Template!$A:$D,3,0)</f>
        <v>LAPP</v>
      </c>
      <c r="R896" t="str">
        <f>VLOOKUP(D896,[2]Template!$A:$D,4,0)</f>
        <v>Lapp-Planned Stock General</v>
      </c>
    </row>
    <row r="897" spans="1:18" ht="13.5" customHeight="1" x14ac:dyDescent="0.25">
      <c r="A897" s="9">
        <v>46140</v>
      </c>
      <c r="B897" s="10" t="s">
        <v>1472</v>
      </c>
      <c r="C897" s="11" t="s">
        <v>62</v>
      </c>
      <c r="D897" s="10" t="s">
        <v>403</v>
      </c>
      <c r="E897" s="12" t="s">
        <v>1072</v>
      </c>
      <c r="F897" s="12" t="s">
        <v>148</v>
      </c>
      <c r="G897" s="13">
        <v>500</v>
      </c>
      <c r="H897" s="14">
        <v>500</v>
      </c>
      <c r="I897" s="15">
        <v>15.3</v>
      </c>
      <c r="J897" s="16"/>
      <c r="K897" s="17">
        <v>7650</v>
      </c>
      <c r="L897" s="18">
        <v>46272</v>
      </c>
      <c r="M897" s="6" t="str">
        <f t="shared" si="39"/>
        <v>Schedule order</v>
      </c>
      <c r="N897" s="8">
        <f t="shared" ca="1" si="40"/>
        <v>117</v>
      </c>
      <c r="O897" s="8" t="str">
        <f t="shared" ca="1" si="41"/>
        <v>Lattest or shedule order</v>
      </c>
      <c r="P897" t="str">
        <f>VLOOKUP(C897,[1]Customer_Master!$A:$B,2,0)</f>
        <v>Group 1-Giridhar-Peenya</v>
      </c>
      <c r="Q897" t="str">
        <f>VLOOKUP(D897,[2]Template!$A:$D,3,0)</f>
        <v>LAPP</v>
      </c>
      <c r="R897" t="str">
        <f>VLOOKUP(D897,[2]Template!$A:$D,4,0)</f>
        <v>Lapp-Planned Stock General</v>
      </c>
    </row>
    <row r="898" spans="1:18" ht="13.5" customHeight="1" x14ac:dyDescent="0.25">
      <c r="A898" s="9">
        <v>46140</v>
      </c>
      <c r="B898" s="10" t="s">
        <v>1472</v>
      </c>
      <c r="C898" s="11" t="s">
        <v>62</v>
      </c>
      <c r="D898" s="10" t="s">
        <v>335</v>
      </c>
      <c r="E898" s="12" t="s">
        <v>1072</v>
      </c>
      <c r="F898" s="12" t="s">
        <v>122</v>
      </c>
      <c r="G898" s="13">
        <v>100</v>
      </c>
      <c r="H898" s="14">
        <v>100</v>
      </c>
      <c r="I898" s="15">
        <v>34.450000000000003</v>
      </c>
      <c r="J898" s="16"/>
      <c r="K898" s="17">
        <v>3445</v>
      </c>
      <c r="L898" s="18">
        <v>46258</v>
      </c>
      <c r="M898" s="6" t="str">
        <f t="shared" si="39"/>
        <v>Schedule order</v>
      </c>
      <c r="N898" s="8">
        <f t="shared" ca="1" si="40"/>
        <v>103</v>
      </c>
      <c r="O898" s="8" t="str">
        <f t="shared" ca="1" si="41"/>
        <v>Lattest or shedule order</v>
      </c>
      <c r="P898" t="str">
        <f>VLOOKUP(C898,[1]Customer_Master!$A:$B,2,0)</f>
        <v>Group 1-Giridhar-Peenya</v>
      </c>
      <c r="Q898" t="str">
        <f>VLOOKUP(D898,[2]Template!$A:$D,3,0)</f>
        <v>LAPP</v>
      </c>
      <c r="R898" t="str">
        <f>VLOOKUP(D898,[2]Template!$A:$D,4,0)</f>
        <v>Lapp-Planned Stock General</v>
      </c>
    </row>
    <row r="899" spans="1:18" ht="13.5" customHeight="1" x14ac:dyDescent="0.25">
      <c r="A899" s="9">
        <v>46140</v>
      </c>
      <c r="B899" s="10" t="s">
        <v>1472</v>
      </c>
      <c r="C899" s="11" t="s">
        <v>62</v>
      </c>
      <c r="D899" s="10" t="s">
        <v>335</v>
      </c>
      <c r="E899" s="12" t="s">
        <v>1072</v>
      </c>
      <c r="F899" s="12" t="s">
        <v>122</v>
      </c>
      <c r="G899" s="13">
        <v>600</v>
      </c>
      <c r="H899" s="14">
        <v>600</v>
      </c>
      <c r="I899" s="15">
        <v>34.450000000000003</v>
      </c>
      <c r="J899" s="16"/>
      <c r="K899" s="17">
        <v>20670</v>
      </c>
      <c r="L899" s="18">
        <v>46272</v>
      </c>
      <c r="M899" s="6" t="str">
        <f t="shared" ref="M899:M962" si="42">IF(L899&lt;DATE(2026,4,30),"Due order","Schedule order")</f>
        <v>Schedule order</v>
      </c>
      <c r="N899" s="8">
        <f t="shared" ref="N899:N962" ca="1" si="43">L899-TODAY()</f>
        <v>117</v>
      </c>
      <c r="O899" s="8" t="str">
        <f t="shared" ref="O899:O962" ca="1" si="44">IF(N899&lt;-365,"More than 1 Year old",IF(N899&lt;-180," More than 180 days old",IF(N899&lt;-90,"More than 90 day old",IF(N899&lt;0,"With in 90 days","Lattest or shedule order"))))</f>
        <v>Lattest or shedule order</v>
      </c>
      <c r="P899" t="str">
        <f>VLOOKUP(C899,[1]Customer_Master!$A:$B,2,0)</f>
        <v>Group 1-Giridhar-Peenya</v>
      </c>
      <c r="Q899" t="str">
        <f>VLOOKUP(D899,[2]Template!$A:$D,3,0)</f>
        <v>LAPP</v>
      </c>
      <c r="R899" t="str">
        <f>VLOOKUP(D899,[2]Template!$A:$D,4,0)</f>
        <v>Lapp-Planned Stock General</v>
      </c>
    </row>
    <row r="900" spans="1:18" ht="13.5" customHeight="1" x14ac:dyDescent="0.25">
      <c r="A900" s="9">
        <v>46140</v>
      </c>
      <c r="B900" s="10" t="s">
        <v>1472</v>
      </c>
      <c r="C900" s="11" t="s">
        <v>62</v>
      </c>
      <c r="D900" s="27" t="s">
        <v>348</v>
      </c>
      <c r="E900" s="12" t="s">
        <v>1072</v>
      </c>
      <c r="F900" s="26" t="s">
        <v>63</v>
      </c>
      <c r="G900" s="13">
        <v>100</v>
      </c>
      <c r="H900" s="14">
        <v>100</v>
      </c>
      <c r="I900" s="15">
        <v>201.91</v>
      </c>
      <c r="J900" s="16"/>
      <c r="K900" s="17">
        <v>20191</v>
      </c>
      <c r="L900" s="18">
        <v>46258</v>
      </c>
      <c r="M900" s="6" t="str">
        <f t="shared" si="42"/>
        <v>Schedule order</v>
      </c>
      <c r="N900" s="8">
        <f t="shared" ca="1" si="43"/>
        <v>103</v>
      </c>
      <c r="O900" s="8" t="str">
        <f t="shared" ca="1" si="44"/>
        <v>Lattest or shedule order</v>
      </c>
      <c r="P900" t="str">
        <f>VLOOKUP(C900,[1]Customer_Master!$A:$B,2,0)</f>
        <v>Group 1-Giridhar-Peenya</v>
      </c>
      <c r="Q900" t="str">
        <f>VLOOKUP(D900,[2]Template!$A:$D,3,0)</f>
        <v>LAPP</v>
      </c>
      <c r="R900" t="str">
        <f>VLOOKUP(D900,[2]Template!$A:$D,4,0)</f>
        <v>Lapp-TD Power</v>
      </c>
    </row>
    <row r="901" spans="1:18" ht="13.5" customHeight="1" x14ac:dyDescent="0.25">
      <c r="A901" s="9">
        <v>46140</v>
      </c>
      <c r="B901" s="10" t="s">
        <v>1472</v>
      </c>
      <c r="C901" s="11" t="s">
        <v>62</v>
      </c>
      <c r="D901" s="27" t="s">
        <v>348</v>
      </c>
      <c r="E901" s="12" t="s">
        <v>1072</v>
      </c>
      <c r="F901" s="26" t="s">
        <v>63</v>
      </c>
      <c r="G901" s="13">
        <v>200</v>
      </c>
      <c r="H901" s="14">
        <v>200</v>
      </c>
      <c r="I901" s="15">
        <v>201.91</v>
      </c>
      <c r="J901" s="16"/>
      <c r="K901" s="17">
        <v>40382</v>
      </c>
      <c r="L901" s="18">
        <v>46272</v>
      </c>
      <c r="M901" s="6" t="str">
        <f t="shared" si="42"/>
        <v>Schedule order</v>
      </c>
      <c r="N901" s="8">
        <f t="shared" ca="1" si="43"/>
        <v>117</v>
      </c>
      <c r="O901" s="8" t="str">
        <f t="shared" ca="1" si="44"/>
        <v>Lattest or shedule order</v>
      </c>
      <c r="P901" t="str">
        <f>VLOOKUP(C901,[1]Customer_Master!$A:$B,2,0)</f>
        <v>Group 1-Giridhar-Peenya</v>
      </c>
      <c r="Q901" t="str">
        <f>VLOOKUP(D901,[2]Template!$A:$D,3,0)</f>
        <v>LAPP</v>
      </c>
      <c r="R901" t="str">
        <f>VLOOKUP(D901,[2]Template!$A:$D,4,0)</f>
        <v>Lapp-TD Power</v>
      </c>
    </row>
    <row r="902" spans="1:18" ht="13.5" customHeight="1" x14ac:dyDescent="0.25">
      <c r="A902" s="9">
        <v>46140</v>
      </c>
      <c r="B902" s="10" t="s">
        <v>1472</v>
      </c>
      <c r="C902" s="11" t="s">
        <v>62</v>
      </c>
      <c r="D902" s="27" t="s">
        <v>347</v>
      </c>
      <c r="E902" s="12" t="s">
        <v>1072</v>
      </c>
      <c r="F902" s="26" t="s">
        <v>89</v>
      </c>
      <c r="G902" s="13">
        <v>600</v>
      </c>
      <c r="H902" s="14">
        <v>600</v>
      </c>
      <c r="I902" s="15">
        <v>101.09</v>
      </c>
      <c r="J902" s="16"/>
      <c r="K902" s="17">
        <v>60654</v>
      </c>
      <c r="L902" s="18">
        <v>46272</v>
      </c>
      <c r="M902" s="6" t="str">
        <f t="shared" si="42"/>
        <v>Schedule order</v>
      </c>
      <c r="N902" s="8">
        <f t="shared" ca="1" si="43"/>
        <v>117</v>
      </c>
      <c r="O902" s="8" t="str">
        <f t="shared" ca="1" si="44"/>
        <v>Lattest or shedule order</v>
      </c>
      <c r="P902" t="str">
        <f>VLOOKUP(C902,[1]Customer_Master!$A:$B,2,0)</f>
        <v>Group 1-Giridhar-Peenya</v>
      </c>
      <c r="Q902" t="str">
        <f>VLOOKUP(D902,[2]Template!$A:$D,3,0)</f>
        <v>LAPP</v>
      </c>
      <c r="R902" t="str">
        <f>VLOOKUP(D902,[2]Template!$A:$D,4,0)</f>
        <v>Lapp-TD Power</v>
      </c>
    </row>
    <row r="903" spans="1:18" ht="13.5" customHeight="1" x14ac:dyDescent="0.25">
      <c r="A903" s="9">
        <v>46141</v>
      </c>
      <c r="B903" s="10" t="s">
        <v>1473</v>
      </c>
      <c r="C903" s="11" t="s">
        <v>70</v>
      </c>
      <c r="D903" s="10" t="s">
        <v>1474</v>
      </c>
      <c r="E903" s="12" t="s">
        <v>1072</v>
      </c>
      <c r="F903" s="12" t="s">
        <v>1475</v>
      </c>
      <c r="G903" s="13">
        <v>200</v>
      </c>
      <c r="H903" s="14">
        <v>200</v>
      </c>
      <c r="I903" s="15">
        <v>822.03</v>
      </c>
      <c r="J903" s="16"/>
      <c r="K903" s="17">
        <v>164406</v>
      </c>
      <c r="L903" s="18">
        <v>46141</v>
      </c>
      <c r="M903" s="6" t="str">
        <f t="shared" si="42"/>
        <v>Due order</v>
      </c>
      <c r="N903" s="8">
        <f t="shared" ca="1" si="43"/>
        <v>-14</v>
      </c>
      <c r="O903" s="8" t="str">
        <f t="shared" ca="1" si="44"/>
        <v>With in 90 days</v>
      </c>
      <c r="P903" t="str">
        <f>VLOOKUP(C903,[1]Customer_Master!$A:$B,2,0)</f>
        <v>Group-2 (Veeresh- Bomsdr+Hosur)</v>
      </c>
      <c r="Q903" t="str">
        <f>VLOOKUP(D903,[2]Template!$A:$D,3,0)</f>
        <v>LAPP</v>
      </c>
      <c r="R903" t="str">
        <f>VLOOKUP(D903,[2]Template!$A:$D,4,0)</f>
        <v>Lapp-Against Customer PO</v>
      </c>
    </row>
    <row r="904" spans="1:18" ht="13.5" customHeight="1" x14ac:dyDescent="0.25">
      <c r="A904" s="9">
        <v>46141</v>
      </c>
      <c r="B904" s="10" t="s">
        <v>1473</v>
      </c>
      <c r="C904" s="11" t="s">
        <v>70</v>
      </c>
      <c r="D904" s="10" t="s">
        <v>1476</v>
      </c>
      <c r="E904" s="12" t="s">
        <v>1072</v>
      </c>
      <c r="F904" s="12" t="s">
        <v>1477</v>
      </c>
      <c r="G904" s="13">
        <v>200</v>
      </c>
      <c r="H904" s="14">
        <v>200</v>
      </c>
      <c r="I904" s="15">
        <v>335.08</v>
      </c>
      <c r="J904" s="16"/>
      <c r="K904" s="17">
        <v>67016</v>
      </c>
      <c r="L904" s="18">
        <v>46141</v>
      </c>
      <c r="M904" s="6" t="str">
        <f t="shared" si="42"/>
        <v>Due order</v>
      </c>
      <c r="N904" s="8">
        <f t="shared" ca="1" si="43"/>
        <v>-14</v>
      </c>
      <c r="O904" s="8" t="str">
        <f t="shared" ca="1" si="44"/>
        <v>With in 90 days</v>
      </c>
      <c r="P904" t="str">
        <f>VLOOKUP(C904,[1]Customer_Master!$A:$B,2,0)</f>
        <v>Group-2 (Veeresh- Bomsdr+Hosur)</v>
      </c>
      <c r="Q904" t="str">
        <f>VLOOKUP(D904,[2]Template!$A:$D,3,0)</f>
        <v>LAPP</v>
      </c>
      <c r="R904" t="str">
        <f>VLOOKUP(D904,[2]Template!$A:$D,4,0)</f>
        <v>Lapp-Non Moving Stocks</v>
      </c>
    </row>
    <row r="905" spans="1:18" ht="13.5" customHeight="1" x14ac:dyDescent="0.25">
      <c r="A905" s="9">
        <v>46141</v>
      </c>
      <c r="B905" s="10" t="s">
        <v>1478</v>
      </c>
      <c r="C905" s="11" t="s">
        <v>279</v>
      </c>
      <c r="D905" s="27" t="s">
        <v>1479</v>
      </c>
      <c r="E905" s="12" t="s">
        <v>1072</v>
      </c>
      <c r="F905" s="12" t="s">
        <v>1480</v>
      </c>
      <c r="G905" s="13">
        <v>1000</v>
      </c>
      <c r="H905" s="14">
        <v>1000</v>
      </c>
      <c r="I905" s="15">
        <v>504.48</v>
      </c>
      <c r="J905" s="16"/>
      <c r="K905" s="17">
        <v>504480</v>
      </c>
      <c r="L905" s="18">
        <v>46141</v>
      </c>
      <c r="M905" s="6" t="str">
        <f t="shared" si="42"/>
        <v>Due order</v>
      </c>
      <c r="N905" s="8">
        <f t="shared" ca="1" si="43"/>
        <v>-14</v>
      </c>
      <c r="O905" s="8" t="str">
        <f t="shared" ca="1" si="44"/>
        <v>With in 90 days</v>
      </c>
      <c r="P905" t="str">
        <f>VLOOKUP(C905,[1]Customer_Master!$A:$B,2,0)</f>
        <v>Group 1-Giridhar-Peenya</v>
      </c>
      <c r="Q905" t="str">
        <f>VLOOKUP(D905,[2]Template!$A:$D,3,0)</f>
        <v>LAPP</v>
      </c>
      <c r="R905" t="str">
        <f>VLOOKUP(D905,[2]Template!$A:$D,4,0)</f>
        <v>Lapp-Non Moving Stocks</v>
      </c>
    </row>
    <row r="906" spans="1:18" ht="13.5" customHeight="1" x14ac:dyDescent="0.25">
      <c r="A906" s="9">
        <v>46141</v>
      </c>
      <c r="B906" s="10" t="s">
        <v>1481</v>
      </c>
      <c r="C906" s="11" t="s">
        <v>209</v>
      </c>
      <c r="D906" s="10" t="s">
        <v>1482</v>
      </c>
      <c r="E906" s="12" t="s">
        <v>1072</v>
      </c>
      <c r="F906" s="12" t="s">
        <v>1483</v>
      </c>
      <c r="G906" s="13">
        <v>100</v>
      </c>
      <c r="H906" s="14">
        <v>100</v>
      </c>
      <c r="I906" s="15">
        <v>3799.96</v>
      </c>
      <c r="J906" s="16"/>
      <c r="K906" s="17">
        <v>379996</v>
      </c>
      <c r="L906" s="18">
        <v>46141</v>
      </c>
      <c r="M906" s="6" t="str">
        <f t="shared" si="42"/>
        <v>Due order</v>
      </c>
      <c r="N906" s="8">
        <f t="shared" ca="1" si="43"/>
        <v>-14</v>
      </c>
      <c r="O906" s="8" t="str">
        <f t="shared" ca="1" si="44"/>
        <v>With in 90 days</v>
      </c>
      <c r="P906" t="str">
        <f>VLOOKUP(C906,[1]Customer_Master!$A:$B,2,0)</f>
        <v>Group 1-Giridhar-Peenya</v>
      </c>
      <c r="Q906" t="str">
        <f>VLOOKUP(D906,[2]Template!$A:$D,3,0)</f>
        <v>LAPP</v>
      </c>
      <c r="R906" t="str">
        <f>VLOOKUP(D906,[2]Template!$A:$D,4,0)</f>
        <v>Lapp-Planned Stock Specific Customer</v>
      </c>
    </row>
    <row r="907" spans="1:18" ht="13.5" customHeight="1" x14ac:dyDescent="0.25">
      <c r="A907" s="9">
        <v>46141</v>
      </c>
      <c r="B907" s="10" t="s">
        <v>1484</v>
      </c>
      <c r="C907" s="11" t="s">
        <v>1485</v>
      </c>
      <c r="D907" s="27" t="s">
        <v>1486</v>
      </c>
      <c r="E907" s="12" t="s">
        <v>1072</v>
      </c>
      <c r="F907" s="12" t="s">
        <v>1487</v>
      </c>
      <c r="G907" s="13">
        <v>500</v>
      </c>
      <c r="H907" s="14">
        <v>500</v>
      </c>
      <c r="I907" s="15">
        <v>87</v>
      </c>
      <c r="J907" s="16"/>
      <c r="K907" s="17">
        <v>43500</v>
      </c>
      <c r="L907" s="18">
        <v>46141</v>
      </c>
      <c r="M907" s="6" t="str">
        <f t="shared" si="42"/>
        <v>Due order</v>
      </c>
      <c r="N907" s="8">
        <f t="shared" ca="1" si="43"/>
        <v>-14</v>
      </c>
      <c r="O907" s="8" t="str">
        <f t="shared" ca="1" si="44"/>
        <v>With in 90 days</v>
      </c>
      <c r="P907" t="str">
        <f>VLOOKUP(C907,[1]Customer_Master!$A:$B,2,0)</f>
        <v>Group 1-Giridhar-Peenya</v>
      </c>
      <c r="Q907" t="str">
        <f>VLOOKUP(D907,[2]Template!$A:$D,3,0)</f>
        <v>LAPP</v>
      </c>
      <c r="R907" t="str">
        <f>VLOOKUP(D907,[2]Template!$A:$D,4,0)</f>
        <v>Lapp-Non Moving Stocks</v>
      </c>
    </row>
    <row r="908" spans="1:18" ht="13.5" customHeight="1" x14ac:dyDescent="0.25">
      <c r="A908" s="9">
        <v>46142</v>
      </c>
      <c r="B908" s="10" t="s">
        <v>1492</v>
      </c>
      <c r="C908" s="11" t="s">
        <v>747</v>
      </c>
      <c r="D908" s="10" t="s">
        <v>317</v>
      </c>
      <c r="E908" s="12" t="s">
        <v>1072</v>
      </c>
      <c r="F908" s="12" t="s">
        <v>71</v>
      </c>
      <c r="G908" s="13">
        <v>6000</v>
      </c>
      <c r="H908" s="14">
        <v>6000</v>
      </c>
      <c r="I908" s="15">
        <v>7.87</v>
      </c>
      <c r="J908" s="16"/>
      <c r="K908" s="17">
        <v>47220</v>
      </c>
      <c r="L908" s="18">
        <v>46208</v>
      </c>
      <c r="M908" s="6" t="str">
        <f t="shared" si="42"/>
        <v>Schedule order</v>
      </c>
      <c r="N908" s="8">
        <f t="shared" ca="1" si="43"/>
        <v>53</v>
      </c>
      <c r="O908" s="8" t="str">
        <f t="shared" ca="1" si="44"/>
        <v>Lattest or shedule order</v>
      </c>
      <c r="P908" t="str">
        <f>VLOOKUP(C908,[1]Customer_Master!$A:$B,2,0)</f>
        <v>Group 1-Giridhar-Peenya</v>
      </c>
      <c r="Q908" t="str">
        <f>VLOOKUP(D908,[2]Template!$A:$D,3,0)</f>
        <v>LAPP</v>
      </c>
      <c r="R908" t="str">
        <f>VLOOKUP(D908,[2]Template!$A:$D,4,0)</f>
        <v>Lapp-Planned Stock General</v>
      </c>
    </row>
    <row r="909" spans="1:18" ht="13.5" customHeight="1" x14ac:dyDescent="0.25">
      <c r="A909" s="9">
        <v>46142</v>
      </c>
      <c r="B909" s="10" t="s">
        <v>1492</v>
      </c>
      <c r="C909" s="11" t="s">
        <v>747</v>
      </c>
      <c r="D909" s="10" t="s">
        <v>648</v>
      </c>
      <c r="E909" s="12" t="s">
        <v>1072</v>
      </c>
      <c r="F909" s="12" t="s">
        <v>649</v>
      </c>
      <c r="G909" s="13">
        <v>8000</v>
      </c>
      <c r="H909" s="14">
        <v>8000</v>
      </c>
      <c r="I909" s="15">
        <v>10.95</v>
      </c>
      <c r="J909" s="16"/>
      <c r="K909" s="17">
        <v>87600</v>
      </c>
      <c r="L909" s="18">
        <v>46208</v>
      </c>
      <c r="M909" s="6" t="str">
        <f t="shared" si="42"/>
        <v>Schedule order</v>
      </c>
      <c r="N909" s="8">
        <f t="shared" ca="1" si="43"/>
        <v>53</v>
      </c>
      <c r="O909" s="8" t="str">
        <f t="shared" ca="1" si="44"/>
        <v>Lattest or shedule order</v>
      </c>
      <c r="P909" t="str">
        <f>VLOOKUP(C909,[1]Customer_Master!$A:$B,2,0)</f>
        <v>Group 1-Giridhar-Peenya</v>
      </c>
      <c r="Q909" t="str">
        <f>VLOOKUP(D909,[2]Template!$A:$D,3,0)</f>
        <v>LAPP</v>
      </c>
      <c r="R909" t="str">
        <f>VLOOKUP(D909,[2]Template!$A:$D,4,0)</f>
        <v>Lapp-Planned Stock General</v>
      </c>
    </row>
    <row r="910" spans="1:18" ht="13.5" customHeight="1" x14ac:dyDescent="0.25">
      <c r="A910" s="9">
        <v>46142</v>
      </c>
      <c r="B910" s="10" t="s">
        <v>1492</v>
      </c>
      <c r="C910" s="11" t="s">
        <v>747</v>
      </c>
      <c r="D910" s="10" t="s">
        <v>336</v>
      </c>
      <c r="E910" s="12" t="s">
        <v>1072</v>
      </c>
      <c r="F910" s="12" t="s">
        <v>119</v>
      </c>
      <c r="G910" s="13">
        <v>1500</v>
      </c>
      <c r="H910" s="14">
        <v>1500</v>
      </c>
      <c r="I910" s="15">
        <v>54.04</v>
      </c>
      <c r="J910" s="16"/>
      <c r="K910" s="17">
        <v>81060</v>
      </c>
      <c r="L910" s="18">
        <v>46208</v>
      </c>
      <c r="M910" s="6" t="str">
        <f t="shared" si="42"/>
        <v>Schedule order</v>
      </c>
      <c r="N910" s="8">
        <f t="shared" ca="1" si="43"/>
        <v>53</v>
      </c>
      <c r="O910" s="8" t="str">
        <f t="shared" ca="1" si="44"/>
        <v>Lattest or shedule order</v>
      </c>
      <c r="P910" t="str">
        <f>VLOOKUP(C910,[1]Customer_Master!$A:$B,2,0)</f>
        <v>Group 1-Giridhar-Peenya</v>
      </c>
      <c r="Q910" t="str">
        <f>VLOOKUP(D910,[2]Template!$A:$D,3,0)</f>
        <v>LAPP</v>
      </c>
      <c r="R910" t="str">
        <f>VLOOKUP(D910,[2]Template!$A:$D,4,0)</f>
        <v>Lapp-Planned Stock General</v>
      </c>
    </row>
    <row r="911" spans="1:18" ht="13.5" customHeight="1" x14ac:dyDescent="0.25">
      <c r="A911" s="9">
        <v>46142</v>
      </c>
      <c r="B911" s="10" t="s">
        <v>1492</v>
      </c>
      <c r="C911" s="11" t="s">
        <v>747</v>
      </c>
      <c r="D911" s="10" t="s">
        <v>360</v>
      </c>
      <c r="E911" s="12" t="s">
        <v>1072</v>
      </c>
      <c r="F911" s="12" t="s">
        <v>141</v>
      </c>
      <c r="G911" s="13">
        <v>700</v>
      </c>
      <c r="H911" s="14">
        <v>700</v>
      </c>
      <c r="I911" s="15">
        <v>81.900000000000006</v>
      </c>
      <c r="J911" s="16"/>
      <c r="K911" s="17">
        <v>57330</v>
      </c>
      <c r="L911" s="18">
        <v>46208</v>
      </c>
      <c r="M911" s="6" t="str">
        <f t="shared" si="42"/>
        <v>Schedule order</v>
      </c>
      <c r="N911" s="8">
        <f t="shared" ca="1" si="43"/>
        <v>53</v>
      </c>
      <c r="O911" s="8" t="str">
        <f t="shared" ca="1" si="44"/>
        <v>Lattest or shedule order</v>
      </c>
      <c r="P911" t="str">
        <f>VLOOKUP(C911,[1]Customer_Master!$A:$B,2,0)</f>
        <v>Group 1-Giridhar-Peenya</v>
      </c>
      <c r="Q911" t="str">
        <f>VLOOKUP(D911,[2]Template!$A:$D,3,0)</f>
        <v>LAPP</v>
      </c>
      <c r="R911" t="str">
        <f>VLOOKUP(D911,[2]Template!$A:$D,4,0)</f>
        <v>Lapp-Planned Stock General</v>
      </c>
    </row>
    <row r="912" spans="1:18" ht="13.5" customHeight="1" x14ac:dyDescent="0.25">
      <c r="A912" s="9">
        <v>46142</v>
      </c>
      <c r="B912" s="10" t="s">
        <v>1492</v>
      </c>
      <c r="C912" s="11" t="s">
        <v>747</v>
      </c>
      <c r="D912" s="10" t="s">
        <v>654</v>
      </c>
      <c r="E912" s="12" t="s">
        <v>1072</v>
      </c>
      <c r="F912" s="12" t="s">
        <v>655</v>
      </c>
      <c r="G912" s="13">
        <v>7000</v>
      </c>
      <c r="H912" s="14">
        <v>7000</v>
      </c>
      <c r="I912" s="15">
        <v>28.51</v>
      </c>
      <c r="J912" s="16"/>
      <c r="K912" s="17">
        <v>199570</v>
      </c>
      <c r="L912" s="18">
        <v>46208</v>
      </c>
      <c r="M912" s="6" t="str">
        <f t="shared" si="42"/>
        <v>Schedule order</v>
      </c>
      <c r="N912" s="8">
        <f t="shared" ca="1" si="43"/>
        <v>53</v>
      </c>
      <c r="O912" s="8" t="str">
        <f t="shared" ca="1" si="44"/>
        <v>Lattest or shedule order</v>
      </c>
      <c r="P912" t="str">
        <f>VLOOKUP(C912,[1]Customer_Master!$A:$B,2,0)</f>
        <v>Group 1-Giridhar-Peenya</v>
      </c>
      <c r="Q912" t="str">
        <f>VLOOKUP(D912,[2]Template!$A:$D,3,0)</f>
        <v>LAPP</v>
      </c>
      <c r="R912" t="str">
        <f>VLOOKUP(D912,[2]Template!$A:$D,4,0)</f>
        <v>Lapp-Ace Group</v>
      </c>
    </row>
    <row r="913" spans="1:18" ht="13.5" customHeight="1" x14ac:dyDescent="0.25">
      <c r="A913" s="9">
        <v>46142</v>
      </c>
      <c r="B913" s="10" t="s">
        <v>1492</v>
      </c>
      <c r="C913" s="11" t="s">
        <v>747</v>
      </c>
      <c r="D913" s="10" t="s">
        <v>656</v>
      </c>
      <c r="E913" s="12" t="s">
        <v>1072</v>
      </c>
      <c r="F913" s="12" t="s">
        <v>657</v>
      </c>
      <c r="G913" s="13">
        <v>1000</v>
      </c>
      <c r="H913" s="14">
        <v>1000</v>
      </c>
      <c r="I913" s="15">
        <v>29.75</v>
      </c>
      <c r="J913" s="16"/>
      <c r="K913" s="17">
        <v>29750</v>
      </c>
      <c r="L913" s="18">
        <v>46208</v>
      </c>
      <c r="M913" s="6" t="str">
        <f t="shared" si="42"/>
        <v>Schedule order</v>
      </c>
      <c r="N913" s="8">
        <f t="shared" ca="1" si="43"/>
        <v>53</v>
      </c>
      <c r="O913" s="8" t="str">
        <f t="shared" ca="1" si="44"/>
        <v>Lattest or shedule order</v>
      </c>
      <c r="P913" t="str">
        <f>VLOOKUP(C913,[1]Customer_Master!$A:$B,2,0)</f>
        <v>Group 1-Giridhar-Peenya</v>
      </c>
      <c r="Q913" t="str">
        <f>VLOOKUP(D913,[2]Template!$A:$D,3,0)</f>
        <v>LAPP</v>
      </c>
      <c r="R913" t="str">
        <f>VLOOKUP(D913,[2]Template!$A:$D,4,0)</f>
        <v>Lapp-Ace Group</v>
      </c>
    </row>
    <row r="914" spans="1:18" ht="13.5" customHeight="1" x14ac:dyDescent="0.25">
      <c r="A914" s="9">
        <v>46142</v>
      </c>
      <c r="B914" s="10" t="s">
        <v>1492</v>
      </c>
      <c r="C914" s="11" t="s">
        <v>747</v>
      </c>
      <c r="D914" s="10" t="s">
        <v>782</v>
      </c>
      <c r="E914" s="12" t="s">
        <v>1072</v>
      </c>
      <c r="F914" s="12" t="s">
        <v>783</v>
      </c>
      <c r="G914" s="13">
        <v>500</v>
      </c>
      <c r="H914" s="14">
        <v>500</v>
      </c>
      <c r="I914" s="15">
        <v>38.700000000000003</v>
      </c>
      <c r="J914" s="16"/>
      <c r="K914" s="17">
        <v>19350</v>
      </c>
      <c r="L914" s="18">
        <v>46208</v>
      </c>
      <c r="M914" s="6" t="str">
        <f t="shared" si="42"/>
        <v>Schedule order</v>
      </c>
      <c r="N914" s="8">
        <f t="shared" ca="1" si="43"/>
        <v>53</v>
      </c>
      <c r="O914" s="8" t="str">
        <f t="shared" ca="1" si="44"/>
        <v>Lattest or shedule order</v>
      </c>
      <c r="P914" t="str">
        <f>VLOOKUP(C914,[1]Customer_Master!$A:$B,2,0)</f>
        <v>Group 1-Giridhar-Peenya</v>
      </c>
      <c r="Q914" t="str">
        <f>VLOOKUP(D914,[2]Template!$A:$D,3,0)</f>
        <v>LAPP</v>
      </c>
      <c r="R914" t="str">
        <f>VLOOKUP(D914,[2]Template!$A:$D,4,0)</f>
        <v>Lapp-Ace Group</v>
      </c>
    </row>
    <row r="915" spans="1:18" ht="13.5" customHeight="1" x14ac:dyDescent="0.25">
      <c r="A915" s="9">
        <v>46142</v>
      </c>
      <c r="B915" s="10" t="s">
        <v>1492</v>
      </c>
      <c r="C915" s="11" t="s">
        <v>747</v>
      </c>
      <c r="D915" s="10" t="s">
        <v>702</v>
      </c>
      <c r="E915" s="12" t="s">
        <v>1072</v>
      </c>
      <c r="F915" s="12" t="s">
        <v>703</v>
      </c>
      <c r="G915" s="13">
        <v>5000</v>
      </c>
      <c r="H915" s="14">
        <v>5000</v>
      </c>
      <c r="I915" s="15">
        <v>10.95</v>
      </c>
      <c r="J915" s="16"/>
      <c r="K915" s="17">
        <v>54750</v>
      </c>
      <c r="L915" s="18">
        <v>46208</v>
      </c>
      <c r="M915" s="6" t="str">
        <f t="shared" si="42"/>
        <v>Schedule order</v>
      </c>
      <c r="N915" s="8">
        <f t="shared" ca="1" si="43"/>
        <v>53</v>
      </c>
      <c r="O915" s="8" t="str">
        <f t="shared" ca="1" si="44"/>
        <v>Lattest or shedule order</v>
      </c>
      <c r="P915" t="str">
        <f>VLOOKUP(C915,[1]Customer_Master!$A:$B,2,0)</f>
        <v>Group 1-Giridhar-Peenya</v>
      </c>
      <c r="Q915" t="str">
        <f>VLOOKUP(D915,[2]Template!$A:$D,3,0)</f>
        <v>LAPP</v>
      </c>
      <c r="R915" t="str">
        <f>VLOOKUP(D915,[2]Template!$A:$D,4,0)</f>
        <v>Lapp-Planned Stock General</v>
      </c>
    </row>
    <row r="916" spans="1:18" ht="13.5" customHeight="1" x14ac:dyDescent="0.25">
      <c r="A916" s="9">
        <v>46142</v>
      </c>
      <c r="B916" s="10" t="s">
        <v>1492</v>
      </c>
      <c r="C916" s="11" t="s">
        <v>747</v>
      </c>
      <c r="D916" s="10" t="s">
        <v>658</v>
      </c>
      <c r="E916" s="12" t="s">
        <v>1072</v>
      </c>
      <c r="F916" s="12" t="s">
        <v>659</v>
      </c>
      <c r="G916" s="13">
        <v>500</v>
      </c>
      <c r="H916" s="14">
        <v>500</v>
      </c>
      <c r="I916" s="15">
        <v>52.23</v>
      </c>
      <c r="J916" s="16"/>
      <c r="K916" s="17">
        <v>26115</v>
      </c>
      <c r="L916" s="18">
        <v>46208</v>
      </c>
      <c r="M916" s="6" t="str">
        <f t="shared" si="42"/>
        <v>Schedule order</v>
      </c>
      <c r="N916" s="8">
        <f t="shared" ca="1" si="43"/>
        <v>53</v>
      </c>
      <c r="O916" s="8" t="str">
        <f t="shared" ca="1" si="44"/>
        <v>Lattest or shedule order</v>
      </c>
      <c r="P916" t="str">
        <f>VLOOKUP(C916,[1]Customer_Master!$A:$B,2,0)</f>
        <v>Group 1-Giridhar-Peenya</v>
      </c>
      <c r="Q916" t="str">
        <f>VLOOKUP(D916,[2]Template!$A:$D,3,0)</f>
        <v>LAPP</v>
      </c>
      <c r="R916" t="str">
        <f>VLOOKUP(D916,[2]Template!$A:$D,4,0)</f>
        <v>Lapp-Ace Group</v>
      </c>
    </row>
    <row r="917" spans="1:18" ht="13.5" customHeight="1" x14ac:dyDescent="0.25">
      <c r="A917" s="9">
        <v>46142</v>
      </c>
      <c r="B917" s="10" t="s">
        <v>1492</v>
      </c>
      <c r="C917" s="11" t="s">
        <v>747</v>
      </c>
      <c r="D917" s="10" t="s">
        <v>333</v>
      </c>
      <c r="E917" s="12" t="s">
        <v>1072</v>
      </c>
      <c r="F917" s="12" t="s">
        <v>120</v>
      </c>
      <c r="G917" s="13">
        <v>1000</v>
      </c>
      <c r="H917" s="14">
        <v>1000</v>
      </c>
      <c r="I917" s="15">
        <v>41.4</v>
      </c>
      <c r="J917" s="16"/>
      <c r="K917" s="17">
        <v>41400</v>
      </c>
      <c r="L917" s="18">
        <v>46208</v>
      </c>
      <c r="M917" s="6" t="str">
        <f t="shared" si="42"/>
        <v>Schedule order</v>
      </c>
      <c r="N917" s="8">
        <f t="shared" ca="1" si="43"/>
        <v>53</v>
      </c>
      <c r="O917" s="8" t="str">
        <f t="shared" ca="1" si="44"/>
        <v>Lattest or shedule order</v>
      </c>
      <c r="P917" t="str">
        <f>VLOOKUP(C917,[1]Customer_Master!$A:$B,2,0)</f>
        <v>Group 1-Giridhar-Peenya</v>
      </c>
      <c r="Q917" t="str">
        <f>VLOOKUP(D917,[2]Template!$A:$D,3,0)</f>
        <v>LAPP</v>
      </c>
      <c r="R917" t="str">
        <f>VLOOKUP(D917,[2]Template!$A:$D,4,0)</f>
        <v>Lapp-Ace Group</v>
      </c>
    </row>
    <row r="918" spans="1:18" ht="13.5" customHeight="1" x14ac:dyDescent="0.25">
      <c r="A918" s="9">
        <v>46142</v>
      </c>
      <c r="B918" s="10" t="s">
        <v>1492</v>
      </c>
      <c r="C918" s="11" t="s">
        <v>747</v>
      </c>
      <c r="D918" s="10" t="s">
        <v>362</v>
      </c>
      <c r="E918" s="12" t="s">
        <v>1072</v>
      </c>
      <c r="F918" s="12" t="s">
        <v>145</v>
      </c>
      <c r="G918" s="13">
        <v>1500</v>
      </c>
      <c r="H918" s="14">
        <v>1500</v>
      </c>
      <c r="I918" s="15">
        <v>47.4</v>
      </c>
      <c r="J918" s="16"/>
      <c r="K918" s="17">
        <v>71100</v>
      </c>
      <c r="L918" s="18">
        <v>46208</v>
      </c>
      <c r="M918" s="6" t="str">
        <f t="shared" si="42"/>
        <v>Schedule order</v>
      </c>
      <c r="N918" s="8">
        <f t="shared" ca="1" si="43"/>
        <v>53</v>
      </c>
      <c r="O918" s="8" t="str">
        <f t="shared" ca="1" si="44"/>
        <v>Lattest or shedule order</v>
      </c>
      <c r="P918" t="str">
        <f>VLOOKUP(C918,[1]Customer_Master!$A:$B,2,0)</f>
        <v>Group 1-Giridhar-Peenya</v>
      </c>
      <c r="Q918" t="str">
        <f>VLOOKUP(D918,[2]Template!$A:$D,3,0)</f>
        <v>LAPP</v>
      </c>
      <c r="R918" t="str">
        <f>VLOOKUP(D918,[2]Template!$A:$D,4,0)</f>
        <v>Lapp-Ace Group</v>
      </c>
    </row>
    <row r="919" spans="1:18" ht="13.5" customHeight="1" x14ac:dyDescent="0.25">
      <c r="A919" s="9">
        <v>46142</v>
      </c>
      <c r="B919" s="10" t="s">
        <v>1492</v>
      </c>
      <c r="C919" s="11" t="s">
        <v>747</v>
      </c>
      <c r="D919" s="10" t="s">
        <v>741</v>
      </c>
      <c r="E919" s="12" t="s">
        <v>1072</v>
      </c>
      <c r="F919" s="12" t="s">
        <v>742</v>
      </c>
      <c r="G919" s="13">
        <v>500</v>
      </c>
      <c r="H919" s="14">
        <v>500</v>
      </c>
      <c r="I919" s="15">
        <v>553.71</v>
      </c>
      <c r="J919" s="16"/>
      <c r="K919" s="17">
        <v>276855</v>
      </c>
      <c r="L919" s="18">
        <v>46208</v>
      </c>
      <c r="M919" s="6" t="str">
        <f t="shared" si="42"/>
        <v>Schedule order</v>
      </c>
      <c r="N919" s="8">
        <f t="shared" ca="1" si="43"/>
        <v>53</v>
      </c>
      <c r="O919" s="8" t="str">
        <f t="shared" ca="1" si="44"/>
        <v>Lattest or shedule order</v>
      </c>
      <c r="P919" t="str">
        <f>VLOOKUP(C919,[1]Customer_Master!$A:$B,2,0)</f>
        <v>Group 1-Giridhar-Peenya</v>
      </c>
      <c r="Q919" t="str">
        <f>VLOOKUP(D919,[2]Template!$A:$D,3,0)</f>
        <v>LAPP</v>
      </c>
      <c r="R919" t="str">
        <f>VLOOKUP(D919,[2]Template!$A:$D,4,0)</f>
        <v>Lapp-Ace Group</v>
      </c>
    </row>
    <row r="920" spans="1:18" ht="13.5" customHeight="1" x14ac:dyDescent="0.25">
      <c r="A920" s="9">
        <v>46142</v>
      </c>
      <c r="B920" s="10" t="s">
        <v>1492</v>
      </c>
      <c r="C920" s="11" t="s">
        <v>747</v>
      </c>
      <c r="D920" s="10" t="s">
        <v>331</v>
      </c>
      <c r="E920" s="12" t="s">
        <v>1072</v>
      </c>
      <c r="F920" s="12" t="s">
        <v>115</v>
      </c>
      <c r="G920" s="13">
        <v>100</v>
      </c>
      <c r="H920" s="14">
        <v>100</v>
      </c>
      <c r="I920" s="15">
        <v>227.65</v>
      </c>
      <c r="J920" s="16"/>
      <c r="K920" s="17">
        <v>22765</v>
      </c>
      <c r="L920" s="18">
        <v>46208</v>
      </c>
      <c r="M920" s="6" t="str">
        <f t="shared" si="42"/>
        <v>Schedule order</v>
      </c>
      <c r="N920" s="8">
        <f t="shared" ca="1" si="43"/>
        <v>53</v>
      </c>
      <c r="O920" s="8" t="str">
        <f t="shared" ca="1" si="44"/>
        <v>Lattest or shedule order</v>
      </c>
      <c r="P920" t="str">
        <f>VLOOKUP(C920,[1]Customer_Master!$A:$B,2,0)</f>
        <v>Group 1-Giridhar-Peenya</v>
      </c>
      <c r="Q920" t="str">
        <f>VLOOKUP(D920,[2]Template!$A:$D,3,0)</f>
        <v>LAPP</v>
      </c>
      <c r="R920" t="str">
        <f>VLOOKUP(D920,[2]Template!$A:$D,4,0)</f>
        <v>Lapp-Ace Group</v>
      </c>
    </row>
    <row r="921" spans="1:18" ht="13.5" customHeight="1" x14ac:dyDescent="0.25">
      <c r="A921" s="9">
        <v>46142</v>
      </c>
      <c r="B921" s="10" t="s">
        <v>1492</v>
      </c>
      <c r="C921" s="11" t="s">
        <v>747</v>
      </c>
      <c r="D921" s="10" t="s">
        <v>785</v>
      </c>
      <c r="E921" s="12" t="s">
        <v>1072</v>
      </c>
      <c r="F921" s="12" t="s">
        <v>786</v>
      </c>
      <c r="G921" s="13">
        <v>1000</v>
      </c>
      <c r="H921" s="14">
        <v>1000</v>
      </c>
      <c r="I921" s="15">
        <v>71.02</v>
      </c>
      <c r="J921" s="16"/>
      <c r="K921" s="17">
        <v>71020</v>
      </c>
      <c r="L921" s="18">
        <v>46208</v>
      </c>
      <c r="M921" s="6" t="str">
        <f t="shared" si="42"/>
        <v>Schedule order</v>
      </c>
      <c r="N921" s="8">
        <f t="shared" ca="1" si="43"/>
        <v>53</v>
      </c>
      <c r="O921" s="8" t="str">
        <f t="shared" ca="1" si="44"/>
        <v>Lattest or shedule order</v>
      </c>
      <c r="P921" t="str">
        <f>VLOOKUP(C921,[1]Customer_Master!$A:$B,2,0)</f>
        <v>Group 1-Giridhar-Peenya</v>
      </c>
      <c r="Q921" t="str">
        <f>VLOOKUP(D921,[2]Template!$A:$D,3,0)</f>
        <v>LAPP</v>
      </c>
      <c r="R921" t="str">
        <f>VLOOKUP(D921,[2]Template!$A:$D,4,0)</f>
        <v>Lapp-Ace Group</v>
      </c>
    </row>
    <row r="922" spans="1:18" ht="13.5" customHeight="1" x14ac:dyDescent="0.25">
      <c r="A922" s="9">
        <v>46142</v>
      </c>
      <c r="B922" s="10" t="s">
        <v>1492</v>
      </c>
      <c r="C922" s="11" t="s">
        <v>747</v>
      </c>
      <c r="D922" s="10" t="s">
        <v>342</v>
      </c>
      <c r="E922" s="12" t="s">
        <v>1072</v>
      </c>
      <c r="F922" s="12" t="s">
        <v>125</v>
      </c>
      <c r="G922" s="13">
        <v>2000</v>
      </c>
      <c r="H922" s="14">
        <v>2000</v>
      </c>
      <c r="I922" s="15">
        <v>81.900000000000006</v>
      </c>
      <c r="J922" s="16"/>
      <c r="K922" s="17">
        <v>163800</v>
      </c>
      <c r="L922" s="18">
        <v>46208</v>
      </c>
      <c r="M922" s="6" t="str">
        <f t="shared" si="42"/>
        <v>Schedule order</v>
      </c>
      <c r="N922" s="8">
        <f t="shared" ca="1" si="43"/>
        <v>53</v>
      </c>
      <c r="O922" s="8" t="str">
        <f t="shared" ca="1" si="44"/>
        <v>Lattest or shedule order</v>
      </c>
      <c r="P922" t="str">
        <f>VLOOKUP(C922,[1]Customer_Master!$A:$B,2,0)</f>
        <v>Group 1-Giridhar-Peenya</v>
      </c>
      <c r="Q922" t="str">
        <f>VLOOKUP(D922,[2]Template!$A:$D,3,0)</f>
        <v>LAPP</v>
      </c>
      <c r="R922" t="str">
        <f>VLOOKUP(D922,[2]Template!$A:$D,4,0)</f>
        <v>Lapp-Planned Stock General</v>
      </c>
    </row>
    <row r="923" spans="1:18" ht="13.5" customHeight="1" x14ac:dyDescent="0.25">
      <c r="A923" s="9">
        <v>46142</v>
      </c>
      <c r="B923" s="10" t="s">
        <v>1492</v>
      </c>
      <c r="C923" s="11" t="s">
        <v>747</v>
      </c>
      <c r="D923" s="10" t="s">
        <v>512</v>
      </c>
      <c r="E923" s="12" t="s">
        <v>1072</v>
      </c>
      <c r="F923" s="12" t="s">
        <v>513</v>
      </c>
      <c r="G923" s="13">
        <v>1500</v>
      </c>
      <c r="H923" s="14">
        <v>1500</v>
      </c>
      <c r="I923" s="15">
        <v>58.69</v>
      </c>
      <c r="J923" s="16"/>
      <c r="K923" s="17">
        <v>88035</v>
      </c>
      <c r="L923" s="18">
        <v>46208</v>
      </c>
      <c r="M923" s="6" t="str">
        <f t="shared" si="42"/>
        <v>Schedule order</v>
      </c>
      <c r="N923" s="8">
        <f t="shared" ca="1" si="43"/>
        <v>53</v>
      </c>
      <c r="O923" s="8" t="str">
        <f t="shared" ca="1" si="44"/>
        <v>Lattest or shedule order</v>
      </c>
      <c r="P923" t="str">
        <f>VLOOKUP(C923,[1]Customer_Master!$A:$B,2,0)</f>
        <v>Group 1-Giridhar-Peenya</v>
      </c>
      <c r="Q923" t="str">
        <f>VLOOKUP(D923,[2]Template!$A:$D,3,0)</f>
        <v>LAPP</v>
      </c>
      <c r="R923" t="str">
        <f>VLOOKUP(D923,[2]Template!$A:$D,4,0)</f>
        <v>Lapp-Ace Group</v>
      </c>
    </row>
    <row r="924" spans="1:18" ht="13.5" customHeight="1" x14ac:dyDescent="0.25">
      <c r="A924" s="9">
        <v>46142</v>
      </c>
      <c r="B924" s="10" t="s">
        <v>1492</v>
      </c>
      <c r="C924" s="11" t="s">
        <v>747</v>
      </c>
      <c r="D924" s="10" t="s">
        <v>316</v>
      </c>
      <c r="E924" s="12" t="s">
        <v>1072</v>
      </c>
      <c r="F924" s="12" t="s">
        <v>32</v>
      </c>
      <c r="G924" s="13">
        <v>200</v>
      </c>
      <c r="H924" s="14">
        <v>200</v>
      </c>
      <c r="I924" s="15">
        <v>91.46</v>
      </c>
      <c r="J924" s="16"/>
      <c r="K924" s="17">
        <v>18292</v>
      </c>
      <c r="L924" s="18">
        <v>46208</v>
      </c>
      <c r="M924" s="6" t="str">
        <f t="shared" si="42"/>
        <v>Schedule order</v>
      </c>
      <c r="N924" s="8">
        <f t="shared" ca="1" si="43"/>
        <v>53</v>
      </c>
      <c r="O924" s="8" t="str">
        <f t="shared" ca="1" si="44"/>
        <v>Lattest or shedule order</v>
      </c>
      <c r="P924" t="str">
        <f>VLOOKUP(C924,[1]Customer_Master!$A:$B,2,0)</f>
        <v>Group 1-Giridhar-Peenya</v>
      </c>
      <c r="Q924" t="str">
        <f>VLOOKUP(D924,[2]Template!$A:$D,3,0)</f>
        <v>LAPP</v>
      </c>
      <c r="R924" t="str">
        <f>VLOOKUP(D924,[2]Template!$A:$D,4,0)</f>
        <v>Lapp-Ace Group</v>
      </c>
    </row>
    <row r="925" spans="1:18" ht="13.5" customHeight="1" x14ac:dyDescent="0.25">
      <c r="A925" s="9">
        <v>46142</v>
      </c>
      <c r="B925" s="10" t="s">
        <v>1492</v>
      </c>
      <c r="C925" s="11" t="s">
        <v>747</v>
      </c>
      <c r="D925" s="10" t="s">
        <v>334</v>
      </c>
      <c r="E925" s="12" t="s">
        <v>1072</v>
      </c>
      <c r="F925" s="12" t="s">
        <v>87</v>
      </c>
      <c r="G925" s="13">
        <v>300</v>
      </c>
      <c r="H925" s="14">
        <v>300</v>
      </c>
      <c r="I925" s="15">
        <v>33.590000000000003</v>
      </c>
      <c r="J925" s="16"/>
      <c r="K925" s="17">
        <v>10077</v>
      </c>
      <c r="L925" s="18">
        <v>46208</v>
      </c>
      <c r="M925" s="6" t="str">
        <f t="shared" si="42"/>
        <v>Schedule order</v>
      </c>
      <c r="N925" s="8">
        <f t="shared" ca="1" si="43"/>
        <v>53</v>
      </c>
      <c r="O925" s="8" t="str">
        <f t="shared" ca="1" si="44"/>
        <v>Lattest or shedule order</v>
      </c>
      <c r="P925" t="str">
        <f>VLOOKUP(C925,[1]Customer_Master!$A:$B,2,0)</f>
        <v>Group 1-Giridhar-Peenya</v>
      </c>
      <c r="Q925" t="str">
        <f>VLOOKUP(D925,[2]Template!$A:$D,3,0)</f>
        <v>LAPP</v>
      </c>
      <c r="R925" t="str">
        <f>VLOOKUP(D925,[2]Template!$A:$D,4,0)</f>
        <v>Lapp-Planned Stock General</v>
      </c>
    </row>
    <row r="926" spans="1:18" ht="13.5" customHeight="1" x14ac:dyDescent="0.25">
      <c r="A926" s="9">
        <v>46142</v>
      </c>
      <c r="B926" s="10" t="s">
        <v>1492</v>
      </c>
      <c r="C926" s="11" t="s">
        <v>747</v>
      </c>
      <c r="D926" s="10" t="s">
        <v>357</v>
      </c>
      <c r="E926" s="12" t="s">
        <v>1072</v>
      </c>
      <c r="F926" s="12" t="s">
        <v>53</v>
      </c>
      <c r="G926" s="13">
        <v>300</v>
      </c>
      <c r="H926" s="14">
        <v>300</v>
      </c>
      <c r="I926" s="15">
        <v>20.46</v>
      </c>
      <c r="J926" s="16"/>
      <c r="K926" s="17">
        <v>6138</v>
      </c>
      <c r="L926" s="18">
        <v>46208</v>
      </c>
      <c r="M926" s="6" t="str">
        <f t="shared" si="42"/>
        <v>Schedule order</v>
      </c>
      <c r="N926" s="8">
        <f t="shared" ca="1" si="43"/>
        <v>53</v>
      </c>
      <c r="O926" s="8" t="str">
        <f t="shared" ca="1" si="44"/>
        <v>Lattest or shedule order</v>
      </c>
      <c r="P926" t="str">
        <f>VLOOKUP(C926,[1]Customer_Master!$A:$B,2,0)</f>
        <v>Group 1-Giridhar-Peenya</v>
      </c>
      <c r="Q926" t="str">
        <f>VLOOKUP(D926,[2]Template!$A:$D,3,0)</f>
        <v>LAPP</v>
      </c>
      <c r="R926" t="str">
        <f>VLOOKUP(D926,[2]Template!$A:$D,4,0)</f>
        <v>Lapp-Planned Stock General</v>
      </c>
    </row>
    <row r="927" spans="1:18" ht="13.5" customHeight="1" x14ac:dyDescent="0.25">
      <c r="A927" s="9">
        <v>46142</v>
      </c>
      <c r="B927" s="10" t="s">
        <v>1492</v>
      </c>
      <c r="C927" s="11" t="s">
        <v>747</v>
      </c>
      <c r="D927" s="10" t="s">
        <v>356</v>
      </c>
      <c r="E927" s="12" t="s">
        <v>1072</v>
      </c>
      <c r="F927" s="12" t="s">
        <v>136</v>
      </c>
      <c r="G927" s="13">
        <v>1000</v>
      </c>
      <c r="H927" s="14">
        <v>1000</v>
      </c>
      <c r="I927" s="15">
        <v>33.68</v>
      </c>
      <c r="J927" s="16"/>
      <c r="K927" s="17">
        <v>33680</v>
      </c>
      <c r="L927" s="18">
        <v>46208</v>
      </c>
      <c r="M927" s="6" t="str">
        <f t="shared" si="42"/>
        <v>Schedule order</v>
      </c>
      <c r="N927" s="8">
        <f t="shared" ca="1" si="43"/>
        <v>53</v>
      </c>
      <c r="O927" s="8" t="str">
        <f t="shared" ca="1" si="44"/>
        <v>Lattest or shedule order</v>
      </c>
      <c r="P927" t="str">
        <f>VLOOKUP(C927,[1]Customer_Master!$A:$B,2,0)</f>
        <v>Group 1-Giridhar-Peenya</v>
      </c>
      <c r="Q927" t="str">
        <f>VLOOKUP(D927,[2]Template!$A:$D,3,0)</f>
        <v>LAPP</v>
      </c>
      <c r="R927" t="str">
        <f>VLOOKUP(D927,[2]Template!$A:$D,4,0)</f>
        <v>Lapp-Planned Stock General</v>
      </c>
    </row>
    <row r="928" spans="1:18" ht="13.5" customHeight="1" x14ac:dyDescent="0.25">
      <c r="A928" s="9">
        <v>46142</v>
      </c>
      <c r="B928" s="10" t="s">
        <v>1492</v>
      </c>
      <c r="C928" s="11" t="s">
        <v>747</v>
      </c>
      <c r="D928" s="10" t="s">
        <v>650</v>
      </c>
      <c r="E928" s="12" t="s">
        <v>1072</v>
      </c>
      <c r="F928" s="12" t="s">
        <v>651</v>
      </c>
      <c r="G928" s="13">
        <v>100</v>
      </c>
      <c r="H928" s="14">
        <v>100</v>
      </c>
      <c r="I928" s="15">
        <v>136.66999999999999</v>
      </c>
      <c r="J928" s="16"/>
      <c r="K928" s="17">
        <v>13667</v>
      </c>
      <c r="L928" s="18">
        <v>46208</v>
      </c>
      <c r="M928" s="6" t="str">
        <f t="shared" si="42"/>
        <v>Schedule order</v>
      </c>
      <c r="N928" s="8">
        <f t="shared" ca="1" si="43"/>
        <v>53</v>
      </c>
      <c r="O928" s="8" t="str">
        <f t="shared" ca="1" si="44"/>
        <v>Lattest or shedule order</v>
      </c>
      <c r="P928" t="str">
        <f>VLOOKUP(C928,[1]Customer_Master!$A:$B,2,0)</f>
        <v>Group 1-Giridhar-Peenya</v>
      </c>
      <c r="Q928" t="str">
        <f>VLOOKUP(D928,[2]Template!$A:$D,3,0)</f>
        <v>LAPP</v>
      </c>
      <c r="R928" t="str">
        <f>VLOOKUP(D928,[2]Template!$A:$D,4,0)</f>
        <v>Lapp-Planned Stock General</v>
      </c>
    </row>
    <row r="929" spans="1:18" ht="13.5" customHeight="1" x14ac:dyDescent="0.25">
      <c r="A929" s="9">
        <v>46142</v>
      </c>
      <c r="B929" s="10" t="s">
        <v>1492</v>
      </c>
      <c r="C929" s="11" t="s">
        <v>747</v>
      </c>
      <c r="D929" s="10" t="s">
        <v>354</v>
      </c>
      <c r="E929" s="12" t="s">
        <v>1072</v>
      </c>
      <c r="F929" s="12" t="s">
        <v>134</v>
      </c>
      <c r="G929" s="13">
        <v>400</v>
      </c>
      <c r="H929" s="14">
        <v>400</v>
      </c>
      <c r="I929" s="15">
        <v>141.28</v>
      </c>
      <c r="J929" s="16"/>
      <c r="K929" s="17">
        <v>56512</v>
      </c>
      <c r="L929" s="18">
        <v>46208</v>
      </c>
      <c r="M929" s="6" t="str">
        <f t="shared" si="42"/>
        <v>Schedule order</v>
      </c>
      <c r="N929" s="8">
        <f t="shared" ca="1" si="43"/>
        <v>53</v>
      </c>
      <c r="O929" s="8" t="str">
        <f t="shared" ca="1" si="44"/>
        <v>Lattest or shedule order</v>
      </c>
      <c r="P929" t="str">
        <f>VLOOKUP(C929,[1]Customer_Master!$A:$B,2,0)</f>
        <v>Group 1-Giridhar-Peenya</v>
      </c>
      <c r="Q929" t="str">
        <f>VLOOKUP(D929,[2]Template!$A:$D,3,0)</f>
        <v>LAPP</v>
      </c>
      <c r="R929" t="str">
        <f>VLOOKUP(D929,[2]Template!$A:$D,4,0)</f>
        <v>Lapp-Planned Stock General</v>
      </c>
    </row>
    <row r="930" spans="1:18" ht="13.5" customHeight="1" x14ac:dyDescent="0.25">
      <c r="A930" s="9">
        <v>46142</v>
      </c>
      <c r="B930" s="10" t="s">
        <v>1492</v>
      </c>
      <c r="C930" s="11" t="s">
        <v>747</v>
      </c>
      <c r="D930" s="10" t="s">
        <v>404</v>
      </c>
      <c r="E930" s="12" t="s">
        <v>1072</v>
      </c>
      <c r="F930" s="12" t="s">
        <v>33</v>
      </c>
      <c r="G930" s="13">
        <v>100</v>
      </c>
      <c r="H930" s="14">
        <v>100</v>
      </c>
      <c r="I930" s="15">
        <v>195.15</v>
      </c>
      <c r="J930" s="16"/>
      <c r="K930" s="17">
        <v>19515</v>
      </c>
      <c r="L930" s="18">
        <v>46208</v>
      </c>
      <c r="M930" s="6" t="str">
        <f t="shared" si="42"/>
        <v>Schedule order</v>
      </c>
      <c r="N930" s="8">
        <f t="shared" ca="1" si="43"/>
        <v>53</v>
      </c>
      <c r="O930" s="8" t="str">
        <f t="shared" ca="1" si="44"/>
        <v>Lattest or shedule order</v>
      </c>
      <c r="P930" t="str">
        <f>VLOOKUP(C930,[1]Customer_Master!$A:$B,2,0)</f>
        <v>Group 1-Giridhar-Peenya</v>
      </c>
      <c r="Q930" t="str">
        <f>VLOOKUP(D930,[2]Template!$A:$D,3,0)</f>
        <v>LAPP</v>
      </c>
      <c r="R930" t="str">
        <f>VLOOKUP(D930,[2]Template!$A:$D,4,0)</f>
        <v>Lapp-Ace Group</v>
      </c>
    </row>
    <row r="931" spans="1:18" ht="13.5" customHeight="1" x14ac:dyDescent="0.25">
      <c r="A931" s="9">
        <v>46142</v>
      </c>
      <c r="B931" s="10" t="s">
        <v>1493</v>
      </c>
      <c r="C931" s="11" t="s">
        <v>747</v>
      </c>
      <c r="D931" s="10" t="s">
        <v>317</v>
      </c>
      <c r="E931" s="12" t="s">
        <v>1072</v>
      </c>
      <c r="F931" s="12" t="s">
        <v>71</v>
      </c>
      <c r="G931" s="13">
        <v>6000</v>
      </c>
      <c r="H931" s="14">
        <v>6000</v>
      </c>
      <c r="I931" s="15">
        <v>7.87</v>
      </c>
      <c r="J931" s="16"/>
      <c r="K931" s="17">
        <v>47220</v>
      </c>
      <c r="L931" s="18">
        <v>46220</v>
      </c>
      <c r="M931" s="6" t="str">
        <f t="shared" si="42"/>
        <v>Schedule order</v>
      </c>
      <c r="N931" s="8">
        <f t="shared" ca="1" si="43"/>
        <v>65</v>
      </c>
      <c r="O931" s="8" t="str">
        <f t="shared" ca="1" si="44"/>
        <v>Lattest or shedule order</v>
      </c>
      <c r="P931" t="str">
        <f>VLOOKUP(C931,[1]Customer_Master!$A:$B,2,0)</f>
        <v>Group 1-Giridhar-Peenya</v>
      </c>
      <c r="Q931" t="str">
        <f>VLOOKUP(D931,[2]Template!$A:$D,3,0)</f>
        <v>LAPP</v>
      </c>
      <c r="R931" t="str">
        <f>VLOOKUP(D931,[2]Template!$A:$D,4,0)</f>
        <v>Lapp-Planned Stock General</v>
      </c>
    </row>
    <row r="932" spans="1:18" ht="13.5" customHeight="1" x14ac:dyDescent="0.25">
      <c r="A932" s="9">
        <v>46142</v>
      </c>
      <c r="B932" s="10" t="s">
        <v>1493</v>
      </c>
      <c r="C932" s="11" t="s">
        <v>747</v>
      </c>
      <c r="D932" s="10" t="s">
        <v>648</v>
      </c>
      <c r="E932" s="12" t="s">
        <v>1072</v>
      </c>
      <c r="F932" s="12" t="s">
        <v>649</v>
      </c>
      <c r="G932" s="13">
        <v>8000</v>
      </c>
      <c r="H932" s="14">
        <v>8000</v>
      </c>
      <c r="I932" s="15">
        <v>10.95</v>
      </c>
      <c r="J932" s="16"/>
      <c r="K932" s="17">
        <v>87600</v>
      </c>
      <c r="L932" s="18">
        <v>46220</v>
      </c>
      <c r="M932" s="6" t="str">
        <f t="shared" si="42"/>
        <v>Schedule order</v>
      </c>
      <c r="N932" s="8">
        <f t="shared" ca="1" si="43"/>
        <v>65</v>
      </c>
      <c r="O932" s="8" t="str">
        <f t="shared" ca="1" si="44"/>
        <v>Lattest or shedule order</v>
      </c>
      <c r="P932" t="str">
        <f>VLOOKUP(C932,[1]Customer_Master!$A:$B,2,0)</f>
        <v>Group 1-Giridhar-Peenya</v>
      </c>
      <c r="Q932" t="str">
        <f>VLOOKUP(D932,[2]Template!$A:$D,3,0)</f>
        <v>LAPP</v>
      </c>
      <c r="R932" t="str">
        <f>VLOOKUP(D932,[2]Template!$A:$D,4,0)</f>
        <v>Lapp-Planned Stock General</v>
      </c>
    </row>
    <row r="933" spans="1:18" ht="13.5" customHeight="1" x14ac:dyDescent="0.25">
      <c r="A933" s="9">
        <v>46142</v>
      </c>
      <c r="B933" s="10" t="s">
        <v>1493</v>
      </c>
      <c r="C933" s="11" t="s">
        <v>747</v>
      </c>
      <c r="D933" s="10" t="s">
        <v>652</v>
      </c>
      <c r="E933" s="12" t="s">
        <v>1072</v>
      </c>
      <c r="F933" s="12" t="s">
        <v>653</v>
      </c>
      <c r="G933" s="13">
        <v>1000</v>
      </c>
      <c r="H933" s="14">
        <v>1000</v>
      </c>
      <c r="I933" s="15">
        <v>54.04</v>
      </c>
      <c r="J933" s="16"/>
      <c r="K933" s="17">
        <v>54040</v>
      </c>
      <c r="L933" s="18">
        <v>46220</v>
      </c>
      <c r="M933" s="6" t="str">
        <f t="shared" si="42"/>
        <v>Schedule order</v>
      </c>
      <c r="N933" s="8">
        <f t="shared" ca="1" si="43"/>
        <v>65</v>
      </c>
      <c r="O933" s="8" t="str">
        <f t="shared" ca="1" si="44"/>
        <v>Lattest or shedule order</v>
      </c>
      <c r="P933" t="str">
        <f>VLOOKUP(C933,[1]Customer_Master!$A:$B,2,0)</f>
        <v>Group 1-Giridhar-Peenya</v>
      </c>
      <c r="Q933" t="str">
        <f>VLOOKUP(D933,[2]Template!$A:$D,3,0)</f>
        <v>LAPP</v>
      </c>
      <c r="R933" t="str">
        <f>VLOOKUP(D933,[2]Template!$A:$D,4,0)</f>
        <v>Lapp-Planned Stock General</v>
      </c>
    </row>
    <row r="934" spans="1:18" ht="13.5" customHeight="1" x14ac:dyDescent="0.25">
      <c r="A934" s="9">
        <v>46142</v>
      </c>
      <c r="B934" s="10" t="s">
        <v>1493</v>
      </c>
      <c r="C934" s="11" t="s">
        <v>747</v>
      </c>
      <c r="D934" s="10" t="s">
        <v>360</v>
      </c>
      <c r="E934" s="12" t="s">
        <v>1072</v>
      </c>
      <c r="F934" s="12" t="s">
        <v>141</v>
      </c>
      <c r="G934" s="13">
        <v>700</v>
      </c>
      <c r="H934" s="14">
        <v>700</v>
      </c>
      <c r="I934" s="15">
        <v>81.900000000000006</v>
      </c>
      <c r="J934" s="16"/>
      <c r="K934" s="17">
        <v>57330</v>
      </c>
      <c r="L934" s="18">
        <v>46220</v>
      </c>
      <c r="M934" s="6" t="str">
        <f t="shared" si="42"/>
        <v>Schedule order</v>
      </c>
      <c r="N934" s="8">
        <f t="shared" ca="1" si="43"/>
        <v>65</v>
      </c>
      <c r="O934" s="8" t="str">
        <f t="shared" ca="1" si="44"/>
        <v>Lattest or shedule order</v>
      </c>
      <c r="P934" t="str">
        <f>VLOOKUP(C934,[1]Customer_Master!$A:$B,2,0)</f>
        <v>Group 1-Giridhar-Peenya</v>
      </c>
      <c r="Q934" t="str">
        <f>VLOOKUP(D934,[2]Template!$A:$D,3,0)</f>
        <v>LAPP</v>
      </c>
      <c r="R934" t="str">
        <f>VLOOKUP(D934,[2]Template!$A:$D,4,0)</f>
        <v>Lapp-Planned Stock General</v>
      </c>
    </row>
    <row r="935" spans="1:18" ht="13.5" customHeight="1" x14ac:dyDescent="0.25">
      <c r="A935" s="9">
        <v>46142</v>
      </c>
      <c r="B935" s="10" t="s">
        <v>1493</v>
      </c>
      <c r="C935" s="11" t="s">
        <v>747</v>
      </c>
      <c r="D935" s="10" t="s">
        <v>654</v>
      </c>
      <c r="E935" s="12" t="s">
        <v>1072</v>
      </c>
      <c r="F935" s="12" t="s">
        <v>655</v>
      </c>
      <c r="G935" s="13">
        <v>7000</v>
      </c>
      <c r="H935" s="14">
        <v>7000</v>
      </c>
      <c r="I935" s="15">
        <v>28.51</v>
      </c>
      <c r="J935" s="16"/>
      <c r="K935" s="17">
        <v>199570</v>
      </c>
      <c r="L935" s="18">
        <v>46220</v>
      </c>
      <c r="M935" s="6" t="str">
        <f t="shared" si="42"/>
        <v>Schedule order</v>
      </c>
      <c r="N935" s="8">
        <f t="shared" ca="1" si="43"/>
        <v>65</v>
      </c>
      <c r="O935" s="8" t="str">
        <f t="shared" ca="1" si="44"/>
        <v>Lattest or shedule order</v>
      </c>
      <c r="P935" t="str">
        <f>VLOOKUP(C935,[1]Customer_Master!$A:$B,2,0)</f>
        <v>Group 1-Giridhar-Peenya</v>
      </c>
      <c r="Q935" t="str">
        <f>VLOOKUP(D935,[2]Template!$A:$D,3,0)</f>
        <v>LAPP</v>
      </c>
      <c r="R935" t="str">
        <f>VLOOKUP(D935,[2]Template!$A:$D,4,0)</f>
        <v>Lapp-Ace Group</v>
      </c>
    </row>
    <row r="936" spans="1:18" ht="13.5" customHeight="1" x14ac:dyDescent="0.25">
      <c r="A936" s="9">
        <v>46142</v>
      </c>
      <c r="B936" s="10" t="s">
        <v>1493</v>
      </c>
      <c r="C936" s="11" t="s">
        <v>747</v>
      </c>
      <c r="D936" s="10" t="s">
        <v>656</v>
      </c>
      <c r="E936" s="12" t="s">
        <v>1072</v>
      </c>
      <c r="F936" s="12" t="s">
        <v>657</v>
      </c>
      <c r="G936" s="13">
        <v>1000</v>
      </c>
      <c r="H936" s="14">
        <v>1000</v>
      </c>
      <c r="I936" s="15">
        <v>29.75</v>
      </c>
      <c r="J936" s="16"/>
      <c r="K936" s="17">
        <v>29750</v>
      </c>
      <c r="L936" s="18">
        <v>46220</v>
      </c>
      <c r="M936" s="6" t="str">
        <f t="shared" si="42"/>
        <v>Schedule order</v>
      </c>
      <c r="N936" s="8">
        <f t="shared" ca="1" si="43"/>
        <v>65</v>
      </c>
      <c r="O936" s="8" t="str">
        <f t="shared" ca="1" si="44"/>
        <v>Lattest or shedule order</v>
      </c>
      <c r="P936" t="str">
        <f>VLOOKUP(C936,[1]Customer_Master!$A:$B,2,0)</f>
        <v>Group 1-Giridhar-Peenya</v>
      </c>
      <c r="Q936" t="str">
        <f>VLOOKUP(D936,[2]Template!$A:$D,3,0)</f>
        <v>LAPP</v>
      </c>
      <c r="R936" t="str">
        <f>VLOOKUP(D936,[2]Template!$A:$D,4,0)</f>
        <v>Lapp-Ace Group</v>
      </c>
    </row>
    <row r="937" spans="1:18" ht="13.5" customHeight="1" x14ac:dyDescent="0.25">
      <c r="A937" s="9">
        <v>46142</v>
      </c>
      <c r="B937" s="10" t="s">
        <v>1493</v>
      </c>
      <c r="C937" s="11" t="s">
        <v>747</v>
      </c>
      <c r="D937" s="10" t="s">
        <v>782</v>
      </c>
      <c r="E937" s="12" t="s">
        <v>1072</v>
      </c>
      <c r="F937" s="12" t="s">
        <v>783</v>
      </c>
      <c r="G937" s="13">
        <v>500</v>
      </c>
      <c r="H937" s="14">
        <v>500</v>
      </c>
      <c r="I937" s="15">
        <v>38.700000000000003</v>
      </c>
      <c r="J937" s="16"/>
      <c r="K937" s="17">
        <v>19350</v>
      </c>
      <c r="L937" s="18">
        <v>46220</v>
      </c>
      <c r="M937" s="6" t="str">
        <f t="shared" si="42"/>
        <v>Schedule order</v>
      </c>
      <c r="N937" s="8">
        <f t="shared" ca="1" si="43"/>
        <v>65</v>
      </c>
      <c r="O937" s="8" t="str">
        <f t="shared" ca="1" si="44"/>
        <v>Lattest or shedule order</v>
      </c>
      <c r="P937" t="str">
        <f>VLOOKUP(C937,[1]Customer_Master!$A:$B,2,0)</f>
        <v>Group 1-Giridhar-Peenya</v>
      </c>
      <c r="Q937" t="str">
        <f>VLOOKUP(D937,[2]Template!$A:$D,3,0)</f>
        <v>LAPP</v>
      </c>
      <c r="R937" t="str">
        <f>VLOOKUP(D937,[2]Template!$A:$D,4,0)</f>
        <v>Lapp-Ace Group</v>
      </c>
    </row>
    <row r="938" spans="1:18" ht="13.5" customHeight="1" x14ac:dyDescent="0.25">
      <c r="A938" s="9">
        <v>46142</v>
      </c>
      <c r="B938" s="10" t="s">
        <v>1493</v>
      </c>
      <c r="C938" s="11" t="s">
        <v>747</v>
      </c>
      <c r="D938" s="10" t="s">
        <v>702</v>
      </c>
      <c r="E938" s="12" t="s">
        <v>1072</v>
      </c>
      <c r="F938" s="12" t="s">
        <v>703</v>
      </c>
      <c r="G938" s="13">
        <v>5000</v>
      </c>
      <c r="H938" s="14">
        <v>5000</v>
      </c>
      <c r="I938" s="15">
        <v>10.95</v>
      </c>
      <c r="J938" s="16"/>
      <c r="K938" s="17">
        <v>54750</v>
      </c>
      <c r="L938" s="18">
        <v>46220</v>
      </c>
      <c r="M938" s="6" t="str">
        <f t="shared" si="42"/>
        <v>Schedule order</v>
      </c>
      <c r="N938" s="8">
        <f t="shared" ca="1" si="43"/>
        <v>65</v>
      </c>
      <c r="O938" s="8" t="str">
        <f t="shared" ca="1" si="44"/>
        <v>Lattest or shedule order</v>
      </c>
      <c r="P938" t="str">
        <f>VLOOKUP(C938,[1]Customer_Master!$A:$B,2,0)</f>
        <v>Group 1-Giridhar-Peenya</v>
      </c>
      <c r="Q938" t="str">
        <f>VLOOKUP(D938,[2]Template!$A:$D,3,0)</f>
        <v>LAPP</v>
      </c>
      <c r="R938" t="str">
        <f>VLOOKUP(D938,[2]Template!$A:$D,4,0)</f>
        <v>Lapp-Planned Stock General</v>
      </c>
    </row>
    <row r="939" spans="1:18" ht="13.5" customHeight="1" x14ac:dyDescent="0.25">
      <c r="A939" s="9">
        <v>46142</v>
      </c>
      <c r="B939" s="10" t="s">
        <v>1493</v>
      </c>
      <c r="C939" s="11" t="s">
        <v>747</v>
      </c>
      <c r="D939" s="10" t="s">
        <v>658</v>
      </c>
      <c r="E939" s="12" t="s">
        <v>1072</v>
      </c>
      <c r="F939" s="12" t="s">
        <v>659</v>
      </c>
      <c r="G939" s="13">
        <v>500</v>
      </c>
      <c r="H939" s="14">
        <v>500</v>
      </c>
      <c r="I939" s="15">
        <v>52.23</v>
      </c>
      <c r="J939" s="16"/>
      <c r="K939" s="17">
        <v>26115</v>
      </c>
      <c r="L939" s="18">
        <v>46220</v>
      </c>
      <c r="M939" s="6" t="str">
        <f t="shared" si="42"/>
        <v>Schedule order</v>
      </c>
      <c r="N939" s="8">
        <f t="shared" ca="1" si="43"/>
        <v>65</v>
      </c>
      <c r="O939" s="8" t="str">
        <f t="shared" ca="1" si="44"/>
        <v>Lattest or shedule order</v>
      </c>
      <c r="P939" t="str">
        <f>VLOOKUP(C939,[1]Customer_Master!$A:$B,2,0)</f>
        <v>Group 1-Giridhar-Peenya</v>
      </c>
      <c r="Q939" t="str">
        <f>VLOOKUP(D939,[2]Template!$A:$D,3,0)</f>
        <v>LAPP</v>
      </c>
      <c r="R939" t="str">
        <f>VLOOKUP(D939,[2]Template!$A:$D,4,0)</f>
        <v>Lapp-Ace Group</v>
      </c>
    </row>
    <row r="940" spans="1:18" ht="13.5" customHeight="1" x14ac:dyDescent="0.25">
      <c r="A940" s="9">
        <v>46142</v>
      </c>
      <c r="B940" s="10" t="s">
        <v>1493</v>
      </c>
      <c r="C940" s="11" t="s">
        <v>747</v>
      </c>
      <c r="D940" s="10" t="s">
        <v>785</v>
      </c>
      <c r="E940" s="12" t="s">
        <v>1072</v>
      </c>
      <c r="F940" s="12" t="s">
        <v>786</v>
      </c>
      <c r="G940" s="13">
        <v>500</v>
      </c>
      <c r="H940" s="14">
        <v>500</v>
      </c>
      <c r="I940" s="15">
        <v>71.02</v>
      </c>
      <c r="J940" s="16"/>
      <c r="K940" s="17">
        <v>35510</v>
      </c>
      <c r="L940" s="18">
        <v>46220</v>
      </c>
      <c r="M940" s="6" t="str">
        <f t="shared" si="42"/>
        <v>Schedule order</v>
      </c>
      <c r="N940" s="8">
        <f t="shared" ca="1" si="43"/>
        <v>65</v>
      </c>
      <c r="O940" s="8" t="str">
        <f t="shared" ca="1" si="44"/>
        <v>Lattest or shedule order</v>
      </c>
      <c r="P940" t="str">
        <f>VLOOKUP(C940,[1]Customer_Master!$A:$B,2,0)</f>
        <v>Group 1-Giridhar-Peenya</v>
      </c>
      <c r="Q940" t="str">
        <f>VLOOKUP(D940,[2]Template!$A:$D,3,0)</f>
        <v>LAPP</v>
      </c>
      <c r="R940" t="str">
        <f>VLOOKUP(D940,[2]Template!$A:$D,4,0)</f>
        <v>Lapp-Ace Group</v>
      </c>
    </row>
    <row r="941" spans="1:18" ht="13.5" customHeight="1" x14ac:dyDescent="0.25">
      <c r="A941" s="9">
        <v>46142</v>
      </c>
      <c r="B941" s="10" t="s">
        <v>1493</v>
      </c>
      <c r="C941" s="11" t="s">
        <v>747</v>
      </c>
      <c r="D941" s="10" t="s">
        <v>342</v>
      </c>
      <c r="E941" s="12" t="s">
        <v>1072</v>
      </c>
      <c r="F941" s="12" t="s">
        <v>125</v>
      </c>
      <c r="G941" s="13">
        <v>2000</v>
      </c>
      <c r="H941" s="14">
        <v>2000</v>
      </c>
      <c r="I941" s="15">
        <v>81.900000000000006</v>
      </c>
      <c r="J941" s="16"/>
      <c r="K941" s="17">
        <v>163800</v>
      </c>
      <c r="L941" s="18">
        <v>46220</v>
      </c>
      <c r="M941" s="6" t="str">
        <f t="shared" si="42"/>
        <v>Schedule order</v>
      </c>
      <c r="N941" s="8">
        <f t="shared" ca="1" si="43"/>
        <v>65</v>
      </c>
      <c r="O941" s="8" t="str">
        <f t="shared" ca="1" si="44"/>
        <v>Lattest or shedule order</v>
      </c>
      <c r="P941" t="str">
        <f>VLOOKUP(C941,[1]Customer_Master!$A:$B,2,0)</f>
        <v>Group 1-Giridhar-Peenya</v>
      </c>
      <c r="Q941" t="str">
        <f>VLOOKUP(D941,[2]Template!$A:$D,3,0)</f>
        <v>LAPP</v>
      </c>
      <c r="R941" t="str">
        <f>VLOOKUP(D941,[2]Template!$A:$D,4,0)</f>
        <v>Lapp-Planned Stock General</v>
      </c>
    </row>
    <row r="942" spans="1:18" ht="13.5" customHeight="1" x14ac:dyDescent="0.25">
      <c r="A942" s="9">
        <v>46142</v>
      </c>
      <c r="B942" s="10" t="s">
        <v>1493</v>
      </c>
      <c r="C942" s="11" t="s">
        <v>747</v>
      </c>
      <c r="D942" s="10" t="s">
        <v>512</v>
      </c>
      <c r="E942" s="12" t="s">
        <v>1072</v>
      </c>
      <c r="F942" s="12" t="s">
        <v>513</v>
      </c>
      <c r="G942" s="13">
        <v>1500</v>
      </c>
      <c r="H942" s="14">
        <v>1500</v>
      </c>
      <c r="I942" s="15">
        <v>58.69</v>
      </c>
      <c r="J942" s="16"/>
      <c r="K942" s="17">
        <v>88035</v>
      </c>
      <c r="L942" s="18">
        <v>46220</v>
      </c>
      <c r="M942" s="6" t="str">
        <f t="shared" si="42"/>
        <v>Schedule order</v>
      </c>
      <c r="N942" s="8">
        <f t="shared" ca="1" si="43"/>
        <v>65</v>
      </c>
      <c r="O942" s="8" t="str">
        <f t="shared" ca="1" si="44"/>
        <v>Lattest or shedule order</v>
      </c>
      <c r="P942" t="str">
        <f>VLOOKUP(C942,[1]Customer_Master!$A:$B,2,0)</f>
        <v>Group 1-Giridhar-Peenya</v>
      </c>
      <c r="Q942" t="str">
        <f>VLOOKUP(D942,[2]Template!$A:$D,3,0)</f>
        <v>LAPP</v>
      </c>
      <c r="R942" t="str">
        <f>VLOOKUP(D942,[2]Template!$A:$D,4,0)</f>
        <v>Lapp-Ace Group</v>
      </c>
    </row>
    <row r="943" spans="1:18" ht="13.5" customHeight="1" x14ac:dyDescent="0.25">
      <c r="A943" s="9">
        <v>46142</v>
      </c>
      <c r="B943" s="10" t="s">
        <v>1493</v>
      </c>
      <c r="C943" s="11" t="s">
        <v>747</v>
      </c>
      <c r="D943" s="10" t="s">
        <v>316</v>
      </c>
      <c r="E943" s="12" t="s">
        <v>1072</v>
      </c>
      <c r="F943" s="12" t="s">
        <v>32</v>
      </c>
      <c r="G943" s="13">
        <v>200</v>
      </c>
      <c r="H943" s="14">
        <v>200</v>
      </c>
      <c r="I943" s="15">
        <v>91.46</v>
      </c>
      <c r="J943" s="16"/>
      <c r="K943" s="17">
        <v>18292</v>
      </c>
      <c r="L943" s="18">
        <v>46220</v>
      </c>
      <c r="M943" s="6" t="str">
        <f t="shared" si="42"/>
        <v>Schedule order</v>
      </c>
      <c r="N943" s="8">
        <f t="shared" ca="1" si="43"/>
        <v>65</v>
      </c>
      <c r="O943" s="8" t="str">
        <f t="shared" ca="1" si="44"/>
        <v>Lattest or shedule order</v>
      </c>
      <c r="P943" t="str">
        <f>VLOOKUP(C943,[1]Customer_Master!$A:$B,2,0)</f>
        <v>Group 1-Giridhar-Peenya</v>
      </c>
      <c r="Q943" t="str">
        <f>VLOOKUP(D943,[2]Template!$A:$D,3,0)</f>
        <v>LAPP</v>
      </c>
      <c r="R943" t="str">
        <f>VLOOKUP(D943,[2]Template!$A:$D,4,0)</f>
        <v>Lapp-Ace Group</v>
      </c>
    </row>
    <row r="944" spans="1:18" ht="13.5" customHeight="1" x14ac:dyDescent="0.25">
      <c r="A944" s="9">
        <v>46142</v>
      </c>
      <c r="B944" s="10" t="s">
        <v>1493</v>
      </c>
      <c r="C944" s="11" t="s">
        <v>747</v>
      </c>
      <c r="D944" s="10" t="s">
        <v>334</v>
      </c>
      <c r="E944" s="12" t="s">
        <v>1072</v>
      </c>
      <c r="F944" s="12" t="s">
        <v>87</v>
      </c>
      <c r="G944" s="13">
        <v>200</v>
      </c>
      <c r="H944" s="14">
        <v>200</v>
      </c>
      <c r="I944" s="15">
        <v>33.590000000000003</v>
      </c>
      <c r="J944" s="16"/>
      <c r="K944" s="17">
        <v>6718</v>
      </c>
      <c r="L944" s="18">
        <v>46220</v>
      </c>
      <c r="M944" s="6" t="str">
        <f t="shared" si="42"/>
        <v>Schedule order</v>
      </c>
      <c r="N944" s="8">
        <f t="shared" ca="1" si="43"/>
        <v>65</v>
      </c>
      <c r="O944" s="8" t="str">
        <f t="shared" ca="1" si="44"/>
        <v>Lattest or shedule order</v>
      </c>
      <c r="P944" t="str">
        <f>VLOOKUP(C944,[1]Customer_Master!$A:$B,2,0)</f>
        <v>Group 1-Giridhar-Peenya</v>
      </c>
      <c r="Q944" t="str">
        <f>VLOOKUP(D944,[2]Template!$A:$D,3,0)</f>
        <v>LAPP</v>
      </c>
      <c r="R944" t="str">
        <f>VLOOKUP(D944,[2]Template!$A:$D,4,0)</f>
        <v>Lapp-Planned Stock General</v>
      </c>
    </row>
    <row r="945" spans="1:18" ht="13.5" customHeight="1" x14ac:dyDescent="0.25">
      <c r="A945" s="9">
        <v>46142</v>
      </c>
      <c r="B945" s="10" t="s">
        <v>1493</v>
      </c>
      <c r="C945" s="11" t="s">
        <v>747</v>
      </c>
      <c r="D945" s="10" t="s">
        <v>357</v>
      </c>
      <c r="E945" s="12" t="s">
        <v>1072</v>
      </c>
      <c r="F945" s="12" t="s">
        <v>53</v>
      </c>
      <c r="G945" s="13">
        <v>300</v>
      </c>
      <c r="H945" s="14">
        <v>300</v>
      </c>
      <c r="I945" s="15">
        <v>20.46</v>
      </c>
      <c r="J945" s="16"/>
      <c r="K945" s="17">
        <v>6138</v>
      </c>
      <c r="L945" s="18">
        <v>46220</v>
      </c>
      <c r="M945" s="6" t="str">
        <f t="shared" si="42"/>
        <v>Schedule order</v>
      </c>
      <c r="N945" s="8">
        <f t="shared" ca="1" si="43"/>
        <v>65</v>
      </c>
      <c r="O945" s="8" t="str">
        <f t="shared" ca="1" si="44"/>
        <v>Lattest or shedule order</v>
      </c>
      <c r="P945" t="str">
        <f>VLOOKUP(C945,[1]Customer_Master!$A:$B,2,0)</f>
        <v>Group 1-Giridhar-Peenya</v>
      </c>
      <c r="Q945" t="str">
        <f>VLOOKUP(D945,[2]Template!$A:$D,3,0)</f>
        <v>LAPP</v>
      </c>
      <c r="R945" t="str">
        <f>VLOOKUP(D945,[2]Template!$A:$D,4,0)</f>
        <v>Lapp-Planned Stock General</v>
      </c>
    </row>
    <row r="946" spans="1:18" ht="13.5" customHeight="1" x14ac:dyDescent="0.25">
      <c r="A946" s="9">
        <v>46142</v>
      </c>
      <c r="B946" s="10" t="s">
        <v>1493</v>
      </c>
      <c r="C946" s="11" t="s">
        <v>747</v>
      </c>
      <c r="D946" s="10" t="s">
        <v>356</v>
      </c>
      <c r="E946" s="12" t="s">
        <v>1072</v>
      </c>
      <c r="F946" s="12" t="s">
        <v>136</v>
      </c>
      <c r="G946" s="13">
        <v>1000</v>
      </c>
      <c r="H946" s="14">
        <v>1000</v>
      </c>
      <c r="I946" s="15">
        <v>33.68</v>
      </c>
      <c r="J946" s="16"/>
      <c r="K946" s="17">
        <v>33680</v>
      </c>
      <c r="L946" s="18">
        <v>46220</v>
      </c>
      <c r="M946" s="6" t="str">
        <f t="shared" si="42"/>
        <v>Schedule order</v>
      </c>
      <c r="N946" s="8">
        <f t="shared" ca="1" si="43"/>
        <v>65</v>
      </c>
      <c r="O946" s="8" t="str">
        <f t="shared" ca="1" si="44"/>
        <v>Lattest or shedule order</v>
      </c>
      <c r="P946" t="str">
        <f>VLOOKUP(C946,[1]Customer_Master!$A:$B,2,0)</f>
        <v>Group 1-Giridhar-Peenya</v>
      </c>
      <c r="Q946" t="str">
        <f>VLOOKUP(D946,[2]Template!$A:$D,3,0)</f>
        <v>LAPP</v>
      </c>
      <c r="R946" t="str">
        <f>VLOOKUP(D946,[2]Template!$A:$D,4,0)</f>
        <v>Lapp-Planned Stock General</v>
      </c>
    </row>
    <row r="947" spans="1:18" ht="13.5" customHeight="1" x14ac:dyDescent="0.25">
      <c r="A947" s="9">
        <v>46142</v>
      </c>
      <c r="B947" s="10" t="s">
        <v>1493</v>
      </c>
      <c r="C947" s="11" t="s">
        <v>747</v>
      </c>
      <c r="D947" s="10" t="s">
        <v>650</v>
      </c>
      <c r="E947" s="12" t="s">
        <v>1072</v>
      </c>
      <c r="F947" s="12" t="s">
        <v>651</v>
      </c>
      <c r="G947" s="13">
        <v>100</v>
      </c>
      <c r="H947" s="14">
        <v>100</v>
      </c>
      <c r="I947" s="15">
        <v>136.66999999999999</v>
      </c>
      <c r="J947" s="16"/>
      <c r="K947" s="17">
        <v>13667</v>
      </c>
      <c r="L947" s="18">
        <v>46220</v>
      </c>
      <c r="M947" s="6" t="str">
        <f t="shared" si="42"/>
        <v>Schedule order</v>
      </c>
      <c r="N947" s="8">
        <f t="shared" ca="1" si="43"/>
        <v>65</v>
      </c>
      <c r="O947" s="8" t="str">
        <f t="shared" ca="1" si="44"/>
        <v>Lattest or shedule order</v>
      </c>
      <c r="P947" t="str">
        <f>VLOOKUP(C947,[1]Customer_Master!$A:$B,2,0)</f>
        <v>Group 1-Giridhar-Peenya</v>
      </c>
      <c r="Q947" t="str">
        <f>VLOOKUP(D947,[2]Template!$A:$D,3,0)</f>
        <v>LAPP</v>
      </c>
      <c r="R947" t="str">
        <f>VLOOKUP(D947,[2]Template!$A:$D,4,0)</f>
        <v>Lapp-Planned Stock General</v>
      </c>
    </row>
    <row r="948" spans="1:18" ht="13.5" customHeight="1" x14ac:dyDescent="0.25">
      <c r="A948" s="9">
        <v>46142</v>
      </c>
      <c r="B948" s="10" t="s">
        <v>1493</v>
      </c>
      <c r="C948" s="11" t="s">
        <v>747</v>
      </c>
      <c r="D948" s="10" t="s">
        <v>354</v>
      </c>
      <c r="E948" s="12" t="s">
        <v>1072</v>
      </c>
      <c r="F948" s="12" t="s">
        <v>134</v>
      </c>
      <c r="G948" s="13">
        <v>400</v>
      </c>
      <c r="H948" s="14">
        <v>400</v>
      </c>
      <c r="I948" s="15">
        <v>141.28</v>
      </c>
      <c r="J948" s="16"/>
      <c r="K948" s="17">
        <v>56512</v>
      </c>
      <c r="L948" s="18">
        <v>46220</v>
      </c>
      <c r="M948" s="6" t="str">
        <f t="shared" si="42"/>
        <v>Schedule order</v>
      </c>
      <c r="N948" s="8">
        <f t="shared" ca="1" si="43"/>
        <v>65</v>
      </c>
      <c r="O948" s="8" t="str">
        <f t="shared" ca="1" si="44"/>
        <v>Lattest or shedule order</v>
      </c>
      <c r="P948" t="str">
        <f>VLOOKUP(C948,[1]Customer_Master!$A:$B,2,0)</f>
        <v>Group 1-Giridhar-Peenya</v>
      </c>
      <c r="Q948" t="str">
        <f>VLOOKUP(D948,[2]Template!$A:$D,3,0)</f>
        <v>LAPP</v>
      </c>
      <c r="R948" t="str">
        <f>VLOOKUP(D948,[2]Template!$A:$D,4,0)</f>
        <v>Lapp-Planned Stock General</v>
      </c>
    </row>
    <row r="949" spans="1:18" ht="13.5" customHeight="1" x14ac:dyDescent="0.25">
      <c r="A949" s="9">
        <v>46142</v>
      </c>
      <c r="B949" s="10" t="s">
        <v>1493</v>
      </c>
      <c r="C949" s="11" t="s">
        <v>747</v>
      </c>
      <c r="D949" s="10" t="s">
        <v>333</v>
      </c>
      <c r="E949" s="12" t="s">
        <v>1072</v>
      </c>
      <c r="F949" s="12" t="s">
        <v>120</v>
      </c>
      <c r="G949" s="13">
        <v>1000</v>
      </c>
      <c r="H949" s="14">
        <v>1000</v>
      </c>
      <c r="I949" s="15">
        <v>41.4</v>
      </c>
      <c r="J949" s="16"/>
      <c r="K949" s="17">
        <v>41400</v>
      </c>
      <c r="L949" s="18">
        <v>46220</v>
      </c>
      <c r="M949" s="6" t="str">
        <f t="shared" si="42"/>
        <v>Schedule order</v>
      </c>
      <c r="N949" s="8">
        <f t="shared" ca="1" si="43"/>
        <v>65</v>
      </c>
      <c r="O949" s="8" t="str">
        <f t="shared" ca="1" si="44"/>
        <v>Lattest or shedule order</v>
      </c>
      <c r="P949" t="str">
        <f>VLOOKUP(C949,[1]Customer_Master!$A:$B,2,0)</f>
        <v>Group 1-Giridhar-Peenya</v>
      </c>
      <c r="Q949" t="str">
        <f>VLOOKUP(D949,[2]Template!$A:$D,3,0)</f>
        <v>LAPP</v>
      </c>
      <c r="R949" t="str">
        <f>VLOOKUP(D949,[2]Template!$A:$D,4,0)</f>
        <v>Lapp-Ace Group</v>
      </c>
    </row>
    <row r="950" spans="1:18" ht="13.5" customHeight="1" x14ac:dyDescent="0.25">
      <c r="A950" s="9">
        <v>46142</v>
      </c>
      <c r="B950" s="10" t="s">
        <v>1493</v>
      </c>
      <c r="C950" s="11" t="s">
        <v>747</v>
      </c>
      <c r="D950" s="10" t="s">
        <v>362</v>
      </c>
      <c r="E950" s="12" t="s">
        <v>1072</v>
      </c>
      <c r="F950" s="12" t="s">
        <v>145</v>
      </c>
      <c r="G950" s="13">
        <v>1500</v>
      </c>
      <c r="H950" s="14">
        <v>1500</v>
      </c>
      <c r="I950" s="15">
        <v>47.4</v>
      </c>
      <c r="J950" s="16"/>
      <c r="K950" s="17">
        <v>71100</v>
      </c>
      <c r="L950" s="18">
        <v>46220</v>
      </c>
      <c r="M950" s="6" t="str">
        <f t="shared" si="42"/>
        <v>Schedule order</v>
      </c>
      <c r="N950" s="8">
        <f t="shared" ca="1" si="43"/>
        <v>65</v>
      </c>
      <c r="O950" s="8" t="str">
        <f t="shared" ca="1" si="44"/>
        <v>Lattest or shedule order</v>
      </c>
      <c r="P950" t="str">
        <f>VLOOKUP(C950,[1]Customer_Master!$A:$B,2,0)</f>
        <v>Group 1-Giridhar-Peenya</v>
      </c>
      <c r="Q950" t="str">
        <f>VLOOKUP(D950,[2]Template!$A:$D,3,0)</f>
        <v>LAPP</v>
      </c>
      <c r="R950" t="str">
        <f>VLOOKUP(D950,[2]Template!$A:$D,4,0)</f>
        <v>Lapp-Ace Group</v>
      </c>
    </row>
    <row r="951" spans="1:18" ht="13.5" customHeight="1" x14ac:dyDescent="0.25">
      <c r="A951" s="9">
        <v>46142</v>
      </c>
      <c r="B951" s="10" t="s">
        <v>1494</v>
      </c>
      <c r="C951" s="11" t="s">
        <v>586</v>
      </c>
      <c r="D951" s="10" t="s">
        <v>558</v>
      </c>
      <c r="E951" s="12" t="s">
        <v>1072</v>
      </c>
      <c r="F951" s="12" t="s">
        <v>559</v>
      </c>
      <c r="G951" s="13">
        <v>200</v>
      </c>
      <c r="H951" s="14">
        <v>80</v>
      </c>
      <c r="I951" s="15">
        <v>29.73</v>
      </c>
      <c r="J951" s="16"/>
      <c r="K951" s="17">
        <v>2378.4</v>
      </c>
      <c r="L951" s="18">
        <v>46142</v>
      </c>
      <c r="M951" s="6" t="str">
        <f t="shared" si="42"/>
        <v>Schedule order</v>
      </c>
      <c r="N951" s="8">
        <f t="shared" ca="1" si="43"/>
        <v>-13</v>
      </c>
      <c r="O951" s="8" t="str">
        <f t="shared" ca="1" si="44"/>
        <v>With in 90 days</v>
      </c>
      <c r="P951" t="str">
        <f>VLOOKUP(C951,[1]Customer_Master!$A:$B,2,0)</f>
        <v>Group 1-Giridhar-Peenya</v>
      </c>
      <c r="Q951" t="str">
        <f>VLOOKUP(D951,[2]Template!$A:$D,3,0)</f>
        <v>LAPP</v>
      </c>
      <c r="R951" t="str">
        <f>VLOOKUP(D951,[2]Template!$A:$D,4,0)</f>
        <v>Lapp-Ace Group</v>
      </c>
    </row>
    <row r="952" spans="1:18" ht="13.5" customHeight="1" x14ac:dyDescent="0.25">
      <c r="A952" s="9">
        <v>46142</v>
      </c>
      <c r="B952" s="10" t="s">
        <v>1495</v>
      </c>
      <c r="C952" s="11" t="s">
        <v>617</v>
      </c>
      <c r="D952" s="27" t="s">
        <v>1496</v>
      </c>
      <c r="E952" s="12" t="s">
        <v>1072</v>
      </c>
      <c r="F952" s="12" t="s">
        <v>1497</v>
      </c>
      <c r="G952" s="13">
        <v>250</v>
      </c>
      <c r="H952" s="14">
        <v>250</v>
      </c>
      <c r="I952" s="15">
        <v>214.5</v>
      </c>
      <c r="J952" s="16"/>
      <c r="K952" s="17">
        <v>53625</v>
      </c>
      <c r="L952" s="18">
        <v>46142</v>
      </c>
      <c r="M952" s="6" t="str">
        <f t="shared" si="42"/>
        <v>Schedule order</v>
      </c>
      <c r="N952" s="8">
        <f t="shared" ca="1" si="43"/>
        <v>-13</v>
      </c>
      <c r="O952" s="8" t="str">
        <f t="shared" ca="1" si="44"/>
        <v>With in 90 days</v>
      </c>
      <c r="P952" t="str">
        <f>VLOOKUP(C952,[1]Customer_Master!$A:$B,2,0)</f>
        <v>Group 1-Giridhar-Peenya</v>
      </c>
      <c r="Q952" t="str">
        <f>VLOOKUP(D952,[2]Template!$A:$D,3,0)</f>
        <v>LAPP</v>
      </c>
      <c r="R952" t="str">
        <f>VLOOKUP(D952,[2]Template!$A:$D,4,0)</f>
        <v>Lapp-Non Moving Stocks</v>
      </c>
    </row>
    <row r="953" spans="1:18" ht="13.5" customHeight="1" x14ac:dyDescent="0.25">
      <c r="A953" s="9">
        <v>46142</v>
      </c>
      <c r="B953" s="10" t="s">
        <v>1498</v>
      </c>
      <c r="C953" s="11" t="s">
        <v>143</v>
      </c>
      <c r="D953" s="27" t="s">
        <v>405</v>
      </c>
      <c r="E953" s="12" t="s">
        <v>1072</v>
      </c>
      <c r="F953" s="12" t="s">
        <v>144</v>
      </c>
      <c r="G953" s="19">
        <v>200</v>
      </c>
      <c r="H953" s="20">
        <v>200</v>
      </c>
      <c r="I953" s="15">
        <v>281.24</v>
      </c>
      <c r="J953" s="16"/>
      <c r="K953" s="17">
        <v>56248</v>
      </c>
      <c r="L953" s="18">
        <v>46142</v>
      </c>
      <c r="M953" s="6" t="str">
        <f t="shared" si="42"/>
        <v>Schedule order</v>
      </c>
      <c r="N953" s="8">
        <f t="shared" ca="1" si="43"/>
        <v>-13</v>
      </c>
      <c r="O953" s="8" t="str">
        <f t="shared" ca="1" si="44"/>
        <v>With in 90 days</v>
      </c>
      <c r="P953" t="str">
        <f>VLOOKUP(C953,[1]Customer_Master!$A:$B,2,0)</f>
        <v>Group 1-Giridhar-Peenya</v>
      </c>
      <c r="Q953" t="str">
        <f>VLOOKUP(D953,[2]Template!$A:$D,3,0)</f>
        <v>LAPP</v>
      </c>
      <c r="R953" t="str">
        <f>VLOOKUP(D953,[2]Template!$A:$D,4,0)</f>
        <v>Lapp-Non Moving Stocks</v>
      </c>
    </row>
    <row r="954" spans="1:18" ht="13.5" customHeight="1" x14ac:dyDescent="0.25">
      <c r="A954" s="9">
        <v>46142</v>
      </c>
      <c r="B954" s="10" t="s">
        <v>1498</v>
      </c>
      <c r="C954" s="11" t="s">
        <v>143</v>
      </c>
      <c r="D954" s="10" t="s">
        <v>451</v>
      </c>
      <c r="E954" s="12" t="s">
        <v>1072</v>
      </c>
      <c r="F954" s="12" t="s">
        <v>138</v>
      </c>
      <c r="G954" s="13">
        <v>300</v>
      </c>
      <c r="H954" s="14">
        <v>300</v>
      </c>
      <c r="I954" s="15">
        <v>329.19</v>
      </c>
      <c r="J954" s="16"/>
      <c r="K954" s="17">
        <v>98757</v>
      </c>
      <c r="L954" s="18">
        <v>46142</v>
      </c>
      <c r="M954" s="6" t="str">
        <f t="shared" si="42"/>
        <v>Schedule order</v>
      </c>
      <c r="N954" s="8">
        <f t="shared" ca="1" si="43"/>
        <v>-13</v>
      </c>
      <c r="O954" s="8" t="str">
        <f t="shared" ca="1" si="44"/>
        <v>With in 90 days</v>
      </c>
      <c r="P954" t="str">
        <f>VLOOKUP(C954,[1]Customer_Master!$A:$B,2,0)</f>
        <v>Group 1-Giridhar-Peenya</v>
      </c>
      <c r="Q954" t="str">
        <f>VLOOKUP(D954,[2]Template!$A:$D,3,0)</f>
        <v>LAPP</v>
      </c>
      <c r="R954" t="str">
        <f>VLOOKUP(D954,[2]Template!$A:$D,4,0)</f>
        <v>Lapp-Ace Group</v>
      </c>
    </row>
    <row r="955" spans="1:18" ht="13.5" customHeight="1" x14ac:dyDescent="0.25">
      <c r="A955" s="9">
        <v>46142</v>
      </c>
      <c r="B955" s="10" t="s">
        <v>1499</v>
      </c>
      <c r="C955" s="11" t="s">
        <v>143</v>
      </c>
      <c r="D955" s="10" t="s">
        <v>317</v>
      </c>
      <c r="E955" s="12" t="s">
        <v>1072</v>
      </c>
      <c r="F955" s="12" t="s">
        <v>71</v>
      </c>
      <c r="G955" s="13">
        <v>3600</v>
      </c>
      <c r="H955" s="14">
        <v>3600</v>
      </c>
      <c r="I955" s="15">
        <v>7.87</v>
      </c>
      <c r="J955" s="16"/>
      <c r="K955" s="17">
        <v>28332</v>
      </c>
      <c r="L955" s="18">
        <v>46157</v>
      </c>
      <c r="M955" s="6" t="str">
        <f t="shared" si="42"/>
        <v>Schedule order</v>
      </c>
      <c r="N955" s="8">
        <f t="shared" ca="1" si="43"/>
        <v>2</v>
      </c>
      <c r="O955" s="8" t="str">
        <f t="shared" ca="1" si="44"/>
        <v>Lattest or shedule order</v>
      </c>
      <c r="P955" t="str">
        <f>VLOOKUP(C955,[1]Customer_Master!$A:$B,2,0)</f>
        <v>Group 1-Giridhar-Peenya</v>
      </c>
      <c r="Q955" t="str">
        <f>VLOOKUP(D955,[2]Template!$A:$D,3,0)</f>
        <v>LAPP</v>
      </c>
      <c r="R955" t="str">
        <f>VLOOKUP(D955,[2]Template!$A:$D,4,0)</f>
        <v>Lapp-Planned Stock General</v>
      </c>
    </row>
    <row r="956" spans="1:18" ht="13.5" customHeight="1" x14ac:dyDescent="0.25">
      <c r="A956" s="9">
        <v>46142</v>
      </c>
      <c r="B956" s="10" t="s">
        <v>1499</v>
      </c>
      <c r="C956" s="11" t="s">
        <v>143</v>
      </c>
      <c r="D956" s="10" t="s">
        <v>317</v>
      </c>
      <c r="E956" s="12" t="s">
        <v>1072</v>
      </c>
      <c r="F956" s="12" t="s">
        <v>71</v>
      </c>
      <c r="G956" s="13">
        <v>3600</v>
      </c>
      <c r="H956" s="14">
        <v>3600</v>
      </c>
      <c r="I956" s="15">
        <v>7.87</v>
      </c>
      <c r="J956" s="16"/>
      <c r="K956" s="17">
        <v>28332</v>
      </c>
      <c r="L956" s="18">
        <v>46174</v>
      </c>
      <c r="M956" s="6" t="str">
        <f t="shared" si="42"/>
        <v>Schedule order</v>
      </c>
      <c r="N956" s="8">
        <f t="shared" ca="1" si="43"/>
        <v>19</v>
      </c>
      <c r="O956" s="8" t="str">
        <f t="shared" ca="1" si="44"/>
        <v>Lattest or shedule order</v>
      </c>
      <c r="P956" t="str">
        <f>VLOOKUP(C956,[1]Customer_Master!$A:$B,2,0)</f>
        <v>Group 1-Giridhar-Peenya</v>
      </c>
      <c r="Q956" t="str">
        <f>VLOOKUP(D956,[2]Template!$A:$D,3,0)</f>
        <v>LAPP</v>
      </c>
      <c r="R956" t="str">
        <f>VLOOKUP(D956,[2]Template!$A:$D,4,0)</f>
        <v>Lapp-Planned Stock General</v>
      </c>
    </row>
    <row r="957" spans="1:18" ht="13.5" customHeight="1" x14ac:dyDescent="0.25">
      <c r="A957" s="9">
        <v>46142</v>
      </c>
      <c r="B957" s="10" t="s">
        <v>1499</v>
      </c>
      <c r="C957" s="11" t="s">
        <v>143</v>
      </c>
      <c r="D957" s="10" t="s">
        <v>317</v>
      </c>
      <c r="E957" s="12" t="s">
        <v>1072</v>
      </c>
      <c r="F957" s="12" t="s">
        <v>71</v>
      </c>
      <c r="G957" s="13">
        <v>3600</v>
      </c>
      <c r="H957" s="14">
        <v>3600</v>
      </c>
      <c r="I957" s="15">
        <v>7.87</v>
      </c>
      <c r="J957" s="16"/>
      <c r="K957" s="17">
        <v>28332</v>
      </c>
      <c r="L957" s="18">
        <v>46188</v>
      </c>
      <c r="M957" s="6" t="str">
        <f t="shared" si="42"/>
        <v>Schedule order</v>
      </c>
      <c r="N957" s="8">
        <f t="shared" ca="1" si="43"/>
        <v>33</v>
      </c>
      <c r="O957" s="8" t="str">
        <f t="shared" ca="1" si="44"/>
        <v>Lattest or shedule order</v>
      </c>
      <c r="P957" t="str">
        <f>VLOOKUP(C957,[1]Customer_Master!$A:$B,2,0)</f>
        <v>Group 1-Giridhar-Peenya</v>
      </c>
      <c r="Q957" t="str">
        <f>VLOOKUP(D957,[2]Template!$A:$D,3,0)</f>
        <v>LAPP</v>
      </c>
      <c r="R957" t="str">
        <f>VLOOKUP(D957,[2]Template!$A:$D,4,0)</f>
        <v>Lapp-Planned Stock General</v>
      </c>
    </row>
    <row r="958" spans="1:18" ht="13.5" customHeight="1" x14ac:dyDescent="0.25">
      <c r="A958" s="9">
        <v>46142</v>
      </c>
      <c r="B958" s="10" t="s">
        <v>1499</v>
      </c>
      <c r="C958" s="11" t="s">
        <v>143</v>
      </c>
      <c r="D958" s="10" t="s">
        <v>648</v>
      </c>
      <c r="E958" s="12" t="s">
        <v>1072</v>
      </c>
      <c r="F958" s="12" t="s">
        <v>649</v>
      </c>
      <c r="G958" s="13">
        <v>1200</v>
      </c>
      <c r="H958" s="14">
        <v>1200</v>
      </c>
      <c r="I958" s="15">
        <v>10.95</v>
      </c>
      <c r="J958" s="16"/>
      <c r="K958" s="17">
        <v>13140</v>
      </c>
      <c r="L958" s="18">
        <v>46157</v>
      </c>
      <c r="M958" s="6" t="str">
        <f t="shared" si="42"/>
        <v>Schedule order</v>
      </c>
      <c r="N958" s="8">
        <f t="shared" ca="1" si="43"/>
        <v>2</v>
      </c>
      <c r="O958" s="8" t="str">
        <f t="shared" ca="1" si="44"/>
        <v>Lattest or shedule order</v>
      </c>
      <c r="P958" t="str">
        <f>VLOOKUP(C958,[1]Customer_Master!$A:$B,2,0)</f>
        <v>Group 1-Giridhar-Peenya</v>
      </c>
      <c r="Q958" t="str">
        <f>VLOOKUP(D958,[2]Template!$A:$D,3,0)</f>
        <v>LAPP</v>
      </c>
      <c r="R958" t="str">
        <f>VLOOKUP(D958,[2]Template!$A:$D,4,0)</f>
        <v>Lapp-Planned Stock General</v>
      </c>
    </row>
    <row r="959" spans="1:18" ht="13.5" customHeight="1" x14ac:dyDescent="0.25">
      <c r="A959" s="9">
        <v>46142</v>
      </c>
      <c r="B959" s="10" t="s">
        <v>1499</v>
      </c>
      <c r="C959" s="11" t="s">
        <v>143</v>
      </c>
      <c r="D959" s="10" t="s">
        <v>648</v>
      </c>
      <c r="E959" s="12" t="s">
        <v>1072</v>
      </c>
      <c r="F959" s="12" t="s">
        <v>649</v>
      </c>
      <c r="G959" s="13">
        <v>1200</v>
      </c>
      <c r="H959" s="14">
        <v>1200</v>
      </c>
      <c r="I959" s="15">
        <v>10.95</v>
      </c>
      <c r="J959" s="16"/>
      <c r="K959" s="17">
        <v>13140</v>
      </c>
      <c r="L959" s="18">
        <v>46174</v>
      </c>
      <c r="M959" s="6" t="str">
        <f t="shared" si="42"/>
        <v>Schedule order</v>
      </c>
      <c r="N959" s="8">
        <f t="shared" ca="1" si="43"/>
        <v>19</v>
      </c>
      <c r="O959" s="8" t="str">
        <f t="shared" ca="1" si="44"/>
        <v>Lattest or shedule order</v>
      </c>
      <c r="P959" t="str">
        <f>VLOOKUP(C959,[1]Customer_Master!$A:$B,2,0)</f>
        <v>Group 1-Giridhar-Peenya</v>
      </c>
      <c r="Q959" t="str">
        <f>VLOOKUP(D959,[2]Template!$A:$D,3,0)</f>
        <v>LAPP</v>
      </c>
      <c r="R959" t="str">
        <f>VLOOKUP(D959,[2]Template!$A:$D,4,0)</f>
        <v>Lapp-Planned Stock General</v>
      </c>
    </row>
    <row r="960" spans="1:18" ht="13.5" customHeight="1" x14ac:dyDescent="0.25">
      <c r="A960" s="9">
        <v>46142</v>
      </c>
      <c r="B960" s="10" t="s">
        <v>1499</v>
      </c>
      <c r="C960" s="11" t="s">
        <v>143</v>
      </c>
      <c r="D960" s="10" t="s">
        <v>648</v>
      </c>
      <c r="E960" s="12" t="s">
        <v>1072</v>
      </c>
      <c r="F960" s="12" t="s">
        <v>649</v>
      </c>
      <c r="G960" s="13">
        <v>1200</v>
      </c>
      <c r="H960" s="14">
        <v>1200</v>
      </c>
      <c r="I960" s="15">
        <v>10.95</v>
      </c>
      <c r="J960" s="16"/>
      <c r="K960" s="17">
        <v>13140</v>
      </c>
      <c r="L960" s="18">
        <v>46188</v>
      </c>
      <c r="M960" s="6" t="str">
        <f t="shared" si="42"/>
        <v>Schedule order</v>
      </c>
      <c r="N960" s="8">
        <f t="shared" ca="1" si="43"/>
        <v>33</v>
      </c>
      <c r="O960" s="8" t="str">
        <f t="shared" ca="1" si="44"/>
        <v>Lattest or shedule order</v>
      </c>
      <c r="P960" t="str">
        <f>VLOOKUP(C960,[1]Customer_Master!$A:$B,2,0)</f>
        <v>Group 1-Giridhar-Peenya</v>
      </c>
      <c r="Q960" t="str">
        <f>VLOOKUP(D960,[2]Template!$A:$D,3,0)</f>
        <v>LAPP</v>
      </c>
      <c r="R960" t="str">
        <f>VLOOKUP(D960,[2]Template!$A:$D,4,0)</f>
        <v>Lapp-Planned Stock General</v>
      </c>
    </row>
    <row r="961" spans="1:18" ht="13.5" customHeight="1" x14ac:dyDescent="0.25">
      <c r="A961" s="9">
        <v>46142</v>
      </c>
      <c r="B961" s="10" t="s">
        <v>1499</v>
      </c>
      <c r="C961" s="11" t="s">
        <v>143</v>
      </c>
      <c r="D961" s="10" t="s">
        <v>339</v>
      </c>
      <c r="E961" s="12" t="s">
        <v>1072</v>
      </c>
      <c r="F961" s="12" t="s">
        <v>124</v>
      </c>
      <c r="G961" s="13">
        <v>900</v>
      </c>
      <c r="H961" s="14">
        <v>900</v>
      </c>
      <c r="I961" s="15">
        <v>20.46</v>
      </c>
      <c r="J961" s="16"/>
      <c r="K961" s="17">
        <v>18414</v>
      </c>
      <c r="L961" s="18">
        <v>46157</v>
      </c>
      <c r="M961" s="6" t="str">
        <f t="shared" si="42"/>
        <v>Schedule order</v>
      </c>
      <c r="N961" s="8">
        <f t="shared" ca="1" si="43"/>
        <v>2</v>
      </c>
      <c r="O961" s="8" t="str">
        <f t="shared" ca="1" si="44"/>
        <v>Lattest or shedule order</v>
      </c>
      <c r="P961" t="str">
        <f>VLOOKUP(C961,[1]Customer_Master!$A:$B,2,0)</f>
        <v>Group 1-Giridhar-Peenya</v>
      </c>
      <c r="Q961" t="str">
        <f>VLOOKUP(D961,[2]Template!$A:$D,3,0)</f>
        <v>LAPP</v>
      </c>
      <c r="R961" t="str">
        <f>VLOOKUP(D961,[2]Template!$A:$D,4,0)</f>
        <v>Lapp-Planned Stock General</v>
      </c>
    </row>
    <row r="962" spans="1:18" ht="13.5" customHeight="1" x14ac:dyDescent="0.25">
      <c r="A962" s="9">
        <v>46142</v>
      </c>
      <c r="B962" s="10" t="s">
        <v>1499</v>
      </c>
      <c r="C962" s="11" t="s">
        <v>143</v>
      </c>
      <c r="D962" s="10" t="s">
        <v>339</v>
      </c>
      <c r="E962" s="12" t="s">
        <v>1072</v>
      </c>
      <c r="F962" s="12" t="s">
        <v>124</v>
      </c>
      <c r="G962" s="13">
        <v>900</v>
      </c>
      <c r="H962" s="14">
        <v>900</v>
      </c>
      <c r="I962" s="15">
        <v>20.46</v>
      </c>
      <c r="J962" s="16"/>
      <c r="K962" s="17">
        <v>18414</v>
      </c>
      <c r="L962" s="18">
        <v>46174</v>
      </c>
      <c r="M962" s="6" t="str">
        <f t="shared" si="42"/>
        <v>Schedule order</v>
      </c>
      <c r="N962" s="8">
        <f t="shared" ca="1" si="43"/>
        <v>19</v>
      </c>
      <c r="O962" s="8" t="str">
        <f t="shared" ca="1" si="44"/>
        <v>Lattest or shedule order</v>
      </c>
      <c r="P962" t="str">
        <f>VLOOKUP(C962,[1]Customer_Master!$A:$B,2,0)</f>
        <v>Group 1-Giridhar-Peenya</v>
      </c>
      <c r="Q962" t="str">
        <f>VLOOKUP(D962,[2]Template!$A:$D,3,0)</f>
        <v>LAPP</v>
      </c>
      <c r="R962" t="str">
        <f>VLOOKUP(D962,[2]Template!$A:$D,4,0)</f>
        <v>Lapp-Planned Stock General</v>
      </c>
    </row>
    <row r="963" spans="1:18" ht="13.5" customHeight="1" x14ac:dyDescent="0.25">
      <c r="A963" s="9">
        <v>46142</v>
      </c>
      <c r="B963" s="10" t="s">
        <v>1499</v>
      </c>
      <c r="C963" s="11" t="s">
        <v>143</v>
      </c>
      <c r="D963" s="10" t="s">
        <v>339</v>
      </c>
      <c r="E963" s="12" t="s">
        <v>1072</v>
      </c>
      <c r="F963" s="12" t="s">
        <v>124</v>
      </c>
      <c r="G963" s="13">
        <v>900</v>
      </c>
      <c r="H963" s="14">
        <v>900</v>
      </c>
      <c r="I963" s="15">
        <v>20.46</v>
      </c>
      <c r="J963" s="16"/>
      <c r="K963" s="17">
        <v>18414</v>
      </c>
      <c r="L963" s="18">
        <v>46188</v>
      </c>
      <c r="M963" s="6" t="str">
        <f t="shared" ref="M963:M1026" si="45">IF(L963&lt;DATE(2026,4,30),"Due order","Schedule order")</f>
        <v>Schedule order</v>
      </c>
      <c r="N963" s="8">
        <f t="shared" ref="N963:N1026" ca="1" si="46">L963-TODAY()</f>
        <v>33</v>
      </c>
      <c r="O963" s="8" t="str">
        <f t="shared" ref="O963:O1026" ca="1" si="47">IF(N963&lt;-365,"More than 1 Year old",IF(N963&lt;-180," More than 180 days old",IF(N963&lt;-90,"More than 90 day old",IF(N963&lt;0,"With in 90 days","Lattest or shedule order"))))</f>
        <v>Lattest or shedule order</v>
      </c>
      <c r="P963" t="str">
        <f>VLOOKUP(C963,[1]Customer_Master!$A:$B,2,0)</f>
        <v>Group 1-Giridhar-Peenya</v>
      </c>
      <c r="Q963" t="str">
        <f>VLOOKUP(D963,[2]Template!$A:$D,3,0)</f>
        <v>LAPP</v>
      </c>
      <c r="R963" t="str">
        <f>VLOOKUP(D963,[2]Template!$A:$D,4,0)</f>
        <v>Lapp-Planned Stock General</v>
      </c>
    </row>
    <row r="964" spans="1:18" ht="13.5" customHeight="1" x14ac:dyDescent="0.25">
      <c r="A964" s="9">
        <v>46142</v>
      </c>
      <c r="B964" s="10" t="s">
        <v>1499</v>
      </c>
      <c r="C964" s="11" t="s">
        <v>143</v>
      </c>
      <c r="D964" s="10" t="s">
        <v>357</v>
      </c>
      <c r="E964" s="12" t="s">
        <v>1072</v>
      </c>
      <c r="F964" s="12" t="s">
        <v>53</v>
      </c>
      <c r="G964" s="13">
        <v>900</v>
      </c>
      <c r="H964" s="14">
        <v>900</v>
      </c>
      <c r="I964" s="15">
        <v>20.46</v>
      </c>
      <c r="J964" s="16"/>
      <c r="K964" s="17">
        <v>18414</v>
      </c>
      <c r="L964" s="18">
        <v>46157</v>
      </c>
      <c r="M964" s="6" t="str">
        <f t="shared" si="45"/>
        <v>Schedule order</v>
      </c>
      <c r="N964" s="8">
        <f t="shared" ca="1" si="46"/>
        <v>2</v>
      </c>
      <c r="O964" s="8" t="str">
        <f t="shared" ca="1" si="47"/>
        <v>Lattest or shedule order</v>
      </c>
      <c r="P964" t="str">
        <f>VLOOKUP(C964,[1]Customer_Master!$A:$B,2,0)</f>
        <v>Group 1-Giridhar-Peenya</v>
      </c>
      <c r="Q964" t="str">
        <f>VLOOKUP(D964,[2]Template!$A:$D,3,0)</f>
        <v>LAPP</v>
      </c>
      <c r="R964" t="str">
        <f>VLOOKUP(D964,[2]Template!$A:$D,4,0)</f>
        <v>Lapp-Planned Stock General</v>
      </c>
    </row>
    <row r="965" spans="1:18" ht="13.5" customHeight="1" x14ac:dyDescent="0.25">
      <c r="A965" s="9">
        <v>46142</v>
      </c>
      <c r="B965" s="10" t="s">
        <v>1499</v>
      </c>
      <c r="C965" s="11" t="s">
        <v>143</v>
      </c>
      <c r="D965" s="10" t="s">
        <v>357</v>
      </c>
      <c r="E965" s="12" t="s">
        <v>1072</v>
      </c>
      <c r="F965" s="12" t="s">
        <v>53</v>
      </c>
      <c r="G965" s="13">
        <v>900</v>
      </c>
      <c r="H965" s="14">
        <v>900</v>
      </c>
      <c r="I965" s="15">
        <v>20.46</v>
      </c>
      <c r="J965" s="16"/>
      <c r="K965" s="17">
        <v>18414</v>
      </c>
      <c r="L965" s="18">
        <v>46174</v>
      </c>
      <c r="M965" s="6" t="str">
        <f t="shared" si="45"/>
        <v>Schedule order</v>
      </c>
      <c r="N965" s="8">
        <f t="shared" ca="1" si="46"/>
        <v>19</v>
      </c>
      <c r="O965" s="8" t="str">
        <f t="shared" ca="1" si="47"/>
        <v>Lattest or shedule order</v>
      </c>
      <c r="P965" t="str">
        <f>VLOOKUP(C965,[1]Customer_Master!$A:$B,2,0)</f>
        <v>Group 1-Giridhar-Peenya</v>
      </c>
      <c r="Q965" t="str">
        <f>VLOOKUP(D965,[2]Template!$A:$D,3,0)</f>
        <v>LAPP</v>
      </c>
      <c r="R965" t="str">
        <f>VLOOKUP(D965,[2]Template!$A:$D,4,0)</f>
        <v>Lapp-Planned Stock General</v>
      </c>
    </row>
    <row r="966" spans="1:18" ht="13.5" customHeight="1" x14ac:dyDescent="0.25">
      <c r="A966" s="9">
        <v>46142</v>
      </c>
      <c r="B966" s="10" t="s">
        <v>1499</v>
      </c>
      <c r="C966" s="11" t="s">
        <v>143</v>
      </c>
      <c r="D966" s="10" t="s">
        <v>357</v>
      </c>
      <c r="E966" s="12" t="s">
        <v>1072</v>
      </c>
      <c r="F966" s="12" t="s">
        <v>53</v>
      </c>
      <c r="G966" s="13">
        <v>900</v>
      </c>
      <c r="H966" s="14">
        <v>900</v>
      </c>
      <c r="I966" s="15">
        <v>20.46</v>
      </c>
      <c r="J966" s="16"/>
      <c r="K966" s="17">
        <v>18414</v>
      </c>
      <c r="L966" s="18">
        <v>46188</v>
      </c>
      <c r="M966" s="6" t="str">
        <f t="shared" si="45"/>
        <v>Schedule order</v>
      </c>
      <c r="N966" s="8">
        <f t="shared" ca="1" si="46"/>
        <v>33</v>
      </c>
      <c r="O966" s="8" t="str">
        <f t="shared" ca="1" si="47"/>
        <v>Lattest or shedule order</v>
      </c>
      <c r="P966" t="str">
        <f>VLOOKUP(C966,[1]Customer_Master!$A:$B,2,0)</f>
        <v>Group 1-Giridhar-Peenya</v>
      </c>
      <c r="Q966" t="str">
        <f>VLOOKUP(D966,[2]Template!$A:$D,3,0)</f>
        <v>LAPP</v>
      </c>
      <c r="R966" t="str">
        <f>VLOOKUP(D966,[2]Template!$A:$D,4,0)</f>
        <v>Lapp-Planned Stock General</v>
      </c>
    </row>
    <row r="967" spans="1:18" ht="13.5" customHeight="1" x14ac:dyDescent="0.25">
      <c r="A967" s="9">
        <v>46142</v>
      </c>
      <c r="B967" s="10" t="s">
        <v>1499</v>
      </c>
      <c r="C967" s="11" t="s">
        <v>143</v>
      </c>
      <c r="D967" s="10" t="s">
        <v>356</v>
      </c>
      <c r="E967" s="12" t="s">
        <v>1072</v>
      </c>
      <c r="F967" s="12" t="s">
        <v>136</v>
      </c>
      <c r="G967" s="13">
        <v>700</v>
      </c>
      <c r="H967" s="14">
        <v>700</v>
      </c>
      <c r="I967" s="15">
        <v>33.68</v>
      </c>
      <c r="J967" s="16"/>
      <c r="K967" s="17">
        <v>23576</v>
      </c>
      <c r="L967" s="18">
        <v>46157</v>
      </c>
      <c r="M967" s="6" t="str">
        <f t="shared" si="45"/>
        <v>Schedule order</v>
      </c>
      <c r="N967" s="8">
        <f t="shared" ca="1" si="46"/>
        <v>2</v>
      </c>
      <c r="O967" s="8" t="str">
        <f t="shared" ca="1" si="47"/>
        <v>Lattest or shedule order</v>
      </c>
      <c r="P967" t="str">
        <f>VLOOKUP(C967,[1]Customer_Master!$A:$B,2,0)</f>
        <v>Group 1-Giridhar-Peenya</v>
      </c>
      <c r="Q967" t="str">
        <f>VLOOKUP(D967,[2]Template!$A:$D,3,0)</f>
        <v>LAPP</v>
      </c>
      <c r="R967" t="str">
        <f>VLOOKUP(D967,[2]Template!$A:$D,4,0)</f>
        <v>Lapp-Planned Stock General</v>
      </c>
    </row>
    <row r="968" spans="1:18" ht="13.5" customHeight="1" x14ac:dyDescent="0.25">
      <c r="A968" s="9">
        <v>46142</v>
      </c>
      <c r="B968" s="10" t="s">
        <v>1499</v>
      </c>
      <c r="C968" s="11" t="s">
        <v>143</v>
      </c>
      <c r="D968" s="10" t="s">
        <v>356</v>
      </c>
      <c r="E968" s="12" t="s">
        <v>1072</v>
      </c>
      <c r="F968" s="12" t="s">
        <v>136</v>
      </c>
      <c r="G968" s="13">
        <v>800</v>
      </c>
      <c r="H968" s="14">
        <v>800</v>
      </c>
      <c r="I968" s="15">
        <v>33.68</v>
      </c>
      <c r="J968" s="16"/>
      <c r="K968" s="17">
        <v>26944</v>
      </c>
      <c r="L968" s="18">
        <v>46174</v>
      </c>
      <c r="M968" s="6" t="str">
        <f t="shared" si="45"/>
        <v>Schedule order</v>
      </c>
      <c r="N968" s="8">
        <f t="shared" ca="1" si="46"/>
        <v>19</v>
      </c>
      <c r="O968" s="8" t="str">
        <f t="shared" ca="1" si="47"/>
        <v>Lattest or shedule order</v>
      </c>
      <c r="P968" t="str">
        <f>VLOOKUP(C968,[1]Customer_Master!$A:$B,2,0)</f>
        <v>Group 1-Giridhar-Peenya</v>
      </c>
      <c r="Q968" t="str">
        <f>VLOOKUP(D968,[2]Template!$A:$D,3,0)</f>
        <v>LAPP</v>
      </c>
      <c r="R968" t="str">
        <f>VLOOKUP(D968,[2]Template!$A:$D,4,0)</f>
        <v>Lapp-Planned Stock General</v>
      </c>
    </row>
    <row r="969" spans="1:18" ht="13.5" customHeight="1" x14ac:dyDescent="0.25">
      <c r="A969" s="9">
        <v>46142</v>
      </c>
      <c r="B969" s="10" t="s">
        <v>1499</v>
      </c>
      <c r="C969" s="11" t="s">
        <v>143</v>
      </c>
      <c r="D969" s="10" t="s">
        <v>356</v>
      </c>
      <c r="E969" s="12" t="s">
        <v>1072</v>
      </c>
      <c r="F969" s="12" t="s">
        <v>136</v>
      </c>
      <c r="G969" s="13">
        <v>600</v>
      </c>
      <c r="H969" s="14">
        <v>600</v>
      </c>
      <c r="I969" s="15">
        <v>33.68</v>
      </c>
      <c r="J969" s="16"/>
      <c r="K969" s="17">
        <v>20208</v>
      </c>
      <c r="L969" s="18">
        <v>46188</v>
      </c>
      <c r="M969" s="6" t="str">
        <f t="shared" si="45"/>
        <v>Schedule order</v>
      </c>
      <c r="N969" s="8">
        <f t="shared" ca="1" si="46"/>
        <v>33</v>
      </c>
      <c r="O969" s="8" t="str">
        <f t="shared" ca="1" si="47"/>
        <v>Lattest or shedule order</v>
      </c>
      <c r="P969" t="str">
        <f>VLOOKUP(C969,[1]Customer_Master!$A:$B,2,0)</f>
        <v>Group 1-Giridhar-Peenya</v>
      </c>
      <c r="Q969" t="str">
        <f>VLOOKUP(D969,[2]Template!$A:$D,3,0)</f>
        <v>LAPP</v>
      </c>
      <c r="R969" t="str">
        <f>VLOOKUP(D969,[2]Template!$A:$D,4,0)</f>
        <v>Lapp-Planned Stock General</v>
      </c>
    </row>
    <row r="970" spans="1:18" ht="13.5" customHeight="1" x14ac:dyDescent="0.25">
      <c r="A970" s="9">
        <v>46142</v>
      </c>
      <c r="B970" s="10" t="s">
        <v>1499</v>
      </c>
      <c r="C970" s="11" t="s">
        <v>143</v>
      </c>
      <c r="D970" s="10" t="s">
        <v>650</v>
      </c>
      <c r="E970" s="12" t="s">
        <v>1072</v>
      </c>
      <c r="F970" s="12" t="s">
        <v>651</v>
      </c>
      <c r="G970" s="13">
        <v>500</v>
      </c>
      <c r="H970" s="14">
        <v>500</v>
      </c>
      <c r="I970" s="15">
        <v>136.66999999999999</v>
      </c>
      <c r="J970" s="16"/>
      <c r="K970" s="17">
        <v>68335</v>
      </c>
      <c r="L970" s="18">
        <v>46157</v>
      </c>
      <c r="M970" s="6" t="str">
        <f t="shared" si="45"/>
        <v>Schedule order</v>
      </c>
      <c r="N970" s="8">
        <f t="shared" ca="1" si="46"/>
        <v>2</v>
      </c>
      <c r="O970" s="8" t="str">
        <f t="shared" ca="1" si="47"/>
        <v>Lattest or shedule order</v>
      </c>
      <c r="P970" t="str">
        <f>VLOOKUP(C970,[1]Customer_Master!$A:$B,2,0)</f>
        <v>Group 1-Giridhar-Peenya</v>
      </c>
      <c r="Q970" t="str">
        <f>VLOOKUP(D970,[2]Template!$A:$D,3,0)</f>
        <v>LAPP</v>
      </c>
      <c r="R970" t="str">
        <f>VLOOKUP(D970,[2]Template!$A:$D,4,0)</f>
        <v>Lapp-Planned Stock General</v>
      </c>
    </row>
    <row r="971" spans="1:18" ht="13.5" customHeight="1" x14ac:dyDescent="0.25">
      <c r="A971" s="9">
        <v>46142</v>
      </c>
      <c r="B971" s="10" t="s">
        <v>1499</v>
      </c>
      <c r="C971" s="11" t="s">
        <v>143</v>
      </c>
      <c r="D971" s="10" t="s">
        <v>650</v>
      </c>
      <c r="E971" s="12" t="s">
        <v>1072</v>
      </c>
      <c r="F971" s="12" t="s">
        <v>651</v>
      </c>
      <c r="G971" s="13">
        <v>500</v>
      </c>
      <c r="H971" s="14">
        <v>500</v>
      </c>
      <c r="I971" s="15">
        <v>136.66999999999999</v>
      </c>
      <c r="J971" s="16"/>
      <c r="K971" s="17">
        <v>68335</v>
      </c>
      <c r="L971" s="18">
        <v>46174</v>
      </c>
      <c r="M971" s="6" t="str">
        <f t="shared" si="45"/>
        <v>Schedule order</v>
      </c>
      <c r="N971" s="8">
        <f t="shared" ca="1" si="46"/>
        <v>19</v>
      </c>
      <c r="O971" s="8" t="str">
        <f t="shared" ca="1" si="47"/>
        <v>Lattest or shedule order</v>
      </c>
      <c r="P971" t="str">
        <f>VLOOKUP(C971,[1]Customer_Master!$A:$B,2,0)</f>
        <v>Group 1-Giridhar-Peenya</v>
      </c>
      <c r="Q971" t="str">
        <f>VLOOKUP(D971,[2]Template!$A:$D,3,0)</f>
        <v>LAPP</v>
      </c>
      <c r="R971" t="str">
        <f>VLOOKUP(D971,[2]Template!$A:$D,4,0)</f>
        <v>Lapp-Planned Stock General</v>
      </c>
    </row>
    <row r="972" spans="1:18" ht="13.5" customHeight="1" x14ac:dyDescent="0.25">
      <c r="A972" s="9">
        <v>46142</v>
      </c>
      <c r="B972" s="10" t="s">
        <v>1499</v>
      </c>
      <c r="C972" s="11" t="s">
        <v>143</v>
      </c>
      <c r="D972" s="10" t="s">
        <v>650</v>
      </c>
      <c r="E972" s="12" t="s">
        <v>1072</v>
      </c>
      <c r="F972" s="12" t="s">
        <v>651</v>
      </c>
      <c r="G972" s="13">
        <v>500</v>
      </c>
      <c r="H972" s="14">
        <v>500</v>
      </c>
      <c r="I972" s="15">
        <v>136.66999999999999</v>
      </c>
      <c r="J972" s="16"/>
      <c r="K972" s="17">
        <v>68335</v>
      </c>
      <c r="L972" s="18">
        <v>46188</v>
      </c>
      <c r="M972" s="6" t="str">
        <f t="shared" si="45"/>
        <v>Schedule order</v>
      </c>
      <c r="N972" s="8">
        <f t="shared" ca="1" si="46"/>
        <v>33</v>
      </c>
      <c r="O972" s="8" t="str">
        <f t="shared" ca="1" si="47"/>
        <v>Lattest or shedule order</v>
      </c>
      <c r="P972" t="str">
        <f>VLOOKUP(C972,[1]Customer_Master!$A:$B,2,0)</f>
        <v>Group 1-Giridhar-Peenya</v>
      </c>
      <c r="Q972" t="str">
        <f>VLOOKUP(D972,[2]Template!$A:$D,3,0)</f>
        <v>LAPP</v>
      </c>
      <c r="R972" t="str">
        <f>VLOOKUP(D972,[2]Template!$A:$D,4,0)</f>
        <v>Lapp-Planned Stock General</v>
      </c>
    </row>
    <row r="973" spans="1:18" ht="13.5" customHeight="1" x14ac:dyDescent="0.25">
      <c r="A973" s="9">
        <v>46142</v>
      </c>
      <c r="B973" s="10" t="s">
        <v>1499</v>
      </c>
      <c r="C973" s="11" t="s">
        <v>143</v>
      </c>
      <c r="D973" s="10" t="s">
        <v>354</v>
      </c>
      <c r="E973" s="12" t="s">
        <v>1072</v>
      </c>
      <c r="F973" s="12" t="s">
        <v>134</v>
      </c>
      <c r="G973" s="13">
        <v>300</v>
      </c>
      <c r="H973" s="14">
        <v>300</v>
      </c>
      <c r="I973" s="15">
        <v>141.28</v>
      </c>
      <c r="J973" s="16"/>
      <c r="K973" s="17">
        <v>42384</v>
      </c>
      <c r="L973" s="18">
        <v>46157</v>
      </c>
      <c r="M973" s="6" t="str">
        <f t="shared" si="45"/>
        <v>Schedule order</v>
      </c>
      <c r="N973" s="8">
        <f t="shared" ca="1" si="46"/>
        <v>2</v>
      </c>
      <c r="O973" s="8" t="str">
        <f t="shared" ca="1" si="47"/>
        <v>Lattest or shedule order</v>
      </c>
      <c r="P973" t="str">
        <f>VLOOKUP(C973,[1]Customer_Master!$A:$B,2,0)</f>
        <v>Group 1-Giridhar-Peenya</v>
      </c>
      <c r="Q973" t="str">
        <f>VLOOKUP(D973,[2]Template!$A:$D,3,0)</f>
        <v>LAPP</v>
      </c>
      <c r="R973" t="str">
        <f>VLOOKUP(D973,[2]Template!$A:$D,4,0)</f>
        <v>Lapp-Planned Stock General</v>
      </c>
    </row>
    <row r="974" spans="1:18" ht="13.5" customHeight="1" x14ac:dyDescent="0.25">
      <c r="A974" s="9">
        <v>46142</v>
      </c>
      <c r="B974" s="10" t="s">
        <v>1499</v>
      </c>
      <c r="C974" s="11" t="s">
        <v>143</v>
      </c>
      <c r="D974" s="10" t="s">
        <v>354</v>
      </c>
      <c r="E974" s="12" t="s">
        <v>1072</v>
      </c>
      <c r="F974" s="12" t="s">
        <v>134</v>
      </c>
      <c r="G974" s="13">
        <v>300</v>
      </c>
      <c r="H974" s="14">
        <v>300</v>
      </c>
      <c r="I974" s="15">
        <v>141.28</v>
      </c>
      <c r="J974" s="16"/>
      <c r="K974" s="17">
        <v>42384</v>
      </c>
      <c r="L974" s="18">
        <v>46174</v>
      </c>
      <c r="M974" s="6" t="str">
        <f t="shared" si="45"/>
        <v>Schedule order</v>
      </c>
      <c r="N974" s="8">
        <f t="shared" ca="1" si="46"/>
        <v>19</v>
      </c>
      <c r="O974" s="8" t="str">
        <f t="shared" ca="1" si="47"/>
        <v>Lattest or shedule order</v>
      </c>
      <c r="P974" t="str">
        <f>VLOOKUP(C974,[1]Customer_Master!$A:$B,2,0)</f>
        <v>Group 1-Giridhar-Peenya</v>
      </c>
      <c r="Q974" t="str">
        <f>VLOOKUP(D974,[2]Template!$A:$D,3,0)</f>
        <v>LAPP</v>
      </c>
      <c r="R974" t="str">
        <f>VLOOKUP(D974,[2]Template!$A:$D,4,0)</f>
        <v>Lapp-Planned Stock General</v>
      </c>
    </row>
    <row r="975" spans="1:18" ht="13.5" customHeight="1" x14ac:dyDescent="0.25">
      <c r="A975" s="9">
        <v>46142</v>
      </c>
      <c r="B975" s="10" t="s">
        <v>1499</v>
      </c>
      <c r="C975" s="11" t="s">
        <v>143</v>
      </c>
      <c r="D975" s="10" t="s">
        <v>354</v>
      </c>
      <c r="E975" s="12" t="s">
        <v>1072</v>
      </c>
      <c r="F975" s="12" t="s">
        <v>134</v>
      </c>
      <c r="G975" s="13">
        <v>300</v>
      </c>
      <c r="H975" s="14">
        <v>300</v>
      </c>
      <c r="I975" s="15">
        <v>141.28</v>
      </c>
      <c r="J975" s="16"/>
      <c r="K975" s="17">
        <v>42384</v>
      </c>
      <c r="L975" s="18">
        <v>46188</v>
      </c>
      <c r="M975" s="6" t="str">
        <f t="shared" si="45"/>
        <v>Schedule order</v>
      </c>
      <c r="N975" s="8">
        <f t="shared" ca="1" si="46"/>
        <v>33</v>
      </c>
      <c r="O975" s="8" t="str">
        <f t="shared" ca="1" si="47"/>
        <v>Lattest or shedule order</v>
      </c>
      <c r="P975" t="str">
        <f>VLOOKUP(C975,[1]Customer_Master!$A:$B,2,0)</f>
        <v>Group 1-Giridhar-Peenya</v>
      </c>
      <c r="Q975" t="str">
        <f>VLOOKUP(D975,[2]Template!$A:$D,3,0)</f>
        <v>LAPP</v>
      </c>
      <c r="R975" t="str">
        <f>VLOOKUP(D975,[2]Template!$A:$D,4,0)</f>
        <v>Lapp-Planned Stock General</v>
      </c>
    </row>
    <row r="976" spans="1:18" ht="13.5" customHeight="1" x14ac:dyDescent="0.25">
      <c r="A976" s="9">
        <v>46142</v>
      </c>
      <c r="B976" s="10" t="s">
        <v>1499</v>
      </c>
      <c r="C976" s="11" t="s">
        <v>143</v>
      </c>
      <c r="D976" s="10" t="s">
        <v>495</v>
      </c>
      <c r="E976" s="12" t="s">
        <v>1072</v>
      </c>
      <c r="F976" s="12" t="s">
        <v>496</v>
      </c>
      <c r="G976" s="13">
        <v>600</v>
      </c>
      <c r="H976" s="14">
        <v>600</v>
      </c>
      <c r="I976" s="15">
        <v>211.32</v>
      </c>
      <c r="J976" s="16"/>
      <c r="K976" s="17">
        <v>126792</v>
      </c>
      <c r="L976" s="18">
        <v>46157</v>
      </c>
      <c r="M976" s="6" t="str">
        <f t="shared" si="45"/>
        <v>Schedule order</v>
      </c>
      <c r="N976" s="8">
        <f t="shared" ca="1" si="46"/>
        <v>2</v>
      </c>
      <c r="O976" s="8" t="str">
        <f t="shared" ca="1" si="47"/>
        <v>Lattest or shedule order</v>
      </c>
      <c r="P976" t="str">
        <f>VLOOKUP(C976,[1]Customer_Master!$A:$B,2,0)</f>
        <v>Group 1-Giridhar-Peenya</v>
      </c>
      <c r="Q976" t="str">
        <f>VLOOKUP(D976,[2]Template!$A:$D,3,0)</f>
        <v>LAPP</v>
      </c>
      <c r="R976" t="str">
        <f>VLOOKUP(D976,[2]Template!$A:$D,4,0)</f>
        <v>Lapp-Ace Group</v>
      </c>
    </row>
    <row r="977" spans="1:18" ht="13.5" customHeight="1" x14ac:dyDescent="0.25">
      <c r="A977" s="9">
        <v>46142</v>
      </c>
      <c r="B977" s="10" t="s">
        <v>1499</v>
      </c>
      <c r="C977" s="11" t="s">
        <v>143</v>
      </c>
      <c r="D977" s="10" t="s">
        <v>495</v>
      </c>
      <c r="E977" s="12" t="s">
        <v>1072</v>
      </c>
      <c r="F977" s="12" t="s">
        <v>496</v>
      </c>
      <c r="G977" s="13">
        <v>600</v>
      </c>
      <c r="H977" s="14">
        <v>600</v>
      </c>
      <c r="I977" s="15">
        <v>211.32</v>
      </c>
      <c r="J977" s="16"/>
      <c r="K977" s="17">
        <v>126792</v>
      </c>
      <c r="L977" s="18">
        <v>46174</v>
      </c>
      <c r="M977" s="6" t="str">
        <f t="shared" si="45"/>
        <v>Schedule order</v>
      </c>
      <c r="N977" s="8">
        <f t="shared" ca="1" si="46"/>
        <v>19</v>
      </c>
      <c r="O977" s="8" t="str">
        <f t="shared" ca="1" si="47"/>
        <v>Lattest or shedule order</v>
      </c>
      <c r="P977" t="str">
        <f>VLOOKUP(C977,[1]Customer_Master!$A:$B,2,0)</f>
        <v>Group 1-Giridhar-Peenya</v>
      </c>
      <c r="Q977" t="str">
        <f>VLOOKUP(D977,[2]Template!$A:$D,3,0)</f>
        <v>LAPP</v>
      </c>
      <c r="R977" t="str">
        <f>VLOOKUP(D977,[2]Template!$A:$D,4,0)</f>
        <v>Lapp-Ace Group</v>
      </c>
    </row>
    <row r="978" spans="1:18" ht="13.5" customHeight="1" x14ac:dyDescent="0.25">
      <c r="A978" s="9">
        <v>46142</v>
      </c>
      <c r="B978" s="10" t="s">
        <v>1499</v>
      </c>
      <c r="C978" s="11" t="s">
        <v>143</v>
      </c>
      <c r="D978" s="10" t="s">
        <v>495</v>
      </c>
      <c r="E978" s="12" t="s">
        <v>1072</v>
      </c>
      <c r="F978" s="12" t="s">
        <v>496</v>
      </c>
      <c r="G978" s="13">
        <v>600</v>
      </c>
      <c r="H978" s="14">
        <v>600</v>
      </c>
      <c r="I978" s="15">
        <v>211.32</v>
      </c>
      <c r="J978" s="16"/>
      <c r="K978" s="17">
        <v>126792</v>
      </c>
      <c r="L978" s="18">
        <v>46188</v>
      </c>
      <c r="M978" s="6" t="str">
        <f t="shared" si="45"/>
        <v>Schedule order</v>
      </c>
      <c r="N978" s="8">
        <f t="shared" ca="1" si="46"/>
        <v>33</v>
      </c>
      <c r="O978" s="8" t="str">
        <f t="shared" ca="1" si="47"/>
        <v>Lattest or shedule order</v>
      </c>
      <c r="P978" t="str">
        <f>VLOOKUP(C978,[1]Customer_Master!$A:$B,2,0)</f>
        <v>Group 1-Giridhar-Peenya</v>
      </c>
      <c r="Q978" t="str">
        <f>VLOOKUP(D978,[2]Template!$A:$D,3,0)</f>
        <v>LAPP</v>
      </c>
      <c r="R978" t="str">
        <f>VLOOKUP(D978,[2]Template!$A:$D,4,0)</f>
        <v>Lapp-Ace Group</v>
      </c>
    </row>
    <row r="979" spans="1:18" ht="13.5" customHeight="1" x14ac:dyDescent="0.25">
      <c r="A979" s="9">
        <v>46142</v>
      </c>
      <c r="B979" s="10" t="s">
        <v>1499</v>
      </c>
      <c r="C979" s="11" t="s">
        <v>143</v>
      </c>
      <c r="D979" s="10" t="s">
        <v>361</v>
      </c>
      <c r="E979" s="12" t="s">
        <v>1072</v>
      </c>
      <c r="F979" s="12" t="s">
        <v>69</v>
      </c>
      <c r="G979" s="13">
        <v>600</v>
      </c>
      <c r="H979" s="14">
        <v>600</v>
      </c>
      <c r="I979" s="15">
        <v>211.32</v>
      </c>
      <c r="J979" s="16"/>
      <c r="K979" s="17">
        <v>126792</v>
      </c>
      <c r="L979" s="18">
        <v>46157</v>
      </c>
      <c r="M979" s="6" t="str">
        <f t="shared" si="45"/>
        <v>Schedule order</v>
      </c>
      <c r="N979" s="8">
        <f t="shared" ca="1" si="46"/>
        <v>2</v>
      </c>
      <c r="O979" s="8" t="str">
        <f t="shared" ca="1" si="47"/>
        <v>Lattest or shedule order</v>
      </c>
      <c r="P979" t="str">
        <f>VLOOKUP(C979,[1]Customer_Master!$A:$B,2,0)</f>
        <v>Group 1-Giridhar-Peenya</v>
      </c>
      <c r="Q979" t="str">
        <f>VLOOKUP(D979,[2]Template!$A:$D,3,0)</f>
        <v>LAPP</v>
      </c>
      <c r="R979" t="str">
        <f>VLOOKUP(D979,[2]Template!$A:$D,4,0)</f>
        <v>Lapp-Ace Group</v>
      </c>
    </row>
    <row r="980" spans="1:18" ht="13.5" customHeight="1" x14ac:dyDescent="0.25">
      <c r="A980" s="9">
        <v>46142</v>
      </c>
      <c r="B980" s="10" t="s">
        <v>1499</v>
      </c>
      <c r="C980" s="11" t="s">
        <v>143</v>
      </c>
      <c r="D980" s="10" t="s">
        <v>361</v>
      </c>
      <c r="E980" s="12" t="s">
        <v>1072</v>
      </c>
      <c r="F980" s="12" t="s">
        <v>69</v>
      </c>
      <c r="G980" s="13">
        <v>600</v>
      </c>
      <c r="H980" s="14">
        <v>600</v>
      </c>
      <c r="I980" s="15">
        <v>211.32</v>
      </c>
      <c r="J980" s="16"/>
      <c r="K980" s="17">
        <v>126792</v>
      </c>
      <c r="L980" s="18">
        <v>46174</v>
      </c>
      <c r="M980" s="6" t="str">
        <f t="shared" si="45"/>
        <v>Schedule order</v>
      </c>
      <c r="N980" s="8">
        <f t="shared" ca="1" si="46"/>
        <v>19</v>
      </c>
      <c r="O980" s="8" t="str">
        <f t="shared" ca="1" si="47"/>
        <v>Lattest or shedule order</v>
      </c>
      <c r="P980" t="str">
        <f>VLOOKUP(C980,[1]Customer_Master!$A:$B,2,0)</f>
        <v>Group 1-Giridhar-Peenya</v>
      </c>
      <c r="Q980" t="str">
        <f>VLOOKUP(D980,[2]Template!$A:$D,3,0)</f>
        <v>LAPP</v>
      </c>
      <c r="R980" t="str">
        <f>VLOOKUP(D980,[2]Template!$A:$D,4,0)</f>
        <v>Lapp-Ace Group</v>
      </c>
    </row>
    <row r="981" spans="1:18" ht="13.5" customHeight="1" x14ac:dyDescent="0.25">
      <c r="A981" s="9">
        <v>46142</v>
      </c>
      <c r="B981" s="10" t="s">
        <v>1499</v>
      </c>
      <c r="C981" s="11" t="s">
        <v>143</v>
      </c>
      <c r="D981" s="10" t="s">
        <v>361</v>
      </c>
      <c r="E981" s="12" t="s">
        <v>1072</v>
      </c>
      <c r="F981" s="12" t="s">
        <v>69</v>
      </c>
      <c r="G981" s="13">
        <v>600</v>
      </c>
      <c r="H981" s="14">
        <v>600</v>
      </c>
      <c r="I981" s="15">
        <v>211.32</v>
      </c>
      <c r="J981" s="16"/>
      <c r="K981" s="17">
        <v>126792</v>
      </c>
      <c r="L981" s="18">
        <v>46204</v>
      </c>
      <c r="M981" s="6" t="str">
        <f t="shared" si="45"/>
        <v>Schedule order</v>
      </c>
      <c r="N981" s="8">
        <f t="shared" ca="1" si="46"/>
        <v>49</v>
      </c>
      <c r="O981" s="8" t="str">
        <f t="shared" ca="1" si="47"/>
        <v>Lattest or shedule order</v>
      </c>
      <c r="P981" t="str">
        <f>VLOOKUP(C981,[1]Customer_Master!$A:$B,2,0)</f>
        <v>Group 1-Giridhar-Peenya</v>
      </c>
      <c r="Q981" t="str">
        <f>VLOOKUP(D981,[2]Template!$A:$D,3,0)</f>
        <v>LAPP</v>
      </c>
      <c r="R981" t="str">
        <f>VLOOKUP(D981,[2]Template!$A:$D,4,0)</f>
        <v>Lapp-Ace Group</v>
      </c>
    </row>
    <row r="982" spans="1:18" ht="13.5" customHeight="1" x14ac:dyDescent="0.25">
      <c r="A982" s="9">
        <v>46142</v>
      </c>
      <c r="B982" s="10" t="s">
        <v>1499</v>
      </c>
      <c r="C982" s="11" t="s">
        <v>143</v>
      </c>
      <c r="D982" s="10" t="s">
        <v>336</v>
      </c>
      <c r="E982" s="12" t="s">
        <v>1072</v>
      </c>
      <c r="F982" s="12" t="s">
        <v>119</v>
      </c>
      <c r="G982" s="13">
        <v>500</v>
      </c>
      <c r="H982" s="14">
        <v>500</v>
      </c>
      <c r="I982" s="15">
        <v>54.04</v>
      </c>
      <c r="J982" s="16"/>
      <c r="K982" s="17">
        <v>27020</v>
      </c>
      <c r="L982" s="18">
        <v>46157</v>
      </c>
      <c r="M982" s="6" t="str">
        <f t="shared" si="45"/>
        <v>Schedule order</v>
      </c>
      <c r="N982" s="8">
        <f t="shared" ca="1" si="46"/>
        <v>2</v>
      </c>
      <c r="O982" s="8" t="str">
        <f t="shared" ca="1" si="47"/>
        <v>Lattest or shedule order</v>
      </c>
      <c r="P982" t="str">
        <f>VLOOKUP(C982,[1]Customer_Master!$A:$B,2,0)</f>
        <v>Group 1-Giridhar-Peenya</v>
      </c>
      <c r="Q982" t="str">
        <f>VLOOKUP(D982,[2]Template!$A:$D,3,0)</f>
        <v>LAPP</v>
      </c>
      <c r="R982" t="str">
        <f>VLOOKUP(D982,[2]Template!$A:$D,4,0)</f>
        <v>Lapp-Planned Stock General</v>
      </c>
    </row>
    <row r="983" spans="1:18" ht="13.5" customHeight="1" x14ac:dyDescent="0.25">
      <c r="A983" s="9">
        <v>46142</v>
      </c>
      <c r="B983" s="10" t="s">
        <v>1499</v>
      </c>
      <c r="C983" s="11" t="s">
        <v>143</v>
      </c>
      <c r="D983" s="10" t="s">
        <v>336</v>
      </c>
      <c r="E983" s="12" t="s">
        <v>1072</v>
      </c>
      <c r="F983" s="12" t="s">
        <v>119</v>
      </c>
      <c r="G983" s="13">
        <v>500</v>
      </c>
      <c r="H983" s="14">
        <v>500</v>
      </c>
      <c r="I983" s="15">
        <v>54.04</v>
      </c>
      <c r="J983" s="16"/>
      <c r="K983" s="17">
        <v>27020</v>
      </c>
      <c r="L983" s="18">
        <v>46174</v>
      </c>
      <c r="M983" s="6" t="str">
        <f t="shared" si="45"/>
        <v>Schedule order</v>
      </c>
      <c r="N983" s="8">
        <f t="shared" ca="1" si="46"/>
        <v>19</v>
      </c>
      <c r="O983" s="8" t="str">
        <f t="shared" ca="1" si="47"/>
        <v>Lattest or shedule order</v>
      </c>
      <c r="P983" t="str">
        <f>VLOOKUP(C983,[1]Customer_Master!$A:$B,2,0)</f>
        <v>Group 1-Giridhar-Peenya</v>
      </c>
      <c r="Q983" t="str">
        <f>VLOOKUP(D983,[2]Template!$A:$D,3,0)</f>
        <v>LAPP</v>
      </c>
      <c r="R983" t="str">
        <f>VLOOKUP(D983,[2]Template!$A:$D,4,0)</f>
        <v>Lapp-Planned Stock General</v>
      </c>
    </row>
    <row r="984" spans="1:18" ht="13.5" customHeight="1" x14ac:dyDescent="0.25">
      <c r="A984" s="9">
        <v>46142</v>
      </c>
      <c r="B984" s="10" t="s">
        <v>1499</v>
      </c>
      <c r="C984" s="11" t="s">
        <v>143</v>
      </c>
      <c r="D984" s="10" t="s">
        <v>336</v>
      </c>
      <c r="E984" s="12" t="s">
        <v>1072</v>
      </c>
      <c r="F984" s="12" t="s">
        <v>119</v>
      </c>
      <c r="G984" s="13">
        <v>500</v>
      </c>
      <c r="H984" s="14">
        <v>500</v>
      </c>
      <c r="I984" s="15">
        <v>54.04</v>
      </c>
      <c r="J984" s="16"/>
      <c r="K984" s="17">
        <v>27020</v>
      </c>
      <c r="L984" s="18">
        <v>46188</v>
      </c>
      <c r="M984" s="6" t="str">
        <f t="shared" si="45"/>
        <v>Schedule order</v>
      </c>
      <c r="N984" s="8">
        <f t="shared" ca="1" si="46"/>
        <v>33</v>
      </c>
      <c r="O984" s="8" t="str">
        <f t="shared" ca="1" si="47"/>
        <v>Lattest or shedule order</v>
      </c>
      <c r="P984" t="str">
        <f>VLOOKUP(C984,[1]Customer_Master!$A:$B,2,0)</f>
        <v>Group 1-Giridhar-Peenya</v>
      </c>
      <c r="Q984" t="str">
        <f>VLOOKUP(D984,[2]Template!$A:$D,3,0)</f>
        <v>LAPP</v>
      </c>
      <c r="R984" t="str">
        <f>VLOOKUP(D984,[2]Template!$A:$D,4,0)</f>
        <v>Lapp-Planned Stock General</v>
      </c>
    </row>
    <row r="985" spans="1:18" ht="13.5" customHeight="1" x14ac:dyDescent="0.25">
      <c r="A985" s="9">
        <v>46142</v>
      </c>
      <c r="B985" s="10" t="s">
        <v>1499</v>
      </c>
      <c r="C985" s="11" t="s">
        <v>143</v>
      </c>
      <c r="D985" s="10" t="s">
        <v>652</v>
      </c>
      <c r="E985" s="12" t="s">
        <v>1072</v>
      </c>
      <c r="F985" s="12" t="s">
        <v>653</v>
      </c>
      <c r="G985" s="13">
        <v>400</v>
      </c>
      <c r="H985" s="14">
        <v>400</v>
      </c>
      <c r="I985" s="15">
        <v>54.04</v>
      </c>
      <c r="J985" s="16"/>
      <c r="K985" s="17">
        <v>21616</v>
      </c>
      <c r="L985" s="18">
        <v>46157</v>
      </c>
      <c r="M985" s="6" t="str">
        <f t="shared" si="45"/>
        <v>Schedule order</v>
      </c>
      <c r="N985" s="8">
        <f t="shared" ca="1" si="46"/>
        <v>2</v>
      </c>
      <c r="O985" s="8" t="str">
        <f t="shared" ca="1" si="47"/>
        <v>Lattest or shedule order</v>
      </c>
      <c r="P985" t="str">
        <f>VLOOKUP(C985,[1]Customer_Master!$A:$B,2,0)</f>
        <v>Group 1-Giridhar-Peenya</v>
      </c>
      <c r="Q985" t="str">
        <f>VLOOKUP(D985,[2]Template!$A:$D,3,0)</f>
        <v>LAPP</v>
      </c>
      <c r="R985" t="str">
        <f>VLOOKUP(D985,[2]Template!$A:$D,4,0)</f>
        <v>Lapp-Planned Stock General</v>
      </c>
    </row>
    <row r="986" spans="1:18" ht="13.5" customHeight="1" x14ac:dyDescent="0.25">
      <c r="A986" s="9">
        <v>46142</v>
      </c>
      <c r="B986" s="10" t="s">
        <v>1499</v>
      </c>
      <c r="C986" s="11" t="s">
        <v>143</v>
      </c>
      <c r="D986" s="10" t="s">
        <v>652</v>
      </c>
      <c r="E986" s="12" t="s">
        <v>1072</v>
      </c>
      <c r="F986" s="12" t="s">
        <v>653</v>
      </c>
      <c r="G986" s="13">
        <v>400</v>
      </c>
      <c r="H986" s="14">
        <v>400</v>
      </c>
      <c r="I986" s="15">
        <v>54.04</v>
      </c>
      <c r="J986" s="16"/>
      <c r="K986" s="17">
        <v>21616</v>
      </c>
      <c r="L986" s="18">
        <v>46174</v>
      </c>
      <c r="M986" s="6" t="str">
        <f t="shared" si="45"/>
        <v>Schedule order</v>
      </c>
      <c r="N986" s="8">
        <f t="shared" ca="1" si="46"/>
        <v>19</v>
      </c>
      <c r="O986" s="8" t="str">
        <f t="shared" ca="1" si="47"/>
        <v>Lattest or shedule order</v>
      </c>
      <c r="P986" t="str">
        <f>VLOOKUP(C986,[1]Customer_Master!$A:$B,2,0)</f>
        <v>Group 1-Giridhar-Peenya</v>
      </c>
      <c r="Q986" t="str">
        <f>VLOOKUP(D986,[2]Template!$A:$D,3,0)</f>
        <v>LAPP</v>
      </c>
      <c r="R986" t="str">
        <f>VLOOKUP(D986,[2]Template!$A:$D,4,0)</f>
        <v>Lapp-Planned Stock General</v>
      </c>
    </row>
    <row r="987" spans="1:18" ht="13.5" customHeight="1" x14ac:dyDescent="0.25">
      <c r="A987" s="9">
        <v>46142</v>
      </c>
      <c r="B987" s="10" t="s">
        <v>1499</v>
      </c>
      <c r="C987" s="11" t="s">
        <v>143</v>
      </c>
      <c r="D987" s="10" t="s">
        <v>652</v>
      </c>
      <c r="E987" s="12" t="s">
        <v>1072</v>
      </c>
      <c r="F987" s="12" t="s">
        <v>653</v>
      </c>
      <c r="G987" s="13">
        <v>400</v>
      </c>
      <c r="H987" s="14">
        <v>400</v>
      </c>
      <c r="I987" s="15">
        <v>54.04</v>
      </c>
      <c r="J987" s="16"/>
      <c r="K987" s="17">
        <v>21616</v>
      </c>
      <c r="L987" s="18">
        <v>46188</v>
      </c>
      <c r="M987" s="6" t="str">
        <f t="shared" si="45"/>
        <v>Schedule order</v>
      </c>
      <c r="N987" s="8">
        <f t="shared" ca="1" si="46"/>
        <v>33</v>
      </c>
      <c r="O987" s="8" t="str">
        <f t="shared" ca="1" si="47"/>
        <v>Lattest or shedule order</v>
      </c>
      <c r="P987" t="str">
        <f>VLOOKUP(C987,[1]Customer_Master!$A:$B,2,0)</f>
        <v>Group 1-Giridhar-Peenya</v>
      </c>
      <c r="Q987" t="str">
        <f>VLOOKUP(D987,[2]Template!$A:$D,3,0)</f>
        <v>LAPP</v>
      </c>
      <c r="R987" t="str">
        <f>VLOOKUP(D987,[2]Template!$A:$D,4,0)</f>
        <v>Lapp-Planned Stock General</v>
      </c>
    </row>
    <row r="988" spans="1:18" ht="13.5" customHeight="1" x14ac:dyDescent="0.25">
      <c r="A988" s="9">
        <v>46142</v>
      </c>
      <c r="B988" s="10" t="s">
        <v>1499</v>
      </c>
      <c r="C988" s="11" t="s">
        <v>143</v>
      </c>
      <c r="D988" s="10" t="s">
        <v>342</v>
      </c>
      <c r="E988" s="12" t="s">
        <v>1072</v>
      </c>
      <c r="F988" s="12" t="s">
        <v>125</v>
      </c>
      <c r="G988" s="13">
        <v>300</v>
      </c>
      <c r="H988" s="14">
        <v>300</v>
      </c>
      <c r="I988" s="15">
        <v>81.900000000000006</v>
      </c>
      <c r="J988" s="16"/>
      <c r="K988" s="17">
        <v>24570</v>
      </c>
      <c r="L988" s="18">
        <v>46157</v>
      </c>
      <c r="M988" s="6" t="str">
        <f t="shared" si="45"/>
        <v>Schedule order</v>
      </c>
      <c r="N988" s="8">
        <f t="shared" ca="1" si="46"/>
        <v>2</v>
      </c>
      <c r="O988" s="8" t="str">
        <f t="shared" ca="1" si="47"/>
        <v>Lattest or shedule order</v>
      </c>
      <c r="P988" t="str">
        <f>VLOOKUP(C988,[1]Customer_Master!$A:$B,2,0)</f>
        <v>Group 1-Giridhar-Peenya</v>
      </c>
      <c r="Q988" t="str">
        <f>VLOOKUP(D988,[2]Template!$A:$D,3,0)</f>
        <v>LAPP</v>
      </c>
      <c r="R988" t="str">
        <f>VLOOKUP(D988,[2]Template!$A:$D,4,0)</f>
        <v>Lapp-Planned Stock General</v>
      </c>
    </row>
    <row r="989" spans="1:18" ht="13.5" customHeight="1" x14ac:dyDescent="0.25">
      <c r="A989" s="9">
        <v>46142</v>
      </c>
      <c r="B989" s="10" t="s">
        <v>1499</v>
      </c>
      <c r="C989" s="11" t="s">
        <v>143</v>
      </c>
      <c r="D989" s="10" t="s">
        <v>342</v>
      </c>
      <c r="E989" s="12" t="s">
        <v>1072</v>
      </c>
      <c r="F989" s="12" t="s">
        <v>125</v>
      </c>
      <c r="G989" s="13">
        <v>300</v>
      </c>
      <c r="H989" s="14">
        <v>300</v>
      </c>
      <c r="I989" s="15">
        <v>81.900000000000006</v>
      </c>
      <c r="J989" s="16"/>
      <c r="K989" s="17">
        <v>24570</v>
      </c>
      <c r="L989" s="18">
        <v>46174</v>
      </c>
      <c r="M989" s="6" t="str">
        <f t="shared" si="45"/>
        <v>Schedule order</v>
      </c>
      <c r="N989" s="8">
        <f t="shared" ca="1" si="46"/>
        <v>19</v>
      </c>
      <c r="O989" s="8" t="str">
        <f t="shared" ca="1" si="47"/>
        <v>Lattest or shedule order</v>
      </c>
      <c r="P989" t="str">
        <f>VLOOKUP(C989,[1]Customer_Master!$A:$B,2,0)</f>
        <v>Group 1-Giridhar-Peenya</v>
      </c>
      <c r="Q989" t="str">
        <f>VLOOKUP(D989,[2]Template!$A:$D,3,0)</f>
        <v>LAPP</v>
      </c>
      <c r="R989" t="str">
        <f>VLOOKUP(D989,[2]Template!$A:$D,4,0)</f>
        <v>Lapp-Planned Stock General</v>
      </c>
    </row>
    <row r="990" spans="1:18" ht="13.5" customHeight="1" x14ac:dyDescent="0.25">
      <c r="A990" s="9">
        <v>46142</v>
      </c>
      <c r="B990" s="10" t="s">
        <v>1499</v>
      </c>
      <c r="C990" s="11" t="s">
        <v>143</v>
      </c>
      <c r="D990" s="10" t="s">
        <v>342</v>
      </c>
      <c r="E990" s="12" t="s">
        <v>1072</v>
      </c>
      <c r="F990" s="12" t="s">
        <v>125</v>
      </c>
      <c r="G990" s="13">
        <v>300</v>
      </c>
      <c r="H990" s="14">
        <v>300</v>
      </c>
      <c r="I990" s="15">
        <v>81.900000000000006</v>
      </c>
      <c r="J990" s="16"/>
      <c r="K990" s="17">
        <v>24570</v>
      </c>
      <c r="L990" s="18">
        <v>46193</v>
      </c>
      <c r="M990" s="6" t="str">
        <f t="shared" si="45"/>
        <v>Schedule order</v>
      </c>
      <c r="N990" s="8">
        <f t="shared" ca="1" si="46"/>
        <v>38</v>
      </c>
      <c r="O990" s="8" t="str">
        <f t="shared" ca="1" si="47"/>
        <v>Lattest or shedule order</v>
      </c>
      <c r="P990" t="str">
        <f>VLOOKUP(C990,[1]Customer_Master!$A:$B,2,0)</f>
        <v>Group 1-Giridhar-Peenya</v>
      </c>
      <c r="Q990" t="str">
        <f>VLOOKUP(D990,[2]Template!$A:$D,3,0)</f>
        <v>LAPP</v>
      </c>
      <c r="R990" t="str">
        <f>VLOOKUP(D990,[2]Template!$A:$D,4,0)</f>
        <v>Lapp-Planned Stock General</v>
      </c>
    </row>
    <row r="991" spans="1:18" ht="13.5" customHeight="1" x14ac:dyDescent="0.25">
      <c r="A991" s="9">
        <v>46142</v>
      </c>
      <c r="B991" s="10" t="s">
        <v>1499</v>
      </c>
      <c r="C991" s="11" t="s">
        <v>143</v>
      </c>
      <c r="D991" s="10" t="s">
        <v>360</v>
      </c>
      <c r="E991" s="12" t="s">
        <v>1072</v>
      </c>
      <c r="F991" s="12" t="s">
        <v>141</v>
      </c>
      <c r="G991" s="13">
        <v>500</v>
      </c>
      <c r="H991" s="14">
        <v>500</v>
      </c>
      <c r="I991" s="15">
        <v>81.900000000000006</v>
      </c>
      <c r="J991" s="16"/>
      <c r="K991" s="17">
        <v>40950</v>
      </c>
      <c r="L991" s="18">
        <v>46157</v>
      </c>
      <c r="M991" s="6" t="str">
        <f t="shared" si="45"/>
        <v>Schedule order</v>
      </c>
      <c r="N991" s="8">
        <f t="shared" ca="1" si="46"/>
        <v>2</v>
      </c>
      <c r="O991" s="8" t="str">
        <f t="shared" ca="1" si="47"/>
        <v>Lattest or shedule order</v>
      </c>
      <c r="P991" t="str">
        <f>VLOOKUP(C991,[1]Customer_Master!$A:$B,2,0)</f>
        <v>Group 1-Giridhar-Peenya</v>
      </c>
      <c r="Q991" t="str">
        <f>VLOOKUP(D991,[2]Template!$A:$D,3,0)</f>
        <v>LAPP</v>
      </c>
      <c r="R991" t="str">
        <f>VLOOKUP(D991,[2]Template!$A:$D,4,0)</f>
        <v>Lapp-Planned Stock General</v>
      </c>
    </row>
    <row r="992" spans="1:18" ht="13.5" customHeight="1" x14ac:dyDescent="0.25">
      <c r="A992" s="9">
        <v>46142</v>
      </c>
      <c r="B992" s="10" t="s">
        <v>1499</v>
      </c>
      <c r="C992" s="11" t="s">
        <v>143</v>
      </c>
      <c r="D992" s="10" t="s">
        <v>360</v>
      </c>
      <c r="E992" s="12" t="s">
        <v>1072</v>
      </c>
      <c r="F992" s="12" t="s">
        <v>141</v>
      </c>
      <c r="G992" s="13">
        <v>500</v>
      </c>
      <c r="H992" s="14">
        <v>500</v>
      </c>
      <c r="I992" s="15">
        <v>81.900000000000006</v>
      </c>
      <c r="J992" s="16"/>
      <c r="K992" s="17">
        <v>40950</v>
      </c>
      <c r="L992" s="18">
        <v>46174</v>
      </c>
      <c r="M992" s="6" t="str">
        <f t="shared" si="45"/>
        <v>Schedule order</v>
      </c>
      <c r="N992" s="8">
        <f t="shared" ca="1" si="46"/>
        <v>19</v>
      </c>
      <c r="O992" s="8" t="str">
        <f t="shared" ca="1" si="47"/>
        <v>Lattest or shedule order</v>
      </c>
      <c r="P992" t="str">
        <f>VLOOKUP(C992,[1]Customer_Master!$A:$B,2,0)</f>
        <v>Group 1-Giridhar-Peenya</v>
      </c>
      <c r="Q992" t="str">
        <f>VLOOKUP(D992,[2]Template!$A:$D,3,0)</f>
        <v>LAPP</v>
      </c>
      <c r="R992" t="str">
        <f>VLOOKUP(D992,[2]Template!$A:$D,4,0)</f>
        <v>Lapp-Planned Stock General</v>
      </c>
    </row>
    <row r="993" spans="1:18" ht="13.5" customHeight="1" x14ac:dyDescent="0.25">
      <c r="A993" s="9">
        <v>46142</v>
      </c>
      <c r="B993" s="10" t="s">
        <v>1499</v>
      </c>
      <c r="C993" s="11" t="s">
        <v>143</v>
      </c>
      <c r="D993" s="10" t="s">
        <v>360</v>
      </c>
      <c r="E993" s="12" t="s">
        <v>1072</v>
      </c>
      <c r="F993" s="12" t="s">
        <v>141</v>
      </c>
      <c r="G993" s="13">
        <v>500</v>
      </c>
      <c r="H993" s="14">
        <v>500</v>
      </c>
      <c r="I993" s="15">
        <v>81.900000000000006</v>
      </c>
      <c r="J993" s="16"/>
      <c r="K993" s="17">
        <v>40950</v>
      </c>
      <c r="L993" s="18">
        <v>46188</v>
      </c>
      <c r="M993" s="6" t="str">
        <f t="shared" si="45"/>
        <v>Schedule order</v>
      </c>
      <c r="N993" s="8">
        <f t="shared" ca="1" si="46"/>
        <v>33</v>
      </c>
      <c r="O993" s="8" t="str">
        <f t="shared" ca="1" si="47"/>
        <v>Lattest or shedule order</v>
      </c>
      <c r="P993" t="str">
        <f>VLOOKUP(C993,[1]Customer_Master!$A:$B,2,0)</f>
        <v>Group 1-Giridhar-Peenya</v>
      </c>
      <c r="Q993" t="str">
        <f>VLOOKUP(D993,[2]Template!$A:$D,3,0)</f>
        <v>LAPP</v>
      </c>
      <c r="R993" t="str">
        <f>VLOOKUP(D993,[2]Template!$A:$D,4,0)</f>
        <v>Lapp-Planned Stock General</v>
      </c>
    </row>
    <row r="994" spans="1:18" ht="13.5" customHeight="1" x14ac:dyDescent="0.25">
      <c r="A994" s="9">
        <v>46142</v>
      </c>
      <c r="B994" s="10" t="s">
        <v>1499</v>
      </c>
      <c r="C994" s="11" t="s">
        <v>143</v>
      </c>
      <c r="D994" s="10" t="s">
        <v>654</v>
      </c>
      <c r="E994" s="12" t="s">
        <v>1072</v>
      </c>
      <c r="F994" s="12" t="s">
        <v>655</v>
      </c>
      <c r="G994" s="13">
        <v>6000</v>
      </c>
      <c r="H994" s="14">
        <v>6000</v>
      </c>
      <c r="I994" s="15">
        <v>28.51</v>
      </c>
      <c r="J994" s="16"/>
      <c r="K994" s="17">
        <v>171060</v>
      </c>
      <c r="L994" s="18">
        <v>46157</v>
      </c>
      <c r="M994" s="6" t="str">
        <f t="shared" si="45"/>
        <v>Schedule order</v>
      </c>
      <c r="N994" s="8">
        <f t="shared" ca="1" si="46"/>
        <v>2</v>
      </c>
      <c r="O994" s="8" t="str">
        <f t="shared" ca="1" si="47"/>
        <v>Lattest or shedule order</v>
      </c>
      <c r="P994" t="str">
        <f>VLOOKUP(C994,[1]Customer_Master!$A:$B,2,0)</f>
        <v>Group 1-Giridhar-Peenya</v>
      </c>
      <c r="Q994" t="str">
        <f>VLOOKUP(D994,[2]Template!$A:$D,3,0)</f>
        <v>LAPP</v>
      </c>
      <c r="R994" t="str">
        <f>VLOOKUP(D994,[2]Template!$A:$D,4,0)</f>
        <v>Lapp-Ace Group</v>
      </c>
    </row>
    <row r="995" spans="1:18" ht="13.5" customHeight="1" x14ac:dyDescent="0.25">
      <c r="A995" s="9">
        <v>46142</v>
      </c>
      <c r="B995" s="10" t="s">
        <v>1499</v>
      </c>
      <c r="C995" s="11" t="s">
        <v>143</v>
      </c>
      <c r="D995" s="10" t="s">
        <v>654</v>
      </c>
      <c r="E995" s="12" t="s">
        <v>1072</v>
      </c>
      <c r="F995" s="12" t="s">
        <v>655</v>
      </c>
      <c r="G995" s="13">
        <v>6000</v>
      </c>
      <c r="H995" s="14">
        <v>6000</v>
      </c>
      <c r="I995" s="15">
        <v>28.51</v>
      </c>
      <c r="J995" s="16"/>
      <c r="K995" s="17">
        <v>171060</v>
      </c>
      <c r="L995" s="18">
        <v>46174</v>
      </c>
      <c r="M995" s="6" t="str">
        <f t="shared" si="45"/>
        <v>Schedule order</v>
      </c>
      <c r="N995" s="8">
        <f t="shared" ca="1" si="46"/>
        <v>19</v>
      </c>
      <c r="O995" s="8" t="str">
        <f t="shared" ca="1" si="47"/>
        <v>Lattest or shedule order</v>
      </c>
      <c r="P995" t="str">
        <f>VLOOKUP(C995,[1]Customer_Master!$A:$B,2,0)</f>
        <v>Group 1-Giridhar-Peenya</v>
      </c>
      <c r="Q995" t="str">
        <f>VLOOKUP(D995,[2]Template!$A:$D,3,0)</f>
        <v>LAPP</v>
      </c>
      <c r="R995" t="str">
        <f>VLOOKUP(D995,[2]Template!$A:$D,4,0)</f>
        <v>Lapp-Ace Group</v>
      </c>
    </row>
    <row r="996" spans="1:18" ht="13.5" customHeight="1" x14ac:dyDescent="0.25">
      <c r="A996" s="9">
        <v>46142</v>
      </c>
      <c r="B996" s="10" t="s">
        <v>1499</v>
      </c>
      <c r="C996" s="11" t="s">
        <v>143</v>
      </c>
      <c r="D996" s="10" t="s">
        <v>654</v>
      </c>
      <c r="E996" s="12" t="s">
        <v>1072</v>
      </c>
      <c r="F996" s="12" t="s">
        <v>655</v>
      </c>
      <c r="G996" s="13">
        <v>6000</v>
      </c>
      <c r="H996" s="14">
        <v>6000</v>
      </c>
      <c r="I996" s="15">
        <v>28.51</v>
      </c>
      <c r="J996" s="16"/>
      <c r="K996" s="17">
        <v>171060</v>
      </c>
      <c r="L996" s="18">
        <v>46188</v>
      </c>
      <c r="M996" s="6" t="str">
        <f t="shared" si="45"/>
        <v>Schedule order</v>
      </c>
      <c r="N996" s="8">
        <f t="shared" ca="1" si="46"/>
        <v>33</v>
      </c>
      <c r="O996" s="8" t="str">
        <f t="shared" ca="1" si="47"/>
        <v>Lattest or shedule order</v>
      </c>
      <c r="P996" t="str">
        <f>VLOOKUP(C996,[1]Customer_Master!$A:$B,2,0)</f>
        <v>Group 1-Giridhar-Peenya</v>
      </c>
      <c r="Q996" t="str">
        <f>VLOOKUP(D996,[2]Template!$A:$D,3,0)</f>
        <v>LAPP</v>
      </c>
      <c r="R996" t="str">
        <f>VLOOKUP(D996,[2]Template!$A:$D,4,0)</f>
        <v>Lapp-Ace Group</v>
      </c>
    </row>
    <row r="997" spans="1:18" ht="13.5" customHeight="1" x14ac:dyDescent="0.25">
      <c r="A997" s="9">
        <v>46142</v>
      </c>
      <c r="B997" s="10" t="s">
        <v>1499</v>
      </c>
      <c r="C997" s="11" t="s">
        <v>143</v>
      </c>
      <c r="D997" s="10" t="s">
        <v>362</v>
      </c>
      <c r="E997" s="12" t="s">
        <v>1072</v>
      </c>
      <c r="F997" s="12" t="s">
        <v>145</v>
      </c>
      <c r="G997" s="13">
        <v>1500</v>
      </c>
      <c r="H997" s="14">
        <v>1500</v>
      </c>
      <c r="I997" s="15">
        <v>47.4</v>
      </c>
      <c r="J997" s="16"/>
      <c r="K997" s="17">
        <v>71100</v>
      </c>
      <c r="L997" s="18">
        <v>46143</v>
      </c>
      <c r="M997" s="6" t="str">
        <f t="shared" si="45"/>
        <v>Schedule order</v>
      </c>
      <c r="N997" s="8">
        <f t="shared" ca="1" si="46"/>
        <v>-12</v>
      </c>
      <c r="O997" s="8" t="str">
        <f t="shared" ca="1" si="47"/>
        <v>With in 90 days</v>
      </c>
      <c r="P997" t="str">
        <f>VLOOKUP(C997,[1]Customer_Master!$A:$B,2,0)</f>
        <v>Group 1-Giridhar-Peenya</v>
      </c>
      <c r="Q997" t="str">
        <f>VLOOKUP(D997,[2]Template!$A:$D,3,0)</f>
        <v>LAPP</v>
      </c>
      <c r="R997" t="str">
        <f>VLOOKUP(D997,[2]Template!$A:$D,4,0)</f>
        <v>Lapp-Ace Group</v>
      </c>
    </row>
    <row r="998" spans="1:18" ht="13.5" customHeight="1" x14ac:dyDescent="0.25">
      <c r="A998" s="9">
        <v>46142</v>
      </c>
      <c r="B998" s="10" t="s">
        <v>1499</v>
      </c>
      <c r="C998" s="11" t="s">
        <v>143</v>
      </c>
      <c r="D998" s="10" t="s">
        <v>362</v>
      </c>
      <c r="E998" s="12" t="s">
        <v>1072</v>
      </c>
      <c r="F998" s="12" t="s">
        <v>145</v>
      </c>
      <c r="G998" s="13">
        <v>1000</v>
      </c>
      <c r="H998" s="14">
        <v>1000</v>
      </c>
      <c r="I998" s="15">
        <v>47.4</v>
      </c>
      <c r="J998" s="16"/>
      <c r="K998" s="17">
        <v>47400</v>
      </c>
      <c r="L998" s="18">
        <v>46157</v>
      </c>
      <c r="M998" s="6" t="str">
        <f t="shared" si="45"/>
        <v>Schedule order</v>
      </c>
      <c r="N998" s="8">
        <f t="shared" ca="1" si="46"/>
        <v>2</v>
      </c>
      <c r="O998" s="8" t="str">
        <f t="shared" ca="1" si="47"/>
        <v>Lattest or shedule order</v>
      </c>
      <c r="P998" t="str">
        <f>VLOOKUP(C998,[1]Customer_Master!$A:$B,2,0)</f>
        <v>Group 1-Giridhar-Peenya</v>
      </c>
      <c r="Q998" t="str">
        <f>VLOOKUP(D998,[2]Template!$A:$D,3,0)</f>
        <v>LAPP</v>
      </c>
      <c r="R998" t="str">
        <f>VLOOKUP(D998,[2]Template!$A:$D,4,0)</f>
        <v>Lapp-Ace Group</v>
      </c>
    </row>
    <row r="999" spans="1:18" ht="13.5" customHeight="1" x14ac:dyDescent="0.25">
      <c r="A999" s="9">
        <v>46142</v>
      </c>
      <c r="B999" s="10" t="s">
        <v>1499</v>
      </c>
      <c r="C999" s="11" t="s">
        <v>143</v>
      </c>
      <c r="D999" s="10" t="s">
        <v>362</v>
      </c>
      <c r="E999" s="12" t="s">
        <v>1072</v>
      </c>
      <c r="F999" s="12" t="s">
        <v>145</v>
      </c>
      <c r="G999" s="13">
        <v>1500</v>
      </c>
      <c r="H999" s="14">
        <v>1500</v>
      </c>
      <c r="I999" s="15">
        <v>47.4</v>
      </c>
      <c r="J999" s="16"/>
      <c r="K999" s="17">
        <v>71100</v>
      </c>
      <c r="L999" s="18">
        <v>46174</v>
      </c>
      <c r="M999" s="6" t="str">
        <f t="shared" si="45"/>
        <v>Schedule order</v>
      </c>
      <c r="N999" s="8">
        <f t="shared" ca="1" si="46"/>
        <v>19</v>
      </c>
      <c r="O999" s="8" t="str">
        <f t="shared" ca="1" si="47"/>
        <v>Lattest or shedule order</v>
      </c>
      <c r="P999" t="str">
        <f>VLOOKUP(C999,[1]Customer_Master!$A:$B,2,0)</f>
        <v>Group 1-Giridhar-Peenya</v>
      </c>
      <c r="Q999" t="str">
        <f>VLOOKUP(D999,[2]Template!$A:$D,3,0)</f>
        <v>LAPP</v>
      </c>
      <c r="R999" t="str">
        <f>VLOOKUP(D999,[2]Template!$A:$D,4,0)</f>
        <v>Lapp-Ace Group</v>
      </c>
    </row>
    <row r="1000" spans="1:18" ht="13.5" customHeight="1" x14ac:dyDescent="0.25">
      <c r="A1000" s="9">
        <v>46142</v>
      </c>
      <c r="B1000" s="10" t="s">
        <v>1499</v>
      </c>
      <c r="C1000" s="11" t="s">
        <v>143</v>
      </c>
      <c r="D1000" s="10" t="s">
        <v>362</v>
      </c>
      <c r="E1000" s="12" t="s">
        <v>1072</v>
      </c>
      <c r="F1000" s="12" t="s">
        <v>145</v>
      </c>
      <c r="G1000" s="13">
        <v>1000</v>
      </c>
      <c r="H1000" s="14">
        <v>1000</v>
      </c>
      <c r="I1000" s="15">
        <v>47.4</v>
      </c>
      <c r="J1000" s="16"/>
      <c r="K1000" s="17">
        <v>47400</v>
      </c>
      <c r="L1000" s="18">
        <v>46188</v>
      </c>
      <c r="M1000" s="6" t="str">
        <f t="shared" si="45"/>
        <v>Schedule order</v>
      </c>
      <c r="N1000" s="8">
        <f t="shared" ca="1" si="46"/>
        <v>33</v>
      </c>
      <c r="O1000" s="8" t="str">
        <f t="shared" ca="1" si="47"/>
        <v>Lattest or shedule order</v>
      </c>
      <c r="P1000" t="str">
        <f>VLOOKUP(C1000,[1]Customer_Master!$A:$B,2,0)</f>
        <v>Group 1-Giridhar-Peenya</v>
      </c>
      <c r="Q1000" t="str">
        <f>VLOOKUP(D1000,[2]Template!$A:$D,3,0)</f>
        <v>LAPP</v>
      </c>
      <c r="R1000" t="str">
        <f>VLOOKUP(D1000,[2]Template!$A:$D,4,0)</f>
        <v>Lapp-Ace Group</v>
      </c>
    </row>
    <row r="1001" spans="1:18" ht="13.5" customHeight="1" x14ac:dyDescent="0.25">
      <c r="A1001" s="9">
        <v>46142</v>
      </c>
      <c r="B1001" s="10" t="s">
        <v>1499</v>
      </c>
      <c r="C1001" s="11" t="s">
        <v>143</v>
      </c>
      <c r="D1001" s="10" t="s">
        <v>656</v>
      </c>
      <c r="E1001" s="12" t="s">
        <v>1072</v>
      </c>
      <c r="F1001" s="12" t="s">
        <v>657</v>
      </c>
      <c r="G1001" s="13">
        <v>500</v>
      </c>
      <c r="H1001" s="14">
        <v>500</v>
      </c>
      <c r="I1001" s="15">
        <v>29.75</v>
      </c>
      <c r="J1001" s="16"/>
      <c r="K1001" s="17">
        <v>14875</v>
      </c>
      <c r="L1001" s="18">
        <v>46157</v>
      </c>
      <c r="M1001" s="6" t="str">
        <f t="shared" si="45"/>
        <v>Schedule order</v>
      </c>
      <c r="N1001" s="8">
        <f t="shared" ca="1" si="46"/>
        <v>2</v>
      </c>
      <c r="O1001" s="8" t="str">
        <f t="shared" ca="1" si="47"/>
        <v>Lattest or shedule order</v>
      </c>
      <c r="P1001" t="str">
        <f>VLOOKUP(C1001,[1]Customer_Master!$A:$B,2,0)</f>
        <v>Group 1-Giridhar-Peenya</v>
      </c>
      <c r="Q1001" t="str">
        <f>VLOOKUP(D1001,[2]Template!$A:$D,3,0)</f>
        <v>LAPP</v>
      </c>
      <c r="R1001" t="str">
        <f>VLOOKUP(D1001,[2]Template!$A:$D,4,0)</f>
        <v>Lapp-Ace Group</v>
      </c>
    </row>
    <row r="1002" spans="1:18" ht="13.5" customHeight="1" x14ac:dyDescent="0.25">
      <c r="A1002" s="9">
        <v>46142</v>
      </c>
      <c r="B1002" s="10" t="s">
        <v>1499</v>
      </c>
      <c r="C1002" s="11" t="s">
        <v>143</v>
      </c>
      <c r="D1002" s="10" t="s">
        <v>656</v>
      </c>
      <c r="E1002" s="12" t="s">
        <v>1072</v>
      </c>
      <c r="F1002" s="12" t="s">
        <v>657</v>
      </c>
      <c r="G1002" s="13">
        <v>500</v>
      </c>
      <c r="H1002" s="14">
        <v>500</v>
      </c>
      <c r="I1002" s="15">
        <v>29.75</v>
      </c>
      <c r="J1002" s="16"/>
      <c r="K1002" s="17">
        <v>14875</v>
      </c>
      <c r="L1002" s="18">
        <v>46174</v>
      </c>
      <c r="M1002" s="6" t="str">
        <f t="shared" si="45"/>
        <v>Schedule order</v>
      </c>
      <c r="N1002" s="8">
        <f t="shared" ca="1" si="46"/>
        <v>19</v>
      </c>
      <c r="O1002" s="8" t="str">
        <f t="shared" ca="1" si="47"/>
        <v>Lattest or shedule order</v>
      </c>
      <c r="P1002" t="str">
        <f>VLOOKUP(C1002,[1]Customer_Master!$A:$B,2,0)</f>
        <v>Group 1-Giridhar-Peenya</v>
      </c>
      <c r="Q1002" t="str">
        <f>VLOOKUP(D1002,[2]Template!$A:$D,3,0)</f>
        <v>LAPP</v>
      </c>
      <c r="R1002" t="str">
        <f>VLOOKUP(D1002,[2]Template!$A:$D,4,0)</f>
        <v>Lapp-Ace Group</v>
      </c>
    </row>
    <row r="1003" spans="1:18" ht="13.5" customHeight="1" x14ac:dyDescent="0.25">
      <c r="A1003" s="9">
        <v>46142</v>
      </c>
      <c r="B1003" s="10" t="s">
        <v>1499</v>
      </c>
      <c r="C1003" s="11" t="s">
        <v>143</v>
      </c>
      <c r="D1003" s="10" t="s">
        <v>656</v>
      </c>
      <c r="E1003" s="12" t="s">
        <v>1072</v>
      </c>
      <c r="F1003" s="12" t="s">
        <v>657</v>
      </c>
      <c r="G1003" s="13">
        <v>500</v>
      </c>
      <c r="H1003" s="14">
        <v>500</v>
      </c>
      <c r="I1003" s="15">
        <v>29.75</v>
      </c>
      <c r="J1003" s="16"/>
      <c r="K1003" s="17">
        <v>14875</v>
      </c>
      <c r="L1003" s="18">
        <v>46188</v>
      </c>
      <c r="M1003" s="6" t="str">
        <f t="shared" si="45"/>
        <v>Schedule order</v>
      </c>
      <c r="N1003" s="8">
        <f t="shared" ca="1" si="46"/>
        <v>33</v>
      </c>
      <c r="O1003" s="8" t="str">
        <f t="shared" ca="1" si="47"/>
        <v>Lattest or shedule order</v>
      </c>
      <c r="P1003" t="str">
        <f>VLOOKUP(C1003,[1]Customer_Master!$A:$B,2,0)</f>
        <v>Group 1-Giridhar-Peenya</v>
      </c>
      <c r="Q1003" t="str">
        <f>VLOOKUP(D1003,[2]Template!$A:$D,3,0)</f>
        <v>LAPP</v>
      </c>
      <c r="R1003" t="str">
        <f>VLOOKUP(D1003,[2]Template!$A:$D,4,0)</f>
        <v>Lapp-Ace Group</v>
      </c>
    </row>
    <row r="1004" spans="1:18" ht="13.5" customHeight="1" x14ac:dyDescent="0.25">
      <c r="A1004" s="9">
        <v>46142</v>
      </c>
      <c r="B1004" s="10" t="s">
        <v>1499</v>
      </c>
      <c r="C1004" s="11" t="s">
        <v>143</v>
      </c>
      <c r="D1004" s="10" t="s">
        <v>333</v>
      </c>
      <c r="E1004" s="12" t="s">
        <v>1072</v>
      </c>
      <c r="F1004" s="12" t="s">
        <v>120</v>
      </c>
      <c r="G1004" s="13">
        <v>500</v>
      </c>
      <c r="H1004" s="14">
        <v>500</v>
      </c>
      <c r="I1004" s="15">
        <v>41.4</v>
      </c>
      <c r="J1004" s="16"/>
      <c r="K1004" s="17">
        <v>20700</v>
      </c>
      <c r="L1004" s="18">
        <v>46157</v>
      </c>
      <c r="M1004" s="6" t="str">
        <f t="shared" si="45"/>
        <v>Schedule order</v>
      </c>
      <c r="N1004" s="8">
        <f t="shared" ca="1" si="46"/>
        <v>2</v>
      </c>
      <c r="O1004" s="8" t="str">
        <f t="shared" ca="1" si="47"/>
        <v>Lattest or shedule order</v>
      </c>
      <c r="P1004" t="str">
        <f>VLOOKUP(C1004,[1]Customer_Master!$A:$B,2,0)</f>
        <v>Group 1-Giridhar-Peenya</v>
      </c>
      <c r="Q1004" t="str">
        <f>VLOOKUP(D1004,[2]Template!$A:$D,3,0)</f>
        <v>LAPP</v>
      </c>
      <c r="R1004" t="str">
        <f>VLOOKUP(D1004,[2]Template!$A:$D,4,0)</f>
        <v>Lapp-Ace Group</v>
      </c>
    </row>
    <row r="1005" spans="1:18" ht="13.5" customHeight="1" x14ac:dyDescent="0.25">
      <c r="A1005" s="9">
        <v>46142</v>
      </c>
      <c r="B1005" s="10" t="s">
        <v>1499</v>
      </c>
      <c r="C1005" s="11" t="s">
        <v>143</v>
      </c>
      <c r="D1005" s="10" t="s">
        <v>333</v>
      </c>
      <c r="E1005" s="12" t="s">
        <v>1072</v>
      </c>
      <c r="F1005" s="12" t="s">
        <v>120</v>
      </c>
      <c r="G1005" s="13">
        <v>500</v>
      </c>
      <c r="H1005" s="14">
        <v>500</v>
      </c>
      <c r="I1005" s="15">
        <v>41.4</v>
      </c>
      <c r="J1005" s="16"/>
      <c r="K1005" s="17">
        <v>20700</v>
      </c>
      <c r="L1005" s="18">
        <v>46174</v>
      </c>
      <c r="M1005" s="6" t="str">
        <f t="shared" si="45"/>
        <v>Schedule order</v>
      </c>
      <c r="N1005" s="8">
        <f t="shared" ca="1" si="46"/>
        <v>19</v>
      </c>
      <c r="O1005" s="8" t="str">
        <f t="shared" ca="1" si="47"/>
        <v>Lattest or shedule order</v>
      </c>
      <c r="P1005" t="str">
        <f>VLOOKUP(C1005,[1]Customer_Master!$A:$B,2,0)</f>
        <v>Group 1-Giridhar-Peenya</v>
      </c>
      <c r="Q1005" t="str">
        <f>VLOOKUP(D1005,[2]Template!$A:$D,3,0)</f>
        <v>LAPP</v>
      </c>
      <c r="R1005" t="str">
        <f>VLOOKUP(D1005,[2]Template!$A:$D,4,0)</f>
        <v>Lapp-Ace Group</v>
      </c>
    </row>
    <row r="1006" spans="1:18" ht="13.5" customHeight="1" x14ac:dyDescent="0.25">
      <c r="A1006" s="9">
        <v>46142</v>
      </c>
      <c r="B1006" s="10" t="s">
        <v>1499</v>
      </c>
      <c r="C1006" s="11" t="s">
        <v>143</v>
      </c>
      <c r="D1006" s="10" t="s">
        <v>477</v>
      </c>
      <c r="E1006" s="12" t="s">
        <v>1072</v>
      </c>
      <c r="F1006" s="12" t="s">
        <v>478</v>
      </c>
      <c r="G1006" s="13">
        <v>500</v>
      </c>
      <c r="H1006" s="14">
        <v>500</v>
      </c>
      <c r="I1006" s="15">
        <v>382.8</v>
      </c>
      <c r="J1006" s="16"/>
      <c r="K1006" s="17">
        <v>191400</v>
      </c>
      <c r="L1006" s="18">
        <v>46157</v>
      </c>
      <c r="M1006" s="6" t="str">
        <f t="shared" si="45"/>
        <v>Schedule order</v>
      </c>
      <c r="N1006" s="8">
        <f t="shared" ca="1" si="46"/>
        <v>2</v>
      </c>
      <c r="O1006" s="8" t="str">
        <f t="shared" ca="1" si="47"/>
        <v>Lattest or shedule order</v>
      </c>
      <c r="P1006" t="str">
        <f>VLOOKUP(C1006,[1]Customer_Master!$A:$B,2,0)</f>
        <v>Group 1-Giridhar-Peenya</v>
      </c>
      <c r="Q1006" t="str">
        <f>VLOOKUP(D1006,[2]Template!$A:$D,3,0)</f>
        <v>LAPP</v>
      </c>
      <c r="R1006" t="str">
        <f>VLOOKUP(D1006,[2]Template!$A:$D,4,0)</f>
        <v>Lapp-Planned Stock General</v>
      </c>
    </row>
    <row r="1007" spans="1:18" ht="13.5" customHeight="1" x14ac:dyDescent="0.25">
      <c r="A1007" s="9">
        <v>46142</v>
      </c>
      <c r="B1007" s="10" t="s">
        <v>1499</v>
      </c>
      <c r="C1007" s="11" t="s">
        <v>143</v>
      </c>
      <c r="D1007" s="10" t="s">
        <v>477</v>
      </c>
      <c r="E1007" s="12" t="s">
        <v>1072</v>
      </c>
      <c r="F1007" s="12" t="s">
        <v>478</v>
      </c>
      <c r="G1007" s="13">
        <v>500</v>
      </c>
      <c r="H1007" s="14">
        <v>500</v>
      </c>
      <c r="I1007" s="15">
        <v>382.8</v>
      </c>
      <c r="J1007" s="16"/>
      <c r="K1007" s="17">
        <v>191400</v>
      </c>
      <c r="L1007" s="18">
        <v>46174</v>
      </c>
      <c r="M1007" s="6" t="str">
        <f t="shared" si="45"/>
        <v>Schedule order</v>
      </c>
      <c r="N1007" s="8">
        <f t="shared" ca="1" si="46"/>
        <v>19</v>
      </c>
      <c r="O1007" s="8" t="str">
        <f t="shared" ca="1" si="47"/>
        <v>Lattest or shedule order</v>
      </c>
      <c r="P1007" t="str">
        <f>VLOOKUP(C1007,[1]Customer_Master!$A:$B,2,0)</f>
        <v>Group 1-Giridhar-Peenya</v>
      </c>
      <c r="Q1007" t="str">
        <f>VLOOKUP(D1007,[2]Template!$A:$D,3,0)</f>
        <v>LAPP</v>
      </c>
      <c r="R1007" t="str">
        <f>VLOOKUP(D1007,[2]Template!$A:$D,4,0)</f>
        <v>Lapp-Planned Stock General</v>
      </c>
    </row>
    <row r="1008" spans="1:18" ht="13.5" customHeight="1" x14ac:dyDescent="0.25">
      <c r="A1008" s="9">
        <v>46142</v>
      </c>
      <c r="B1008" s="10" t="s">
        <v>1499</v>
      </c>
      <c r="C1008" s="11" t="s">
        <v>143</v>
      </c>
      <c r="D1008" s="10" t="s">
        <v>477</v>
      </c>
      <c r="E1008" s="12" t="s">
        <v>1072</v>
      </c>
      <c r="F1008" s="12" t="s">
        <v>478</v>
      </c>
      <c r="G1008" s="13">
        <v>500</v>
      </c>
      <c r="H1008" s="14">
        <v>500</v>
      </c>
      <c r="I1008" s="15">
        <v>382.8</v>
      </c>
      <c r="J1008" s="16"/>
      <c r="K1008" s="17">
        <v>191400</v>
      </c>
      <c r="L1008" s="18">
        <v>46188</v>
      </c>
      <c r="M1008" s="6" t="str">
        <f t="shared" si="45"/>
        <v>Schedule order</v>
      </c>
      <c r="N1008" s="8">
        <f t="shared" ca="1" si="46"/>
        <v>33</v>
      </c>
      <c r="O1008" s="8" t="str">
        <f t="shared" ca="1" si="47"/>
        <v>Lattest or shedule order</v>
      </c>
      <c r="P1008" t="str">
        <f>VLOOKUP(C1008,[1]Customer_Master!$A:$B,2,0)</f>
        <v>Group 1-Giridhar-Peenya</v>
      </c>
      <c r="Q1008" t="str">
        <f>VLOOKUP(D1008,[2]Template!$A:$D,3,0)</f>
        <v>LAPP</v>
      </c>
      <c r="R1008" t="str">
        <f>VLOOKUP(D1008,[2]Template!$A:$D,4,0)</f>
        <v>Lapp-Planned Stock General</v>
      </c>
    </row>
    <row r="1009" spans="1:18" ht="13.5" customHeight="1" x14ac:dyDescent="0.25">
      <c r="A1009" s="9">
        <v>46142</v>
      </c>
      <c r="B1009" s="10" t="s">
        <v>1499</v>
      </c>
      <c r="C1009" s="11" t="s">
        <v>143</v>
      </c>
      <c r="D1009" s="10" t="s">
        <v>512</v>
      </c>
      <c r="E1009" s="12" t="s">
        <v>1072</v>
      </c>
      <c r="F1009" s="12" t="s">
        <v>513</v>
      </c>
      <c r="G1009" s="13">
        <v>1500</v>
      </c>
      <c r="H1009" s="14">
        <v>1460</v>
      </c>
      <c r="I1009" s="15">
        <v>58.69</v>
      </c>
      <c r="J1009" s="16"/>
      <c r="K1009" s="17">
        <v>85687.4</v>
      </c>
      <c r="L1009" s="18">
        <v>46157</v>
      </c>
      <c r="M1009" s="6" t="str">
        <f t="shared" si="45"/>
        <v>Schedule order</v>
      </c>
      <c r="N1009" s="8">
        <f t="shared" ca="1" si="46"/>
        <v>2</v>
      </c>
      <c r="O1009" s="8" t="str">
        <f t="shared" ca="1" si="47"/>
        <v>Lattest or shedule order</v>
      </c>
      <c r="P1009" t="str">
        <f>VLOOKUP(C1009,[1]Customer_Master!$A:$B,2,0)</f>
        <v>Group 1-Giridhar-Peenya</v>
      </c>
      <c r="Q1009" t="str">
        <f>VLOOKUP(D1009,[2]Template!$A:$D,3,0)</f>
        <v>LAPP</v>
      </c>
      <c r="R1009" t="str">
        <f>VLOOKUP(D1009,[2]Template!$A:$D,4,0)</f>
        <v>Lapp-Ace Group</v>
      </c>
    </row>
    <row r="1010" spans="1:18" ht="13.5" customHeight="1" x14ac:dyDescent="0.25">
      <c r="A1010" s="9">
        <v>46142</v>
      </c>
      <c r="B1010" s="10" t="s">
        <v>1499</v>
      </c>
      <c r="C1010" s="11" t="s">
        <v>143</v>
      </c>
      <c r="D1010" s="10" t="s">
        <v>512</v>
      </c>
      <c r="E1010" s="12" t="s">
        <v>1072</v>
      </c>
      <c r="F1010" s="12" t="s">
        <v>513</v>
      </c>
      <c r="G1010" s="13">
        <v>1500</v>
      </c>
      <c r="H1010" s="14">
        <v>1500</v>
      </c>
      <c r="I1010" s="15">
        <v>58.69</v>
      </c>
      <c r="J1010" s="16"/>
      <c r="K1010" s="17">
        <v>88035</v>
      </c>
      <c r="L1010" s="18">
        <v>46174</v>
      </c>
      <c r="M1010" s="6" t="str">
        <f t="shared" si="45"/>
        <v>Schedule order</v>
      </c>
      <c r="N1010" s="8">
        <f t="shared" ca="1" si="46"/>
        <v>19</v>
      </c>
      <c r="O1010" s="8" t="str">
        <f t="shared" ca="1" si="47"/>
        <v>Lattest or shedule order</v>
      </c>
      <c r="P1010" t="str">
        <f>VLOOKUP(C1010,[1]Customer_Master!$A:$B,2,0)</f>
        <v>Group 1-Giridhar-Peenya</v>
      </c>
      <c r="Q1010" t="str">
        <f>VLOOKUP(D1010,[2]Template!$A:$D,3,0)</f>
        <v>LAPP</v>
      </c>
      <c r="R1010" t="str">
        <f>VLOOKUP(D1010,[2]Template!$A:$D,4,0)</f>
        <v>Lapp-Ace Group</v>
      </c>
    </row>
    <row r="1011" spans="1:18" ht="13.5" customHeight="1" x14ac:dyDescent="0.25">
      <c r="A1011" s="9">
        <v>46142</v>
      </c>
      <c r="B1011" s="10" t="s">
        <v>1499</v>
      </c>
      <c r="C1011" s="11" t="s">
        <v>143</v>
      </c>
      <c r="D1011" s="10" t="s">
        <v>512</v>
      </c>
      <c r="E1011" s="12" t="s">
        <v>1072</v>
      </c>
      <c r="F1011" s="12" t="s">
        <v>513</v>
      </c>
      <c r="G1011" s="13">
        <v>1000</v>
      </c>
      <c r="H1011" s="14">
        <v>1000</v>
      </c>
      <c r="I1011" s="15">
        <v>58.69</v>
      </c>
      <c r="J1011" s="16"/>
      <c r="K1011" s="17">
        <v>58690</v>
      </c>
      <c r="L1011" s="18">
        <v>46188</v>
      </c>
      <c r="M1011" s="6" t="str">
        <f t="shared" si="45"/>
        <v>Schedule order</v>
      </c>
      <c r="N1011" s="8">
        <f t="shared" ca="1" si="46"/>
        <v>33</v>
      </c>
      <c r="O1011" s="8" t="str">
        <f t="shared" ca="1" si="47"/>
        <v>Lattest or shedule order</v>
      </c>
      <c r="P1011" t="str">
        <f>VLOOKUP(C1011,[1]Customer_Master!$A:$B,2,0)</f>
        <v>Group 1-Giridhar-Peenya</v>
      </c>
      <c r="Q1011" t="str">
        <f>VLOOKUP(D1011,[2]Template!$A:$D,3,0)</f>
        <v>LAPP</v>
      </c>
      <c r="R1011" t="str">
        <f>VLOOKUP(D1011,[2]Template!$A:$D,4,0)</f>
        <v>Lapp-Ace Group</v>
      </c>
    </row>
    <row r="1012" spans="1:18" ht="13.5" customHeight="1" x14ac:dyDescent="0.25">
      <c r="A1012" s="9">
        <v>46142</v>
      </c>
      <c r="B1012" s="10" t="s">
        <v>1499</v>
      </c>
      <c r="C1012" s="11" t="s">
        <v>143</v>
      </c>
      <c r="D1012" s="10" t="s">
        <v>660</v>
      </c>
      <c r="E1012" s="12" t="s">
        <v>1072</v>
      </c>
      <c r="F1012" s="12" t="s">
        <v>661</v>
      </c>
      <c r="G1012" s="22">
        <v>70</v>
      </c>
      <c r="H1012" s="23">
        <v>70</v>
      </c>
      <c r="I1012" s="15">
        <v>902.49</v>
      </c>
      <c r="J1012" s="16"/>
      <c r="K1012" s="17">
        <v>63174.3</v>
      </c>
      <c r="L1012" s="18">
        <v>46157</v>
      </c>
      <c r="M1012" s="6" t="str">
        <f t="shared" si="45"/>
        <v>Schedule order</v>
      </c>
      <c r="N1012" s="8">
        <f t="shared" ca="1" si="46"/>
        <v>2</v>
      </c>
      <c r="O1012" s="8" t="str">
        <f t="shared" ca="1" si="47"/>
        <v>Lattest or shedule order</v>
      </c>
      <c r="P1012" t="str">
        <f>VLOOKUP(C1012,[1]Customer_Master!$A:$B,2,0)</f>
        <v>Group 1-Giridhar-Peenya</v>
      </c>
      <c r="Q1012" t="str">
        <f>VLOOKUP(D1012,[2]Template!$A:$D,3,0)</f>
        <v>LAPP</v>
      </c>
      <c r="R1012" t="str">
        <f>VLOOKUP(D1012,[2]Template!$A:$D,4,0)</f>
        <v>Lapp-Ace Group</v>
      </c>
    </row>
    <row r="1013" spans="1:18" ht="13.5" customHeight="1" x14ac:dyDescent="0.25">
      <c r="A1013" s="9">
        <v>46142</v>
      </c>
      <c r="B1013" s="10" t="s">
        <v>1499</v>
      </c>
      <c r="C1013" s="11" t="s">
        <v>143</v>
      </c>
      <c r="D1013" s="10" t="s">
        <v>660</v>
      </c>
      <c r="E1013" s="12" t="s">
        <v>1072</v>
      </c>
      <c r="F1013" s="12" t="s">
        <v>661</v>
      </c>
      <c r="G1013" s="22">
        <v>80</v>
      </c>
      <c r="H1013" s="23">
        <v>80</v>
      </c>
      <c r="I1013" s="15">
        <v>902.49</v>
      </c>
      <c r="J1013" s="16"/>
      <c r="K1013" s="17">
        <v>72199.199999999997</v>
      </c>
      <c r="L1013" s="18">
        <v>46174</v>
      </c>
      <c r="M1013" s="6" t="str">
        <f t="shared" si="45"/>
        <v>Schedule order</v>
      </c>
      <c r="N1013" s="8">
        <f t="shared" ca="1" si="46"/>
        <v>19</v>
      </c>
      <c r="O1013" s="8" t="str">
        <f t="shared" ca="1" si="47"/>
        <v>Lattest or shedule order</v>
      </c>
      <c r="P1013" t="str">
        <f>VLOOKUP(C1013,[1]Customer_Master!$A:$B,2,0)</f>
        <v>Group 1-Giridhar-Peenya</v>
      </c>
      <c r="Q1013" t="str">
        <f>VLOOKUP(D1013,[2]Template!$A:$D,3,0)</f>
        <v>LAPP</v>
      </c>
      <c r="R1013" t="str">
        <f>VLOOKUP(D1013,[2]Template!$A:$D,4,0)</f>
        <v>Lapp-Ace Group</v>
      </c>
    </row>
    <row r="1014" spans="1:18" ht="13.5" customHeight="1" x14ac:dyDescent="0.25">
      <c r="A1014" s="9">
        <v>46142</v>
      </c>
      <c r="B1014" s="10" t="s">
        <v>1499</v>
      </c>
      <c r="C1014" s="11" t="s">
        <v>143</v>
      </c>
      <c r="D1014" s="10" t="s">
        <v>660</v>
      </c>
      <c r="E1014" s="12" t="s">
        <v>1072</v>
      </c>
      <c r="F1014" s="12" t="s">
        <v>661</v>
      </c>
      <c r="G1014" s="22">
        <v>70</v>
      </c>
      <c r="H1014" s="23">
        <v>70</v>
      </c>
      <c r="I1014" s="15">
        <v>902.49</v>
      </c>
      <c r="J1014" s="16"/>
      <c r="K1014" s="17">
        <v>63174.3</v>
      </c>
      <c r="L1014" s="18">
        <v>46188</v>
      </c>
      <c r="M1014" s="6" t="str">
        <f t="shared" si="45"/>
        <v>Schedule order</v>
      </c>
      <c r="N1014" s="8">
        <f t="shared" ca="1" si="46"/>
        <v>33</v>
      </c>
      <c r="O1014" s="8" t="str">
        <f t="shared" ca="1" si="47"/>
        <v>Lattest or shedule order</v>
      </c>
      <c r="P1014" t="str">
        <f>VLOOKUP(C1014,[1]Customer_Master!$A:$B,2,0)</f>
        <v>Group 1-Giridhar-Peenya</v>
      </c>
      <c r="Q1014" t="str">
        <f>VLOOKUP(D1014,[2]Template!$A:$D,3,0)</f>
        <v>LAPP</v>
      </c>
      <c r="R1014" t="str">
        <f>VLOOKUP(D1014,[2]Template!$A:$D,4,0)</f>
        <v>Lapp-Ace Group</v>
      </c>
    </row>
    <row r="1015" spans="1:18" ht="13.5" customHeight="1" x14ac:dyDescent="0.25">
      <c r="A1015" s="9">
        <v>46142</v>
      </c>
      <c r="B1015" s="10" t="s">
        <v>1499</v>
      </c>
      <c r="C1015" s="11" t="s">
        <v>143</v>
      </c>
      <c r="D1015" s="10" t="s">
        <v>662</v>
      </c>
      <c r="E1015" s="12" t="s">
        <v>1072</v>
      </c>
      <c r="F1015" s="12" t="s">
        <v>663</v>
      </c>
      <c r="G1015" s="22">
        <v>70</v>
      </c>
      <c r="H1015" s="23">
        <v>70</v>
      </c>
      <c r="I1015" s="15">
        <v>91.46</v>
      </c>
      <c r="J1015" s="16"/>
      <c r="K1015" s="17">
        <v>6402.2</v>
      </c>
      <c r="L1015" s="18">
        <v>46157</v>
      </c>
      <c r="M1015" s="6" t="str">
        <f t="shared" si="45"/>
        <v>Schedule order</v>
      </c>
      <c r="N1015" s="8">
        <f t="shared" ca="1" si="46"/>
        <v>2</v>
      </c>
      <c r="O1015" s="8" t="str">
        <f t="shared" ca="1" si="47"/>
        <v>Lattest or shedule order</v>
      </c>
      <c r="P1015" t="str">
        <f>VLOOKUP(C1015,[1]Customer_Master!$A:$B,2,0)</f>
        <v>Group 1-Giridhar-Peenya</v>
      </c>
      <c r="Q1015" t="str">
        <f>VLOOKUP(D1015,[2]Template!$A:$D,3,0)</f>
        <v>LAPP</v>
      </c>
      <c r="R1015" t="str">
        <f>VLOOKUP(D1015,[2]Template!$A:$D,4,0)</f>
        <v>Lapp-Ace Group</v>
      </c>
    </row>
    <row r="1016" spans="1:18" ht="13.5" customHeight="1" x14ac:dyDescent="0.25">
      <c r="A1016" s="9">
        <v>46142</v>
      </c>
      <c r="B1016" s="10" t="s">
        <v>1499</v>
      </c>
      <c r="C1016" s="11" t="s">
        <v>143</v>
      </c>
      <c r="D1016" s="10" t="s">
        <v>662</v>
      </c>
      <c r="E1016" s="12" t="s">
        <v>1072</v>
      </c>
      <c r="F1016" s="12" t="s">
        <v>663</v>
      </c>
      <c r="G1016" s="22">
        <v>80</v>
      </c>
      <c r="H1016" s="23">
        <v>80</v>
      </c>
      <c r="I1016" s="15">
        <v>91.46</v>
      </c>
      <c r="J1016" s="16"/>
      <c r="K1016" s="17">
        <v>7316.8</v>
      </c>
      <c r="L1016" s="18">
        <v>46174</v>
      </c>
      <c r="M1016" s="6" t="str">
        <f t="shared" si="45"/>
        <v>Schedule order</v>
      </c>
      <c r="N1016" s="8">
        <f t="shared" ca="1" si="46"/>
        <v>19</v>
      </c>
      <c r="O1016" s="8" t="str">
        <f t="shared" ca="1" si="47"/>
        <v>Lattest or shedule order</v>
      </c>
      <c r="P1016" t="str">
        <f>VLOOKUP(C1016,[1]Customer_Master!$A:$B,2,0)</f>
        <v>Group 1-Giridhar-Peenya</v>
      </c>
      <c r="Q1016" t="str">
        <f>VLOOKUP(D1016,[2]Template!$A:$D,3,0)</f>
        <v>LAPP</v>
      </c>
      <c r="R1016" t="str">
        <f>VLOOKUP(D1016,[2]Template!$A:$D,4,0)</f>
        <v>Lapp-Ace Group</v>
      </c>
    </row>
    <row r="1017" spans="1:18" ht="13.5" customHeight="1" x14ac:dyDescent="0.25">
      <c r="A1017" s="9">
        <v>46142</v>
      </c>
      <c r="B1017" s="10" t="s">
        <v>1499</v>
      </c>
      <c r="C1017" s="11" t="s">
        <v>143</v>
      </c>
      <c r="D1017" s="10" t="s">
        <v>662</v>
      </c>
      <c r="E1017" s="12" t="s">
        <v>1072</v>
      </c>
      <c r="F1017" s="12" t="s">
        <v>663</v>
      </c>
      <c r="G1017" s="22">
        <v>70</v>
      </c>
      <c r="H1017" s="23">
        <v>70</v>
      </c>
      <c r="I1017" s="15">
        <v>91.46</v>
      </c>
      <c r="J1017" s="16"/>
      <c r="K1017" s="17">
        <v>6402.2</v>
      </c>
      <c r="L1017" s="18">
        <v>46188</v>
      </c>
      <c r="M1017" s="6" t="str">
        <f t="shared" si="45"/>
        <v>Schedule order</v>
      </c>
      <c r="N1017" s="8">
        <f t="shared" ca="1" si="46"/>
        <v>33</v>
      </c>
      <c r="O1017" s="8" t="str">
        <f t="shared" ca="1" si="47"/>
        <v>Lattest or shedule order</v>
      </c>
      <c r="P1017" t="str">
        <f>VLOOKUP(C1017,[1]Customer_Master!$A:$B,2,0)</f>
        <v>Group 1-Giridhar-Peenya</v>
      </c>
      <c r="Q1017" t="str">
        <f>VLOOKUP(D1017,[2]Template!$A:$D,3,0)</f>
        <v>LAPP</v>
      </c>
      <c r="R1017" t="str">
        <f>VLOOKUP(D1017,[2]Template!$A:$D,4,0)</f>
        <v>Lapp-Ace Group</v>
      </c>
    </row>
    <row r="1018" spans="1:18" ht="13.5" customHeight="1" x14ac:dyDescent="0.25">
      <c r="A1018" s="9">
        <v>46142</v>
      </c>
      <c r="B1018" s="10" t="s">
        <v>1499</v>
      </c>
      <c r="C1018" s="11" t="s">
        <v>143</v>
      </c>
      <c r="D1018" s="10" t="s">
        <v>664</v>
      </c>
      <c r="E1018" s="12" t="s">
        <v>1072</v>
      </c>
      <c r="F1018" s="12" t="s">
        <v>665</v>
      </c>
      <c r="G1018" s="22">
        <v>150</v>
      </c>
      <c r="H1018" s="23">
        <v>150</v>
      </c>
      <c r="I1018" s="15">
        <v>416.84</v>
      </c>
      <c r="J1018" s="16"/>
      <c r="K1018" s="17">
        <v>62526</v>
      </c>
      <c r="L1018" s="18">
        <v>46188</v>
      </c>
      <c r="M1018" s="6" t="str">
        <f t="shared" si="45"/>
        <v>Schedule order</v>
      </c>
      <c r="N1018" s="8">
        <f t="shared" ca="1" si="46"/>
        <v>33</v>
      </c>
      <c r="O1018" s="8" t="str">
        <f t="shared" ca="1" si="47"/>
        <v>Lattest or shedule order</v>
      </c>
      <c r="P1018" t="str">
        <f>VLOOKUP(C1018,[1]Customer_Master!$A:$B,2,0)</f>
        <v>Group 1-Giridhar-Peenya</v>
      </c>
      <c r="Q1018" t="str">
        <f>VLOOKUP(D1018,[2]Template!$A:$D,3,0)</f>
        <v>LAPP</v>
      </c>
      <c r="R1018" t="str">
        <f>VLOOKUP(D1018,[2]Template!$A:$D,4,0)</f>
        <v>Lapp-Ace Group</v>
      </c>
    </row>
    <row r="1019" spans="1:18" ht="13.5" customHeight="1" x14ac:dyDescent="0.25">
      <c r="A1019" s="9">
        <v>46142</v>
      </c>
      <c r="B1019" s="10" t="s">
        <v>1499</v>
      </c>
      <c r="C1019" s="11" t="s">
        <v>143</v>
      </c>
      <c r="D1019" s="10" t="s">
        <v>664</v>
      </c>
      <c r="E1019" s="12" t="s">
        <v>1072</v>
      </c>
      <c r="F1019" s="12" t="s">
        <v>665</v>
      </c>
      <c r="G1019" s="22">
        <v>75</v>
      </c>
      <c r="H1019" s="23">
        <v>75</v>
      </c>
      <c r="I1019" s="15">
        <v>416.84</v>
      </c>
      <c r="J1019" s="16"/>
      <c r="K1019" s="17">
        <v>31263</v>
      </c>
      <c r="L1019" s="18">
        <v>46174</v>
      </c>
      <c r="M1019" s="6" t="str">
        <f t="shared" si="45"/>
        <v>Schedule order</v>
      </c>
      <c r="N1019" s="8">
        <f t="shared" ca="1" si="46"/>
        <v>19</v>
      </c>
      <c r="O1019" s="8" t="str">
        <f t="shared" ca="1" si="47"/>
        <v>Lattest or shedule order</v>
      </c>
      <c r="P1019" t="str">
        <f>VLOOKUP(C1019,[1]Customer_Master!$A:$B,2,0)</f>
        <v>Group 1-Giridhar-Peenya</v>
      </c>
      <c r="Q1019" t="str">
        <f>VLOOKUP(D1019,[2]Template!$A:$D,3,0)</f>
        <v>LAPP</v>
      </c>
      <c r="R1019" t="str">
        <f>VLOOKUP(D1019,[2]Template!$A:$D,4,0)</f>
        <v>Lapp-Ace Group</v>
      </c>
    </row>
    <row r="1020" spans="1:18" ht="13.5" customHeight="1" x14ac:dyDescent="0.25">
      <c r="A1020" s="9">
        <v>46142</v>
      </c>
      <c r="B1020" s="10" t="s">
        <v>1499</v>
      </c>
      <c r="C1020" s="11" t="s">
        <v>143</v>
      </c>
      <c r="D1020" s="10" t="s">
        <v>419</v>
      </c>
      <c r="E1020" s="12" t="s">
        <v>1072</v>
      </c>
      <c r="F1020" s="12" t="s">
        <v>207</v>
      </c>
      <c r="G1020" s="22">
        <v>75</v>
      </c>
      <c r="H1020" s="23">
        <v>75</v>
      </c>
      <c r="I1020" s="15">
        <v>37.42</v>
      </c>
      <c r="J1020" s="16"/>
      <c r="K1020" s="17">
        <v>2806.5</v>
      </c>
      <c r="L1020" s="18">
        <v>46157</v>
      </c>
      <c r="M1020" s="6" t="str">
        <f t="shared" si="45"/>
        <v>Schedule order</v>
      </c>
      <c r="N1020" s="8">
        <f t="shared" ca="1" si="46"/>
        <v>2</v>
      </c>
      <c r="O1020" s="8" t="str">
        <f t="shared" ca="1" si="47"/>
        <v>Lattest or shedule order</v>
      </c>
      <c r="P1020" t="str">
        <f>VLOOKUP(C1020,[1]Customer_Master!$A:$B,2,0)</f>
        <v>Group 1-Giridhar-Peenya</v>
      </c>
      <c r="Q1020" t="str">
        <f>VLOOKUP(D1020,[2]Template!$A:$D,3,0)</f>
        <v>LAPP</v>
      </c>
      <c r="R1020" t="str">
        <f>VLOOKUP(D1020,[2]Template!$A:$D,4,0)</f>
        <v>Lapp-Ace Group</v>
      </c>
    </row>
    <row r="1021" spans="1:18" ht="13.5" customHeight="1" x14ac:dyDescent="0.25">
      <c r="A1021" s="9">
        <v>46142</v>
      </c>
      <c r="B1021" s="10" t="s">
        <v>1499</v>
      </c>
      <c r="C1021" s="11" t="s">
        <v>143</v>
      </c>
      <c r="D1021" s="10" t="s">
        <v>419</v>
      </c>
      <c r="E1021" s="12" t="s">
        <v>1072</v>
      </c>
      <c r="F1021" s="12" t="s">
        <v>207</v>
      </c>
      <c r="G1021" s="22">
        <v>75</v>
      </c>
      <c r="H1021" s="23">
        <v>75</v>
      </c>
      <c r="I1021" s="15">
        <v>37.42</v>
      </c>
      <c r="J1021" s="16"/>
      <c r="K1021" s="17">
        <v>2806.5</v>
      </c>
      <c r="L1021" s="18">
        <v>46174</v>
      </c>
      <c r="M1021" s="6" t="str">
        <f t="shared" si="45"/>
        <v>Schedule order</v>
      </c>
      <c r="N1021" s="8">
        <f t="shared" ca="1" si="46"/>
        <v>19</v>
      </c>
      <c r="O1021" s="8" t="str">
        <f t="shared" ca="1" si="47"/>
        <v>Lattest or shedule order</v>
      </c>
      <c r="P1021" t="str">
        <f>VLOOKUP(C1021,[1]Customer_Master!$A:$B,2,0)</f>
        <v>Group 1-Giridhar-Peenya</v>
      </c>
      <c r="Q1021" t="str">
        <f>VLOOKUP(D1021,[2]Template!$A:$D,3,0)</f>
        <v>LAPP</v>
      </c>
      <c r="R1021" t="str">
        <f>VLOOKUP(D1021,[2]Template!$A:$D,4,0)</f>
        <v>Lapp-Ace Group</v>
      </c>
    </row>
    <row r="1022" spans="1:18" ht="13.5" customHeight="1" x14ac:dyDescent="0.25">
      <c r="A1022" s="9">
        <v>46142</v>
      </c>
      <c r="B1022" s="10" t="s">
        <v>1499</v>
      </c>
      <c r="C1022" s="11" t="s">
        <v>143</v>
      </c>
      <c r="D1022" s="10" t="s">
        <v>419</v>
      </c>
      <c r="E1022" s="12" t="s">
        <v>1072</v>
      </c>
      <c r="F1022" s="12" t="s">
        <v>207</v>
      </c>
      <c r="G1022" s="22">
        <v>75</v>
      </c>
      <c r="H1022" s="23">
        <v>75</v>
      </c>
      <c r="I1022" s="15">
        <v>37.42</v>
      </c>
      <c r="J1022" s="16"/>
      <c r="K1022" s="17">
        <v>2806.5</v>
      </c>
      <c r="L1022" s="18">
        <v>46188</v>
      </c>
      <c r="M1022" s="6" t="str">
        <f t="shared" si="45"/>
        <v>Schedule order</v>
      </c>
      <c r="N1022" s="8">
        <f t="shared" ca="1" si="46"/>
        <v>33</v>
      </c>
      <c r="O1022" s="8" t="str">
        <f t="shared" ca="1" si="47"/>
        <v>Lattest or shedule order</v>
      </c>
      <c r="P1022" t="str">
        <f>VLOOKUP(C1022,[1]Customer_Master!$A:$B,2,0)</f>
        <v>Group 1-Giridhar-Peenya</v>
      </c>
      <c r="Q1022" t="str">
        <f>VLOOKUP(D1022,[2]Template!$A:$D,3,0)</f>
        <v>LAPP</v>
      </c>
      <c r="R1022" t="str">
        <f>VLOOKUP(D1022,[2]Template!$A:$D,4,0)</f>
        <v>Lapp-Ace Group</v>
      </c>
    </row>
    <row r="1023" spans="1:18" ht="13.5" customHeight="1" x14ac:dyDescent="0.25">
      <c r="A1023" s="9">
        <v>46142</v>
      </c>
      <c r="B1023" s="10" t="s">
        <v>1499</v>
      </c>
      <c r="C1023" s="11" t="s">
        <v>143</v>
      </c>
      <c r="D1023" s="10" t="s">
        <v>666</v>
      </c>
      <c r="E1023" s="12" t="s">
        <v>1072</v>
      </c>
      <c r="F1023" s="12" t="s">
        <v>667</v>
      </c>
      <c r="G1023" s="13">
        <v>50</v>
      </c>
      <c r="H1023" s="14">
        <v>50</v>
      </c>
      <c r="I1023" s="15">
        <v>685.32</v>
      </c>
      <c r="J1023" s="16"/>
      <c r="K1023" s="17">
        <v>34266</v>
      </c>
      <c r="L1023" s="18">
        <v>46157</v>
      </c>
      <c r="M1023" s="6" t="str">
        <f t="shared" si="45"/>
        <v>Schedule order</v>
      </c>
      <c r="N1023" s="8">
        <f t="shared" ca="1" si="46"/>
        <v>2</v>
      </c>
      <c r="O1023" s="8" t="str">
        <f t="shared" ca="1" si="47"/>
        <v>Lattest or shedule order</v>
      </c>
      <c r="P1023" t="str">
        <f>VLOOKUP(C1023,[1]Customer_Master!$A:$B,2,0)</f>
        <v>Group 1-Giridhar-Peenya</v>
      </c>
      <c r="Q1023" t="str">
        <f>VLOOKUP(D1023,[2]Template!$A:$D,3,0)</f>
        <v>LAPP</v>
      </c>
      <c r="R1023" t="str">
        <f>VLOOKUP(D1023,[2]Template!$A:$D,4,0)</f>
        <v>Lapp-Ace Group</v>
      </c>
    </row>
    <row r="1024" spans="1:18" ht="13.5" customHeight="1" x14ac:dyDescent="0.25">
      <c r="A1024" s="9">
        <v>46142</v>
      </c>
      <c r="B1024" s="10" t="s">
        <v>1499</v>
      </c>
      <c r="C1024" s="11" t="s">
        <v>143</v>
      </c>
      <c r="D1024" s="10" t="s">
        <v>666</v>
      </c>
      <c r="E1024" s="12" t="s">
        <v>1072</v>
      </c>
      <c r="F1024" s="12" t="s">
        <v>667</v>
      </c>
      <c r="G1024" s="13">
        <v>50</v>
      </c>
      <c r="H1024" s="14">
        <v>50</v>
      </c>
      <c r="I1024" s="15">
        <v>685.32</v>
      </c>
      <c r="J1024" s="16"/>
      <c r="K1024" s="17">
        <v>34266</v>
      </c>
      <c r="L1024" s="18">
        <v>46174</v>
      </c>
      <c r="M1024" s="6" t="str">
        <f t="shared" si="45"/>
        <v>Schedule order</v>
      </c>
      <c r="N1024" s="8">
        <f t="shared" ca="1" si="46"/>
        <v>19</v>
      </c>
      <c r="O1024" s="8" t="str">
        <f t="shared" ca="1" si="47"/>
        <v>Lattest or shedule order</v>
      </c>
      <c r="P1024" t="str">
        <f>VLOOKUP(C1024,[1]Customer_Master!$A:$B,2,0)</f>
        <v>Group 1-Giridhar-Peenya</v>
      </c>
      <c r="Q1024" t="str">
        <f>VLOOKUP(D1024,[2]Template!$A:$D,3,0)</f>
        <v>LAPP</v>
      </c>
      <c r="R1024" t="str">
        <f>VLOOKUP(D1024,[2]Template!$A:$D,4,0)</f>
        <v>Lapp-Ace Group</v>
      </c>
    </row>
    <row r="1025" spans="1:18" ht="13.5" customHeight="1" x14ac:dyDescent="0.25">
      <c r="A1025" s="9">
        <v>46142</v>
      </c>
      <c r="B1025" s="10" t="s">
        <v>1499</v>
      </c>
      <c r="C1025" s="11" t="s">
        <v>143</v>
      </c>
      <c r="D1025" s="10" t="s">
        <v>666</v>
      </c>
      <c r="E1025" s="12" t="s">
        <v>1072</v>
      </c>
      <c r="F1025" s="12" t="s">
        <v>667</v>
      </c>
      <c r="G1025" s="13">
        <v>50</v>
      </c>
      <c r="H1025" s="14">
        <v>50</v>
      </c>
      <c r="I1025" s="15">
        <v>685.32</v>
      </c>
      <c r="J1025" s="16"/>
      <c r="K1025" s="17">
        <v>34266</v>
      </c>
      <c r="L1025" s="18">
        <v>46188</v>
      </c>
      <c r="M1025" s="6" t="str">
        <f t="shared" si="45"/>
        <v>Schedule order</v>
      </c>
      <c r="N1025" s="8">
        <f t="shared" ca="1" si="46"/>
        <v>33</v>
      </c>
      <c r="O1025" s="8" t="str">
        <f t="shared" ca="1" si="47"/>
        <v>Lattest or shedule order</v>
      </c>
      <c r="P1025" t="str">
        <f>VLOOKUP(C1025,[1]Customer_Master!$A:$B,2,0)</f>
        <v>Group 1-Giridhar-Peenya</v>
      </c>
      <c r="Q1025" t="str">
        <f>VLOOKUP(D1025,[2]Template!$A:$D,3,0)</f>
        <v>LAPP</v>
      </c>
      <c r="R1025" t="str">
        <f>VLOOKUP(D1025,[2]Template!$A:$D,4,0)</f>
        <v>Lapp-Ace Group</v>
      </c>
    </row>
    <row r="1026" spans="1:18" ht="13.5" customHeight="1" x14ac:dyDescent="0.25">
      <c r="A1026" s="9">
        <v>46142</v>
      </c>
      <c r="B1026" s="10" t="s">
        <v>1499</v>
      </c>
      <c r="C1026" s="11" t="s">
        <v>143</v>
      </c>
      <c r="D1026" s="10" t="s">
        <v>631</v>
      </c>
      <c r="E1026" s="12" t="s">
        <v>1072</v>
      </c>
      <c r="F1026" s="12" t="s">
        <v>632</v>
      </c>
      <c r="G1026" s="13">
        <v>100</v>
      </c>
      <c r="H1026" s="14">
        <v>100</v>
      </c>
      <c r="I1026" s="15">
        <v>275.58</v>
      </c>
      <c r="J1026" s="16"/>
      <c r="K1026" s="17">
        <v>27558</v>
      </c>
      <c r="L1026" s="18">
        <v>46157</v>
      </c>
      <c r="M1026" s="6" t="str">
        <f t="shared" si="45"/>
        <v>Schedule order</v>
      </c>
      <c r="N1026" s="8">
        <f t="shared" ca="1" si="46"/>
        <v>2</v>
      </c>
      <c r="O1026" s="8" t="str">
        <f t="shared" ca="1" si="47"/>
        <v>Lattest or shedule order</v>
      </c>
      <c r="P1026" t="str">
        <f>VLOOKUP(C1026,[1]Customer_Master!$A:$B,2,0)</f>
        <v>Group 1-Giridhar-Peenya</v>
      </c>
      <c r="Q1026" t="str">
        <f>VLOOKUP(D1026,[2]Template!$A:$D,3,0)</f>
        <v>LAPP</v>
      </c>
      <c r="R1026" t="str">
        <f>VLOOKUP(D1026,[2]Template!$A:$D,4,0)</f>
        <v>Lapp-Ace Group</v>
      </c>
    </row>
    <row r="1027" spans="1:18" ht="13.5" customHeight="1" x14ac:dyDescent="0.25">
      <c r="A1027" s="9">
        <v>46142</v>
      </c>
      <c r="B1027" s="10" t="s">
        <v>1499</v>
      </c>
      <c r="C1027" s="11" t="s">
        <v>143</v>
      </c>
      <c r="D1027" s="10" t="s">
        <v>631</v>
      </c>
      <c r="E1027" s="12" t="s">
        <v>1072</v>
      </c>
      <c r="F1027" s="12" t="s">
        <v>632</v>
      </c>
      <c r="G1027" s="13">
        <v>100</v>
      </c>
      <c r="H1027" s="14">
        <v>100</v>
      </c>
      <c r="I1027" s="15">
        <v>275.58</v>
      </c>
      <c r="J1027" s="16"/>
      <c r="K1027" s="17">
        <v>27558</v>
      </c>
      <c r="L1027" s="18">
        <v>46174</v>
      </c>
      <c r="M1027" s="6" t="str">
        <f t="shared" ref="M1027:M1090" si="48">IF(L1027&lt;DATE(2026,4,30),"Due order","Schedule order")</f>
        <v>Schedule order</v>
      </c>
      <c r="N1027" s="8">
        <f t="shared" ref="N1027:N1090" ca="1" si="49">L1027-TODAY()</f>
        <v>19</v>
      </c>
      <c r="O1027" s="8" t="str">
        <f t="shared" ref="O1027:O1090" ca="1" si="50">IF(N1027&lt;-365,"More than 1 Year old",IF(N1027&lt;-180," More than 180 days old",IF(N1027&lt;-90,"More than 90 day old",IF(N1027&lt;0,"With in 90 days","Lattest or shedule order"))))</f>
        <v>Lattest or shedule order</v>
      </c>
      <c r="P1027" t="str">
        <f>VLOOKUP(C1027,[1]Customer_Master!$A:$B,2,0)</f>
        <v>Group 1-Giridhar-Peenya</v>
      </c>
      <c r="Q1027" t="str">
        <f>VLOOKUP(D1027,[2]Template!$A:$D,3,0)</f>
        <v>LAPP</v>
      </c>
      <c r="R1027" t="str">
        <f>VLOOKUP(D1027,[2]Template!$A:$D,4,0)</f>
        <v>Lapp-Ace Group</v>
      </c>
    </row>
    <row r="1028" spans="1:18" ht="13.5" customHeight="1" x14ac:dyDescent="0.25">
      <c r="A1028" s="9">
        <v>46142</v>
      </c>
      <c r="B1028" s="10" t="s">
        <v>1499</v>
      </c>
      <c r="C1028" s="11" t="s">
        <v>143</v>
      </c>
      <c r="D1028" s="10" t="s">
        <v>631</v>
      </c>
      <c r="E1028" s="12" t="s">
        <v>1072</v>
      </c>
      <c r="F1028" s="12" t="s">
        <v>632</v>
      </c>
      <c r="G1028" s="13">
        <v>100</v>
      </c>
      <c r="H1028" s="14">
        <v>100</v>
      </c>
      <c r="I1028" s="15">
        <v>275.58</v>
      </c>
      <c r="J1028" s="16"/>
      <c r="K1028" s="17">
        <v>27558</v>
      </c>
      <c r="L1028" s="18">
        <v>46188</v>
      </c>
      <c r="M1028" s="6" t="str">
        <f t="shared" si="48"/>
        <v>Schedule order</v>
      </c>
      <c r="N1028" s="8">
        <f t="shared" ca="1" si="49"/>
        <v>33</v>
      </c>
      <c r="O1028" s="8" t="str">
        <f t="shared" ca="1" si="50"/>
        <v>Lattest or shedule order</v>
      </c>
      <c r="P1028" t="str">
        <f>VLOOKUP(C1028,[1]Customer_Master!$A:$B,2,0)</f>
        <v>Group 1-Giridhar-Peenya</v>
      </c>
      <c r="Q1028" t="str">
        <f>VLOOKUP(D1028,[2]Template!$A:$D,3,0)</f>
        <v>LAPP</v>
      </c>
      <c r="R1028" t="str">
        <f>VLOOKUP(D1028,[2]Template!$A:$D,4,0)</f>
        <v>Lapp-Ace Group</v>
      </c>
    </row>
    <row r="1029" spans="1:18" ht="13.5" customHeight="1" x14ac:dyDescent="0.25">
      <c r="A1029" s="9">
        <v>46142</v>
      </c>
      <c r="B1029" s="10" t="s">
        <v>1499</v>
      </c>
      <c r="C1029" s="11" t="s">
        <v>143</v>
      </c>
      <c r="D1029" s="10" t="s">
        <v>404</v>
      </c>
      <c r="E1029" s="12" t="s">
        <v>1072</v>
      </c>
      <c r="F1029" s="12" t="s">
        <v>33</v>
      </c>
      <c r="G1029" s="13">
        <v>500</v>
      </c>
      <c r="H1029" s="14">
        <v>500</v>
      </c>
      <c r="I1029" s="15">
        <v>195.15</v>
      </c>
      <c r="J1029" s="16"/>
      <c r="K1029" s="17">
        <v>97575</v>
      </c>
      <c r="L1029" s="18">
        <v>46157</v>
      </c>
      <c r="M1029" s="6" t="str">
        <f t="shared" si="48"/>
        <v>Schedule order</v>
      </c>
      <c r="N1029" s="8">
        <f t="shared" ca="1" si="49"/>
        <v>2</v>
      </c>
      <c r="O1029" s="8" t="str">
        <f t="shared" ca="1" si="50"/>
        <v>Lattest or shedule order</v>
      </c>
      <c r="P1029" t="str">
        <f>VLOOKUP(C1029,[1]Customer_Master!$A:$B,2,0)</f>
        <v>Group 1-Giridhar-Peenya</v>
      </c>
      <c r="Q1029" t="str">
        <f>VLOOKUP(D1029,[2]Template!$A:$D,3,0)</f>
        <v>LAPP</v>
      </c>
      <c r="R1029" t="str">
        <f>VLOOKUP(D1029,[2]Template!$A:$D,4,0)</f>
        <v>Lapp-Ace Group</v>
      </c>
    </row>
    <row r="1030" spans="1:18" ht="13.5" customHeight="1" x14ac:dyDescent="0.25">
      <c r="A1030" s="9">
        <v>46142</v>
      </c>
      <c r="B1030" s="10" t="s">
        <v>1499</v>
      </c>
      <c r="C1030" s="11" t="s">
        <v>143</v>
      </c>
      <c r="D1030" s="10" t="s">
        <v>404</v>
      </c>
      <c r="E1030" s="12" t="s">
        <v>1072</v>
      </c>
      <c r="F1030" s="12" t="s">
        <v>33</v>
      </c>
      <c r="G1030" s="13">
        <v>500</v>
      </c>
      <c r="H1030" s="14">
        <v>500</v>
      </c>
      <c r="I1030" s="15">
        <v>195.15</v>
      </c>
      <c r="J1030" s="16"/>
      <c r="K1030" s="17">
        <v>97575</v>
      </c>
      <c r="L1030" s="18">
        <v>46174</v>
      </c>
      <c r="M1030" s="6" t="str">
        <f t="shared" si="48"/>
        <v>Schedule order</v>
      </c>
      <c r="N1030" s="8">
        <f t="shared" ca="1" si="49"/>
        <v>19</v>
      </c>
      <c r="O1030" s="8" t="str">
        <f t="shared" ca="1" si="50"/>
        <v>Lattest or shedule order</v>
      </c>
      <c r="P1030" t="str">
        <f>VLOOKUP(C1030,[1]Customer_Master!$A:$B,2,0)</f>
        <v>Group 1-Giridhar-Peenya</v>
      </c>
      <c r="Q1030" t="str">
        <f>VLOOKUP(D1030,[2]Template!$A:$D,3,0)</f>
        <v>LAPP</v>
      </c>
      <c r="R1030" t="str">
        <f>VLOOKUP(D1030,[2]Template!$A:$D,4,0)</f>
        <v>Lapp-Ace Group</v>
      </c>
    </row>
    <row r="1031" spans="1:18" ht="13.5" customHeight="1" x14ac:dyDescent="0.25">
      <c r="A1031" s="9">
        <v>46142</v>
      </c>
      <c r="B1031" s="10" t="s">
        <v>1499</v>
      </c>
      <c r="C1031" s="11" t="s">
        <v>143</v>
      </c>
      <c r="D1031" s="10" t="s">
        <v>514</v>
      </c>
      <c r="E1031" s="12" t="s">
        <v>1072</v>
      </c>
      <c r="F1031" s="12" t="s">
        <v>515</v>
      </c>
      <c r="G1031" s="13">
        <v>500</v>
      </c>
      <c r="H1031" s="14">
        <v>500</v>
      </c>
      <c r="I1031" s="15">
        <v>496.7</v>
      </c>
      <c r="J1031" s="16"/>
      <c r="K1031" s="17">
        <v>248350</v>
      </c>
      <c r="L1031" s="18">
        <v>46157</v>
      </c>
      <c r="M1031" s="6" t="str">
        <f t="shared" si="48"/>
        <v>Schedule order</v>
      </c>
      <c r="N1031" s="8">
        <f t="shared" ca="1" si="49"/>
        <v>2</v>
      </c>
      <c r="O1031" s="8" t="str">
        <f t="shared" ca="1" si="50"/>
        <v>Lattest or shedule order</v>
      </c>
      <c r="P1031" t="str">
        <f>VLOOKUP(C1031,[1]Customer_Master!$A:$B,2,0)</f>
        <v>Group 1-Giridhar-Peenya</v>
      </c>
      <c r="Q1031" t="str">
        <f>VLOOKUP(D1031,[2]Template!$A:$D,3,0)</f>
        <v>LAPP</v>
      </c>
      <c r="R1031" t="str">
        <f>VLOOKUP(D1031,[2]Template!$A:$D,4,0)</f>
        <v>Lapp-Ace Group</v>
      </c>
    </row>
    <row r="1032" spans="1:18" ht="13.5" customHeight="1" x14ac:dyDescent="0.25">
      <c r="A1032" s="9">
        <v>46142</v>
      </c>
      <c r="B1032" s="10" t="s">
        <v>1499</v>
      </c>
      <c r="C1032" s="11" t="s">
        <v>143</v>
      </c>
      <c r="D1032" s="10" t="s">
        <v>514</v>
      </c>
      <c r="E1032" s="12" t="s">
        <v>1072</v>
      </c>
      <c r="F1032" s="12" t="s">
        <v>515</v>
      </c>
      <c r="G1032" s="13">
        <v>500</v>
      </c>
      <c r="H1032" s="14">
        <v>500</v>
      </c>
      <c r="I1032" s="15">
        <v>496.7</v>
      </c>
      <c r="J1032" s="16"/>
      <c r="K1032" s="17">
        <v>248350</v>
      </c>
      <c r="L1032" s="18">
        <v>46174</v>
      </c>
      <c r="M1032" s="6" t="str">
        <f t="shared" si="48"/>
        <v>Schedule order</v>
      </c>
      <c r="N1032" s="8">
        <f t="shared" ca="1" si="49"/>
        <v>19</v>
      </c>
      <c r="O1032" s="8" t="str">
        <f t="shared" ca="1" si="50"/>
        <v>Lattest or shedule order</v>
      </c>
      <c r="P1032" t="str">
        <f>VLOOKUP(C1032,[1]Customer_Master!$A:$B,2,0)</f>
        <v>Group 1-Giridhar-Peenya</v>
      </c>
      <c r="Q1032" t="str">
        <f>VLOOKUP(D1032,[2]Template!$A:$D,3,0)</f>
        <v>LAPP</v>
      </c>
      <c r="R1032" t="str">
        <f>VLOOKUP(D1032,[2]Template!$A:$D,4,0)</f>
        <v>Lapp-Ace Group</v>
      </c>
    </row>
    <row r="1033" spans="1:18" ht="13.5" customHeight="1" x14ac:dyDescent="0.25">
      <c r="A1033" s="9">
        <v>46142</v>
      </c>
      <c r="B1033" s="10" t="s">
        <v>1500</v>
      </c>
      <c r="C1033" s="11" t="s">
        <v>1501</v>
      </c>
      <c r="D1033" s="27" t="s">
        <v>1502</v>
      </c>
      <c r="E1033" s="12" t="s">
        <v>1072</v>
      </c>
      <c r="F1033" s="26" t="s">
        <v>1503</v>
      </c>
      <c r="G1033" s="13">
        <v>60</v>
      </c>
      <c r="H1033" s="14">
        <v>60</v>
      </c>
      <c r="I1033" s="15">
        <v>874.92</v>
      </c>
      <c r="J1033" s="16"/>
      <c r="K1033" s="17">
        <v>52495.199999999997</v>
      </c>
      <c r="L1033" s="18">
        <v>46142</v>
      </c>
      <c r="M1033" s="6" t="str">
        <f t="shared" si="48"/>
        <v>Schedule order</v>
      </c>
      <c r="N1033" s="8">
        <f t="shared" ca="1" si="49"/>
        <v>-13</v>
      </c>
      <c r="O1033" s="8" t="str">
        <f t="shared" ca="1" si="50"/>
        <v>With in 90 days</v>
      </c>
      <c r="P1033" t="str">
        <f>VLOOKUP(C1033,[1]Customer_Master!$A:$B,2,0)</f>
        <v>Group-2 (Veeresh- Bomsdr+Hosur)</v>
      </c>
      <c r="Q1033" t="str">
        <f>VLOOKUP(D1033,[2]Template!$A:$D,3,0)</f>
        <v>LAPP</v>
      </c>
      <c r="R1033" t="str">
        <f>VLOOKUP(D1033,[2]Template!$A:$D,4,0)</f>
        <v>Lapp-Non Moving Stocks</v>
      </c>
    </row>
    <row r="1034" spans="1:18" ht="13.5" customHeight="1" x14ac:dyDescent="0.25">
      <c r="A1034" s="9">
        <v>46142</v>
      </c>
      <c r="B1034" s="10" t="s">
        <v>1500</v>
      </c>
      <c r="C1034" s="11" t="s">
        <v>1501</v>
      </c>
      <c r="D1034" s="27" t="s">
        <v>1037</v>
      </c>
      <c r="E1034" s="12" t="s">
        <v>1072</v>
      </c>
      <c r="F1034" s="12" t="s">
        <v>1038</v>
      </c>
      <c r="G1034" s="13">
        <v>40</v>
      </c>
      <c r="H1034" s="14">
        <v>40</v>
      </c>
      <c r="I1034" s="15">
        <v>365.88</v>
      </c>
      <c r="J1034" s="16"/>
      <c r="K1034" s="17">
        <v>14635.2</v>
      </c>
      <c r="L1034" s="18">
        <v>46142</v>
      </c>
      <c r="M1034" s="6" t="str">
        <f t="shared" si="48"/>
        <v>Schedule order</v>
      </c>
      <c r="N1034" s="8">
        <f t="shared" ca="1" si="49"/>
        <v>-13</v>
      </c>
      <c r="O1034" s="8" t="str">
        <f t="shared" ca="1" si="50"/>
        <v>With in 90 days</v>
      </c>
      <c r="P1034" t="str">
        <f>VLOOKUP(C1034,[1]Customer_Master!$A:$B,2,0)</f>
        <v>Group-2 (Veeresh- Bomsdr+Hosur)</v>
      </c>
      <c r="Q1034" t="str">
        <f>VLOOKUP(D1034,[2]Template!$A:$D,3,0)</f>
        <v>LAPP</v>
      </c>
      <c r="R1034" t="str">
        <f>VLOOKUP(D1034,[2]Template!$A:$D,4,0)</f>
        <v>Lapp-Non Moving Stocks</v>
      </c>
    </row>
    <row r="1035" spans="1:18" ht="13.5" customHeight="1" x14ac:dyDescent="0.25">
      <c r="A1035" s="9">
        <v>46144</v>
      </c>
      <c r="B1035" s="10" t="s">
        <v>1504</v>
      </c>
      <c r="C1035" s="11" t="s">
        <v>13</v>
      </c>
      <c r="D1035" s="10" t="s">
        <v>1505</v>
      </c>
      <c r="E1035" s="12" t="s">
        <v>1072</v>
      </c>
      <c r="F1035" s="12" t="s">
        <v>1506</v>
      </c>
      <c r="G1035" s="19">
        <v>25</v>
      </c>
      <c r="H1035" s="20">
        <v>25</v>
      </c>
      <c r="I1035" s="15">
        <v>4807</v>
      </c>
      <c r="J1035" s="16"/>
      <c r="K1035" s="17">
        <v>120175</v>
      </c>
      <c r="L1035" s="18">
        <v>46311</v>
      </c>
      <c r="M1035" s="6" t="str">
        <f t="shared" si="48"/>
        <v>Schedule order</v>
      </c>
      <c r="N1035" s="8">
        <f t="shared" ca="1" si="49"/>
        <v>156</v>
      </c>
      <c r="O1035" s="8" t="str">
        <f t="shared" ca="1" si="50"/>
        <v>Lattest or shedule order</v>
      </c>
      <c r="P1035" t="str">
        <f>VLOOKUP(C1035,[1]Customer_Master!$A:$B,2,0)</f>
        <v>Group-2 (Veeresh- Bomsdr+Hosur)</v>
      </c>
      <c r="Q1035" t="str">
        <f>VLOOKUP(D1035,[2]Template!$A:$D,3,0)</f>
        <v>EATON</v>
      </c>
      <c r="R1035" t="str">
        <f>VLOOKUP(D1035,[2]Template!$A:$D,4,0)</f>
        <v>Eaton-Faiveley Others</v>
      </c>
    </row>
    <row r="1036" spans="1:18" ht="13.5" customHeight="1" x14ac:dyDescent="0.25">
      <c r="A1036" s="9">
        <v>46144</v>
      </c>
      <c r="B1036" s="10" t="s">
        <v>1504</v>
      </c>
      <c r="C1036" s="11" t="s">
        <v>13</v>
      </c>
      <c r="D1036" s="10" t="s">
        <v>298</v>
      </c>
      <c r="E1036" s="26" t="s">
        <v>22</v>
      </c>
      <c r="F1036" s="12" t="s">
        <v>23</v>
      </c>
      <c r="G1036" s="19">
        <v>50</v>
      </c>
      <c r="H1036" s="20">
        <v>50</v>
      </c>
      <c r="I1036" s="15">
        <v>3502</v>
      </c>
      <c r="J1036" s="16"/>
      <c r="K1036" s="17">
        <v>175100</v>
      </c>
      <c r="L1036" s="18">
        <v>46281</v>
      </c>
      <c r="M1036" s="6" t="str">
        <f t="shared" si="48"/>
        <v>Schedule order</v>
      </c>
      <c r="N1036" s="8">
        <f t="shared" ca="1" si="49"/>
        <v>126</v>
      </c>
      <c r="O1036" s="8" t="str">
        <f t="shared" ca="1" si="50"/>
        <v>Lattest or shedule order</v>
      </c>
      <c r="P1036" t="str">
        <f>VLOOKUP(C1036,[1]Customer_Master!$A:$B,2,0)</f>
        <v>Group-2 (Veeresh- Bomsdr+Hosur)</v>
      </c>
      <c r="Q1036" t="str">
        <f>VLOOKUP(D1036,[2]Template!$A:$D,3,0)</f>
        <v>EATON</v>
      </c>
      <c r="R1036" t="str">
        <f>VLOOKUP(D1036,[2]Template!$A:$D,4,0)</f>
        <v>Eaton-Faiveley-Non E70</v>
      </c>
    </row>
    <row r="1037" spans="1:18" ht="13.5" customHeight="1" x14ac:dyDescent="0.25">
      <c r="A1037" s="9">
        <v>46144</v>
      </c>
      <c r="B1037" s="10" t="s">
        <v>1504</v>
      </c>
      <c r="C1037" s="11" t="s">
        <v>13</v>
      </c>
      <c r="D1037" s="10" t="s">
        <v>301</v>
      </c>
      <c r="E1037" s="26" t="s">
        <v>27</v>
      </c>
      <c r="F1037" s="12" t="s">
        <v>28</v>
      </c>
      <c r="G1037" s="19">
        <v>50</v>
      </c>
      <c r="H1037" s="20">
        <v>50</v>
      </c>
      <c r="I1037" s="15">
        <v>2803</v>
      </c>
      <c r="J1037" s="16"/>
      <c r="K1037" s="17">
        <v>140150</v>
      </c>
      <c r="L1037" s="18">
        <v>46281</v>
      </c>
      <c r="M1037" s="6" t="str">
        <f t="shared" si="48"/>
        <v>Schedule order</v>
      </c>
      <c r="N1037" s="8">
        <f t="shared" ca="1" si="49"/>
        <v>126</v>
      </c>
      <c r="O1037" s="8" t="str">
        <f t="shared" ca="1" si="50"/>
        <v>Lattest or shedule order</v>
      </c>
      <c r="P1037" t="str">
        <f>VLOOKUP(C1037,[1]Customer_Master!$A:$B,2,0)</f>
        <v>Group-2 (Veeresh- Bomsdr+Hosur)</v>
      </c>
      <c r="Q1037" t="str">
        <f>VLOOKUP(D1037,[2]Template!$A:$D,3,0)</f>
        <v>EATON</v>
      </c>
      <c r="R1037" t="str">
        <f>VLOOKUP(D1037,[2]Template!$A:$D,4,0)</f>
        <v>Eaton-Faiveley-E70</v>
      </c>
    </row>
    <row r="1038" spans="1:18" ht="13.5" customHeight="1" x14ac:dyDescent="0.25">
      <c r="A1038" s="9">
        <v>46144</v>
      </c>
      <c r="B1038" s="10" t="s">
        <v>1507</v>
      </c>
      <c r="C1038" s="11" t="s">
        <v>1508</v>
      </c>
      <c r="D1038" s="10" t="s">
        <v>317</v>
      </c>
      <c r="E1038" s="12" t="s">
        <v>1072</v>
      </c>
      <c r="F1038" s="12" t="s">
        <v>71</v>
      </c>
      <c r="G1038" s="13">
        <v>2000</v>
      </c>
      <c r="H1038" s="14">
        <v>2000</v>
      </c>
      <c r="I1038" s="15">
        <v>7.87</v>
      </c>
      <c r="J1038" s="16"/>
      <c r="K1038" s="17">
        <v>15740</v>
      </c>
      <c r="L1038" s="18">
        <v>46175</v>
      </c>
      <c r="M1038" s="6" t="str">
        <f t="shared" si="48"/>
        <v>Schedule order</v>
      </c>
      <c r="N1038" s="8">
        <f t="shared" ca="1" si="49"/>
        <v>20</v>
      </c>
      <c r="O1038" s="8" t="str">
        <f t="shared" ca="1" si="50"/>
        <v>Lattest or shedule order</v>
      </c>
      <c r="P1038" t="str">
        <f>VLOOKUP(C1038,[1]Customer_Master!$A:$B,2,0)</f>
        <v>Group 1-Giridhar-Peenya</v>
      </c>
      <c r="Q1038" t="str">
        <f>VLOOKUP(D1038,[2]Template!$A:$D,3,0)</f>
        <v>LAPP</v>
      </c>
      <c r="R1038" t="str">
        <f>VLOOKUP(D1038,[2]Template!$A:$D,4,0)</f>
        <v>Lapp-Planned Stock General</v>
      </c>
    </row>
    <row r="1039" spans="1:18" ht="13.5" customHeight="1" x14ac:dyDescent="0.25">
      <c r="A1039" s="9">
        <v>46144</v>
      </c>
      <c r="B1039" s="10" t="s">
        <v>1507</v>
      </c>
      <c r="C1039" s="11" t="s">
        <v>1508</v>
      </c>
      <c r="D1039" s="10" t="s">
        <v>648</v>
      </c>
      <c r="E1039" s="12" t="s">
        <v>1072</v>
      </c>
      <c r="F1039" s="12" t="s">
        <v>649</v>
      </c>
      <c r="G1039" s="13">
        <v>100</v>
      </c>
      <c r="H1039" s="14">
        <v>100</v>
      </c>
      <c r="I1039" s="15">
        <v>10.95</v>
      </c>
      <c r="J1039" s="16"/>
      <c r="K1039" s="17">
        <v>1095</v>
      </c>
      <c r="L1039" s="18">
        <v>46175</v>
      </c>
      <c r="M1039" s="6" t="str">
        <f t="shared" si="48"/>
        <v>Schedule order</v>
      </c>
      <c r="N1039" s="8">
        <f t="shared" ca="1" si="49"/>
        <v>20</v>
      </c>
      <c r="O1039" s="8" t="str">
        <f t="shared" ca="1" si="50"/>
        <v>Lattest or shedule order</v>
      </c>
      <c r="P1039" t="str">
        <f>VLOOKUP(C1039,[1]Customer_Master!$A:$B,2,0)</f>
        <v>Group 1-Giridhar-Peenya</v>
      </c>
      <c r="Q1039" t="str">
        <f>VLOOKUP(D1039,[2]Template!$A:$D,3,0)</f>
        <v>LAPP</v>
      </c>
      <c r="R1039" t="str">
        <f>VLOOKUP(D1039,[2]Template!$A:$D,4,0)</f>
        <v>Lapp-Planned Stock General</v>
      </c>
    </row>
    <row r="1040" spans="1:18" ht="13.5" customHeight="1" x14ac:dyDescent="0.25">
      <c r="A1040" s="9">
        <v>46144</v>
      </c>
      <c r="B1040" s="10" t="s">
        <v>1507</v>
      </c>
      <c r="C1040" s="11" t="s">
        <v>1508</v>
      </c>
      <c r="D1040" s="10" t="s">
        <v>362</v>
      </c>
      <c r="E1040" s="12" t="s">
        <v>1072</v>
      </c>
      <c r="F1040" s="12" t="s">
        <v>145</v>
      </c>
      <c r="G1040" s="13">
        <v>500</v>
      </c>
      <c r="H1040" s="14">
        <v>500</v>
      </c>
      <c r="I1040" s="15">
        <v>47.4</v>
      </c>
      <c r="J1040" s="16"/>
      <c r="K1040" s="17">
        <v>23700</v>
      </c>
      <c r="L1040" s="18">
        <v>46175</v>
      </c>
      <c r="M1040" s="6" t="str">
        <f t="shared" si="48"/>
        <v>Schedule order</v>
      </c>
      <c r="N1040" s="8">
        <f t="shared" ca="1" si="49"/>
        <v>20</v>
      </c>
      <c r="O1040" s="8" t="str">
        <f t="shared" ca="1" si="50"/>
        <v>Lattest or shedule order</v>
      </c>
      <c r="P1040" t="str">
        <f>VLOOKUP(C1040,[1]Customer_Master!$A:$B,2,0)</f>
        <v>Group 1-Giridhar-Peenya</v>
      </c>
      <c r="Q1040" t="str">
        <f>VLOOKUP(D1040,[2]Template!$A:$D,3,0)</f>
        <v>LAPP</v>
      </c>
      <c r="R1040" t="str">
        <f>VLOOKUP(D1040,[2]Template!$A:$D,4,0)</f>
        <v>Lapp-Ace Group</v>
      </c>
    </row>
    <row r="1041" spans="1:18" ht="13.5" customHeight="1" x14ac:dyDescent="0.25">
      <c r="A1041" s="9">
        <v>46144</v>
      </c>
      <c r="B1041" s="10" t="s">
        <v>1507</v>
      </c>
      <c r="C1041" s="11" t="s">
        <v>1508</v>
      </c>
      <c r="D1041" s="10" t="s">
        <v>333</v>
      </c>
      <c r="E1041" s="12" t="s">
        <v>1072</v>
      </c>
      <c r="F1041" s="12" t="s">
        <v>120</v>
      </c>
      <c r="G1041" s="13">
        <v>200</v>
      </c>
      <c r="H1041" s="14">
        <v>200</v>
      </c>
      <c r="I1041" s="15">
        <v>41.4</v>
      </c>
      <c r="J1041" s="16"/>
      <c r="K1041" s="17">
        <v>8280</v>
      </c>
      <c r="L1041" s="18">
        <v>46175</v>
      </c>
      <c r="M1041" s="6" t="str">
        <f t="shared" si="48"/>
        <v>Schedule order</v>
      </c>
      <c r="N1041" s="8">
        <f t="shared" ca="1" si="49"/>
        <v>20</v>
      </c>
      <c r="O1041" s="8" t="str">
        <f t="shared" ca="1" si="50"/>
        <v>Lattest or shedule order</v>
      </c>
      <c r="P1041" t="str">
        <f>VLOOKUP(C1041,[1]Customer_Master!$A:$B,2,0)</f>
        <v>Group 1-Giridhar-Peenya</v>
      </c>
      <c r="Q1041" t="str">
        <f>VLOOKUP(D1041,[2]Template!$A:$D,3,0)</f>
        <v>LAPP</v>
      </c>
      <c r="R1041" t="str">
        <f>VLOOKUP(D1041,[2]Template!$A:$D,4,0)</f>
        <v>Lapp-Ace Group</v>
      </c>
    </row>
    <row r="1042" spans="1:18" ht="13.5" customHeight="1" x14ac:dyDescent="0.25">
      <c r="A1042" s="9">
        <v>46144</v>
      </c>
      <c r="B1042" s="10" t="s">
        <v>1507</v>
      </c>
      <c r="C1042" s="11" t="s">
        <v>1508</v>
      </c>
      <c r="D1042" s="10" t="s">
        <v>702</v>
      </c>
      <c r="E1042" s="12" t="s">
        <v>1072</v>
      </c>
      <c r="F1042" s="12" t="s">
        <v>703</v>
      </c>
      <c r="G1042" s="13">
        <v>500</v>
      </c>
      <c r="H1042" s="14">
        <v>500</v>
      </c>
      <c r="I1042" s="15">
        <v>10.95</v>
      </c>
      <c r="J1042" s="16"/>
      <c r="K1042" s="17">
        <v>5475</v>
      </c>
      <c r="L1042" s="18">
        <v>46175</v>
      </c>
      <c r="M1042" s="6" t="str">
        <f t="shared" si="48"/>
        <v>Schedule order</v>
      </c>
      <c r="N1042" s="8">
        <f t="shared" ca="1" si="49"/>
        <v>20</v>
      </c>
      <c r="O1042" s="8" t="str">
        <f t="shared" ca="1" si="50"/>
        <v>Lattest or shedule order</v>
      </c>
      <c r="P1042" t="str">
        <f>VLOOKUP(C1042,[1]Customer_Master!$A:$B,2,0)</f>
        <v>Group 1-Giridhar-Peenya</v>
      </c>
      <c r="Q1042" t="str">
        <f>VLOOKUP(D1042,[2]Template!$A:$D,3,0)</f>
        <v>LAPP</v>
      </c>
      <c r="R1042" t="str">
        <f>VLOOKUP(D1042,[2]Template!$A:$D,4,0)</f>
        <v>Lapp-Planned Stock General</v>
      </c>
    </row>
    <row r="1043" spans="1:18" ht="13.5" customHeight="1" x14ac:dyDescent="0.25">
      <c r="A1043" s="9">
        <v>46144</v>
      </c>
      <c r="B1043" s="10" t="s">
        <v>1507</v>
      </c>
      <c r="C1043" s="11" t="s">
        <v>1508</v>
      </c>
      <c r="D1043" s="10" t="s">
        <v>656</v>
      </c>
      <c r="E1043" s="12" t="s">
        <v>1072</v>
      </c>
      <c r="F1043" s="12" t="s">
        <v>657</v>
      </c>
      <c r="G1043" s="13">
        <v>500</v>
      </c>
      <c r="H1043" s="14">
        <v>500</v>
      </c>
      <c r="I1043" s="15">
        <v>29.75</v>
      </c>
      <c r="J1043" s="16"/>
      <c r="K1043" s="17">
        <v>14875</v>
      </c>
      <c r="L1043" s="18">
        <v>46175</v>
      </c>
      <c r="M1043" s="6" t="str">
        <f t="shared" si="48"/>
        <v>Schedule order</v>
      </c>
      <c r="N1043" s="8">
        <f t="shared" ca="1" si="49"/>
        <v>20</v>
      </c>
      <c r="O1043" s="8" t="str">
        <f t="shared" ca="1" si="50"/>
        <v>Lattest or shedule order</v>
      </c>
      <c r="P1043" t="str">
        <f>VLOOKUP(C1043,[1]Customer_Master!$A:$B,2,0)</f>
        <v>Group 1-Giridhar-Peenya</v>
      </c>
      <c r="Q1043" t="str">
        <f>VLOOKUP(D1043,[2]Template!$A:$D,3,0)</f>
        <v>LAPP</v>
      </c>
      <c r="R1043" t="str">
        <f>VLOOKUP(D1043,[2]Template!$A:$D,4,0)</f>
        <v>Lapp-Ace Group</v>
      </c>
    </row>
    <row r="1044" spans="1:18" ht="13.5" customHeight="1" x14ac:dyDescent="0.25">
      <c r="A1044" s="9">
        <v>46144</v>
      </c>
      <c r="B1044" s="10" t="s">
        <v>1507</v>
      </c>
      <c r="C1044" s="11" t="s">
        <v>1508</v>
      </c>
      <c r="D1044" s="10" t="s">
        <v>654</v>
      </c>
      <c r="E1044" s="12" t="s">
        <v>1072</v>
      </c>
      <c r="F1044" s="12" t="s">
        <v>655</v>
      </c>
      <c r="G1044" s="13">
        <v>3500</v>
      </c>
      <c r="H1044" s="14">
        <v>3500</v>
      </c>
      <c r="I1044" s="15">
        <v>28.51</v>
      </c>
      <c r="J1044" s="16"/>
      <c r="K1044" s="17">
        <v>99785</v>
      </c>
      <c r="L1044" s="18">
        <v>46175</v>
      </c>
      <c r="M1044" s="6" t="str">
        <f t="shared" si="48"/>
        <v>Schedule order</v>
      </c>
      <c r="N1044" s="8">
        <f t="shared" ca="1" si="49"/>
        <v>20</v>
      </c>
      <c r="O1044" s="8" t="str">
        <f t="shared" ca="1" si="50"/>
        <v>Lattest or shedule order</v>
      </c>
      <c r="P1044" t="str">
        <f>VLOOKUP(C1044,[1]Customer_Master!$A:$B,2,0)</f>
        <v>Group 1-Giridhar-Peenya</v>
      </c>
      <c r="Q1044" t="str">
        <f>VLOOKUP(D1044,[2]Template!$A:$D,3,0)</f>
        <v>LAPP</v>
      </c>
      <c r="R1044" t="str">
        <f>VLOOKUP(D1044,[2]Template!$A:$D,4,0)</f>
        <v>Lapp-Ace Group</v>
      </c>
    </row>
    <row r="1045" spans="1:18" ht="13.5" customHeight="1" x14ac:dyDescent="0.25">
      <c r="A1045" s="9">
        <v>46144</v>
      </c>
      <c r="B1045" s="10" t="s">
        <v>1507</v>
      </c>
      <c r="C1045" s="11" t="s">
        <v>1508</v>
      </c>
      <c r="D1045" s="10" t="s">
        <v>339</v>
      </c>
      <c r="E1045" s="12" t="s">
        <v>1072</v>
      </c>
      <c r="F1045" s="12" t="s">
        <v>124</v>
      </c>
      <c r="G1045" s="13">
        <v>500</v>
      </c>
      <c r="H1045" s="14">
        <v>500</v>
      </c>
      <c r="I1045" s="15">
        <v>20.46</v>
      </c>
      <c r="J1045" s="16"/>
      <c r="K1045" s="17">
        <v>10230</v>
      </c>
      <c r="L1045" s="18">
        <v>46175</v>
      </c>
      <c r="M1045" s="6" t="str">
        <f t="shared" si="48"/>
        <v>Schedule order</v>
      </c>
      <c r="N1045" s="8">
        <f t="shared" ca="1" si="49"/>
        <v>20</v>
      </c>
      <c r="O1045" s="8" t="str">
        <f t="shared" ca="1" si="50"/>
        <v>Lattest or shedule order</v>
      </c>
      <c r="P1045" t="str">
        <f>VLOOKUP(C1045,[1]Customer_Master!$A:$B,2,0)</f>
        <v>Group 1-Giridhar-Peenya</v>
      </c>
      <c r="Q1045" t="str">
        <f>VLOOKUP(D1045,[2]Template!$A:$D,3,0)</f>
        <v>LAPP</v>
      </c>
      <c r="R1045" t="str">
        <f>VLOOKUP(D1045,[2]Template!$A:$D,4,0)</f>
        <v>Lapp-Planned Stock General</v>
      </c>
    </row>
    <row r="1046" spans="1:18" ht="13.5" customHeight="1" x14ac:dyDescent="0.25">
      <c r="A1046" s="9">
        <v>46144</v>
      </c>
      <c r="B1046" s="10" t="s">
        <v>1507</v>
      </c>
      <c r="C1046" s="11" t="s">
        <v>1508</v>
      </c>
      <c r="D1046" s="10" t="s">
        <v>741</v>
      </c>
      <c r="E1046" s="12" t="s">
        <v>1072</v>
      </c>
      <c r="F1046" s="12" t="s">
        <v>742</v>
      </c>
      <c r="G1046" s="13">
        <v>200</v>
      </c>
      <c r="H1046" s="14">
        <v>200</v>
      </c>
      <c r="I1046" s="15">
        <v>553.77</v>
      </c>
      <c r="J1046" s="16"/>
      <c r="K1046" s="17">
        <v>110754</v>
      </c>
      <c r="L1046" s="18">
        <v>46175</v>
      </c>
      <c r="M1046" s="6" t="str">
        <f t="shared" si="48"/>
        <v>Schedule order</v>
      </c>
      <c r="N1046" s="8">
        <f t="shared" ca="1" si="49"/>
        <v>20</v>
      </c>
      <c r="O1046" s="8" t="str">
        <f t="shared" ca="1" si="50"/>
        <v>Lattest or shedule order</v>
      </c>
      <c r="P1046" t="str">
        <f>VLOOKUP(C1046,[1]Customer_Master!$A:$B,2,0)</f>
        <v>Group 1-Giridhar-Peenya</v>
      </c>
      <c r="Q1046" t="str">
        <f>VLOOKUP(D1046,[2]Template!$A:$D,3,0)</f>
        <v>LAPP</v>
      </c>
      <c r="R1046" t="str">
        <f>VLOOKUP(D1046,[2]Template!$A:$D,4,0)</f>
        <v>Lapp-Ace Group</v>
      </c>
    </row>
    <row r="1047" spans="1:18" ht="13.5" customHeight="1" x14ac:dyDescent="0.25">
      <c r="A1047" s="9">
        <v>46144</v>
      </c>
      <c r="B1047" s="10" t="s">
        <v>1507</v>
      </c>
      <c r="C1047" s="11" t="s">
        <v>1508</v>
      </c>
      <c r="D1047" s="10" t="s">
        <v>354</v>
      </c>
      <c r="E1047" s="12" t="s">
        <v>1072</v>
      </c>
      <c r="F1047" s="12" t="s">
        <v>134</v>
      </c>
      <c r="G1047" s="13">
        <v>200</v>
      </c>
      <c r="H1047" s="14">
        <v>200</v>
      </c>
      <c r="I1047" s="15">
        <v>141.28</v>
      </c>
      <c r="J1047" s="16"/>
      <c r="K1047" s="17">
        <v>28256</v>
      </c>
      <c r="L1047" s="18">
        <v>46175</v>
      </c>
      <c r="M1047" s="6" t="str">
        <f t="shared" si="48"/>
        <v>Schedule order</v>
      </c>
      <c r="N1047" s="8">
        <f t="shared" ca="1" si="49"/>
        <v>20</v>
      </c>
      <c r="O1047" s="8" t="str">
        <f t="shared" ca="1" si="50"/>
        <v>Lattest or shedule order</v>
      </c>
      <c r="P1047" t="str">
        <f>VLOOKUP(C1047,[1]Customer_Master!$A:$B,2,0)</f>
        <v>Group 1-Giridhar-Peenya</v>
      </c>
      <c r="Q1047" t="str">
        <f>VLOOKUP(D1047,[2]Template!$A:$D,3,0)</f>
        <v>LAPP</v>
      </c>
      <c r="R1047" t="str">
        <f>VLOOKUP(D1047,[2]Template!$A:$D,4,0)</f>
        <v>Lapp-Planned Stock General</v>
      </c>
    </row>
    <row r="1048" spans="1:18" ht="13.5" customHeight="1" x14ac:dyDescent="0.25">
      <c r="A1048" s="9">
        <v>46144</v>
      </c>
      <c r="B1048" s="10" t="s">
        <v>1507</v>
      </c>
      <c r="C1048" s="11" t="s">
        <v>1508</v>
      </c>
      <c r="D1048" s="10" t="s">
        <v>356</v>
      </c>
      <c r="E1048" s="12" t="s">
        <v>1072</v>
      </c>
      <c r="F1048" s="12" t="s">
        <v>136</v>
      </c>
      <c r="G1048" s="13">
        <v>200</v>
      </c>
      <c r="H1048" s="14">
        <v>200</v>
      </c>
      <c r="I1048" s="15">
        <v>33.68</v>
      </c>
      <c r="J1048" s="16"/>
      <c r="K1048" s="17">
        <v>6736</v>
      </c>
      <c r="L1048" s="18">
        <v>46175</v>
      </c>
      <c r="M1048" s="6" t="str">
        <f t="shared" si="48"/>
        <v>Schedule order</v>
      </c>
      <c r="N1048" s="8">
        <f t="shared" ca="1" si="49"/>
        <v>20</v>
      </c>
      <c r="O1048" s="8" t="str">
        <f t="shared" ca="1" si="50"/>
        <v>Lattest or shedule order</v>
      </c>
      <c r="P1048" t="str">
        <f>VLOOKUP(C1048,[1]Customer_Master!$A:$B,2,0)</f>
        <v>Group 1-Giridhar-Peenya</v>
      </c>
      <c r="Q1048" t="str">
        <f>VLOOKUP(D1048,[2]Template!$A:$D,3,0)</f>
        <v>LAPP</v>
      </c>
      <c r="R1048" t="str">
        <f>VLOOKUP(D1048,[2]Template!$A:$D,4,0)</f>
        <v>Lapp-Planned Stock General</v>
      </c>
    </row>
    <row r="1049" spans="1:18" ht="13.5" customHeight="1" x14ac:dyDescent="0.25">
      <c r="A1049" s="9">
        <v>46144</v>
      </c>
      <c r="B1049" s="10" t="s">
        <v>1507</v>
      </c>
      <c r="C1049" s="11" t="s">
        <v>1508</v>
      </c>
      <c r="D1049" s="10" t="s">
        <v>336</v>
      </c>
      <c r="E1049" s="12" t="s">
        <v>1072</v>
      </c>
      <c r="F1049" s="12" t="s">
        <v>119</v>
      </c>
      <c r="G1049" s="13">
        <v>500</v>
      </c>
      <c r="H1049" s="14">
        <v>500</v>
      </c>
      <c r="I1049" s="15">
        <v>54.04</v>
      </c>
      <c r="J1049" s="16"/>
      <c r="K1049" s="17">
        <v>27020</v>
      </c>
      <c r="L1049" s="18">
        <v>46175</v>
      </c>
      <c r="M1049" s="6" t="str">
        <f t="shared" si="48"/>
        <v>Schedule order</v>
      </c>
      <c r="N1049" s="8">
        <f t="shared" ca="1" si="49"/>
        <v>20</v>
      </c>
      <c r="O1049" s="8" t="str">
        <f t="shared" ca="1" si="50"/>
        <v>Lattest or shedule order</v>
      </c>
      <c r="P1049" t="str">
        <f>VLOOKUP(C1049,[1]Customer_Master!$A:$B,2,0)</f>
        <v>Group 1-Giridhar-Peenya</v>
      </c>
      <c r="Q1049" t="str">
        <f>VLOOKUP(D1049,[2]Template!$A:$D,3,0)</f>
        <v>LAPP</v>
      </c>
      <c r="R1049" t="str">
        <f>VLOOKUP(D1049,[2]Template!$A:$D,4,0)</f>
        <v>Lapp-Planned Stock General</v>
      </c>
    </row>
    <row r="1050" spans="1:18" ht="13.5" customHeight="1" x14ac:dyDescent="0.25">
      <c r="A1050" s="9">
        <v>46144</v>
      </c>
      <c r="B1050" s="10" t="s">
        <v>1507</v>
      </c>
      <c r="C1050" s="11" t="s">
        <v>1508</v>
      </c>
      <c r="D1050" s="10" t="s">
        <v>342</v>
      </c>
      <c r="E1050" s="12" t="s">
        <v>1072</v>
      </c>
      <c r="F1050" s="12" t="s">
        <v>125</v>
      </c>
      <c r="G1050" s="13">
        <v>700</v>
      </c>
      <c r="H1050" s="14">
        <v>700</v>
      </c>
      <c r="I1050" s="15">
        <v>81.900000000000006</v>
      </c>
      <c r="J1050" s="16"/>
      <c r="K1050" s="17">
        <v>57330</v>
      </c>
      <c r="L1050" s="18">
        <v>46175</v>
      </c>
      <c r="M1050" s="6" t="str">
        <f t="shared" si="48"/>
        <v>Schedule order</v>
      </c>
      <c r="N1050" s="8">
        <f t="shared" ca="1" si="49"/>
        <v>20</v>
      </c>
      <c r="O1050" s="8" t="str">
        <f t="shared" ca="1" si="50"/>
        <v>Lattest or shedule order</v>
      </c>
      <c r="P1050" t="str">
        <f>VLOOKUP(C1050,[1]Customer_Master!$A:$B,2,0)</f>
        <v>Group 1-Giridhar-Peenya</v>
      </c>
      <c r="Q1050" t="str">
        <f>VLOOKUP(D1050,[2]Template!$A:$D,3,0)</f>
        <v>LAPP</v>
      </c>
      <c r="R1050" t="str">
        <f>VLOOKUP(D1050,[2]Template!$A:$D,4,0)</f>
        <v>Lapp-Planned Stock General</v>
      </c>
    </row>
    <row r="1051" spans="1:18" ht="13.5" customHeight="1" x14ac:dyDescent="0.25">
      <c r="A1051" s="9">
        <v>46144</v>
      </c>
      <c r="B1051" s="10" t="s">
        <v>1507</v>
      </c>
      <c r="C1051" s="11" t="s">
        <v>1508</v>
      </c>
      <c r="D1051" s="10" t="s">
        <v>360</v>
      </c>
      <c r="E1051" s="12" t="s">
        <v>1072</v>
      </c>
      <c r="F1051" s="12" t="s">
        <v>141</v>
      </c>
      <c r="G1051" s="13">
        <v>300</v>
      </c>
      <c r="H1051" s="14">
        <v>300</v>
      </c>
      <c r="I1051" s="15">
        <v>81.900000000000006</v>
      </c>
      <c r="J1051" s="16"/>
      <c r="K1051" s="17">
        <v>24570</v>
      </c>
      <c r="L1051" s="18">
        <v>46175</v>
      </c>
      <c r="M1051" s="6" t="str">
        <f t="shared" si="48"/>
        <v>Schedule order</v>
      </c>
      <c r="N1051" s="8">
        <f t="shared" ca="1" si="49"/>
        <v>20</v>
      </c>
      <c r="O1051" s="8" t="str">
        <f t="shared" ca="1" si="50"/>
        <v>Lattest or shedule order</v>
      </c>
      <c r="P1051" t="str">
        <f>VLOOKUP(C1051,[1]Customer_Master!$A:$B,2,0)</f>
        <v>Group 1-Giridhar-Peenya</v>
      </c>
      <c r="Q1051" t="str">
        <f>VLOOKUP(D1051,[2]Template!$A:$D,3,0)</f>
        <v>LAPP</v>
      </c>
      <c r="R1051" t="str">
        <f>VLOOKUP(D1051,[2]Template!$A:$D,4,0)</f>
        <v>Lapp-Planned Stock General</v>
      </c>
    </row>
    <row r="1052" spans="1:18" ht="13.5" customHeight="1" x14ac:dyDescent="0.25">
      <c r="A1052" s="9">
        <v>46144</v>
      </c>
      <c r="B1052" s="10" t="s">
        <v>1507</v>
      </c>
      <c r="C1052" s="11" t="s">
        <v>1508</v>
      </c>
      <c r="D1052" s="10" t="s">
        <v>658</v>
      </c>
      <c r="E1052" s="12" t="s">
        <v>1072</v>
      </c>
      <c r="F1052" s="12" t="s">
        <v>659</v>
      </c>
      <c r="G1052" s="13">
        <v>100</v>
      </c>
      <c r="H1052" s="14">
        <v>100</v>
      </c>
      <c r="I1052" s="15">
        <v>52.23</v>
      </c>
      <c r="J1052" s="16"/>
      <c r="K1052" s="17">
        <v>5223</v>
      </c>
      <c r="L1052" s="18">
        <v>46175</v>
      </c>
      <c r="M1052" s="6" t="str">
        <f t="shared" si="48"/>
        <v>Schedule order</v>
      </c>
      <c r="N1052" s="8">
        <f t="shared" ca="1" si="49"/>
        <v>20</v>
      </c>
      <c r="O1052" s="8" t="str">
        <f t="shared" ca="1" si="50"/>
        <v>Lattest or shedule order</v>
      </c>
      <c r="P1052" t="str">
        <f>VLOOKUP(C1052,[1]Customer_Master!$A:$B,2,0)</f>
        <v>Group 1-Giridhar-Peenya</v>
      </c>
      <c r="Q1052" t="str">
        <f>VLOOKUP(D1052,[2]Template!$A:$D,3,0)</f>
        <v>LAPP</v>
      </c>
      <c r="R1052" t="str">
        <f>VLOOKUP(D1052,[2]Template!$A:$D,4,0)</f>
        <v>Lapp-Ace Group</v>
      </c>
    </row>
    <row r="1053" spans="1:18" ht="13.5" customHeight="1" x14ac:dyDescent="0.25">
      <c r="A1053" s="9">
        <v>46144</v>
      </c>
      <c r="B1053" s="10" t="s">
        <v>1507</v>
      </c>
      <c r="C1053" s="11" t="s">
        <v>1508</v>
      </c>
      <c r="D1053" s="10" t="s">
        <v>512</v>
      </c>
      <c r="E1053" s="12" t="s">
        <v>1072</v>
      </c>
      <c r="F1053" s="12" t="s">
        <v>513</v>
      </c>
      <c r="G1053" s="13">
        <v>300</v>
      </c>
      <c r="H1053" s="14">
        <v>300</v>
      </c>
      <c r="I1053" s="15">
        <v>58.69</v>
      </c>
      <c r="J1053" s="16"/>
      <c r="K1053" s="17">
        <v>17607</v>
      </c>
      <c r="L1053" s="18">
        <v>46175</v>
      </c>
      <c r="M1053" s="6" t="str">
        <f t="shared" si="48"/>
        <v>Schedule order</v>
      </c>
      <c r="N1053" s="8">
        <f t="shared" ca="1" si="49"/>
        <v>20</v>
      </c>
      <c r="O1053" s="8" t="str">
        <f t="shared" ca="1" si="50"/>
        <v>Lattest or shedule order</v>
      </c>
      <c r="P1053" t="str">
        <f>VLOOKUP(C1053,[1]Customer_Master!$A:$B,2,0)</f>
        <v>Group 1-Giridhar-Peenya</v>
      </c>
      <c r="Q1053" t="str">
        <f>VLOOKUP(D1053,[2]Template!$A:$D,3,0)</f>
        <v>LAPP</v>
      </c>
      <c r="R1053" t="str">
        <f>VLOOKUP(D1053,[2]Template!$A:$D,4,0)</f>
        <v>Lapp-Ace Group</v>
      </c>
    </row>
    <row r="1054" spans="1:18" ht="13.5" customHeight="1" x14ac:dyDescent="0.25">
      <c r="A1054" s="9">
        <v>46144</v>
      </c>
      <c r="B1054" s="10" t="s">
        <v>1509</v>
      </c>
      <c r="C1054" s="11" t="s">
        <v>1508</v>
      </c>
      <c r="D1054" s="10" t="s">
        <v>317</v>
      </c>
      <c r="E1054" s="12" t="s">
        <v>1072</v>
      </c>
      <c r="F1054" s="12" t="s">
        <v>71</v>
      </c>
      <c r="G1054" s="13">
        <v>2000</v>
      </c>
      <c r="H1054" s="14">
        <v>2000</v>
      </c>
      <c r="I1054" s="15">
        <v>7.87</v>
      </c>
      <c r="J1054" s="16"/>
      <c r="K1054" s="17">
        <v>15740</v>
      </c>
      <c r="L1054" s="18">
        <v>46205</v>
      </c>
      <c r="M1054" s="6" t="str">
        <f t="shared" si="48"/>
        <v>Schedule order</v>
      </c>
      <c r="N1054" s="8">
        <f t="shared" ca="1" si="49"/>
        <v>50</v>
      </c>
      <c r="O1054" s="8" t="str">
        <f t="shared" ca="1" si="50"/>
        <v>Lattest or shedule order</v>
      </c>
      <c r="P1054" t="str">
        <f>VLOOKUP(C1054,[1]Customer_Master!$A:$B,2,0)</f>
        <v>Group 1-Giridhar-Peenya</v>
      </c>
      <c r="Q1054" t="str">
        <f>VLOOKUP(D1054,[2]Template!$A:$D,3,0)</f>
        <v>LAPP</v>
      </c>
      <c r="R1054" t="str">
        <f>VLOOKUP(D1054,[2]Template!$A:$D,4,0)</f>
        <v>Lapp-Planned Stock General</v>
      </c>
    </row>
    <row r="1055" spans="1:18" ht="13.5" customHeight="1" x14ac:dyDescent="0.25">
      <c r="A1055" s="9">
        <v>46144</v>
      </c>
      <c r="B1055" s="10" t="s">
        <v>1509</v>
      </c>
      <c r="C1055" s="11" t="s">
        <v>1508</v>
      </c>
      <c r="D1055" s="10" t="s">
        <v>648</v>
      </c>
      <c r="E1055" s="12" t="s">
        <v>1072</v>
      </c>
      <c r="F1055" s="12" t="s">
        <v>649</v>
      </c>
      <c r="G1055" s="13">
        <v>100</v>
      </c>
      <c r="H1055" s="14">
        <v>100</v>
      </c>
      <c r="I1055" s="15">
        <v>10.95</v>
      </c>
      <c r="J1055" s="16"/>
      <c r="K1055" s="17">
        <v>1095</v>
      </c>
      <c r="L1055" s="18">
        <v>46205</v>
      </c>
      <c r="M1055" s="6" t="str">
        <f t="shared" si="48"/>
        <v>Schedule order</v>
      </c>
      <c r="N1055" s="8">
        <f t="shared" ca="1" si="49"/>
        <v>50</v>
      </c>
      <c r="O1055" s="8" t="str">
        <f t="shared" ca="1" si="50"/>
        <v>Lattest or shedule order</v>
      </c>
      <c r="P1055" t="str">
        <f>VLOOKUP(C1055,[1]Customer_Master!$A:$B,2,0)</f>
        <v>Group 1-Giridhar-Peenya</v>
      </c>
      <c r="Q1055" t="str">
        <f>VLOOKUP(D1055,[2]Template!$A:$D,3,0)</f>
        <v>LAPP</v>
      </c>
      <c r="R1055" t="str">
        <f>VLOOKUP(D1055,[2]Template!$A:$D,4,0)</f>
        <v>Lapp-Planned Stock General</v>
      </c>
    </row>
    <row r="1056" spans="1:18" ht="13.5" customHeight="1" x14ac:dyDescent="0.25">
      <c r="A1056" s="9">
        <v>46144</v>
      </c>
      <c r="B1056" s="10" t="s">
        <v>1509</v>
      </c>
      <c r="C1056" s="11" t="s">
        <v>1508</v>
      </c>
      <c r="D1056" s="10" t="s">
        <v>362</v>
      </c>
      <c r="E1056" s="12" t="s">
        <v>1072</v>
      </c>
      <c r="F1056" s="12" t="s">
        <v>145</v>
      </c>
      <c r="G1056" s="13">
        <v>500</v>
      </c>
      <c r="H1056" s="14">
        <v>500</v>
      </c>
      <c r="I1056" s="15">
        <v>47.4</v>
      </c>
      <c r="J1056" s="16"/>
      <c r="K1056" s="17">
        <v>23700</v>
      </c>
      <c r="L1056" s="18">
        <v>46205</v>
      </c>
      <c r="M1056" s="6" t="str">
        <f t="shared" si="48"/>
        <v>Schedule order</v>
      </c>
      <c r="N1056" s="8">
        <f t="shared" ca="1" si="49"/>
        <v>50</v>
      </c>
      <c r="O1056" s="8" t="str">
        <f t="shared" ca="1" si="50"/>
        <v>Lattest or shedule order</v>
      </c>
      <c r="P1056" t="str">
        <f>VLOOKUP(C1056,[1]Customer_Master!$A:$B,2,0)</f>
        <v>Group 1-Giridhar-Peenya</v>
      </c>
      <c r="Q1056" t="str">
        <f>VLOOKUP(D1056,[2]Template!$A:$D,3,0)</f>
        <v>LAPP</v>
      </c>
      <c r="R1056" t="str">
        <f>VLOOKUP(D1056,[2]Template!$A:$D,4,0)</f>
        <v>Lapp-Ace Group</v>
      </c>
    </row>
    <row r="1057" spans="1:18" ht="13.5" customHeight="1" x14ac:dyDescent="0.25">
      <c r="A1057" s="9">
        <v>46144</v>
      </c>
      <c r="B1057" s="10" t="s">
        <v>1509</v>
      </c>
      <c r="C1057" s="11" t="s">
        <v>1508</v>
      </c>
      <c r="D1057" s="10" t="s">
        <v>333</v>
      </c>
      <c r="E1057" s="12" t="s">
        <v>1072</v>
      </c>
      <c r="F1057" s="12" t="s">
        <v>120</v>
      </c>
      <c r="G1057" s="13">
        <v>200</v>
      </c>
      <c r="H1057" s="14">
        <v>200</v>
      </c>
      <c r="I1057" s="15">
        <v>41.4</v>
      </c>
      <c r="J1057" s="16"/>
      <c r="K1057" s="17">
        <v>8280</v>
      </c>
      <c r="L1057" s="18">
        <v>46205</v>
      </c>
      <c r="M1057" s="6" t="str">
        <f t="shared" si="48"/>
        <v>Schedule order</v>
      </c>
      <c r="N1057" s="8">
        <f t="shared" ca="1" si="49"/>
        <v>50</v>
      </c>
      <c r="O1057" s="8" t="str">
        <f t="shared" ca="1" si="50"/>
        <v>Lattest or shedule order</v>
      </c>
      <c r="P1057" t="str">
        <f>VLOOKUP(C1057,[1]Customer_Master!$A:$B,2,0)</f>
        <v>Group 1-Giridhar-Peenya</v>
      </c>
      <c r="Q1057" t="str">
        <f>VLOOKUP(D1057,[2]Template!$A:$D,3,0)</f>
        <v>LAPP</v>
      </c>
      <c r="R1057" t="str">
        <f>VLOOKUP(D1057,[2]Template!$A:$D,4,0)</f>
        <v>Lapp-Ace Group</v>
      </c>
    </row>
    <row r="1058" spans="1:18" ht="13.5" customHeight="1" x14ac:dyDescent="0.25">
      <c r="A1058" s="9">
        <v>46144</v>
      </c>
      <c r="B1058" s="10" t="s">
        <v>1509</v>
      </c>
      <c r="C1058" s="11" t="s">
        <v>1508</v>
      </c>
      <c r="D1058" s="10" t="s">
        <v>702</v>
      </c>
      <c r="E1058" s="12" t="s">
        <v>1072</v>
      </c>
      <c r="F1058" s="12" t="s">
        <v>703</v>
      </c>
      <c r="G1058" s="13">
        <v>500</v>
      </c>
      <c r="H1058" s="14">
        <v>500</v>
      </c>
      <c r="I1058" s="15">
        <v>10.95</v>
      </c>
      <c r="J1058" s="16"/>
      <c r="K1058" s="17">
        <v>5475</v>
      </c>
      <c r="L1058" s="18">
        <v>46205</v>
      </c>
      <c r="M1058" s="6" t="str">
        <f t="shared" si="48"/>
        <v>Schedule order</v>
      </c>
      <c r="N1058" s="8">
        <f t="shared" ca="1" si="49"/>
        <v>50</v>
      </c>
      <c r="O1058" s="8" t="str">
        <f t="shared" ca="1" si="50"/>
        <v>Lattest or shedule order</v>
      </c>
      <c r="P1058" t="str">
        <f>VLOOKUP(C1058,[1]Customer_Master!$A:$B,2,0)</f>
        <v>Group 1-Giridhar-Peenya</v>
      </c>
      <c r="Q1058" t="str">
        <f>VLOOKUP(D1058,[2]Template!$A:$D,3,0)</f>
        <v>LAPP</v>
      </c>
      <c r="R1058" t="str">
        <f>VLOOKUP(D1058,[2]Template!$A:$D,4,0)</f>
        <v>Lapp-Planned Stock General</v>
      </c>
    </row>
    <row r="1059" spans="1:18" ht="13.5" customHeight="1" x14ac:dyDescent="0.25">
      <c r="A1059" s="9">
        <v>46144</v>
      </c>
      <c r="B1059" s="10" t="s">
        <v>1509</v>
      </c>
      <c r="C1059" s="11" t="s">
        <v>1508</v>
      </c>
      <c r="D1059" s="10" t="s">
        <v>656</v>
      </c>
      <c r="E1059" s="12" t="s">
        <v>1072</v>
      </c>
      <c r="F1059" s="12" t="s">
        <v>657</v>
      </c>
      <c r="G1059" s="13">
        <v>500</v>
      </c>
      <c r="H1059" s="14">
        <v>500</v>
      </c>
      <c r="I1059" s="15">
        <v>29.75</v>
      </c>
      <c r="J1059" s="16"/>
      <c r="K1059" s="17">
        <v>14875</v>
      </c>
      <c r="L1059" s="18">
        <v>46205</v>
      </c>
      <c r="M1059" s="6" t="str">
        <f t="shared" si="48"/>
        <v>Schedule order</v>
      </c>
      <c r="N1059" s="8">
        <f t="shared" ca="1" si="49"/>
        <v>50</v>
      </c>
      <c r="O1059" s="8" t="str">
        <f t="shared" ca="1" si="50"/>
        <v>Lattest or shedule order</v>
      </c>
      <c r="P1059" t="str">
        <f>VLOOKUP(C1059,[1]Customer_Master!$A:$B,2,0)</f>
        <v>Group 1-Giridhar-Peenya</v>
      </c>
      <c r="Q1059" t="str">
        <f>VLOOKUP(D1059,[2]Template!$A:$D,3,0)</f>
        <v>LAPP</v>
      </c>
      <c r="R1059" t="str">
        <f>VLOOKUP(D1059,[2]Template!$A:$D,4,0)</f>
        <v>Lapp-Ace Group</v>
      </c>
    </row>
    <row r="1060" spans="1:18" ht="13.5" customHeight="1" x14ac:dyDescent="0.25">
      <c r="A1060" s="9">
        <v>46144</v>
      </c>
      <c r="B1060" s="10" t="s">
        <v>1509</v>
      </c>
      <c r="C1060" s="11" t="s">
        <v>1508</v>
      </c>
      <c r="D1060" s="10" t="s">
        <v>654</v>
      </c>
      <c r="E1060" s="12" t="s">
        <v>1072</v>
      </c>
      <c r="F1060" s="12" t="s">
        <v>655</v>
      </c>
      <c r="G1060" s="13">
        <v>3500</v>
      </c>
      <c r="H1060" s="14">
        <v>3500</v>
      </c>
      <c r="I1060" s="15">
        <v>28.51</v>
      </c>
      <c r="J1060" s="16"/>
      <c r="K1060" s="17">
        <v>99785</v>
      </c>
      <c r="L1060" s="18">
        <v>46205</v>
      </c>
      <c r="M1060" s="6" t="str">
        <f t="shared" si="48"/>
        <v>Schedule order</v>
      </c>
      <c r="N1060" s="8">
        <f t="shared" ca="1" si="49"/>
        <v>50</v>
      </c>
      <c r="O1060" s="8" t="str">
        <f t="shared" ca="1" si="50"/>
        <v>Lattest or shedule order</v>
      </c>
      <c r="P1060" t="str">
        <f>VLOOKUP(C1060,[1]Customer_Master!$A:$B,2,0)</f>
        <v>Group 1-Giridhar-Peenya</v>
      </c>
      <c r="Q1060" t="str">
        <f>VLOOKUP(D1060,[2]Template!$A:$D,3,0)</f>
        <v>LAPP</v>
      </c>
      <c r="R1060" t="str">
        <f>VLOOKUP(D1060,[2]Template!$A:$D,4,0)</f>
        <v>Lapp-Ace Group</v>
      </c>
    </row>
    <row r="1061" spans="1:18" ht="13.5" customHeight="1" x14ac:dyDescent="0.25">
      <c r="A1061" s="9">
        <v>46144</v>
      </c>
      <c r="B1061" s="10" t="s">
        <v>1509</v>
      </c>
      <c r="C1061" s="11" t="s">
        <v>1508</v>
      </c>
      <c r="D1061" s="10" t="s">
        <v>339</v>
      </c>
      <c r="E1061" s="12" t="s">
        <v>1072</v>
      </c>
      <c r="F1061" s="12" t="s">
        <v>124</v>
      </c>
      <c r="G1061" s="13">
        <v>500</v>
      </c>
      <c r="H1061" s="14">
        <v>500</v>
      </c>
      <c r="I1061" s="15">
        <v>20.46</v>
      </c>
      <c r="J1061" s="16"/>
      <c r="K1061" s="17">
        <v>10230</v>
      </c>
      <c r="L1061" s="18">
        <v>46205</v>
      </c>
      <c r="M1061" s="6" t="str">
        <f t="shared" si="48"/>
        <v>Schedule order</v>
      </c>
      <c r="N1061" s="8">
        <f t="shared" ca="1" si="49"/>
        <v>50</v>
      </c>
      <c r="O1061" s="8" t="str">
        <f t="shared" ca="1" si="50"/>
        <v>Lattest or shedule order</v>
      </c>
      <c r="P1061" t="str">
        <f>VLOOKUP(C1061,[1]Customer_Master!$A:$B,2,0)</f>
        <v>Group 1-Giridhar-Peenya</v>
      </c>
      <c r="Q1061" t="str">
        <f>VLOOKUP(D1061,[2]Template!$A:$D,3,0)</f>
        <v>LAPP</v>
      </c>
      <c r="R1061" t="str">
        <f>VLOOKUP(D1061,[2]Template!$A:$D,4,0)</f>
        <v>Lapp-Planned Stock General</v>
      </c>
    </row>
    <row r="1062" spans="1:18" ht="13.5" customHeight="1" x14ac:dyDescent="0.25">
      <c r="A1062" s="9">
        <v>46144</v>
      </c>
      <c r="B1062" s="10" t="s">
        <v>1509</v>
      </c>
      <c r="C1062" s="11" t="s">
        <v>1508</v>
      </c>
      <c r="D1062" s="10" t="s">
        <v>741</v>
      </c>
      <c r="E1062" s="12" t="s">
        <v>1072</v>
      </c>
      <c r="F1062" s="12" t="s">
        <v>742</v>
      </c>
      <c r="G1062" s="13">
        <v>200</v>
      </c>
      <c r="H1062" s="14">
        <v>200</v>
      </c>
      <c r="I1062" s="15">
        <v>553.77</v>
      </c>
      <c r="J1062" s="16"/>
      <c r="K1062" s="17">
        <v>110754</v>
      </c>
      <c r="L1062" s="18">
        <v>46205</v>
      </c>
      <c r="M1062" s="6" t="str">
        <f t="shared" si="48"/>
        <v>Schedule order</v>
      </c>
      <c r="N1062" s="8">
        <f t="shared" ca="1" si="49"/>
        <v>50</v>
      </c>
      <c r="O1062" s="8" t="str">
        <f t="shared" ca="1" si="50"/>
        <v>Lattest or shedule order</v>
      </c>
      <c r="P1062" t="str">
        <f>VLOOKUP(C1062,[1]Customer_Master!$A:$B,2,0)</f>
        <v>Group 1-Giridhar-Peenya</v>
      </c>
      <c r="Q1062" t="str">
        <f>VLOOKUP(D1062,[2]Template!$A:$D,3,0)</f>
        <v>LAPP</v>
      </c>
      <c r="R1062" t="str">
        <f>VLOOKUP(D1062,[2]Template!$A:$D,4,0)</f>
        <v>Lapp-Ace Group</v>
      </c>
    </row>
    <row r="1063" spans="1:18" ht="13.5" customHeight="1" x14ac:dyDescent="0.25">
      <c r="A1063" s="9">
        <v>46144</v>
      </c>
      <c r="B1063" s="10" t="s">
        <v>1509</v>
      </c>
      <c r="C1063" s="11" t="s">
        <v>1508</v>
      </c>
      <c r="D1063" s="10" t="s">
        <v>354</v>
      </c>
      <c r="E1063" s="12" t="s">
        <v>1072</v>
      </c>
      <c r="F1063" s="12" t="s">
        <v>134</v>
      </c>
      <c r="G1063" s="13">
        <v>200</v>
      </c>
      <c r="H1063" s="14">
        <v>200</v>
      </c>
      <c r="I1063" s="15">
        <v>141.28</v>
      </c>
      <c r="J1063" s="16"/>
      <c r="K1063" s="17">
        <v>28256</v>
      </c>
      <c r="L1063" s="18">
        <v>46205</v>
      </c>
      <c r="M1063" s="6" t="str">
        <f t="shared" si="48"/>
        <v>Schedule order</v>
      </c>
      <c r="N1063" s="8">
        <f t="shared" ca="1" si="49"/>
        <v>50</v>
      </c>
      <c r="O1063" s="8" t="str">
        <f t="shared" ca="1" si="50"/>
        <v>Lattest or shedule order</v>
      </c>
      <c r="P1063" t="str">
        <f>VLOOKUP(C1063,[1]Customer_Master!$A:$B,2,0)</f>
        <v>Group 1-Giridhar-Peenya</v>
      </c>
      <c r="Q1063" t="str">
        <f>VLOOKUP(D1063,[2]Template!$A:$D,3,0)</f>
        <v>LAPP</v>
      </c>
      <c r="R1063" t="str">
        <f>VLOOKUP(D1063,[2]Template!$A:$D,4,0)</f>
        <v>Lapp-Planned Stock General</v>
      </c>
    </row>
    <row r="1064" spans="1:18" ht="13.5" customHeight="1" x14ac:dyDescent="0.25">
      <c r="A1064" s="9">
        <v>46144</v>
      </c>
      <c r="B1064" s="10" t="s">
        <v>1509</v>
      </c>
      <c r="C1064" s="11" t="s">
        <v>1508</v>
      </c>
      <c r="D1064" s="10" t="s">
        <v>356</v>
      </c>
      <c r="E1064" s="12" t="s">
        <v>1072</v>
      </c>
      <c r="F1064" s="12" t="s">
        <v>136</v>
      </c>
      <c r="G1064" s="13">
        <v>200</v>
      </c>
      <c r="H1064" s="14">
        <v>200</v>
      </c>
      <c r="I1064" s="15">
        <v>33.68</v>
      </c>
      <c r="J1064" s="16"/>
      <c r="K1064" s="17">
        <v>6736</v>
      </c>
      <c r="L1064" s="18">
        <v>46205</v>
      </c>
      <c r="M1064" s="6" t="str">
        <f t="shared" si="48"/>
        <v>Schedule order</v>
      </c>
      <c r="N1064" s="8">
        <f t="shared" ca="1" si="49"/>
        <v>50</v>
      </c>
      <c r="O1064" s="8" t="str">
        <f t="shared" ca="1" si="50"/>
        <v>Lattest or shedule order</v>
      </c>
      <c r="P1064" t="str">
        <f>VLOOKUP(C1064,[1]Customer_Master!$A:$B,2,0)</f>
        <v>Group 1-Giridhar-Peenya</v>
      </c>
      <c r="Q1064" t="str">
        <f>VLOOKUP(D1064,[2]Template!$A:$D,3,0)</f>
        <v>LAPP</v>
      </c>
      <c r="R1064" t="str">
        <f>VLOOKUP(D1064,[2]Template!$A:$D,4,0)</f>
        <v>Lapp-Planned Stock General</v>
      </c>
    </row>
    <row r="1065" spans="1:18" ht="13.5" customHeight="1" x14ac:dyDescent="0.25">
      <c r="A1065" s="9">
        <v>46144</v>
      </c>
      <c r="B1065" s="10" t="s">
        <v>1509</v>
      </c>
      <c r="C1065" s="11" t="s">
        <v>1508</v>
      </c>
      <c r="D1065" s="10" t="s">
        <v>336</v>
      </c>
      <c r="E1065" s="12" t="s">
        <v>1072</v>
      </c>
      <c r="F1065" s="12" t="s">
        <v>119</v>
      </c>
      <c r="G1065" s="13">
        <v>500</v>
      </c>
      <c r="H1065" s="14">
        <v>500</v>
      </c>
      <c r="I1065" s="15">
        <v>54.04</v>
      </c>
      <c r="J1065" s="16"/>
      <c r="K1065" s="17">
        <v>27020</v>
      </c>
      <c r="L1065" s="18">
        <v>46205</v>
      </c>
      <c r="M1065" s="6" t="str">
        <f t="shared" si="48"/>
        <v>Schedule order</v>
      </c>
      <c r="N1065" s="8">
        <f t="shared" ca="1" si="49"/>
        <v>50</v>
      </c>
      <c r="O1065" s="8" t="str">
        <f t="shared" ca="1" si="50"/>
        <v>Lattest or shedule order</v>
      </c>
      <c r="P1065" t="str">
        <f>VLOOKUP(C1065,[1]Customer_Master!$A:$B,2,0)</f>
        <v>Group 1-Giridhar-Peenya</v>
      </c>
      <c r="Q1065" t="str">
        <f>VLOOKUP(D1065,[2]Template!$A:$D,3,0)</f>
        <v>LAPP</v>
      </c>
      <c r="R1065" t="str">
        <f>VLOOKUP(D1065,[2]Template!$A:$D,4,0)</f>
        <v>Lapp-Planned Stock General</v>
      </c>
    </row>
    <row r="1066" spans="1:18" ht="13.5" customHeight="1" x14ac:dyDescent="0.25">
      <c r="A1066" s="9">
        <v>46144</v>
      </c>
      <c r="B1066" s="10" t="s">
        <v>1509</v>
      </c>
      <c r="C1066" s="11" t="s">
        <v>1508</v>
      </c>
      <c r="D1066" s="10" t="s">
        <v>342</v>
      </c>
      <c r="E1066" s="12" t="s">
        <v>1072</v>
      </c>
      <c r="F1066" s="12" t="s">
        <v>125</v>
      </c>
      <c r="G1066" s="13">
        <v>700</v>
      </c>
      <c r="H1066" s="14">
        <v>700</v>
      </c>
      <c r="I1066" s="15">
        <v>81.900000000000006</v>
      </c>
      <c r="J1066" s="16"/>
      <c r="K1066" s="17">
        <v>57330</v>
      </c>
      <c r="L1066" s="18">
        <v>46205</v>
      </c>
      <c r="M1066" s="6" t="str">
        <f t="shared" si="48"/>
        <v>Schedule order</v>
      </c>
      <c r="N1066" s="8">
        <f t="shared" ca="1" si="49"/>
        <v>50</v>
      </c>
      <c r="O1066" s="8" t="str">
        <f t="shared" ca="1" si="50"/>
        <v>Lattest or shedule order</v>
      </c>
      <c r="P1066" t="str">
        <f>VLOOKUP(C1066,[1]Customer_Master!$A:$B,2,0)</f>
        <v>Group 1-Giridhar-Peenya</v>
      </c>
      <c r="Q1066" t="str">
        <f>VLOOKUP(D1066,[2]Template!$A:$D,3,0)</f>
        <v>LAPP</v>
      </c>
      <c r="R1066" t="str">
        <f>VLOOKUP(D1066,[2]Template!$A:$D,4,0)</f>
        <v>Lapp-Planned Stock General</v>
      </c>
    </row>
    <row r="1067" spans="1:18" ht="13.5" customHeight="1" x14ac:dyDescent="0.25">
      <c r="A1067" s="9">
        <v>46144</v>
      </c>
      <c r="B1067" s="10" t="s">
        <v>1509</v>
      </c>
      <c r="C1067" s="11" t="s">
        <v>1508</v>
      </c>
      <c r="D1067" s="10" t="s">
        <v>360</v>
      </c>
      <c r="E1067" s="12" t="s">
        <v>1072</v>
      </c>
      <c r="F1067" s="12" t="s">
        <v>141</v>
      </c>
      <c r="G1067" s="13">
        <v>300</v>
      </c>
      <c r="H1067" s="14">
        <v>300</v>
      </c>
      <c r="I1067" s="15">
        <v>81.900000000000006</v>
      </c>
      <c r="J1067" s="16"/>
      <c r="K1067" s="17">
        <v>24570</v>
      </c>
      <c r="L1067" s="18">
        <v>46205</v>
      </c>
      <c r="M1067" s="6" t="str">
        <f t="shared" si="48"/>
        <v>Schedule order</v>
      </c>
      <c r="N1067" s="8">
        <f t="shared" ca="1" si="49"/>
        <v>50</v>
      </c>
      <c r="O1067" s="8" t="str">
        <f t="shared" ca="1" si="50"/>
        <v>Lattest or shedule order</v>
      </c>
      <c r="P1067" t="str">
        <f>VLOOKUP(C1067,[1]Customer_Master!$A:$B,2,0)</f>
        <v>Group 1-Giridhar-Peenya</v>
      </c>
      <c r="Q1067" t="str">
        <f>VLOOKUP(D1067,[2]Template!$A:$D,3,0)</f>
        <v>LAPP</v>
      </c>
      <c r="R1067" t="str">
        <f>VLOOKUP(D1067,[2]Template!$A:$D,4,0)</f>
        <v>Lapp-Planned Stock General</v>
      </c>
    </row>
    <row r="1068" spans="1:18" ht="13.5" customHeight="1" x14ac:dyDescent="0.25">
      <c r="A1068" s="9">
        <v>46144</v>
      </c>
      <c r="B1068" s="10" t="s">
        <v>1509</v>
      </c>
      <c r="C1068" s="11" t="s">
        <v>1508</v>
      </c>
      <c r="D1068" s="10" t="s">
        <v>658</v>
      </c>
      <c r="E1068" s="12" t="s">
        <v>1072</v>
      </c>
      <c r="F1068" s="12" t="s">
        <v>659</v>
      </c>
      <c r="G1068" s="13">
        <v>100</v>
      </c>
      <c r="H1068" s="14">
        <v>100</v>
      </c>
      <c r="I1068" s="15">
        <v>52.23</v>
      </c>
      <c r="J1068" s="16"/>
      <c r="K1068" s="17">
        <v>5223</v>
      </c>
      <c r="L1068" s="18">
        <v>46205</v>
      </c>
      <c r="M1068" s="6" t="str">
        <f t="shared" si="48"/>
        <v>Schedule order</v>
      </c>
      <c r="N1068" s="8">
        <f t="shared" ca="1" si="49"/>
        <v>50</v>
      </c>
      <c r="O1068" s="8" t="str">
        <f t="shared" ca="1" si="50"/>
        <v>Lattest or shedule order</v>
      </c>
      <c r="P1068" t="str">
        <f>VLOOKUP(C1068,[1]Customer_Master!$A:$B,2,0)</f>
        <v>Group 1-Giridhar-Peenya</v>
      </c>
      <c r="Q1068" t="str">
        <f>VLOOKUP(D1068,[2]Template!$A:$D,3,0)</f>
        <v>LAPP</v>
      </c>
      <c r="R1068" t="str">
        <f>VLOOKUP(D1068,[2]Template!$A:$D,4,0)</f>
        <v>Lapp-Ace Group</v>
      </c>
    </row>
    <row r="1069" spans="1:18" ht="13.5" customHeight="1" x14ac:dyDescent="0.25">
      <c r="A1069" s="9">
        <v>46144</v>
      </c>
      <c r="B1069" s="10" t="s">
        <v>1509</v>
      </c>
      <c r="C1069" s="11" t="s">
        <v>1508</v>
      </c>
      <c r="D1069" s="10" t="s">
        <v>512</v>
      </c>
      <c r="E1069" s="12" t="s">
        <v>1072</v>
      </c>
      <c r="F1069" s="12" t="s">
        <v>513</v>
      </c>
      <c r="G1069" s="13">
        <v>300</v>
      </c>
      <c r="H1069" s="14">
        <v>300</v>
      </c>
      <c r="I1069" s="15">
        <v>58.69</v>
      </c>
      <c r="J1069" s="16"/>
      <c r="K1069" s="17">
        <v>17607</v>
      </c>
      <c r="L1069" s="18">
        <v>46205</v>
      </c>
      <c r="M1069" s="6" t="str">
        <f t="shared" si="48"/>
        <v>Schedule order</v>
      </c>
      <c r="N1069" s="8">
        <f t="shared" ca="1" si="49"/>
        <v>50</v>
      </c>
      <c r="O1069" s="8" t="str">
        <f t="shared" ca="1" si="50"/>
        <v>Lattest or shedule order</v>
      </c>
      <c r="P1069" t="str">
        <f>VLOOKUP(C1069,[1]Customer_Master!$A:$B,2,0)</f>
        <v>Group 1-Giridhar-Peenya</v>
      </c>
      <c r="Q1069" t="str">
        <f>VLOOKUP(D1069,[2]Template!$A:$D,3,0)</f>
        <v>LAPP</v>
      </c>
      <c r="R1069" t="str">
        <f>VLOOKUP(D1069,[2]Template!$A:$D,4,0)</f>
        <v>Lapp-Ace Group</v>
      </c>
    </row>
    <row r="1070" spans="1:18" ht="13.5" customHeight="1" x14ac:dyDescent="0.25">
      <c r="A1070" s="9">
        <v>46144</v>
      </c>
      <c r="B1070" s="10" t="s">
        <v>1510</v>
      </c>
      <c r="C1070" s="11" t="s">
        <v>1511</v>
      </c>
      <c r="D1070" s="27" t="s">
        <v>1512</v>
      </c>
      <c r="E1070" s="12" t="s">
        <v>1072</v>
      </c>
      <c r="F1070" s="26" t="s">
        <v>1513</v>
      </c>
      <c r="G1070" s="13">
        <v>250</v>
      </c>
      <c r="H1070" s="14">
        <v>250</v>
      </c>
      <c r="I1070" s="15">
        <v>48.68</v>
      </c>
      <c r="J1070" s="16"/>
      <c r="K1070" s="17">
        <v>12170</v>
      </c>
      <c r="L1070" s="18">
        <v>46144</v>
      </c>
      <c r="M1070" s="6" t="str">
        <f t="shared" si="48"/>
        <v>Schedule order</v>
      </c>
      <c r="N1070" s="8">
        <f t="shared" ca="1" si="49"/>
        <v>-11</v>
      </c>
      <c r="O1070" s="8" t="str">
        <f t="shared" ca="1" si="50"/>
        <v>With in 90 days</v>
      </c>
      <c r="P1070" t="str">
        <f>VLOOKUP(C1070,[1]Customer_Master!$A:$B,2,0)</f>
        <v>Group 1-Giridhar-Peenya</v>
      </c>
      <c r="Q1070" t="str">
        <f>VLOOKUP(D1070,[2]Template!$A:$D,3,0)</f>
        <v>LAPP</v>
      </c>
      <c r="R1070" t="str">
        <f>VLOOKUP(D1070,[2]Template!$A:$D,4,0)</f>
        <v>Lapp-Non Moving Stocks</v>
      </c>
    </row>
    <row r="1071" spans="1:18" ht="13.5" customHeight="1" x14ac:dyDescent="0.25">
      <c r="A1071" s="9">
        <v>46144</v>
      </c>
      <c r="B1071" s="10" t="s">
        <v>1514</v>
      </c>
      <c r="C1071" s="11" t="s">
        <v>1515</v>
      </c>
      <c r="D1071" s="10" t="s">
        <v>342</v>
      </c>
      <c r="E1071" s="12" t="s">
        <v>1072</v>
      </c>
      <c r="F1071" s="12" t="s">
        <v>125</v>
      </c>
      <c r="G1071" s="13">
        <v>700</v>
      </c>
      <c r="H1071" s="14">
        <v>700</v>
      </c>
      <c r="I1071" s="15">
        <v>81.900000000000006</v>
      </c>
      <c r="J1071" s="16"/>
      <c r="K1071" s="17">
        <v>57330</v>
      </c>
      <c r="L1071" s="18">
        <v>46178</v>
      </c>
      <c r="M1071" s="6" t="str">
        <f t="shared" si="48"/>
        <v>Schedule order</v>
      </c>
      <c r="N1071" s="8">
        <f t="shared" ca="1" si="49"/>
        <v>23</v>
      </c>
      <c r="O1071" s="8" t="str">
        <f t="shared" ca="1" si="50"/>
        <v>Lattest or shedule order</v>
      </c>
      <c r="P1071" t="str">
        <f>VLOOKUP(C1071,[1]Customer_Master!$A:$B,2,0)</f>
        <v>Group 1-Giridhar-Peenya</v>
      </c>
      <c r="Q1071" t="str">
        <f>VLOOKUP(D1071,[2]Template!$A:$D,3,0)</f>
        <v>LAPP</v>
      </c>
      <c r="R1071" t="str">
        <f>VLOOKUP(D1071,[2]Template!$A:$D,4,0)</f>
        <v>Lapp-Planned Stock General</v>
      </c>
    </row>
    <row r="1072" spans="1:18" ht="13.5" customHeight="1" x14ac:dyDescent="0.25">
      <c r="A1072" s="9">
        <v>46144</v>
      </c>
      <c r="B1072" s="10" t="s">
        <v>1514</v>
      </c>
      <c r="C1072" s="11" t="s">
        <v>1515</v>
      </c>
      <c r="D1072" s="10" t="s">
        <v>342</v>
      </c>
      <c r="E1072" s="12" t="s">
        <v>1072</v>
      </c>
      <c r="F1072" s="12" t="s">
        <v>125</v>
      </c>
      <c r="G1072" s="13">
        <v>700</v>
      </c>
      <c r="H1072" s="14">
        <v>700</v>
      </c>
      <c r="I1072" s="15">
        <v>81.900000000000006</v>
      </c>
      <c r="J1072" s="16"/>
      <c r="K1072" s="17">
        <v>57330</v>
      </c>
      <c r="L1072" s="18">
        <v>46209</v>
      </c>
      <c r="M1072" s="6" t="str">
        <f t="shared" si="48"/>
        <v>Schedule order</v>
      </c>
      <c r="N1072" s="8">
        <f t="shared" ca="1" si="49"/>
        <v>54</v>
      </c>
      <c r="O1072" s="8" t="str">
        <f t="shared" ca="1" si="50"/>
        <v>Lattest or shedule order</v>
      </c>
      <c r="P1072" t="str">
        <f>VLOOKUP(C1072,[1]Customer_Master!$A:$B,2,0)</f>
        <v>Group 1-Giridhar-Peenya</v>
      </c>
      <c r="Q1072" t="str">
        <f>VLOOKUP(D1072,[2]Template!$A:$D,3,0)</f>
        <v>LAPP</v>
      </c>
      <c r="R1072" t="str">
        <f>VLOOKUP(D1072,[2]Template!$A:$D,4,0)</f>
        <v>Lapp-Planned Stock General</v>
      </c>
    </row>
    <row r="1073" spans="1:18" ht="13.5" customHeight="1" x14ac:dyDescent="0.25">
      <c r="A1073" s="9">
        <v>46144</v>
      </c>
      <c r="B1073" s="10" t="s">
        <v>1514</v>
      </c>
      <c r="C1073" s="11" t="s">
        <v>1515</v>
      </c>
      <c r="D1073" s="10" t="s">
        <v>739</v>
      </c>
      <c r="E1073" s="12" t="s">
        <v>1072</v>
      </c>
      <c r="F1073" s="12" t="s">
        <v>740</v>
      </c>
      <c r="G1073" s="13">
        <v>420</v>
      </c>
      <c r="H1073" s="14">
        <v>420</v>
      </c>
      <c r="I1073" s="15">
        <v>134.72999999999999</v>
      </c>
      <c r="J1073" s="16"/>
      <c r="K1073" s="17">
        <v>56586.6</v>
      </c>
      <c r="L1073" s="18">
        <v>46178</v>
      </c>
      <c r="M1073" s="6" t="str">
        <f t="shared" si="48"/>
        <v>Schedule order</v>
      </c>
      <c r="N1073" s="8">
        <f t="shared" ca="1" si="49"/>
        <v>23</v>
      </c>
      <c r="O1073" s="8" t="str">
        <f t="shared" ca="1" si="50"/>
        <v>Lattest or shedule order</v>
      </c>
      <c r="P1073" t="str">
        <f>VLOOKUP(C1073,[1]Customer_Master!$A:$B,2,0)</f>
        <v>Group 1-Giridhar-Peenya</v>
      </c>
      <c r="Q1073" t="str">
        <f>VLOOKUP(D1073,[2]Template!$A:$D,3,0)</f>
        <v>LAPP</v>
      </c>
      <c r="R1073" t="str">
        <f>VLOOKUP(D1073,[2]Template!$A:$D,4,0)</f>
        <v>Lapp-AMS Group</v>
      </c>
    </row>
    <row r="1074" spans="1:18" ht="13.5" customHeight="1" x14ac:dyDescent="0.25">
      <c r="A1074" s="9">
        <v>46144</v>
      </c>
      <c r="B1074" s="10" t="s">
        <v>1514</v>
      </c>
      <c r="C1074" s="11" t="s">
        <v>1515</v>
      </c>
      <c r="D1074" s="10" t="s">
        <v>739</v>
      </c>
      <c r="E1074" s="12" t="s">
        <v>1072</v>
      </c>
      <c r="F1074" s="12" t="s">
        <v>740</v>
      </c>
      <c r="G1074" s="13">
        <v>420</v>
      </c>
      <c r="H1074" s="14">
        <v>420</v>
      </c>
      <c r="I1074" s="15">
        <v>134.72999999999999</v>
      </c>
      <c r="J1074" s="16"/>
      <c r="K1074" s="17">
        <v>56586.6</v>
      </c>
      <c r="L1074" s="18">
        <v>46209</v>
      </c>
      <c r="M1074" s="6" t="str">
        <f t="shared" si="48"/>
        <v>Schedule order</v>
      </c>
      <c r="N1074" s="8">
        <f t="shared" ca="1" si="49"/>
        <v>54</v>
      </c>
      <c r="O1074" s="8" t="str">
        <f t="shared" ca="1" si="50"/>
        <v>Lattest or shedule order</v>
      </c>
      <c r="P1074" t="str">
        <f>VLOOKUP(C1074,[1]Customer_Master!$A:$B,2,0)</f>
        <v>Group 1-Giridhar-Peenya</v>
      </c>
      <c r="Q1074" t="str">
        <f>VLOOKUP(D1074,[2]Template!$A:$D,3,0)</f>
        <v>LAPP</v>
      </c>
      <c r="R1074" t="str">
        <f>VLOOKUP(D1074,[2]Template!$A:$D,4,0)</f>
        <v>Lapp-AMS Group</v>
      </c>
    </row>
    <row r="1075" spans="1:18" ht="13.5" customHeight="1" x14ac:dyDescent="0.25">
      <c r="A1075" s="9">
        <v>46144</v>
      </c>
      <c r="B1075" s="10" t="s">
        <v>1514</v>
      </c>
      <c r="C1075" s="11" t="s">
        <v>1515</v>
      </c>
      <c r="D1075" s="10" t="s">
        <v>317</v>
      </c>
      <c r="E1075" s="12" t="s">
        <v>1072</v>
      </c>
      <c r="F1075" s="12" t="s">
        <v>71</v>
      </c>
      <c r="G1075" s="13">
        <v>7000</v>
      </c>
      <c r="H1075" s="14">
        <v>7000</v>
      </c>
      <c r="I1075" s="15">
        <v>7.87</v>
      </c>
      <c r="J1075" s="16"/>
      <c r="K1075" s="17">
        <v>55090</v>
      </c>
      <c r="L1075" s="18">
        <v>46178</v>
      </c>
      <c r="M1075" s="6" t="str">
        <f t="shared" si="48"/>
        <v>Schedule order</v>
      </c>
      <c r="N1075" s="8">
        <f t="shared" ca="1" si="49"/>
        <v>23</v>
      </c>
      <c r="O1075" s="8" t="str">
        <f t="shared" ca="1" si="50"/>
        <v>Lattest or shedule order</v>
      </c>
      <c r="P1075" t="str">
        <f>VLOOKUP(C1075,[1]Customer_Master!$A:$B,2,0)</f>
        <v>Group 1-Giridhar-Peenya</v>
      </c>
      <c r="Q1075" t="str">
        <f>VLOOKUP(D1075,[2]Template!$A:$D,3,0)</f>
        <v>LAPP</v>
      </c>
      <c r="R1075" t="str">
        <f>VLOOKUP(D1075,[2]Template!$A:$D,4,0)</f>
        <v>Lapp-Planned Stock General</v>
      </c>
    </row>
    <row r="1076" spans="1:18" ht="13.5" customHeight="1" x14ac:dyDescent="0.25">
      <c r="A1076" s="9">
        <v>46144</v>
      </c>
      <c r="B1076" s="10" t="s">
        <v>1514</v>
      </c>
      <c r="C1076" s="11" t="s">
        <v>1515</v>
      </c>
      <c r="D1076" s="10" t="s">
        <v>317</v>
      </c>
      <c r="E1076" s="12" t="s">
        <v>1072</v>
      </c>
      <c r="F1076" s="12" t="s">
        <v>71</v>
      </c>
      <c r="G1076" s="13">
        <v>7000</v>
      </c>
      <c r="H1076" s="14">
        <v>7000</v>
      </c>
      <c r="I1076" s="15">
        <v>7.87</v>
      </c>
      <c r="J1076" s="16"/>
      <c r="K1076" s="17">
        <v>55090</v>
      </c>
      <c r="L1076" s="18">
        <v>46209</v>
      </c>
      <c r="M1076" s="6" t="str">
        <f t="shared" si="48"/>
        <v>Schedule order</v>
      </c>
      <c r="N1076" s="8">
        <f t="shared" ca="1" si="49"/>
        <v>54</v>
      </c>
      <c r="O1076" s="8" t="str">
        <f t="shared" ca="1" si="50"/>
        <v>Lattest or shedule order</v>
      </c>
      <c r="P1076" t="str">
        <f>VLOOKUP(C1076,[1]Customer_Master!$A:$B,2,0)</f>
        <v>Group 1-Giridhar-Peenya</v>
      </c>
      <c r="Q1076" t="str">
        <f>VLOOKUP(D1076,[2]Template!$A:$D,3,0)</f>
        <v>LAPP</v>
      </c>
      <c r="R1076" t="str">
        <f>VLOOKUP(D1076,[2]Template!$A:$D,4,0)</f>
        <v>Lapp-Planned Stock General</v>
      </c>
    </row>
    <row r="1077" spans="1:18" ht="13.5" customHeight="1" x14ac:dyDescent="0.25">
      <c r="A1077" s="9">
        <v>46144</v>
      </c>
      <c r="B1077" s="10" t="s">
        <v>1514</v>
      </c>
      <c r="C1077" s="11" t="s">
        <v>1515</v>
      </c>
      <c r="D1077" s="10" t="s">
        <v>354</v>
      </c>
      <c r="E1077" s="12" t="s">
        <v>1072</v>
      </c>
      <c r="F1077" s="12" t="s">
        <v>134</v>
      </c>
      <c r="G1077" s="13">
        <v>800</v>
      </c>
      <c r="H1077" s="14">
        <v>800</v>
      </c>
      <c r="I1077" s="15">
        <v>141.28</v>
      </c>
      <c r="J1077" s="16"/>
      <c r="K1077" s="17">
        <v>113024</v>
      </c>
      <c r="L1077" s="18">
        <v>46178</v>
      </c>
      <c r="M1077" s="6" t="str">
        <f t="shared" si="48"/>
        <v>Schedule order</v>
      </c>
      <c r="N1077" s="8">
        <f t="shared" ca="1" si="49"/>
        <v>23</v>
      </c>
      <c r="O1077" s="8" t="str">
        <f t="shared" ca="1" si="50"/>
        <v>Lattest or shedule order</v>
      </c>
      <c r="P1077" t="str">
        <f>VLOOKUP(C1077,[1]Customer_Master!$A:$B,2,0)</f>
        <v>Group 1-Giridhar-Peenya</v>
      </c>
      <c r="Q1077" t="str">
        <f>VLOOKUP(D1077,[2]Template!$A:$D,3,0)</f>
        <v>LAPP</v>
      </c>
      <c r="R1077" t="str">
        <f>VLOOKUP(D1077,[2]Template!$A:$D,4,0)</f>
        <v>Lapp-Planned Stock General</v>
      </c>
    </row>
    <row r="1078" spans="1:18" ht="13.5" customHeight="1" x14ac:dyDescent="0.25">
      <c r="A1078" s="9">
        <v>46144</v>
      </c>
      <c r="B1078" s="10" t="s">
        <v>1514</v>
      </c>
      <c r="C1078" s="11" t="s">
        <v>1515</v>
      </c>
      <c r="D1078" s="10" t="s">
        <v>354</v>
      </c>
      <c r="E1078" s="12" t="s">
        <v>1072</v>
      </c>
      <c r="F1078" s="12" t="s">
        <v>134</v>
      </c>
      <c r="G1078" s="13">
        <v>700</v>
      </c>
      <c r="H1078" s="14">
        <v>700</v>
      </c>
      <c r="I1078" s="15">
        <v>141.28</v>
      </c>
      <c r="J1078" s="16"/>
      <c r="K1078" s="17">
        <v>98896</v>
      </c>
      <c r="L1078" s="18">
        <v>46209</v>
      </c>
      <c r="M1078" s="6" t="str">
        <f t="shared" si="48"/>
        <v>Schedule order</v>
      </c>
      <c r="N1078" s="8">
        <f t="shared" ca="1" si="49"/>
        <v>54</v>
      </c>
      <c r="O1078" s="8" t="str">
        <f t="shared" ca="1" si="50"/>
        <v>Lattest or shedule order</v>
      </c>
      <c r="P1078" t="str">
        <f>VLOOKUP(C1078,[1]Customer_Master!$A:$B,2,0)</f>
        <v>Group 1-Giridhar-Peenya</v>
      </c>
      <c r="Q1078" t="str">
        <f>VLOOKUP(D1078,[2]Template!$A:$D,3,0)</f>
        <v>LAPP</v>
      </c>
      <c r="R1078" t="str">
        <f>VLOOKUP(D1078,[2]Template!$A:$D,4,0)</f>
        <v>Lapp-Planned Stock General</v>
      </c>
    </row>
    <row r="1079" spans="1:18" ht="13.5" customHeight="1" x14ac:dyDescent="0.25">
      <c r="A1079" s="9">
        <v>46144</v>
      </c>
      <c r="B1079" s="10" t="s">
        <v>1514</v>
      </c>
      <c r="C1079" s="11" t="s">
        <v>1515</v>
      </c>
      <c r="D1079" s="10" t="s">
        <v>334</v>
      </c>
      <c r="E1079" s="12" t="s">
        <v>1072</v>
      </c>
      <c r="F1079" s="12" t="s">
        <v>87</v>
      </c>
      <c r="G1079" s="13">
        <v>1000</v>
      </c>
      <c r="H1079" s="14">
        <v>1000</v>
      </c>
      <c r="I1079" s="15">
        <v>33.590000000000003</v>
      </c>
      <c r="J1079" s="16"/>
      <c r="K1079" s="17">
        <v>33590</v>
      </c>
      <c r="L1079" s="18">
        <v>46178</v>
      </c>
      <c r="M1079" s="6" t="str">
        <f t="shared" si="48"/>
        <v>Schedule order</v>
      </c>
      <c r="N1079" s="8">
        <f t="shared" ca="1" si="49"/>
        <v>23</v>
      </c>
      <c r="O1079" s="8" t="str">
        <f t="shared" ca="1" si="50"/>
        <v>Lattest or shedule order</v>
      </c>
      <c r="P1079" t="str">
        <f>VLOOKUP(C1079,[1]Customer_Master!$A:$B,2,0)</f>
        <v>Group 1-Giridhar-Peenya</v>
      </c>
      <c r="Q1079" t="str">
        <f>VLOOKUP(D1079,[2]Template!$A:$D,3,0)</f>
        <v>LAPP</v>
      </c>
      <c r="R1079" t="str">
        <f>VLOOKUP(D1079,[2]Template!$A:$D,4,0)</f>
        <v>Lapp-Planned Stock General</v>
      </c>
    </row>
    <row r="1080" spans="1:18" ht="13.5" customHeight="1" x14ac:dyDescent="0.25">
      <c r="A1080" s="9">
        <v>46144</v>
      </c>
      <c r="B1080" s="10" t="s">
        <v>1514</v>
      </c>
      <c r="C1080" s="11" t="s">
        <v>1515</v>
      </c>
      <c r="D1080" s="10" t="s">
        <v>334</v>
      </c>
      <c r="E1080" s="12" t="s">
        <v>1072</v>
      </c>
      <c r="F1080" s="12" t="s">
        <v>87</v>
      </c>
      <c r="G1080" s="13">
        <v>1000</v>
      </c>
      <c r="H1080" s="14">
        <v>1000</v>
      </c>
      <c r="I1080" s="15">
        <v>33.590000000000003</v>
      </c>
      <c r="J1080" s="16"/>
      <c r="K1080" s="17">
        <v>33590</v>
      </c>
      <c r="L1080" s="18">
        <v>46209</v>
      </c>
      <c r="M1080" s="6" t="str">
        <f t="shared" si="48"/>
        <v>Schedule order</v>
      </c>
      <c r="N1080" s="8">
        <f t="shared" ca="1" si="49"/>
        <v>54</v>
      </c>
      <c r="O1080" s="8" t="str">
        <f t="shared" ca="1" si="50"/>
        <v>Lattest or shedule order</v>
      </c>
      <c r="P1080" t="str">
        <f>VLOOKUP(C1080,[1]Customer_Master!$A:$B,2,0)</f>
        <v>Group 1-Giridhar-Peenya</v>
      </c>
      <c r="Q1080" t="str">
        <f>VLOOKUP(D1080,[2]Template!$A:$D,3,0)</f>
        <v>LAPP</v>
      </c>
      <c r="R1080" t="str">
        <f>VLOOKUP(D1080,[2]Template!$A:$D,4,0)</f>
        <v>Lapp-Planned Stock General</v>
      </c>
    </row>
    <row r="1081" spans="1:18" ht="13.5" customHeight="1" x14ac:dyDescent="0.25">
      <c r="A1081" s="9">
        <v>46144</v>
      </c>
      <c r="B1081" s="10" t="s">
        <v>1514</v>
      </c>
      <c r="C1081" s="11" t="s">
        <v>1515</v>
      </c>
      <c r="D1081" s="10" t="s">
        <v>339</v>
      </c>
      <c r="E1081" s="12" t="s">
        <v>1072</v>
      </c>
      <c r="F1081" s="12" t="s">
        <v>124</v>
      </c>
      <c r="G1081" s="13">
        <v>3000</v>
      </c>
      <c r="H1081" s="14">
        <v>3000</v>
      </c>
      <c r="I1081" s="15">
        <v>20.46</v>
      </c>
      <c r="J1081" s="16"/>
      <c r="K1081" s="17">
        <v>61380</v>
      </c>
      <c r="L1081" s="18">
        <v>46178</v>
      </c>
      <c r="M1081" s="6" t="str">
        <f t="shared" si="48"/>
        <v>Schedule order</v>
      </c>
      <c r="N1081" s="8">
        <f t="shared" ca="1" si="49"/>
        <v>23</v>
      </c>
      <c r="O1081" s="8" t="str">
        <f t="shared" ca="1" si="50"/>
        <v>Lattest or shedule order</v>
      </c>
      <c r="P1081" t="str">
        <f>VLOOKUP(C1081,[1]Customer_Master!$A:$B,2,0)</f>
        <v>Group 1-Giridhar-Peenya</v>
      </c>
      <c r="Q1081" t="str">
        <f>VLOOKUP(D1081,[2]Template!$A:$D,3,0)</f>
        <v>LAPP</v>
      </c>
      <c r="R1081" t="str">
        <f>VLOOKUP(D1081,[2]Template!$A:$D,4,0)</f>
        <v>Lapp-Planned Stock General</v>
      </c>
    </row>
    <row r="1082" spans="1:18" ht="13.5" customHeight="1" x14ac:dyDescent="0.25">
      <c r="A1082" s="9">
        <v>46144</v>
      </c>
      <c r="B1082" s="10" t="s">
        <v>1514</v>
      </c>
      <c r="C1082" s="11" t="s">
        <v>1515</v>
      </c>
      <c r="D1082" s="10" t="s">
        <v>339</v>
      </c>
      <c r="E1082" s="12" t="s">
        <v>1072</v>
      </c>
      <c r="F1082" s="12" t="s">
        <v>124</v>
      </c>
      <c r="G1082" s="13">
        <v>2000</v>
      </c>
      <c r="H1082" s="14">
        <v>2000</v>
      </c>
      <c r="I1082" s="15">
        <v>20.46</v>
      </c>
      <c r="J1082" s="16"/>
      <c r="K1082" s="17">
        <v>40920</v>
      </c>
      <c r="L1082" s="18">
        <v>46209</v>
      </c>
      <c r="M1082" s="6" t="str">
        <f t="shared" si="48"/>
        <v>Schedule order</v>
      </c>
      <c r="N1082" s="8">
        <f t="shared" ca="1" si="49"/>
        <v>54</v>
      </c>
      <c r="O1082" s="8" t="str">
        <f t="shared" ca="1" si="50"/>
        <v>Lattest or shedule order</v>
      </c>
      <c r="P1082" t="str">
        <f>VLOOKUP(C1082,[1]Customer_Master!$A:$B,2,0)</f>
        <v>Group 1-Giridhar-Peenya</v>
      </c>
      <c r="Q1082" t="str">
        <f>VLOOKUP(D1082,[2]Template!$A:$D,3,0)</f>
        <v>LAPP</v>
      </c>
      <c r="R1082" t="str">
        <f>VLOOKUP(D1082,[2]Template!$A:$D,4,0)</f>
        <v>Lapp-Planned Stock General</v>
      </c>
    </row>
    <row r="1083" spans="1:18" ht="13.5" customHeight="1" x14ac:dyDescent="0.25">
      <c r="A1083" s="9">
        <v>46144</v>
      </c>
      <c r="B1083" s="10" t="s">
        <v>1514</v>
      </c>
      <c r="C1083" s="11" t="s">
        <v>1515</v>
      </c>
      <c r="D1083" s="10" t="s">
        <v>338</v>
      </c>
      <c r="E1083" s="12" t="s">
        <v>1072</v>
      </c>
      <c r="F1083" s="12" t="s">
        <v>123</v>
      </c>
      <c r="G1083" s="13">
        <v>400</v>
      </c>
      <c r="H1083" s="14">
        <v>400</v>
      </c>
      <c r="I1083" s="15">
        <v>20.34</v>
      </c>
      <c r="J1083" s="16"/>
      <c r="K1083" s="17">
        <v>8136</v>
      </c>
      <c r="L1083" s="18">
        <v>46178</v>
      </c>
      <c r="M1083" s="6" t="str">
        <f t="shared" si="48"/>
        <v>Schedule order</v>
      </c>
      <c r="N1083" s="8">
        <f t="shared" ca="1" si="49"/>
        <v>23</v>
      </c>
      <c r="O1083" s="8" t="str">
        <f t="shared" ca="1" si="50"/>
        <v>Lattest or shedule order</v>
      </c>
      <c r="P1083" t="str">
        <f>VLOOKUP(C1083,[1]Customer_Master!$A:$B,2,0)</f>
        <v>Group 1-Giridhar-Peenya</v>
      </c>
      <c r="Q1083" t="str">
        <f>VLOOKUP(D1083,[2]Template!$A:$D,3,0)</f>
        <v>LAPP</v>
      </c>
      <c r="R1083" t="str">
        <f>VLOOKUP(D1083,[2]Template!$A:$D,4,0)</f>
        <v>Lapp-Planned Stock General</v>
      </c>
    </row>
    <row r="1084" spans="1:18" ht="13.5" customHeight="1" x14ac:dyDescent="0.25">
      <c r="A1084" s="9">
        <v>46144</v>
      </c>
      <c r="B1084" s="10" t="s">
        <v>1514</v>
      </c>
      <c r="C1084" s="11" t="s">
        <v>1515</v>
      </c>
      <c r="D1084" s="10" t="s">
        <v>338</v>
      </c>
      <c r="E1084" s="12" t="s">
        <v>1072</v>
      </c>
      <c r="F1084" s="12" t="s">
        <v>123</v>
      </c>
      <c r="G1084" s="13">
        <v>400</v>
      </c>
      <c r="H1084" s="14">
        <v>400</v>
      </c>
      <c r="I1084" s="15">
        <v>20.34</v>
      </c>
      <c r="J1084" s="16"/>
      <c r="K1084" s="17">
        <v>8136</v>
      </c>
      <c r="L1084" s="18">
        <v>46209</v>
      </c>
      <c r="M1084" s="6" t="str">
        <f t="shared" si="48"/>
        <v>Schedule order</v>
      </c>
      <c r="N1084" s="8">
        <f t="shared" ca="1" si="49"/>
        <v>54</v>
      </c>
      <c r="O1084" s="8" t="str">
        <f t="shared" ca="1" si="50"/>
        <v>Lattest or shedule order</v>
      </c>
      <c r="P1084" t="str">
        <f>VLOOKUP(C1084,[1]Customer_Master!$A:$B,2,0)</f>
        <v>Group 1-Giridhar-Peenya</v>
      </c>
      <c r="Q1084" t="str">
        <f>VLOOKUP(D1084,[2]Template!$A:$D,3,0)</f>
        <v>LAPP</v>
      </c>
      <c r="R1084" t="str">
        <f>VLOOKUP(D1084,[2]Template!$A:$D,4,0)</f>
        <v>Lapp-Planned Stock General</v>
      </c>
    </row>
    <row r="1085" spans="1:18" ht="13.5" customHeight="1" x14ac:dyDescent="0.25">
      <c r="A1085" s="9">
        <v>46144</v>
      </c>
      <c r="B1085" s="10" t="s">
        <v>1514</v>
      </c>
      <c r="C1085" s="11" t="s">
        <v>1515</v>
      </c>
      <c r="D1085" s="10" t="s">
        <v>650</v>
      </c>
      <c r="E1085" s="12" t="s">
        <v>1072</v>
      </c>
      <c r="F1085" s="12" t="s">
        <v>651</v>
      </c>
      <c r="G1085" s="13">
        <v>2100</v>
      </c>
      <c r="H1085" s="14">
        <v>1000</v>
      </c>
      <c r="I1085" s="15">
        <v>136.66999999999999</v>
      </c>
      <c r="J1085" s="16"/>
      <c r="K1085" s="17">
        <v>136670</v>
      </c>
      <c r="L1085" s="18">
        <v>46146</v>
      </c>
      <c r="M1085" s="6" t="str">
        <f t="shared" si="48"/>
        <v>Schedule order</v>
      </c>
      <c r="N1085" s="8">
        <f t="shared" ca="1" si="49"/>
        <v>-9</v>
      </c>
      <c r="O1085" s="8" t="str">
        <f t="shared" ca="1" si="50"/>
        <v>With in 90 days</v>
      </c>
      <c r="P1085" t="str">
        <f>VLOOKUP(C1085,[1]Customer_Master!$A:$B,2,0)</f>
        <v>Group 1-Giridhar-Peenya</v>
      </c>
      <c r="Q1085" t="str">
        <f>VLOOKUP(D1085,[2]Template!$A:$D,3,0)</f>
        <v>LAPP</v>
      </c>
      <c r="R1085" t="str">
        <f>VLOOKUP(D1085,[2]Template!$A:$D,4,0)</f>
        <v>Lapp-Planned Stock General</v>
      </c>
    </row>
    <row r="1086" spans="1:18" ht="13.5" customHeight="1" x14ac:dyDescent="0.25">
      <c r="A1086" s="9">
        <v>46144</v>
      </c>
      <c r="B1086" s="10" t="s">
        <v>1514</v>
      </c>
      <c r="C1086" s="11" t="s">
        <v>1515</v>
      </c>
      <c r="D1086" s="10" t="s">
        <v>650</v>
      </c>
      <c r="E1086" s="12" t="s">
        <v>1072</v>
      </c>
      <c r="F1086" s="12" t="s">
        <v>651</v>
      </c>
      <c r="G1086" s="13">
        <v>2100</v>
      </c>
      <c r="H1086" s="14">
        <v>2100</v>
      </c>
      <c r="I1086" s="15">
        <v>136.66999999999999</v>
      </c>
      <c r="J1086" s="16"/>
      <c r="K1086" s="17">
        <v>287007</v>
      </c>
      <c r="L1086" s="18">
        <v>46178</v>
      </c>
      <c r="M1086" s="6" t="str">
        <f t="shared" si="48"/>
        <v>Schedule order</v>
      </c>
      <c r="N1086" s="8">
        <f t="shared" ca="1" si="49"/>
        <v>23</v>
      </c>
      <c r="O1086" s="8" t="str">
        <f t="shared" ca="1" si="50"/>
        <v>Lattest or shedule order</v>
      </c>
      <c r="P1086" t="str">
        <f>VLOOKUP(C1086,[1]Customer_Master!$A:$B,2,0)</f>
        <v>Group 1-Giridhar-Peenya</v>
      </c>
      <c r="Q1086" t="str">
        <f>VLOOKUP(D1086,[2]Template!$A:$D,3,0)</f>
        <v>LAPP</v>
      </c>
      <c r="R1086" t="str">
        <f>VLOOKUP(D1086,[2]Template!$A:$D,4,0)</f>
        <v>Lapp-Planned Stock General</v>
      </c>
    </row>
    <row r="1087" spans="1:18" ht="13.5" customHeight="1" x14ac:dyDescent="0.25">
      <c r="A1087" s="9">
        <v>46144</v>
      </c>
      <c r="B1087" s="10" t="s">
        <v>1514</v>
      </c>
      <c r="C1087" s="11" t="s">
        <v>1515</v>
      </c>
      <c r="D1087" s="10" t="s">
        <v>650</v>
      </c>
      <c r="E1087" s="12" t="s">
        <v>1072</v>
      </c>
      <c r="F1087" s="12" t="s">
        <v>651</v>
      </c>
      <c r="G1087" s="13">
        <v>2100</v>
      </c>
      <c r="H1087" s="14">
        <v>2100</v>
      </c>
      <c r="I1087" s="15">
        <v>136.66999999999999</v>
      </c>
      <c r="J1087" s="16"/>
      <c r="K1087" s="17">
        <v>287007</v>
      </c>
      <c r="L1087" s="18">
        <v>46209</v>
      </c>
      <c r="M1087" s="6" t="str">
        <f t="shared" si="48"/>
        <v>Schedule order</v>
      </c>
      <c r="N1087" s="8">
        <f t="shared" ca="1" si="49"/>
        <v>54</v>
      </c>
      <c r="O1087" s="8" t="str">
        <f t="shared" ca="1" si="50"/>
        <v>Lattest or shedule order</v>
      </c>
      <c r="P1087" t="str">
        <f>VLOOKUP(C1087,[1]Customer_Master!$A:$B,2,0)</f>
        <v>Group 1-Giridhar-Peenya</v>
      </c>
      <c r="Q1087" t="str">
        <f>VLOOKUP(D1087,[2]Template!$A:$D,3,0)</f>
        <v>LAPP</v>
      </c>
      <c r="R1087" t="str">
        <f>VLOOKUP(D1087,[2]Template!$A:$D,4,0)</f>
        <v>Lapp-Planned Stock General</v>
      </c>
    </row>
    <row r="1088" spans="1:18" ht="13.5" customHeight="1" x14ac:dyDescent="0.25">
      <c r="A1088" s="9">
        <v>46144</v>
      </c>
      <c r="B1088" s="10" t="s">
        <v>1514</v>
      </c>
      <c r="C1088" s="11" t="s">
        <v>1515</v>
      </c>
      <c r="D1088" s="10" t="s">
        <v>335</v>
      </c>
      <c r="E1088" s="12" t="s">
        <v>1072</v>
      </c>
      <c r="F1088" s="12" t="s">
        <v>122</v>
      </c>
      <c r="G1088" s="13">
        <v>1400</v>
      </c>
      <c r="H1088" s="14">
        <v>1400</v>
      </c>
      <c r="I1088" s="15">
        <v>33.590000000000003</v>
      </c>
      <c r="J1088" s="16"/>
      <c r="K1088" s="17">
        <v>47026</v>
      </c>
      <c r="L1088" s="18">
        <v>46178</v>
      </c>
      <c r="M1088" s="6" t="str">
        <f t="shared" si="48"/>
        <v>Schedule order</v>
      </c>
      <c r="N1088" s="8">
        <f t="shared" ca="1" si="49"/>
        <v>23</v>
      </c>
      <c r="O1088" s="8" t="str">
        <f t="shared" ca="1" si="50"/>
        <v>Lattest or shedule order</v>
      </c>
      <c r="P1088" t="str">
        <f>VLOOKUP(C1088,[1]Customer_Master!$A:$B,2,0)</f>
        <v>Group 1-Giridhar-Peenya</v>
      </c>
      <c r="Q1088" t="str">
        <f>VLOOKUP(D1088,[2]Template!$A:$D,3,0)</f>
        <v>LAPP</v>
      </c>
      <c r="R1088" t="str">
        <f>VLOOKUP(D1088,[2]Template!$A:$D,4,0)</f>
        <v>Lapp-Planned Stock General</v>
      </c>
    </row>
    <row r="1089" spans="1:18" ht="13.5" customHeight="1" x14ac:dyDescent="0.25">
      <c r="A1089" s="9">
        <v>46144</v>
      </c>
      <c r="B1089" s="10" t="s">
        <v>1514</v>
      </c>
      <c r="C1089" s="11" t="s">
        <v>1515</v>
      </c>
      <c r="D1089" s="10" t="s">
        <v>335</v>
      </c>
      <c r="E1089" s="12" t="s">
        <v>1072</v>
      </c>
      <c r="F1089" s="12" t="s">
        <v>122</v>
      </c>
      <c r="G1089" s="13">
        <v>1400</v>
      </c>
      <c r="H1089" s="14">
        <v>1400</v>
      </c>
      <c r="I1089" s="15">
        <v>33.590000000000003</v>
      </c>
      <c r="J1089" s="16"/>
      <c r="K1089" s="17">
        <v>47026</v>
      </c>
      <c r="L1089" s="18">
        <v>46209</v>
      </c>
      <c r="M1089" s="6" t="str">
        <f t="shared" si="48"/>
        <v>Schedule order</v>
      </c>
      <c r="N1089" s="8">
        <f t="shared" ca="1" si="49"/>
        <v>54</v>
      </c>
      <c r="O1089" s="8" t="str">
        <f t="shared" ca="1" si="50"/>
        <v>Lattest or shedule order</v>
      </c>
      <c r="P1089" t="str">
        <f>VLOOKUP(C1089,[1]Customer_Master!$A:$B,2,0)</f>
        <v>Group 1-Giridhar-Peenya</v>
      </c>
      <c r="Q1089" t="str">
        <f>VLOOKUP(D1089,[2]Template!$A:$D,3,0)</f>
        <v>LAPP</v>
      </c>
      <c r="R1089" t="str">
        <f>VLOOKUP(D1089,[2]Template!$A:$D,4,0)</f>
        <v>Lapp-Planned Stock General</v>
      </c>
    </row>
    <row r="1090" spans="1:18" ht="13.5" customHeight="1" x14ac:dyDescent="0.25">
      <c r="A1090" s="9">
        <v>46144</v>
      </c>
      <c r="B1090" s="10" t="s">
        <v>1514</v>
      </c>
      <c r="C1090" s="11" t="s">
        <v>1515</v>
      </c>
      <c r="D1090" s="10" t="s">
        <v>355</v>
      </c>
      <c r="E1090" s="12" t="s">
        <v>1072</v>
      </c>
      <c r="F1090" s="12" t="s">
        <v>135</v>
      </c>
      <c r="G1090" s="13">
        <v>1400</v>
      </c>
      <c r="H1090" s="14">
        <v>1400</v>
      </c>
      <c r="I1090" s="15">
        <v>10.64</v>
      </c>
      <c r="J1090" s="16"/>
      <c r="K1090" s="17">
        <v>14896</v>
      </c>
      <c r="L1090" s="18">
        <v>46178</v>
      </c>
      <c r="M1090" s="6" t="str">
        <f t="shared" si="48"/>
        <v>Schedule order</v>
      </c>
      <c r="N1090" s="8">
        <f t="shared" ca="1" si="49"/>
        <v>23</v>
      </c>
      <c r="O1090" s="8" t="str">
        <f t="shared" ca="1" si="50"/>
        <v>Lattest or shedule order</v>
      </c>
      <c r="P1090" t="str">
        <f>VLOOKUP(C1090,[1]Customer_Master!$A:$B,2,0)</f>
        <v>Group 1-Giridhar-Peenya</v>
      </c>
      <c r="Q1090" t="str">
        <f>VLOOKUP(D1090,[2]Template!$A:$D,3,0)</f>
        <v>LAPP</v>
      </c>
      <c r="R1090" t="str">
        <f>VLOOKUP(D1090,[2]Template!$A:$D,4,0)</f>
        <v>Lapp-Planned Stock General</v>
      </c>
    </row>
    <row r="1091" spans="1:18" ht="13.5" customHeight="1" x14ac:dyDescent="0.25">
      <c r="A1091" s="9">
        <v>46144</v>
      </c>
      <c r="B1091" s="10" t="s">
        <v>1514</v>
      </c>
      <c r="C1091" s="11" t="s">
        <v>1515</v>
      </c>
      <c r="D1091" s="10" t="s">
        <v>355</v>
      </c>
      <c r="E1091" s="12" t="s">
        <v>1072</v>
      </c>
      <c r="F1091" s="12" t="s">
        <v>135</v>
      </c>
      <c r="G1091" s="13">
        <v>1400</v>
      </c>
      <c r="H1091" s="14">
        <v>1400</v>
      </c>
      <c r="I1091" s="15">
        <v>10.64</v>
      </c>
      <c r="J1091" s="16"/>
      <c r="K1091" s="17">
        <v>14896</v>
      </c>
      <c r="L1091" s="18">
        <v>46209</v>
      </c>
      <c r="M1091" s="6" t="str">
        <f t="shared" ref="M1091:M1154" si="51">IF(L1091&lt;DATE(2026,4,30),"Due order","Schedule order")</f>
        <v>Schedule order</v>
      </c>
      <c r="N1091" s="8">
        <f t="shared" ref="N1091:N1154" ca="1" si="52">L1091-TODAY()</f>
        <v>54</v>
      </c>
      <c r="O1091" s="8" t="str">
        <f t="shared" ref="O1091:O1154" ca="1" si="53">IF(N1091&lt;-365,"More than 1 Year old",IF(N1091&lt;-180," More than 180 days old",IF(N1091&lt;-90,"More than 90 day old",IF(N1091&lt;0,"With in 90 days","Lattest or shedule order"))))</f>
        <v>Lattest or shedule order</v>
      </c>
      <c r="P1091" t="str">
        <f>VLOOKUP(C1091,[1]Customer_Master!$A:$B,2,0)</f>
        <v>Group 1-Giridhar-Peenya</v>
      </c>
      <c r="Q1091" t="str">
        <f>VLOOKUP(D1091,[2]Template!$A:$D,3,0)</f>
        <v>LAPP</v>
      </c>
      <c r="R1091" t="str">
        <f>VLOOKUP(D1091,[2]Template!$A:$D,4,0)</f>
        <v>Lapp-Planned Stock General</v>
      </c>
    </row>
    <row r="1092" spans="1:18" ht="13.5" customHeight="1" x14ac:dyDescent="0.25">
      <c r="A1092" s="9">
        <v>46144</v>
      </c>
      <c r="B1092" s="10" t="s">
        <v>1514</v>
      </c>
      <c r="C1092" s="11" t="s">
        <v>1515</v>
      </c>
      <c r="D1092" s="10" t="s">
        <v>361</v>
      </c>
      <c r="E1092" s="12" t="s">
        <v>1072</v>
      </c>
      <c r="F1092" s="12" t="s">
        <v>69</v>
      </c>
      <c r="G1092" s="13">
        <v>100</v>
      </c>
      <c r="H1092" s="14">
        <v>100</v>
      </c>
      <c r="I1092" s="15">
        <v>211.32</v>
      </c>
      <c r="J1092" s="16"/>
      <c r="K1092" s="17">
        <v>21132</v>
      </c>
      <c r="L1092" s="18">
        <v>46178</v>
      </c>
      <c r="M1092" s="6" t="str">
        <f t="shared" si="51"/>
        <v>Schedule order</v>
      </c>
      <c r="N1092" s="8">
        <f t="shared" ca="1" si="52"/>
        <v>23</v>
      </c>
      <c r="O1092" s="8" t="str">
        <f t="shared" ca="1" si="53"/>
        <v>Lattest or shedule order</v>
      </c>
      <c r="P1092" t="str">
        <f>VLOOKUP(C1092,[1]Customer_Master!$A:$B,2,0)</f>
        <v>Group 1-Giridhar-Peenya</v>
      </c>
      <c r="Q1092" t="str">
        <f>VLOOKUP(D1092,[2]Template!$A:$D,3,0)</f>
        <v>LAPP</v>
      </c>
      <c r="R1092" t="str">
        <f>VLOOKUP(D1092,[2]Template!$A:$D,4,0)</f>
        <v>Lapp-Ace Group</v>
      </c>
    </row>
    <row r="1093" spans="1:18" ht="13.5" customHeight="1" x14ac:dyDescent="0.25">
      <c r="A1093" s="9">
        <v>46144</v>
      </c>
      <c r="B1093" s="10" t="s">
        <v>1514</v>
      </c>
      <c r="C1093" s="11" t="s">
        <v>1515</v>
      </c>
      <c r="D1093" s="10" t="s">
        <v>361</v>
      </c>
      <c r="E1093" s="12" t="s">
        <v>1072</v>
      </c>
      <c r="F1093" s="12" t="s">
        <v>69</v>
      </c>
      <c r="G1093" s="13">
        <v>100</v>
      </c>
      <c r="H1093" s="14">
        <v>100</v>
      </c>
      <c r="I1093" s="15">
        <v>211.32</v>
      </c>
      <c r="J1093" s="16"/>
      <c r="K1093" s="17">
        <v>21132</v>
      </c>
      <c r="L1093" s="18">
        <v>46209</v>
      </c>
      <c r="M1093" s="6" t="str">
        <f t="shared" si="51"/>
        <v>Schedule order</v>
      </c>
      <c r="N1093" s="8">
        <f t="shared" ca="1" si="52"/>
        <v>54</v>
      </c>
      <c r="O1093" s="8" t="str">
        <f t="shared" ca="1" si="53"/>
        <v>Lattest or shedule order</v>
      </c>
      <c r="P1093" t="str">
        <f>VLOOKUP(C1093,[1]Customer_Master!$A:$B,2,0)</f>
        <v>Group 1-Giridhar-Peenya</v>
      </c>
      <c r="Q1093" t="str">
        <f>VLOOKUP(D1093,[2]Template!$A:$D,3,0)</f>
        <v>LAPP</v>
      </c>
      <c r="R1093" t="str">
        <f>VLOOKUP(D1093,[2]Template!$A:$D,4,0)</f>
        <v>Lapp-Ace Group</v>
      </c>
    </row>
    <row r="1094" spans="1:18" ht="13.5" customHeight="1" x14ac:dyDescent="0.25">
      <c r="A1094" s="9">
        <v>46144</v>
      </c>
      <c r="B1094" s="10" t="s">
        <v>1514</v>
      </c>
      <c r="C1094" s="11" t="s">
        <v>1515</v>
      </c>
      <c r="D1094" s="10" t="s">
        <v>356</v>
      </c>
      <c r="E1094" s="12" t="s">
        <v>1072</v>
      </c>
      <c r="F1094" s="12" t="s">
        <v>136</v>
      </c>
      <c r="G1094" s="13">
        <v>300</v>
      </c>
      <c r="H1094" s="14">
        <v>300</v>
      </c>
      <c r="I1094" s="15">
        <v>33.68</v>
      </c>
      <c r="J1094" s="16"/>
      <c r="K1094" s="17">
        <v>10104</v>
      </c>
      <c r="L1094" s="18">
        <v>46178</v>
      </c>
      <c r="M1094" s="6" t="str">
        <f t="shared" si="51"/>
        <v>Schedule order</v>
      </c>
      <c r="N1094" s="8">
        <f t="shared" ca="1" si="52"/>
        <v>23</v>
      </c>
      <c r="O1094" s="8" t="str">
        <f t="shared" ca="1" si="53"/>
        <v>Lattest or shedule order</v>
      </c>
      <c r="P1094" t="str">
        <f>VLOOKUP(C1094,[1]Customer_Master!$A:$B,2,0)</f>
        <v>Group 1-Giridhar-Peenya</v>
      </c>
      <c r="Q1094" t="str">
        <f>VLOOKUP(D1094,[2]Template!$A:$D,3,0)</f>
        <v>LAPP</v>
      </c>
      <c r="R1094" t="str">
        <f>VLOOKUP(D1094,[2]Template!$A:$D,4,0)</f>
        <v>Lapp-Planned Stock General</v>
      </c>
    </row>
    <row r="1095" spans="1:18" ht="13.5" customHeight="1" x14ac:dyDescent="0.25">
      <c r="A1095" s="9">
        <v>46144</v>
      </c>
      <c r="B1095" s="10" t="s">
        <v>1514</v>
      </c>
      <c r="C1095" s="11" t="s">
        <v>1515</v>
      </c>
      <c r="D1095" s="10" t="s">
        <v>356</v>
      </c>
      <c r="E1095" s="12" t="s">
        <v>1072</v>
      </c>
      <c r="F1095" s="12" t="s">
        <v>136</v>
      </c>
      <c r="G1095" s="13">
        <v>300</v>
      </c>
      <c r="H1095" s="14">
        <v>300</v>
      </c>
      <c r="I1095" s="15">
        <v>33.68</v>
      </c>
      <c r="J1095" s="16"/>
      <c r="K1095" s="17">
        <v>10104</v>
      </c>
      <c r="L1095" s="18">
        <v>46209</v>
      </c>
      <c r="M1095" s="6" t="str">
        <f t="shared" si="51"/>
        <v>Schedule order</v>
      </c>
      <c r="N1095" s="8">
        <f t="shared" ca="1" si="52"/>
        <v>54</v>
      </c>
      <c r="O1095" s="8" t="str">
        <f t="shared" ca="1" si="53"/>
        <v>Lattest or shedule order</v>
      </c>
      <c r="P1095" t="str">
        <f>VLOOKUP(C1095,[1]Customer_Master!$A:$B,2,0)</f>
        <v>Group 1-Giridhar-Peenya</v>
      </c>
      <c r="Q1095" t="str">
        <f>VLOOKUP(D1095,[2]Template!$A:$D,3,0)</f>
        <v>LAPP</v>
      </c>
      <c r="R1095" t="str">
        <f>VLOOKUP(D1095,[2]Template!$A:$D,4,0)</f>
        <v>Lapp-Planned Stock General</v>
      </c>
    </row>
    <row r="1096" spans="1:18" ht="13.5" customHeight="1" x14ac:dyDescent="0.25">
      <c r="A1096" s="9">
        <v>46144</v>
      </c>
      <c r="B1096" s="10" t="s">
        <v>1514</v>
      </c>
      <c r="C1096" s="11" t="s">
        <v>1515</v>
      </c>
      <c r="D1096" s="10" t="s">
        <v>648</v>
      </c>
      <c r="E1096" s="12" t="s">
        <v>1072</v>
      </c>
      <c r="F1096" s="12" t="s">
        <v>649</v>
      </c>
      <c r="G1096" s="13">
        <v>400</v>
      </c>
      <c r="H1096" s="14">
        <v>400</v>
      </c>
      <c r="I1096" s="15">
        <v>10.95</v>
      </c>
      <c r="J1096" s="16"/>
      <c r="K1096" s="17">
        <v>4380</v>
      </c>
      <c r="L1096" s="18">
        <v>46178</v>
      </c>
      <c r="M1096" s="6" t="str">
        <f t="shared" si="51"/>
        <v>Schedule order</v>
      </c>
      <c r="N1096" s="8">
        <f t="shared" ca="1" si="52"/>
        <v>23</v>
      </c>
      <c r="O1096" s="8" t="str">
        <f t="shared" ca="1" si="53"/>
        <v>Lattest or shedule order</v>
      </c>
      <c r="P1096" t="str">
        <f>VLOOKUP(C1096,[1]Customer_Master!$A:$B,2,0)</f>
        <v>Group 1-Giridhar-Peenya</v>
      </c>
      <c r="Q1096" t="str">
        <f>VLOOKUP(D1096,[2]Template!$A:$D,3,0)</f>
        <v>LAPP</v>
      </c>
      <c r="R1096" t="str">
        <f>VLOOKUP(D1096,[2]Template!$A:$D,4,0)</f>
        <v>Lapp-Planned Stock General</v>
      </c>
    </row>
    <row r="1097" spans="1:18" ht="13.5" customHeight="1" x14ac:dyDescent="0.25">
      <c r="A1097" s="9">
        <v>46144</v>
      </c>
      <c r="B1097" s="10" t="s">
        <v>1514</v>
      </c>
      <c r="C1097" s="11" t="s">
        <v>1515</v>
      </c>
      <c r="D1097" s="10" t="s">
        <v>648</v>
      </c>
      <c r="E1097" s="12" t="s">
        <v>1072</v>
      </c>
      <c r="F1097" s="12" t="s">
        <v>649</v>
      </c>
      <c r="G1097" s="13">
        <v>400</v>
      </c>
      <c r="H1097" s="14">
        <v>400</v>
      </c>
      <c r="I1097" s="15">
        <v>10.95</v>
      </c>
      <c r="J1097" s="16"/>
      <c r="K1097" s="17">
        <v>4380</v>
      </c>
      <c r="L1097" s="18">
        <v>46209</v>
      </c>
      <c r="M1097" s="6" t="str">
        <f t="shared" si="51"/>
        <v>Schedule order</v>
      </c>
      <c r="N1097" s="8">
        <f t="shared" ca="1" si="52"/>
        <v>54</v>
      </c>
      <c r="O1097" s="8" t="str">
        <f t="shared" ca="1" si="53"/>
        <v>Lattest or shedule order</v>
      </c>
      <c r="P1097" t="str">
        <f>VLOOKUP(C1097,[1]Customer_Master!$A:$B,2,0)</f>
        <v>Group 1-Giridhar-Peenya</v>
      </c>
      <c r="Q1097" t="str">
        <f>VLOOKUP(D1097,[2]Template!$A:$D,3,0)</f>
        <v>LAPP</v>
      </c>
      <c r="R1097" t="str">
        <f>VLOOKUP(D1097,[2]Template!$A:$D,4,0)</f>
        <v>Lapp-Planned Stock General</v>
      </c>
    </row>
    <row r="1098" spans="1:18" ht="13.5" customHeight="1" x14ac:dyDescent="0.25">
      <c r="A1098" s="9">
        <v>46144</v>
      </c>
      <c r="B1098" s="10" t="s">
        <v>1514</v>
      </c>
      <c r="C1098" s="11" t="s">
        <v>1515</v>
      </c>
      <c r="D1098" s="10" t="s">
        <v>357</v>
      </c>
      <c r="E1098" s="12" t="s">
        <v>1072</v>
      </c>
      <c r="F1098" s="12" t="s">
        <v>53</v>
      </c>
      <c r="G1098" s="13">
        <v>800</v>
      </c>
      <c r="H1098" s="14">
        <v>800</v>
      </c>
      <c r="I1098" s="15">
        <v>20.46</v>
      </c>
      <c r="J1098" s="16"/>
      <c r="K1098" s="17">
        <v>16368</v>
      </c>
      <c r="L1098" s="18">
        <v>46178</v>
      </c>
      <c r="M1098" s="6" t="str">
        <f t="shared" si="51"/>
        <v>Schedule order</v>
      </c>
      <c r="N1098" s="8">
        <f t="shared" ca="1" si="52"/>
        <v>23</v>
      </c>
      <c r="O1098" s="8" t="str">
        <f t="shared" ca="1" si="53"/>
        <v>Lattest or shedule order</v>
      </c>
      <c r="P1098" t="str">
        <f>VLOOKUP(C1098,[1]Customer_Master!$A:$B,2,0)</f>
        <v>Group 1-Giridhar-Peenya</v>
      </c>
      <c r="Q1098" t="str">
        <f>VLOOKUP(D1098,[2]Template!$A:$D,3,0)</f>
        <v>LAPP</v>
      </c>
      <c r="R1098" t="str">
        <f>VLOOKUP(D1098,[2]Template!$A:$D,4,0)</f>
        <v>Lapp-Planned Stock General</v>
      </c>
    </row>
    <row r="1099" spans="1:18" ht="13.5" customHeight="1" x14ac:dyDescent="0.25">
      <c r="A1099" s="9">
        <v>46144</v>
      </c>
      <c r="B1099" s="10" t="s">
        <v>1514</v>
      </c>
      <c r="C1099" s="11" t="s">
        <v>1515</v>
      </c>
      <c r="D1099" s="10" t="s">
        <v>357</v>
      </c>
      <c r="E1099" s="12" t="s">
        <v>1072</v>
      </c>
      <c r="F1099" s="12" t="s">
        <v>53</v>
      </c>
      <c r="G1099" s="13">
        <v>800</v>
      </c>
      <c r="H1099" s="14">
        <v>800</v>
      </c>
      <c r="I1099" s="15">
        <v>20.46</v>
      </c>
      <c r="J1099" s="16"/>
      <c r="K1099" s="17">
        <v>16368</v>
      </c>
      <c r="L1099" s="18">
        <v>46209</v>
      </c>
      <c r="M1099" s="6" t="str">
        <f t="shared" si="51"/>
        <v>Schedule order</v>
      </c>
      <c r="N1099" s="8">
        <f t="shared" ca="1" si="52"/>
        <v>54</v>
      </c>
      <c r="O1099" s="8" t="str">
        <f t="shared" ca="1" si="53"/>
        <v>Lattest or shedule order</v>
      </c>
      <c r="P1099" t="str">
        <f>VLOOKUP(C1099,[1]Customer_Master!$A:$B,2,0)</f>
        <v>Group 1-Giridhar-Peenya</v>
      </c>
      <c r="Q1099" t="str">
        <f>VLOOKUP(D1099,[2]Template!$A:$D,3,0)</f>
        <v>LAPP</v>
      </c>
      <c r="R1099" t="str">
        <f>VLOOKUP(D1099,[2]Template!$A:$D,4,0)</f>
        <v>Lapp-Planned Stock General</v>
      </c>
    </row>
    <row r="1100" spans="1:18" ht="13.5" customHeight="1" x14ac:dyDescent="0.25">
      <c r="A1100" s="9">
        <v>46144</v>
      </c>
      <c r="B1100" s="10" t="s">
        <v>1516</v>
      </c>
      <c r="C1100" s="11" t="s">
        <v>59</v>
      </c>
      <c r="D1100" s="10" t="s">
        <v>317</v>
      </c>
      <c r="E1100" s="12" t="s">
        <v>1072</v>
      </c>
      <c r="F1100" s="12" t="s">
        <v>71</v>
      </c>
      <c r="G1100" s="13">
        <v>10000</v>
      </c>
      <c r="H1100" s="14">
        <v>10000</v>
      </c>
      <c r="I1100" s="15">
        <v>7.87</v>
      </c>
      <c r="J1100" s="16"/>
      <c r="K1100" s="17">
        <v>78700</v>
      </c>
      <c r="L1100" s="18">
        <v>46178</v>
      </c>
      <c r="M1100" s="6" t="str">
        <f t="shared" si="51"/>
        <v>Schedule order</v>
      </c>
      <c r="N1100" s="8">
        <f t="shared" ca="1" si="52"/>
        <v>23</v>
      </c>
      <c r="O1100" s="8" t="str">
        <f t="shared" ca="1" si="53"/>
        <v>Lattest or shedule order</v>
      </c>
      <c r="P1100" t="str">
        <f>VLOOKUP(C1100,[1]Customer_Master!$A:$B,2,0)</f>
        <v>Group 1-Giridhar-Peenya</v>
      </c>
      <c r="Q1100" t="str">
        <f>VLOOKUP(D1100,[2]Template!$A:$D,3,0)</f>
        <v>LAPP</v>
      </c>
      <c r="R1100" t="str">
        <f>VLOOKUP(D1100,[2]Template!$A:$D,4,0)</f>
        <v>Lapp-Planned Stock General</v>
      </c>
    </row>
    <row r="1101" spans="1:18" ht="13.5" customHeight="1" x14ac:dyDescent="0.25">
      <c r="A1101" s="9">
        <v>46144</v>
      </c>
      <c r="B1101" s="10" t="s">
        <v>1516</v>
      </c>
      <c r="C1101" s="11" t="s">
        <v>59</v>
      </c>
      <c r="D1101" s="10" t="s">
        <v>317</v>
      </c>
      <c r="E1101" s="12" t="s">
        <v>1072</v>
      </c>
      <c r="F1101" s="12" t="s">
        <v>71</v>
      </c>
      <c r="G1101" s="13">
        <v>10000</v>
      </c>
      <c r="H1101" s="14">
        <v>10000</v>
      </c>
      <c r="I1101" s="15">
        <v>7.87</v>
      </c>
      <c r="J1101" s="16"/>
      <c r="K1101" s="17">
        <v>78700</v>
      </c>
      <c r="L1101" s="18">
        <v>46208</v>
      </c>
      <c r="M1101" s="6" t="str">
        <f t="shared" si="51"/>
        <v>Schedule order</v>
      </c>
      <c r="N1101" s="8">
        <f t="shared" ca="1" si="52"/>
        <v>53</v>
      </c>
      <c r="O1101" s="8" t="str">
        <f t="shared" ca="1" si="53"/>
        <v>Lattest or shedule order</v>
      </c>
      <c r="P1101" t="str">
        <f>VLOOKUP(C1101,[1]Customer_Master!$A:$B,2,0)</f>
        <v>Group 1-Giridhar-Peenya</v>
      </c>
      <c r="Q1101" t="str">
        <f>VLOOKUP(D1101,[2]Template!$A:$D,3,0)</f>
        <v>LAPP</v>
      </c>
      <c r="R1101" t="str">
        <f>VLOOKUP(D1101,[2]Template!$A:$D,4,0)</f>
        <v>Lapp-Planned Stock General</v>
      </c>
    </row>
    <row r="1102" spans="1:18" ht="13.5" customHeight="1" x14ac:dyDescent="0.25">
      <c r="A1102" s="9">
        <v>46144</v>
      </c>
      <c r="B1102" s="10" t="s">
        <v>1516</v>
      </c>
      <c r="C1102" s="11" t="s">
        <v>59</v>
      </c>
      <c r="D1102" s="10" t="s">
        <v>317</v>
      </c>
      <c r="E1102" s="12" t="s">
        <v>1072</v>
      </c>
      <c r="F1102" s="12" t="s">
        <v>71</v>
      </c>
      <c r="G1102" s="13">
        <v>10000</v>
      </c>
      <c r="H1102" s="14">
        <v>10000</v>
      </c>
      <c r="I1102" s="15">
        <v>7.87</v>
      </c>
      <c r="J1102" s="16"/>
      <c r="K1102" s="17">
        <v>78700</v>
      </c>
      <c r="L1102" s="18">
        <v>46239</v>
      </c>
      <c r="M1102" s="6" t="str">
        <f t="shared" si="51"/>
        <v>Schedule order</v>
      </c>
      <c r="N1102" s="8">
        <f t="shared" ca="1" si="52"/>
        <v>84</v>
      </c>
      <c r="O1102" s="8" t="str">
        <f t="shared" ca="1" si="53"/>
        <v>Lattest or shedule order</v>
      </c>
      <c r="P1102" t="str">
        <f>VLOOKUP(C1102,[1]Customer_Master!$A:$B,2,0)</f>
        <v>Group 1-Giridhar-Peenya</v>
      </c>
      <c r="Q1102" t="str">
        <f>VLOOKUP(D1102,[2]Template!$A:$D,3,0)</f>
        <v>LAPP</v>
      </c>
      <c r="R1102" t="str">
        <f>VLOOKUP(D1102,[2]Template!$A:$D,4,0)</f>
        <v>Lapp-Planned Stock General</v>
      </c>
    </row>
    <row r="1103" spans="1:18" ht="13.5" customHeight="1" x14ac:dyDescent="0.25">
      <c r="A1103" s="9">
        <v>46144</v>
      </c>
      <c r="B1103" s="10" t="s">
        <v>1516</v>
      </c>
      <c r="C1103" s="11" t="s">
        <v>59</v>
      </c>
      <c r="D1103" s="10" t="s">
        <v>317</v>
      </c>
      <c r="E1103" s="12" t="s">
        <v>1072</v>
      </c>
      <c r="F1103" s="12" t="s">
        <v>71</v>
      </c>
      <c r="G1103" s="13">
        <v>10000</v>
      </c>
      <c r="H1103" s="14">
        <v>10000</v>
      </c>
      <c r="I1103" s="15">
        <v>7.87</v>
      </c>
      <c r="J1103" s="16"/>
      <c r="K1103" s="17">
        <v>78700</v>
      </c>
      <c r="L1103" s="18">
        <v>46270</v>
      </c>
      <c r="M1103" s="6" t="str">
        <f t="shared" si="51"/>
        <v>Schedule order</v>
      </c>
      <c r="N1103" s="8">
        <f t="shared" ca="1" si="52"/>
        <v>115</v>
      </c>
      <c r="O1103" s="8" t="str">
        <f t="shared" ca="1" si="53"/>
        <v>Lattest or shedule order</v>
      </c>
      <c r="P1103" t="str">
        <f>VLOOKUP(C1103,[1]Customer_Master!$A:$B,2,0)</f>
        <v>Group 1-Giridhar-Peenya</v>
      </c>
      <c r="Q1103" t="str">
        <f>VLOOKUP(D1103,[2]Template!$A:$D,3,0)</f>
        <v>LAPP</v>
      </c>
      <c r="R1103" t="str">
        <f>VLOOKUP(D1103,[2]Template!$A:$D,4,0)</f>
        <v>Lapp-Planned Stock General</v>
      </c>
    </row>
    <row r="1104" spans="1:18" ht="13.5" customHeight="1" x14ac:dyDescent="0.25">
      <c r="A1104" s="9">
        <v>46144</v>
      </c>
      <c r="B1104" s="10" t="s">
        <v>1516</v>
      </c>
      <c r="C1104" s="11" t="s">
        <v>59</v>
      </c>
      <c r="D1104" s="10" t="s">
        <v>317</v>
      </c>
      <c r="E1104" s="12" t="s">
        <v>1072</v>
      </c>
      <c r="F1104" s="12" t="s">
        <v>71</v>
      </c>
      <c r="G1104" s="13">
        <v>10000</v>
      </c>
      <c r="H1104" s="14">
        <v>10000</v>
      </c>
      <c r="I1104" s="15">
        <v>7.87</v>
      </c>
      <c r="J1104" s="16"/>
      <c r="K1104" s="17">
        <v>78700</v>
      </c>
      <c r="L1104" s="18">
        <v>46300</v>
      </c>
      <c r="M1104" s="6" t="str">
        <f t="shared" si="51"/>
        <v>Schedule order</v>
      </c>
      <c r="N1104" s="8">
        <f t="shared" ca="1" si="52"/>
        <v>145</v>
      </c>
      <c r="O1104" s="8" t="str">
        <f t="shared" ca="1" si="53"/>
        <v>Lattest or shedule order</v>
      </c>
      <c r="P1104" t="str">
        <f>VLOOKUP(C1104,[1]Customer_Master!$A:$B,2,0)</f>
        <v>Group 1-Giridhar-Peenya</v>
      </c>
      <c r="Q1104" t="str">
        <f>VLOOKUP(D1104,[2]Template!$A:$D,3,0)</f>
        <v>LAPP</v>
      </c>
      <c r="R1104" t="str">
        <f>VLOOKUP(D1104,[2]Template!$A:$D,4,0)</f>
        <v>Lapp-Planned Stock General</v>
      </c>
    </row>
    <row r="1105" spans="1:18" ht="13.5" customHeight="1" x14ac:dyDescent="0.25">
      <c r="A1105" s="9">
        <v>46144</v>
      </c>
      <c r="B1105" s="10" t="s">
        <v>1516</v>
      </c>
      <c r="C1105" s="11" t="s">
        <v>59</v>
      </c>
      <c r="D1105" s="10" t="s">
        <v>317</v>
      </c>
      <c r="E1105" s="12" t="s">
        <v>1072</v>
      </c>
      <c r="F1105" s="12" t="s">
        <v>71</v>
      </c>
      <c r="G1105" s="13">
        <v>10000</v>
      </c>
      <c r="H1105" s="14">
        <v>10000</v>
      </c>
      <c r="I1105" s="15">
        <v>7.87</v>
      </c>
      <c r="J1105" s="16"/>
      <c r="K1105" s="17">
        <v>78700</v>
      </c>
      <c r="L1105" s="18">
        <v>46331</v>
      </c>
      <c r="M1105" s="6" t="str">
        <f t="shared" si="51"/>
        <v>Schedule order</v>
      </c>
      <c r="N1105" s="8">
        <f t="shared" ca="1" si="52"/>
        <v>176</v>
      </c>
      <c r="O1105" s="8" t="str">
        <f t="shared" ca="1" si="53"/>
        <v>Lattest or shedule order</v>
      </c>
      <c r="P1105" t="str">
        <f>VLOOKUP(C1105,[1]Customer_Master!$A:$B,2,0)</f>
        <v>Group 1-Giridhar-Peenya</v>
      </c>
      <c r="Q1105" t="str">
        <f>VLOOKUP(D1105,[2]Template!$A:$D,3,0)</f>
        <v>LAPP</v>
      </c>
      <c r="R1105" t="str">
        <f>VLOOKUP(D1105,[2]Template!$A:$D,4,0)</f>
        <v>Lapp-Planned Stock General</v>
      </c>
    </row>
    <row r="1106" spans="1:18" ht="13.5" customHeight="1" x14ac:dyDescent="0.25">
      <c r="A1106" s="9">
        <v>46144</v>
      </c>
      <c r="B1106" s="10" t="s">
        <v>1516</v>
      </c>
      <c r="C1106" s="11" t="s">
        <v>59</v>
      </c>
      <c r="D1106" s="10" t="s">
        <v>339</v>
      </c>
      <c r="E1106" s="12" t="s">
        <v>1072</v>
      </c>
      <c r="F1106" s="12" t="s">
        <v>124</v>
      </c>
      <c r="G1106" s="13">
        <v>1500</v>
      </c>
      <c r="H1106" s="14">
        <v>1500</v>
      </c>
      <c r="I1106" s="15">
        <v>20.46</v>
      </c>
      <c r="J1106" s="16"/>
      <c r="K1106" s="17">
        <v>30690</v>
      </c>
      <c r="L1106" s="18">
        <v>46178</v>
      </c>
      <c r="M1106" s="6" t="str">
        <f t="shared" si="51"/>
        <v>Schedule order</v>
      </c>
      <c r="N1106" s="8">
        <f t="shared" ca="1" si="52"/>
        <v>23</v>
      </c>
      <c r="O1106" s="8" t="str">
        <f t="shared" ca="1" si="53"/>
        <v>Lattest or shedule order</v>
      </c>
      <c r="P1106" t="str">
        <f>VLOOKUP(C1106,[1]Customer_Master!$A:$B,2,0)</f>
        <v>Group 1-Giridhar-Peenya</v>
      </c>
      <c r="Q1106" t="str">
        <f>VLOOKUP(D1106,[2]Template!$A:$D,3,0)</f>
        <v>LAPP</v>
      </c>
      <c r="R1106" t="str">
        <f>VLOOKUP(D1106,[2]Template!$A:$D,4,0)</f>
        <v>Lapp-Planned Stock General</v>
      </c>
    </row>
    <row r="1107" spans="1:18" ht="13.5" customHeight="1" x14ac:dyDescent="0.25">
      <c r="A1107" s="9">
        <v>46144</v>
      </c>
      <c r="B1107" s="10" t="s">
        <v>1516</v>
      </c>
      <c r="C1107" s="11" t="s">
        <v>59</v>
      </c>
      <c r="D1107" s="10" t="s">
        <v>339</v>
      </c>
      <c r="E1107" s="12" t="s">
        <v>1072</v>
      </c>
      <c r="F1107" s="12" t="s">
        <v>124</v>
      </c>
      <c r="G1107" s="13">
        <v>1500</v>
      </c>
      <c r="H1107" s="14">
        <v>1500</v>
      </c>
      <c r="I1107" s="15">
        <v>20.46</v>
      </c>
      <c r="J1107" s="16"/>
      <c r="K1107" s="17">
        <v>30690</v>
      </c>
      <c r="L1107" s="18">
        <v>46208</v>
      </c>
      <c r="M1107" s="6" t="str">
        <f t="shared" si="51"/>
        <v>Schedule order</v>
      </c>
      <c r="N1107" s="8">
        <f t="shared" ca="1" si="52"/>
        <v>53</v>
      </c>
      <c r="O1107" s="8" t="str">
        <f t="shared" ca="1" si="53"/>
        <v>Lattest or shedule order</v>
      </c>
      <c r="P1107" t="str">
        <f>VLOOKUP(C1107,[1]Customer_Master!$A:$B,2,0)</f>
        <v>Group 1-Giridhar-Peenya</v>
      </c>
      <c r="Q1107" t="str">
        <f>VLOOKUP(D1107,[2]Template!$A:$D,3,0)</f>
        <v>LAPP</v>
      </c>
      <c r="R1107" t="str">
        <f>VLOOKUP(D1107,[2]Template!$A:$D,4,0)</f>
        <v>Lapp-Planned Stock General</v>
      </c>
    </row>
    <row r="1108" spans="1:18" ht="13.5" customHeight="1" x14ac:dyDescent="0.25">
      <c r="A1108" s="9">
        <v>46144</v>
      </c>
      <c r="B1108" s="10" t="s">
        <v>1516</v>
      </c>
      <c r="C1108" s="11" t="s">
        <v>59</v>
      </c>
      <c r="D1108" s="10" t="s">
        <v>339</v>
      </c>
      <c r="E1108" s="12" t="s">
        <v>1072</v>
      </c>
      <c r="F1108" s="12" t="s">
        <v>124</v>
      </c>
      <c r="G1108" s="13">
        <v>1500</v>
      </c>
      <c r="H1108" s="14">
        <v>1500</v>
      </c>
      <c r="I1108" s="15">
        <v>20.46</v>
      </c>
      <c r="J1108" s="16"/>
      <c r="K1108" s="17">
        <v>30690</v>
      </c>
      <c r="L1108" s="18">
        <v>46239</v>
      </c>
      <c r="M1108" s="6" t="str">
        <f t="shared" si="51"/>
        <v>Schedule order</v>
      </c>
      <c r="N1108" s="8">
        <f t="shared" ca="1" si="52"/>
        <v>84</v>
      </c>
      <c r="O1108" s="8" t="str">
        <f t="shared" ca="1" si="53"/>
        <v>Lattest or shedule order</v>
      </c>
      <c r="P1108" t="str">
        <f>VLOOKUP(C1108,[1]Customer_Master!$A:$B,2,0)</f>
        <v>Group 1-Giridhar-Peenya</v>
      </c>
      <c r="Q1108" t="str">
        <f>VLOOKUP(D1108,[2]Template!$A:$D,3,0)</f>
        <v>LAPP</v>
      </c>
      <c r="R1108" t="str">
        <f>VLOOKUP(D1108,[2]Template!$A:$D,4,0)</f>
        <v>Lapp-Planned Stock General</v>
      </c>
    </row>
    <row r="1109" spans="1:18" ht="13.5" customHeight="1" x14ac:dyDescent="0.25">
      <c r="A1109" s="9">
        <v>46144</v>
      </c>
      <c r="B1109" s="10" t="s">
        <v>1516</v>
      </c>
      <c r="C1109" s="11" t="s">
        <v>59</v>
      </c>
      <c r="D1109" s="10" t="s">
        <v>339</v>
      </c>
      <c r="E1109" s="12" t="s">
        <v>1072</v>
      </c>
      <c r="F1109" s="12" t="s">
        <v>124</v>
      </c>
      <c r="G1109" s="13">
        <v>1500</v>
      </c>
      <c r="H1109" s="14">
        <v>1500</v>
      </c>
      <c r="I1109" s="15">
        <v>20.46</v>
      </c>
      <c r="J1109" s="16"/>
      <c r="K1109" s="17">
        <v>30690</v>
      </c>
      <c r="L1109" s="18">
        <v>46270</v>
      </c>
      <c r="M1109" s="6" t="str">
        <f t="shared" si="51"/>
        <v>Schedule order</v>
      </c>
      <c r="N1109" s="8">
        <f t="shared" ca="1" si="52"/>
        <v>115</v>
      </c>
      <c r="O1109" s="8" t="str">
        <f t="shared" ca="1" si="53"/>
        <v>Lattest or shedule order</v>
      </c>
      <c r="P1109" t="str">
        <f>VLOOKUP(C1109,[1]Customer_Master!$A:$B,2,0)</f>
        <v>Group 1-Giridhar-Peenya</v>
      </c>
      <c r="Q1109" t="str">
        <f>VLOOKUP(D1109,[2]Template!$A:$D,3,0)</f>
        <v>LAPP</v>
      </c>
      <c r="R1109" t="str">
        <f>VLOOKUP(D1109,[2]Template!$A:$D,4,0)</f>
        <v>Lapp-Planned Stock General</v>
      </c>
    </row>
    <row r="1110" spans="1:18" ht="13.5" customHeight="1" x14ac:dyDescent="0.25">
      <c r="A1110" s="9">
        <v>46144</v>
      </c>
      <c r="B1110" s="10" t="s">
        <v>1516</v>
      </c>
      <c r="C1110" s="11" t="s">
        <v>59</v>
      </c>
      <c r="D1110" s="10" t="s">
        <v>339</v>
      </c>
      <c r="E1110" s="12" t="s">
        <v>1072</v>
      </c>
      <c r="F1110" s="12" t="s">
        <v>124</v>
      </c>
      <c r="G1110" s="13">
        <v>1500</v>
      </c>
      <c r="H1110" s="14">
        <v>1500</v>
      </c>
      <c r="I1110" s="15">
        <v>20.46</v>
      </c>
      <c r="J1110" s="16"/>
      <c r="K1110" s="17">
        <v>30690</v>
      </c>
      <c r="L1110" s="18">
        <v>46300</v>
      </c>
      <c r="M1110" s="6" t="str">
        <f t="shared" si="51"/>
        <v>Schedule order</v>
      </c>
      <c r="N1110" s="8">
        <f t="shared" ca="1" si="52"/>
        <v>145</v>
      </c>
      <c r="O1110" s="8" t="str">
        <f t="shared" ca="1" si="53"/>
        <v>Lattest or shedule order</v>
      </c>
      <c r="P1110" t="str">
        <f>VLOOKUP(C1110,[1]Customer_Master!$A:$B,2,0)</f>
        <v>Group 1-Giridhar-Peenya</v>
      </c>
      <c r="Q1110" t="str">
        <f>VLOOKUP(D1110,[2]Template!$A:$D,3,0)</f>
        <v>LAPP</v>
      </c>
      <c r="R1110" t="str">
        <f>VLOOKUP(D1110,[2]Template!$A:$D,4,0)</f>
        <v>Lapp-Planned Stock General</v>
      </c>
    </row>
    <row r="1111" spans="1:18" ht="13.5" customHeight="1" x14ac:dyDescent="0.25">
      <c r="A1111" s="9">
        <v>46144</v>
      </c>
      <c r="B1111" s="10" t="s">
        <v>1516</v>
      </c>
      <c r="C1111" s="11" t="s">
        <v>59</v>
      </c>
      <c r="D1111" s="10" t="s">
        <v>339</v>
      </c>
      <c r="E1111" s="12" t="s">
        <v>1072</v>
      </c>
      <c r="F1111" s="12" t="s">
        <v>124</v>
      </c>
      <c r="G1111" s="13">
        <v>1500</v>
      </c>
      <c r="H1111" s="14">
        <v>1500</v>
      </c>
      <c r="I1111" s="15">
        <v>20.46</v>
      </c>
      <c r="J1111" s="16"/>
      <c r="K1111" s="17">
        <v>30690</v>
      </c>
      <c r="L1111" s="18">
        <v>46331</v>
      </c>
      <c r="M1111" s="6" t="str">
        <f t="shared" si="51"/>
        <v>Schedule order</v>
      </c>
      <c r="N1111" s="8">
        <f t="shared" ca="1" si="52"/>
        <v>176</v>
      </c>
      <c r="O1111" s="8" t="str">
        <f t="shared" ca="1" si="53"/>
        <v>Lattest or shedule order</v>
      </c>
      <c r="P1111" t="str">
        <f>VLOOKUP(C1111,[1]Customer_Master!$A:$B,2,0)</f>
        <v>Group 1-Giridhar-Peenya</v>
      </c>
      <c r="Q1111" t="str">
        <f>VLOOKUP(D1111,[2]Template!$A:$D,3,0)</f>
        <v>LAPP</v>
      </c>
      <c r="R1111" t="str">
        <f>VLOOKUP(D1111,[2]Template!$A:$D,4,0)</f>
        <v>Lapp-Planned Stock General</v>
      </c>
    </row>
    <row r="1112" spans="1:18" ht="13.5" customHeight="1" x14ac:dyDescent="0.25">
      <c r="A1112" s="9">
        <v>46144</v>
      </c>
      <c r="B1112" s="10" t="s">
        <v>1516</v>
      </c>
      <c r="C1112" s="11" t="s">
        <v>59</v>
      </c>
      <c r="D1112" s="10" t="s">
        <v>1048</v>
      </c>
      <c r="E1112" s="12" t="s">
        <v>1072</v>
      </c>
      <c r="F1112" s="12" t="s">
        <v>1081</v>
      </c>
      <c r="G1112" s="13">
        <v>500</v>
      </c>
      <c r="H1112" s="14">
        <v>500</v>
      </c>
      <c r="I1112" s="15">
        <v>42.42</v>
      </c>
      <c r="J1112" s="16"/>
      <c r="K1112" s="17">
        <v>21210</v>
      </c>
      <c r="L1112" s="18">
        <v>46178</v>
      </c>
      <c r="M1112" s="6" t="str">
        <f t="shared" si="51"/>
        <v>Schedule order</v>
      </c>
      <c r="N1112" s="8">
        <f t="shared" ca="1" si="52"/>
        <v>23</v>
      </c>
      <c r="O1112" s="8" t="str">
        <f t="shared" ca="1" si="53"/>
        <v>Lattest or shedule order</v>
      </c>
      <c r="P1112" t="str">
        <f>VLOOKUP(C1112,[1]Customer_Master!$A:$B,2,0)</f>
        <v>Group 1-Giridhar-Peenya</v>
      </c>
      <c r="Q1112" t="str">
        <f>VLOOKUP(D1112,[2]Template!$A:$D,3,0)</f>
        <v>LAPP</v>
      </c>
      <c r="R1112" t="str">
        <f>VLOOKUP(D1112,[2]Template!$A:$D,4,0)</f>
        <v>Lapp-AMS Group</v>
      </c>
    </row>
    <row r="1113" spans="1:18" ht="13.5" customHeight="1" x14ac:dyDescent="0.25">
      <c r="A1113" s="9">
        <v>46144</v>
      </c>
      <c r="B1113" s="10" t="s">
        <v>1516</v>
      </c>
      <c r="C1113" s="11" t="s">
        <v>59</v>
      </c>
      <c r="D1113" s="10" t="s">
        <v>1048</v>
      </c>
      <c r="E1113" s="12" t="s">
        <v>1072</v>
      </c>
      <c r="F1113" s="12" t="s">
        <v>1081</v>
      </c>
      <c r="G1113" s="13">
        <v>1000</v>
      </c>
      <c r="H1113" s="14">
        <v>1000</v>
      </c>
      <c r="I1113" s="15">
        <v>42.42</v>
      </c>
      <c r="J1113" s="16"/>
      <c r="K1113" s="17">
        <v>42420</v>
      </c>
      <c r="L1113" s="18">
        <v>46208</v>
      </c>
      <c r="M1113" s="6" t="str">
        <f t="shared" si="51"/>
        <v>Schedule order</v>
      </c>
      <c r="N1113" s="8">
        <f t="shared" ca="1" si="52"/>
        <v>53</v>
      </c>
      <c r="O1113" s="8" t="str">
        <f t="shared" ca="1" si="53"/>
        <v>Lattest or shedule order</v>
      </c>
      <c r="P1113" t="str">
        <f>VLOOKUP(C1113,[1]Customer_Master!$A:$B,2,0)</f>
        <v>Group 1-Giridhar-Peenya</v>
      </c>
      <c r="Q1113" t="str">
        <f>VLOOKUP(D1113,[2]Template!$A:$D,3,0)</f>
        <v>LAPP</v>
      </c>
      <c r="R1113" t="str">
        <f>VLOOKUP(D1113,[2]Template!$A:$D,4,0)</f>
        <v>Lapp-AMS Group</v>
      </c>
    </row>
    <row r="1114" spans="1:18" ht="13.5" customHeight="1" x14ac:dyDescent="0.25">
      <c r="A1114" s="9">
        <v>46144</v>
      </c>
      <c r="B1114" s="10" t="s">
        <v>1516</v>
      </c>
      <c r="C1114" s="11" t="s">
        <v>59</v>
      </c>
      <c r="D1114" s="10" t="s">
        <v>1048</v>
      </c>
      <c r="E1114" s="12" t="s">
        <v>1072</v>
      </c>
      <c r="F1114" s="12" t="s">
        <v>1081</v>
      </c>
      <c r="G1114" s="13">
        <v>1000</v>
      </c>
      <c r="H1114" s="14">
        <v>1000</v>
      </c>
      <c r="I1114" s="15">
        <v>42.42</v>
      </c>
      <c r="J1114" s="16"/>
      <c r="K1114" s="17">
        <v>42420</v>
      </c>
      <c r="L1114" s="18">
        <v>46239</v>
      </c>
      <c r="M1114" s="6" t="str">
        <f t="shared" si="51"/>
        <v>Schedule order</v>
      </c>
      <c r="N1114" s="8">
        <f t="shared" ca="1" si="52"/>
        <v>84</v>
      </c>
      <c r="O1114" s="8" t="str">
        <f t="shared" ca="1" si="53"/>
        <v>Lattest or shedule order</v>
      </c>
      <c r="P1114" t="str">
        <f>VLOOKUP(C1114,[1]Customer_Master!$A:$B,2,0)</f>
        <v>Group 1-Giridhar-Peenya</v>
      </c>
      <c r="Q1114" t="str">
        <f>VLOOKUP(D1114,[2]Template!$A:$D,3,0)</f>
        <v>LAPP</v>
      </c>
      <c r="R1114" t="str">
        <f>VLOOKUP(D1114,[2]Template!$A:$D,4,0)</f>
        <v>Lapp-AMS Group</v>
      </c>
    </row>
    <row r="1115" spans="1:18" ht="13.5" customHeight="1" x14ac:dyDescent="0.25">
      <c r="A1115" s="9">
        <v>46144</v>
      </c>
      <c r="B1115" s="10" t="s">
        <v>1516</v>
      </c>
      <c r="C1115" s="11" t="s">
        <v>59</v>
      </c>
      <c r="D1115" s="10" t="s">
        <v>1048</v>
      </c>
      <c r="E1115" s="12" t="s">
        <v>1072</v>
      </c>
      <c r="F1115" s="12" t="s">
        <v>1081</v>
      </c>
      <c r="G1115" s="13">
        <v>1000</v>
      </c>
      <c r="H1115" s="14">
        <v>1000</v>
      </c>
      <c r="I1115" s="15">
        <v>42.42</v>
      </c>
      <c r="J1115" s="16"/>
      <c r="K1115" s="17">
        <v>42420</v>
      </c>
      <c r="L1115" s="18">
        <v>46270</v>
      </c>
      <c r="M1115" s="6" t="str">
        <f t="shared" si="51"/>
        <v>Schedule order</v>
      </c>
      <c r="N1115" s="8">
        <f t="shared" ca="1" si="52"/>
        <v>115</v>
      </c>
      <c r="O1115" s="8" t="str">
        <f t="shared" ca="1" si="53"/>
        <v>Lattest or shedule order</v>
      </c>
      <c r="P1115" t="str">
        <f>VLOOKUP(C1115,[1]Customer_Master!$A:$B,2,0)</f>
        <v>Group 1-Giridhar-Peenya</v>
      </c>
      <c r="Q1115" t="str">
        <f>VLOOKUP(D1115,[2]Template!$A:$D,3,0)</f>
        <v>LAPP</v>
      </c>
      <c r="R1115" t="str">
        <f>VLOOKUP(D1115,[2]Template!$A:$D,4,0)</f>
        <v>Lapp-AMS Group</v>
      </c>
    </row>
    <row r="1116" spans="1:18" ht="13.5" customHeight="1" x14ac:dyDescent="0.25">
      <c r="A1116" s="9">
        <v>46144</v>
      </c>
      <c r="B1116" s="10" t="s">
        <v>1516</v>
      </c>
      <c r="C1116" s="11" t="s">
        <v>59</v>
      </c>
      <c r="D1116" s="10" t="s">
        <v>1048</v>
      </c>
      <c r="E1116" s="12" t="s">
        <v>1072</v>
      </c>
      <c r="F1116" s="12" t="s">
        <v>1081</v>
      </c>
      <c r="G1116" s="13">
        <v>1000</v>
      </c>
      <c r="H1116" s="14">
        <v>1000</v>
      </c>
      <c r="I1116" s="15">
        <v>42.42</v>
      </c>
      <c r="J1116" s="16"/>
      <c r="K1116" s="17">
        <v>42420</v>
      </c>
      <c r="L1116" s="18">
        <v>46300</v>
      </c>
      <c r="M1116" s="6" t="str">
        <f t="shared" si="51"/>
        <v>Schedule order</v>
      </c>
      <c r="N1116" s="8">
        <f t="shared" ca="1" si="52"/>
        <v>145</v>
      </c>
      <c r="O1116" s="8" t="str">
        <f t="shared" ca="1" si="53"/>
        <v>Lattest or shedule order</v>
      </c>
      <c r="P1116" t="str">
        <f>VLOOKUP(C1116,[1]Customer_Master!$A:$B,2,0)</f>
        <v>Group 1-Giridhar-Peenya</v>
      </c>
      <c r="Q1116" t="str">
        <f>VLOOKUP(D1116,[2]Template!$A:$D,3,0)</f>
        <v>LAPP</v>
      </c>
      <c r="R1116" t="str">
        <f>VLOOKUP(D1116,[2]Template!$A:$D,4,0)</f>
        <v>Lapp-AMS Group</v>
      </c>
    </row>
    <row r="1117" spans="1:18" ht="13.5" customHeight="1" x14ac:dyDescent="0.25">
      <c r="A1117" s="9">
        <v>46144</v>
      </c>
      <c r="B1117" s="10" t="s">
        <v>1516</v>
      </c>
      <c r="C1117" s="11" t="s">
        <v>59</v>
      </c>
      <c r="D1117" s="10" t="s">
        <v>1048</v>
      </c>
      <c r="E1117" s="12" t="s">
        <v>1072</v>
      </c>
      <c r="F1117" s="12" t="s">
        <v>1081</v>
      </c>
      <c r="G1117" s="13">
        <v>1000</v>
      </c>
      <c r="H1117" s="14">
        <v>1000</v>
      </c>
      <c r="I1117" s="15">
        <v>42.42</v>
      </c>
      <c r="J1117" s="16"/>
      <c r="K1117" s="17">
        <v>42420</v>
      </c>
      <c r="L1117" s="18">
        <v>46331</v>
      </c>
      <c r="M1117" s="6" t="str">
        <f t="shared" si="51"/>
        <v>Schedule order</v>
      </c>
      <c r="N1117" s="8">
        <f t="shared" ca="1" si="52"/>
        <v>176</v>
      </c>
      <c r="O1117" s="8" t="str">
        <f t="shared" ca="1" si="53"/>
        <v>Lattest or shedule order</v>
      </c>
      <c r="P1117" t="str">
        <f>VLOOKUP(C1117,[1]Customer_Master!$A:$B,2,0)</f>
        <v>Group 1-Giridhar-Peenya</v>
      </c>
      <c r="Q1117" t="str">
        <f>VLOOKUP(D1117,[2]Template!$A:$D,3,0)</f>
        <v>LAPP</v>
      </c>
      <c r="R1117" t="str">
        <f>VLOOKUP(D1117,[2]Template!$A:$D,4,0)</f>
        <v>Lapp-AMS Group</v>
      </c>
    </row>
    <row r="1118" spans="1:18" ht="13.5" customHeight="1" x14ac:dyDescent="0.25">
      <c r="A1118" s="9">
        <v>46144</v>
      </c>
      <c r="B1118" s="10" t="s">
        <v>1516</v>
      </c>
      <c r="C1118" s="11" t="s">
        <v>59</v>
      </c>
      <c r="D1118" s="10" t="s">
        <v>326</v>
      </c>
      <c r="E1118" s="12" t="s">
        <v>1072</v>
      </c>
      <c r="F1118" s="12" t="s">
        <v>95</v>
      </c>
      <c r="G1118" s="13">
        <v>1500</v>
      </c>
      <c r="H1118" s="14">
        <v>500</v>
      </c>
      <c r="I1118" s="15">
        <v>84.65</v>
      </c>
      <c r="J1118" s="16"/>
      <c r="K1118" s="17">
        <v>42325</v>
      </c>
      <c r="L1118" s="18">
        <v>46144</v>
      </c>
      <c r="M1118" s="6" t="str">
        <f t="shared" si="51"/>
        <v>Schedule order</v>
      </c>
      <c r="N1118" s="8">
        <f t="shared" ca="1" si="52"/>
        <v>-11</v>
      </c>
      <c r="O1118" s="8" t="str">
        <f t="shared" ca="1" si="53"/>
        <v>With in 90 days</v>
      </c>
      <c r="P1118" t="str">
        <f>VLOOKUP(C1118,[1]Customer_Master!$A:$B,2,0)</f>
        <v>Group 1-Giridhar-Peenya</v>
      </c>
      <c r="Q1118" t="str">
        <f>VLOOKUP(D1118,[2]Template!$A:$D,3,0)</f>
        <v>LAPP</v>
      </c>
      <c r="R1118" t="str">
        <f>VLOOKUP(D1118,[2]Template!$A:$D,4,0)</f>
        <v>Lapp-Planned Stock General</v>
      </c>
    </row>
    <row r="1119" spans="1:18" ht="13.5" customHeight="1" x14ac:dyDescent="0.25">
      <c r="A1119" s="9">
        <v>46144</v>
      </c>
      <c r="B1119" s="10" t="s">
        <v>1516</v>
      </c>
      <c r="C1119" s="11" t="s">
        <v>59</v>
      </c>
      <c r="D1119" s="10" t="s">
        <v>326</v>
      </c>
      <c r="E1119" s="12" t="s">
        <v>1072</v>
      </c>
      <c r="F1119" s="12" t="s">
        <v>95</v>
      </c>
      <c r="G1119" s="13">
        <v>1000</v>
      </c>
      <c r="H1119" s="14">
        <v>1000</v>
      </c>
      <c r="I1119" s="15">
        <v>84.65</v>
      </c>
      <c r="J1119" s="16"/>
      <c r="K1119" s="17">
        <v>84650</v>
      </c>
      <c r="L1119" s="18">
        <v>46178</v>
      </c>
      <c r="M1119" s="6" t="str">
        <f t="shared" si="51"/>
        <v>Schedule order</v>
      </c>
      <c r="N1119" s="8">
        <f t="shared" ca="1" si="52"/>
        <v>23</v>
      </c>
      <c r="O1119" s="8" t="str">
        <f t="shared" ca="1" si="53"/>
        <v>Lattest or shedule order</v>
      </c>
      <c r="P1119" t="str">
        <f>VLOOKUP(C1119,[1]Customer_Master!$A:$B,2,0)</f>
        <v>Group 1-Giridhar-Peenya</v>
      </c>
      <c r="Q1119" t="str">
        <f>VLOOKUP(D1119,[2]Template!$A:$D,3,0)</f>
        <v>LAPP</v>
      </c>
      <c r="R1119" t="str">
        <f>VLOOKUP(D1119,[2]Template!$A:$D,4,0)</f>
        <v>Lapp-Planned Stock General</v>
      </c>
    </row>
    <row r="1120" spans="1:18" ht="13.5" customHeight="1" x14ac:dyDescent="0.25">
      <c r="A1120" s="9">
        <v>46144</v>
      </c>
      <c r="B1120" s="10" t="s">
        <v>1516</v>
      </c>
      <c r="C1120" s="11" t="s">
        <v>59</v>
      </c>
      <c r="D1120" s="10" t="s">
        <v>326</v>
      </c>
      <c r="E1120" s="12" t="s">
        <v>1072</v>
      </c>
      <c r="F1120" s="12" t="s">
        <v>95</v>
      </c>
      <c r="G1120" s="13">
        <v>1000</v>
      </c>
      <c r="H1120" s="14">
        <v>1000</v>
      </c>
      <c r="I1120" s="15">
        <v>84.65</v>
      </c>
      <c r="J1120" s="16"/>
      <c r="K1120" s="17">
        <v>84650</v>
      </c>
      <c r="L1120" s="18">
        <v>46208</v>
      </c>
      <c r="M1120" s="6" t="str">
        <f t="shared" si="51"/>
        <v>Schedule order</v>
      </c>
      <c r="N1120" s="8">
        <f t="shared" ca="1" si="52"/>
        <v>53</v>
      </c>
      <c r="O1120" s="8" t="str">
        <f t="shared" ca="1" si="53"/>
        <v>Lattest or shedule order</v>
      </c>
      <c r="P1120" t="str">
        <f>VLOOKUP(C1120,[1]Customer_Master!$A:$B,2,0)</f>
        <v>Group 1-Giridhar-Peenya</v>
      </c>
      <c r="Q1120" t="str">
        <f>VLOOKUP(D1120,[2]Template!$A:$D,3,0)</f>
        <v>LAPP</v>
      </c>
      <c r="R1120" t="str">
        <f>VLOOKUP(D1120,[2]Template!$A:$D,4,0)</f>
        <v>Lapp-Planned Stock General</v>
      </c>
    </row>
    <row r="1121" spans="1:18" ht="13.5" customHeight="1" x14ac:dyDescent="0.25">
      <c r="A1121" s="9">
        <v>46144</v>
      </c>
      <c r="B1121" s="10" t="s">
        <v>1516</v>
      </c>
      <c r="C1121" s="11" t="s">
        <v>59</v>
      </c>
      <c r="D1121" s="10" t="s">
        <v>326</v>
      </c>
      <c r="E1121" s="12" t="s">
        <v>1072</v>
      </c>
      <c r="F1121" s="12" t="s">
        <v>95</v>
      </c>
      <c r="G1121" s="13">
        <v>1500</v>
      </c>
      <c r="H1121" s="14">
        <v>1500</v>
      </c>
      <c r="I1121" s="15">
        <v>84.65</v>
      </c>
      <c r="J1121" s="16"/>
      <c r="K1121" s="17">
        <v>126975</v>
      </c>
      <c r="L1121" s="18">
        <v>46239</v>
      </c>
      <c r="M1121" s="6" t="str">
        <f t="shared" si="51"/>
        <v>Schedule order</v>
      </c>
      <c r="N1121" s="8">
        <f t="shared" ca="1" si="52"/>
        <v>84</v>
      </c>
      <c r="O1121" s="8" t="str">
        <f t="shared" ca="1" si="53"/>
        <v>Lattest or shedule order</v>
      </c>
      <c r="P1121" t="str">
        <f>VLOOKUP(C1121,[1]Customer_Master!$A:$B,2,0)</f>
        <v>Group 1-Giridhar-Peenya</v>
      </c>
      <c r="Q1121" t="str">
        <f>VLOOKUP(D1121,[2]Template!$A:$D,3,0)</f>
        <v>LAPP</v>
      </c>
      <c r="R1121" t="str">
        <f>VLOOKUP(D1121,[2]Template!$A:$D,4,0)</f>
        <v>Lapp-Planned Stock General</v>
      </c>
    </row>
    <row r="1122" spans="1:18" ht="13.5" customHeight="1" x14ac:dyDescent="0.25">
      <c r="A1122" s="9">
        <v>46144</v>
      </c>
      <c r="B1122" s="10" t="s">
        <v>1516</v>
      </c>
      <c r="C1122" s="11" t="s">
        <v>59</v>
      </c>
      <c r="D1122" s="10" t="s">
        <v>326</v>
      </c>
      <c r="E1122" s="12" t="s">
        <v>1072</v>
      </c>
      <c r="F1122" s="12" t="s">
        <v>95</v>
      </c>
      <c r="G1122" s="13">
        <v>1500</v>
      </c>
      <c r="H1122" s="14">
        <v>1500</v>
      </c>
      <c r="I1122" s="15">
        <v>84.65</v>
      </c>
      <c r="J1122" s="16"/>
      <c r="K1122" s="17">
        <v>126975</v>
      </c>
      <c r="L1122" s="18">
        <v>46270</v>
      </c>
      <c r="M1122" s="6" t="str">
        <f t="shared" si="51"/>
        <v>Schedule order</v>
      </c>
      <c r="N1122" s="8">
        <f t="shared" ca="1" si="52"/>
        <v>115</v>
      </c>
      <c r="O1122" s="8" t="str">
        <f t="shared" ca="1" si="53"/>
        <v>Lattest or shedule order</v>
      </c>
      <c r="P1122" t="str">
        <f>VLOOKUP(C1122,[1]Customer_Master!$A:$B,2,0)</f>
        <v>Group 1-Giridhar-Peenya</v>
      </c>
      <c r="Q1122" t="str">
        <f>VLOOKUP(D1122,[2]Template!$A:$D,3,0)</f>
        <v>LAPP</v>
      </c>
      <c r="R1122" t="str">
        <f>VLOOKUP(D1122,[2]Template!$A:$D,4,0)</f>
        <v>Lapp-Planned Stock General</v>
      </c>
    </row>
    <row r="1123" spans="1:18" ht="13.5" customHeight="1" x14ac:dyDescent="0.25">
      <c r="A1123" s="9">
        <v>46144</v>
      </c>
      <c r="B1123" s="10" t="s">
        <v>1516</v>
      </c>
      <c r="C1123" s="11" t="s">
        <v>59</v>
      </c>
      <c r="D1123" s="10" t="s">
        <v>326</v>
      </c>
      <c r="E1123" s="12" t="s">
        <v>1072</v>
      </c>
      <c r="F1123" s="12" t="s">
        <v>95</v>
      </c>
      <c r="G1123" s="13">
        <v>1000</v>
      </c>
      <c r="H1123" s="14">
        <v>1000</v>
      </c>
      <c r="I1123" s="15">
        <v>84.65</v>
      </c>
      <c r="J1123" s="16"/>
      <c r="K1123" s="17">
        <v>84650</v>
      </c>
      <c r="L1123" s="18">
        <v>46300</v>
      </c>
      <c r="M1123" s="6" t="str">
        <f t="shared" si="51"/>
        <v>Schedule order</v>
      </c>
      <c r="N1123" s="8">
        <f t="shared" ca="1" si="52"/>
        <v>145</v>
      </c>
      <c r="O1123" s="8" t="str">
        <f t="shared" ca="1" si="53"/>
        <v>Lattest or shedule order</v>
      </c>
      <c r="P1123" t="str">
        <f>VLOOKUP(C1123,[1]Customer_Master!$A:$B,2,0)</f>
        <v>Group 1-Giridhar-Peenya</v>
      </c>
      <c r="Q1123" t="str">
        <f>VLOOKUP(D1123,[2]Template!$A:$D,3,0)</f>
        <v>LAPP</v>
      </c>
      <c r="R1123" t="str">
        <f>VLOOKUP(D1123,[2]Template!$A:$D,4,0)</f>
        <v>Lapp-Planned Stock General</v>
      </c>
    </row>
    <row r="1124" spans="1:18" ht="13.5" customHeight="1" x14ac:dyDescent="0.25">
      <c r="A1124" s="9">
        <v>46144</v>
      </c>
      <c r="B1124" s="10" t="s">
        <v>1516</v>
      </c>
      <c r="C1124" s="11" t="s">
        <v>59</v>
      </c>
      <c r="D1124" s="10" t="s">
        <v>326</v>
      </c>
      <c r="E1124" s="12" t="s">
        <v>1072</v>
      </c>
      <c r="F1124" s="12" t="s">
        <v>95</v>
      </c>
      <c r="G1124" s="13">
        <v>1500</v>
      </c>
      <c r="H1124" s="14">
        <v>1500</v>
      </c>
      <c r="I1124" s="15">
        <v>84.65</v>
      </c>
      <c r="J1124" s="16"/>
      <c r="K1124" s="17">
        <v>126975</v>
      </c>
      <c r="L1124" s="18">
        <v>46331</v>
      </c>
      <c r="M1124" s="6" t="str">
        <f t="shared" si="51"/>
        <v>Schedule order</v>
      </c>
      <c r="N1124" s="8">
        <f t="shared" ca="1" si="52"/>
        <v>176</v>
      </c>
      <c r="O1124" s="8" t="str">
        <f t="shared" ca="1" si="53"/>
        <v>Lattest or shedule order</v>
      </c>
      <c r="P1124" t="str">
        <f>VLOOKUP(C1124,[1]Customer_Master!$A:$B,2,0)</f>
        <v>Group 1-Giridhar-Peenya</v>
      </c>
      <c r="Q1124" t="str">
        <f>VLOOKUP(D1124,[2]Template!$A:$D,3,0)</f>
        <v>LAPP</v>
      </c>
      <c r="R1124" t="str">
        <f>VLOOKUP(D1124,[2]Template!$A:$D,4,0)</f>
        <v>Lapp-Planned Stock General</v>
      </c>
    </row>
    <row r="1125" spans="1:18" ht="13.5" customHeight="1" x14ac:dyDescent="0.25">
      <c r="A1125" s="9">
        <v>46144</v>
      </c>
      <c r="B1125" s="10" t="s">
        <v>1516</v>
      </c>
      <c r="C1125" s="11" t="s">
        <v>59</v>
      </c>
      <c r="D1125" s="10" t="s">
        <v>362</v>
      </c>
      <c r="E1125" s="12" t="s">
        <v>1072</v>
      </c>
      <c r="F1125" s="12" t="s">
        <v>145</v>
      </c>
      <c r="G1125" s="13">
        <v>1000</v>
      </c>
      <c r="H1125" s="14">
        <v>1000</v>
      </c>
      <c r="I1125" s="15">
        <v>47.41</v>
      </c>
      <c r="J1125" s="16"/>
      <c r="K1125" s="17">
        <v>47410</v>
      </c>
      <c r="L1125" s="18">
        <v>46178</v>
      </c>
      <c r="M1125" s="6" t="str">
        <f t="shared" si="51"/>
        <v>Schedule order</v>
      </c>
      <c r="N1125" s="8">
        <f t="shared" ca="1" si="52"/>
        <v>23</v>
      </c>
      <c r="O1125" s="8" t="str">
        <f t="shared" ca="1" si="53"/>
        <v>Lattest or shedule order</v>
      </c>
      <c r="P1125" t="str">
        <f>VLOOKUP(C1125,[1]Customer_Master!$A:$B,2,0)</f>
        <v>Group 1-Giridhar-Peenya</v>
      </c>
      <c r="Q1125" t="str">
        <f>VLOOKUP(D1125,[2]Template!$A:$D,3,0)</f>
        <v>LAPP</v>
      </c>
      <c r="R1125" t="str">
        <f>VLOOKUP(D1125,[2]Template!$A:$D,4,0)</f>
        <v>Lapp-Ace Group</v>
      </c>
    </row>
    <row r="1126" spans="1:18" ht="13.5" customHeight="1" x14ac:dyDescent="0.25">
      <c r="A1126" s="9">
        <v>46144</v>
      </c>
      <c r="B1126" s="10" t="s">
        <v>1516</v>
      </c>
      <c r="C1126" s="11" t="s">
        <v>59</v>
      </c>
      <c r="D1126" s="10" t="s">
        <v>362</v>
      </c>
      <c r="E1126" s="12" t="s">
        <v>1072</v>
      </c>
      <c r="F1126" s="12" t="s">
        <v>145</v>
      </c>
      <c r="G1126" s="13">
        <v>1000</v>
      </c>
      <c r="H1126" s="14">
        <v>1000</v>
      </c>
      <c r="I1126" s="15">
        <v>47.41</v>
      </c>
      <c r="J1126" s="16"/>
      <c r="K1126" s="17">
        <v>47410</v>
      </c>
      <c r="L1126" s="18">
        <v>46208</v>
      </c>
      <c r="M1126" s="6" t="str">
        <f t="shared" si="51"/>
        <v>Schedule order</v>
      </c>
      <c r="N1126" s="8">
        <f t="shared" ca="1" si="52"/>
        <v>53</v>
      </c>
      <c r="O1126" s="8" t="str">
        <f t="shared" ca="1" si="53"/>
        <v>Lattest or shedule order</v>
      </c>
      <c r="P1126" t="str">
        <f>VLOOKUP(C1126,[1]Customer_Master!$A:$B,2,0)</f>
        <v>Group 1-Giridhar-Peenya</v>
      </c>
      <c r="Q1126" t="str">
        <f>VLOOKUP(D1126,[2]Template!$A:$D,3,0)</f>
        <v>LAPP</v>
      </c>
      <c r="R1126" t="str">
        <f>VLOOKUP(D1126,[2]Template!$A:$D,4,0)</f>
        <v>Lapp-Ace Group</v>
      </c>
    </row>
    <row r="1127" spans="1:18" ht="13.5" customHeight="1" x14ac:dyDescent="0.25">
      <c r="A1127" s="9">
        <v>46144</v>
      </c>
      <c r="B1127" s="10" t="s">
        <v>1516</v>
      </c>
      <c r="C1127" s="11" t="s">
        <v>59</v>
      </c>
      <c r="D1127" s="10" t="s">
        <v>362</v>
      </c>
      <c r="E1127" s="12" t="s">
        <v>1072</v>
      </c>
      <c r="F1127" s="12" t="s">
        <v>145</v>
      </c>
      <c r="G1127" s="13">
        <v>1000</v>
      </c>
      <c r="H1127" s="14">
        <v>1000</v>
      </c>
      <c r="I1127" s="15">
        <v>47.41</v>
      </c>
      <c r="J1127" s="16"/>
      <c r="K1127" s="17">
        <v>47410</v>
      </c>
      <c r="L1127" s="18">
        <v>46239</v>
      </c>
      <c r="M1127" s="6" t="str">
        <f t="shared" si="51"/>
        <v>Schedule order</v>
      </c>
      <c r="N1127" s="8">
        <f t="shared" ca="1" si="52"/>
        <v>84</v>
      </c>
      <c r="O1127" s="8" t="str">
        <f t="shared" ca="1" si="53"/>
        <v>Lattest or shedule order</v>
      </c>
      <c r="P1127" t="str">
        <f>VLOOKUP(C1127,[1]Customer_Master!$A:$B,2,0)</f>
        <v>Group 1-Giridhar-Peenya</v>
      </c>
      <c r="Q1127" t="str">
        <f>VLOOKUP(D1127,[2]Template!$A:$D,3,0)</f>
        <v>LAPP</v>
      </c>
      <c r="R1127" t="str">
        <f>VLOOKUP(D1127,[2]Template!$A:$D,4,0)</f>
        <v>Lapp-Ace Group</v>
      </c>
    </row>
    <row r="1128" spans="1:18" ht="13.5" customHeight="1" x14ac:dyDescent="0.25">
      <c r="A1128" s="9">
        <v>46144</v>
      </c>
      <c r="B1128" s="10" t="s">
        <v>1516</v>
      </c>
      <c r="C1128" s="11" t="s">
        <v>59</v>
      </c>
      <c r="D1128" s="10" t="s">
        <v>362</v>
      </c>
      <c r="E1128" s="12" t="s">
        <v>1072</v>
      </c>
      <c r="F1128" s="12" t="s">
        <v>145</v>
      </c>
      <c r="G1128" s="13">
        <v>1000</v>
      </c>
      <c r="H1128" s="14">
        <v>1000</v>
      </c>
      <c r="I1128" s="15">
        <v>47.41</v>
      </c>
      <c r="J1128" s="16"/>
      <c r="K1128" s="17">
        <v>47410</v>
      </c>
      <c r="L1128" s="18">
        <v>46270</v>
      </c>
      <c r="M1128" s="6" t="str">
        <f t="shared" si="51"/>
        <v>Schedule order</v>
      </c>
      <c r="N1128" s="8">
        <f t="shared" ca="1" si="52"/>
        <v>115</v>
      </c>
      <c r="O1128" s="8" t="str">
        <f t="shared" ca="1" si="53"/>
        <v>Lattest or shedule order</v>
      </c>
      <c r="P1128" t="str">
        <f>VLOOKUP(C1128,[1]Customer_Master!$A:$B,2,0)</f>
        <v>Group 1-Giridhar-Peenya</v>
      </c>
      <c r="Q1128" t="str">
        <f>VLOOKUP(D1128,[2]Template!$A:$D,3,0)</f>
        <v>LAPP</v>
      </c>
      <c r="R1128" t="str">
        <f>VLOOKUP(D1128,[2]Template!$A:$D,4,0)</f>
        <v>Lapp-Ace Group</v>
      </c>
    </row>
    <row r="1129" spans="1:18" ht="13.5" customHeight="1" x14ac:dyDescent="0.25">
      <c r="A1129" s="9">
        <v>46144</v>
      </c>
      <c r="B1129" s="10" t="s">
        <v>1516</v>
      </c>
      <c r="C1129" s="11" t="s">
        <v>59</v>
      </c>
      <c r="D1129" s="10" t="s">
        <v>362</v>
      </c>
      <c r="E1129" s="12" t="s">
        <v>1072</v>
      </c>
      <c r="F1129" s="12" t="s">
        <v>145</v>
      </c>
      <c r="G1129" s="13">
        <v>1000</v>
      </c>
      <c r="H1129" s="14">
        <v>1000</v>
      </c>
      <c r="I1129" s="15">
        <v>47.41</v>
      </c>
      <c r="J1129" s="16"/>
      <c r="K1129" s="17">
        <v>47410</v>
      </c>
      <c r="L1129" s="18">
        <v>46300</v>
      </c>
      <c r="M1129" s="6" t="str">
        <f t="shared" si="51"/>
        <v>Schedule order</v>
      </c>
      <c r="N1129" s="8">
        <f t="shared" ca="1" si="52"/>
        <v>145</v>
      </c>
      <c r="O1129" s="8" t="str">
        <f t="shared" ca="1" si="53"/>
        <v>Lattest or shedule order</v>
      </c>
      <c r="P1129" t="str">
        <f>VLOOKUP(C1129,[1]Customer_Master!$A:$B,2,0)</f>
        <v>Group 1-Giridhar-Peenya</v>
      </c>
      <c r="Q1129" t="str">
        <f>VLOOKUP(D1129,[2]Template!$A:$D,3,0)</f>
        <v>LAPP</v>
      </c>
      <c r="R1129" t="str">
        <f>VLOOKUP(D1129,[2]Template!$A:$D,4,0)</f>
        <v>Lapp-Ace Group</v>
      </c>
    </row>
    <row r="1130" spans="1:18" ht="13.5" customHeight="1" x14ac:dyDescent="0.25">
      <c r="A1130" s="9">
        <v>46144</v>
      </c>
      <c r="B1130" s="10" t="s">
        <v>1516</v>
      </c>
      <c r="C1130" s="11" t="s">
        <v>59</v>
      </c>
      <c r="D1130" s="10" t="s">
        <v>362</v>
      </c>
      <c r="E1130" s="12" t="s">
        <v>1072</v>
      </c>
      <c r="F1130" s="12" t="s">
        <v>145</v>
      </c>
      <c r="G1130" s="13">
        <v>1000</v>
      </c>
      <c r="H1130" s="14">
        <v>1000</v>
      </c>
      <c r="I1130" s="15">
        <v>47.41</v>
      </c>
      <c r="J1130" s="16"/>
      <c r="K1130" s="17">
        <v>47410</v>
      </c>
      <c r="L1130" s="18">
        <v>46331</v>
      </c>
      <c r="M1130" s="6" t="str">
        <f t="shared" si="51"/>
        <v>Schedule order</v>
      </c>
      <c r="N1130" s="8">
        <f t="shared" ca="1" si="52"/>
        <v>176</v>
      </c>
      <c r="O1130" s="8" t="str">
        <f t="shared" ca="1" si="53"/>
        <v>Lattest or shedule order</v>
      </c>
      <c r="P1130" t="str">
        <f>VLOOKUP(C1130,[1]Customer_Master!$A:$B,2,0)</f>
        <v>Group 1-Giridhar-Peenya</v>
      </c>
      <c r="Q1130" t="str">
        <f>VLOOKUP(D1130,[2]Template!$A:$D,3,0)</f>
        <v>LAPP</v>
      </c>
      <c r="R1130" t="str">
        <f>VLOOKUP(D1130,[2]Template!$A:$D,4,0)</f>
        <v>Lapp-Ace Group</v>
      </c>
    </row>
    <row r="1131" spans="1:18" ht="13.5" customHeight="1" x14ac:dyDescent="0.25">
      <c r="A1131" s="9">
        <v>46144</v>
      </c>
      <c r="B1131" s="10" t="s">
        <v>1516</v>
      </c>
      <c r="C1131" s="11" t="s">
        <v>59</v>
      </c>
      <c r="D1131" s="10" t="s">
        <v>316</v>
      </c>
      <c r="E1131" s="12" t="s">
        <v>1072</v>
      </c>
      <c r="F1131" s="12" t="s">
        <v>32</v>
      </c>
      <c r="G1131" s="13">
        <v>500</v>
      </c>
      <c r="H1131" s="14">
        <v>500</v>
      </c>
      <c r="I1131" s="15">
        <v>91.46</v>
      </c>
      <c r="J1131" s="16"/>
      <c r="K1131" s="17">
        <v>45730</v>
      </c>
      <c r="L1131" s="18">
        <v>46178</v>
      </c>
      <c r="M1131" s="6" t="str">
        <f t="shared" si="51"/>
        <v>Schedule order</v>
      </c>
      <c r="N1131" s="8">
        <f t="shared" ca="1" si="52"/>
        <v>23</v>
      </c>
      <c r="O1131" s="8" t="str">
        <f t="shared" ca="1" si="53"/>
        <v>Lattest or shedule order</v>
      </c>
      <c r="P1131" t="str">
        <f>VLOOKUP(C1131,[1]Customer_Master!$A:$B,2,0)</f>
        <v>Group 1-Giridhar-Peenya</v>
      </c>
      <c r="Q1131" t="str">
        <f>VLOOKUP(D1131,[2]Template!$A:$D,3,0)</f>
        <v>LAPP</v>
      </c>
      <c r="R1131" t="str">
        <f>VLOOKUP(D1131,[2]Template!$A:$D,4,0)</f>
        <v>Lapp-Ace Group</v>
      </c>
    </row>
    <row r="1132" spans="1:18" ht="13.5" customHeight="1" x14ac:dyDescent="0.25">
      <c r="A1132" s="9">
        <v>46144</v>
      </c>
      <c r="B1132" s="10" t="s">
        <v>1516</v>
      </c>
      <c r="C1132" s="11" t="s">
        <v>59</v>
      </c>
      <c r="D1132" s="10" t="s">
        <v>316</v>
      </c>
      <c r="E1132" s="12" t="s">
        <v>1072</v>
      </c>
      <c r="F1132" s="12" t="s">
        <v>32</v>
      </c>
      <c r="G1132" s="13">
        <v>1000</v>
      </c>
      <c r="H1132" s="14">
        <v>1000</v>
      </c>
      <c r="I1132" s="15">
        <v>91.46</v>
      </c>
      <c r="J1132" s="16"/>
      <c r="K1132" s="17">
        <v>91460</v>
      </c>
      <c r="L1132" s="18">
        <v>46208</v>
      </c>
      <c r="M1132" s="6" t="str">
        <f t="shared" si="51"/>
        <v>Schedule order</v>
      </c>
      <c r="N1132" s="8">
        <f t="shared" ca="1" si="52"/>
        <v>53</v>
      </c>
      <c r="O1132" s="8" t="str">
        <f t="shared" ca="1" si="53"/>
        <v>Lattest or shedule order</v>
      </c>
      <c r="P1132" t="str">
        <f>VLOOKUP(C1132,[1]Customer_Master!$A:$B,2,0)</f>
        <v>Group 1-Giridhar-Peenya</v>
      </c>
      <c r="Q1132" t="str">
        <f>VLOOKUP(D1132,[2]Template!$A:$D,3,0)</f>
        <v>LAPP</v>
      </c>
      <c r="R1132" t="str">
        <f>VLOOKUP(D1132,[2]Template!$A:$D,4,0)</f>
        <v>Lapp-Ace Group</v>
      </c>
    </row>
    <row r="1133" spans="1:18" ht="13.5" customHeight="1" x14ac:dyDescent="0.25">
      <c r="A1133" s="9">
        <v>46144</v>
      </c>
      <c r="B1133" s="10" t="s">
        <v>1516</v>
      </c>
      <c r="C1133" s="11" t="s">
        <v>59</v>
      </c>
      <c r="D1133" s="10" t="s">
        <v>316</v>
      </c>
      <c r="E1133" s="12" t="s">
        <v>1072</v>
      </c>
      <c r="F1133" s="12" t="s">
        <v>32</v>
      </c>
      <c r="G1133" s="13">
        <v>1000</v>
      </c>
      <c r="H1133" s="14">
        <v>1000</v>
      </c>
      <c r="I1133" s="15">
        <v>91.46</v>
      </c>
      <c r="J1133" s="16"/>
      <c r="K1133" s="17">
        <v>91460</v>
      </c>
      <c r="L1133" s="18">
        <v>46239</v>
      </c>
      <c r="M1133" s="6" t="str">
        <f t="shared" si="51"/>
        <v>Schedule order</v>
      </c>
      <c r="N1133" s="8">
        <f t="shared" ca="1" si="52"/>
        <v>84</v>
      </c>
      <c r="O1133" s="8" t="str">
        <f t="shared" ca="1" si="53"/>
        <v>Lattest or shedule order</v>
      </c>
      <c r="P1133" t="str">
        <f>VLOOKUP(C1133,[1]Customer_Master!$A:$B,2,0)</f>
        <v>Group 1-Giridhar-Peenya</v>
      </c>
      <c r="Q1133" t="str">
        <f>VLOOKUP(D1133,[2]Template!$A:$D,3,0)</f>
        <v>LAPP</v>
      </c>
      <c r="R1133" t="str">
        <f>VLOOKUP(D1133,[2]Template!$A:$D,4,0)</f>
        <v>Lapp-Ace Group</v>
      </c>
    </row>
    <row r="1134" spans="1:18" ht="13.5" customHeight="1" x14ac:dyDescent="0.25">
      <c r="A1134" s="9">
        <v>46144</v>
      </c>
      <c r="B1134" s="10" t="s">
        <v>1516</v>
      </c>
      <c r="C1134" s="11" t="s">
        <v>59</v>
      </c>
      <c r="D1134" s="10" t="s">
        <v>316</v>
      </c>
      <c r="E1134" s="12" t="s">
        <v>1072</v>
      </c>
      <c r="F1134" s="12" t="s">
        <v>32</v>
      </c>
      <c r="G1134" s="13">
        <v>1000</v>
      </c>
      <c r="H1134" s="14">
        <v>1000</v>
      </c>
      <c r="I1134" s="15">
        <v>91.46</v>
      </c>
      <c r="J1134" s="16"/>
      <c r="K1134" s="17">
        <v>91460</v>
      </c>
      <c r="L1134" s="18">
        <v>46270</v>
      </c>
      <c r="M1134" s="6" t="str">
        <f t="shared" si="51"/>
        <v>Schedule order</v>
      </c>
      <c r="N1134" s="8">
        <f t="shared" ca="1" si="52"/>
        <v>115</v>
      </c>
      <c r="O1134" s="8" t="str">
        <f t="shared" ca="1" si="53"/>
        <v>Lattest or shedule order</v>
      </c>
      <c r="P1134" t="str">
        <f>VLOOKUP(C1134,[1]Customer_Master!$A:$B,2,0)</f>
        <v>Group 1-Giridhar-Peenya</v>
      </c>
      <c r="Q1134" t="str">
        <f>VLOOKUP(D1134,[2]Template!$A:$D,3,0)</f>
        <v>LAPP</v>
      </c>
      <c r="R1134" t="str">
        <f>VLOOKUP(D1134,[2]Template!$A:$D,4,0)</f>
        <v>Lapp-Ace Group</v>
      </c>
    </row>
    <row r="1135" spans="1:18" ht="13.5" customHeight="1" x14ac:dyDescent="0.25">
      <c r="A1135" s="9">
        <v>46144</v>
      </c>
      <c r="B1135" s="10" t="s">
        <v>1516</v>
      </c>
      <c r="C1135" s="11" t="s">
        <v>59</v>
      </c>
      <c r="D1135" s="10" t="s">
        <v>316</v>
      </c>
      <c r="E1135" s="12" t="s">
        <v>1072</v>
      </c>
      <c r="F1135" s="12" t="s">
        <v>32</v>
      </c>
      <c r="G1135" s="13">
        <v>1000</v>
      </c>
      <c r="H1135" s="14">
        <v>1000</v>
      </c>
      <c r="I1135" s="15">
        <v>91.46</v>
      </c>
      <c r="J1135" s="16"/>
      <c r="K1135" s="17">
        <v>91460</v>
      </c>
      <c r="L1135" s="18">
        <v>46300</v>
      </c>
      <c r="M1135" s="6" t="str">
        <f t="shared" si="51"/>
        <v>Schedule order</v>
      </c>
      <c r="N1135" s="8">
        <f t="shared" ca="1" si="52"/>
        <v>145</v>
      </c>
      <c r="O1135" s="8" t="str">
        <f t="shared" ca="1" si="53"/>
        <v>Lattest or shedule order</v>
      </c>
      <c r="P1135" t="str">
        <f>VLOOKUP(C1135,[1]Customer_Master!$A:$B,2,0)</f>
        <v>Group 1-Giridhar-Peenya</v>
      </c>
      <c r="Q1135" t="str">
        <f>VLOOKUP(D1135,[2]Template!$A:$D,3,0)</f>
        <v>LAPP</v>
      </c>
      <c r="R1135" t="str">
        <f>VLOOKUP(D1135,[2]Template!$A:$D,4,0)</f>
        <v>Lapp-Ace Group</v>
      </c>
    </row>
    <row r="1136" spans="1:18" ht="13.5" customHeight="1" x14ac:dyDescent="0.25">
      <c r="A1136" s="9">
        <v>46144</v>
      </c>
      <c r="B1136" s="10" t="s">
        <v>1516</v>
      </c>
      <c r="C1136" s="11" t="s">
        <v>59</v>
      </c>
      <c r="D1136" s="10" t="s">
        <v>316</v>
      </c>
      <c r="E1136" s="12" t="s">
        <v>1072</v>
      </c>
      <c r="F1136" s="12" t="s">
        <v>32</v>
      </c>
      <c r="G1136" s="13">
        <v>1000</v>
      </c>
      <c r="H1136" s="14">
        <v>1000</v>
      </c>
      <c r="I1136" s="15">
        <v>91.46</v>
      </c>
      <c r="J1136" s="16"/>
      <c r="K1136" s="17">
        <v>91460</v>
      </c>
      <c r="L1136" s="18">
        <v>46331</v>
      </c>
      <c r="M1136" s="6" t="str">
        <f t="shared" si="51"/>
        <v>Schedule order</v>
      </c>
      <c r="N1136" s="8">
        <f t="shared" ca="1" si="52"/>
        <v>176</v>
      </c>
      <c r="O1136" s="8" t="str">
        <f t="shared" ca="1" si="53"/>
        <v>Lattest or shedule order</v>
      </c>
      <c r="P1136" t="str">
        <f>VLOOKUP(C1136,[1]Customer_Master!$A:$B,2,0)</f>
        <v>Group 1-Giridhar-Peenya</v>
      </c>
      <c r="Q1136" t="str">
        <f>VLOOKUP(D1136,[2]Template!$A:$D,3,0)</f>
        <v>LAPP</v>
      </c>
      <c r="R1136" t="str">
        <f>VLOOKUP(D1136,[2]Template!$A:$D,4,0)</f>
        <v>Lapp-Ace Group</v>
      </c>
    </row>
    <row r="1137" spans="1:18" ht="13.5" customHeight="1" x14ac:dyDescent="0.25">
      <c r="A1137" s="9">
        <v>46144</v>
      </c>
      <c r="B1137" s="10" t="s">
        <v>1516</v>
      </c>
      <c r="C1137" s="11" t="s">
        <v>59</v>
      </c>
      <c r="D1137" s="27" t="s">
        <v>314</v>
      </c>
      <c r="E1137" s="12" t="s">
        <v>1072</v>
      </c>
      <c r="F1137" s="12" t="s">
        <v>1082</v>
      </c>
      <c r="G1137" s="13">
        <v>1500</v>
      </c>
      <c r="H1137" s="14">
        <v>1500</v>
      </c>
      <c r="I1137" s="15">
        <v>66.31</v>
      </c>
      <c r="J1137" s="16"/>
      <c r="K1137" s="17">
        <v>99465</v>
      </c>
      <c r="L1137" s="18">
        <v>46178</v>
      </c>
      <c r="M1137" s="6" t="str">
        <f t="shared" si="51"/>
        <v>Schedule order</v>
      </c>
      <c r="N1137" s="8">
        <f t="shared" ca="1" si="52"/>
        <v>23</v>
      </c>
      <c r="O1137" s="8" t="str">
        <f t="shared" ca="1" si="53"/>
        <v>Lattest or shedule order</v>
      </c>
      <c r="P1137" t="str">
        <f>VLOOKUP(C1137,[1]Customer_Master!$A:$B,2,0)</f>
        <v>Group 1-Giridhar-Peenya</v>
      </c>
      <c r="Q1137" t="str">
        <f>VLOOKUP(D1137,[2]Template!$A:$D,3,0)</f>
        <v>LAPP</v>
      </c>
      <c r="R1137" t="str">
        <f>VLOOKUP(D1137,[2]Template!$A:$D,4,0)</f>
        <v>Lapp-AMS Group</v>
      </c>
    </row>
    <row r="1138" spans="1:18" ht="13.5" customHeight="1" x14ac:dyDescent="0.25">
      <c r="A1138" s="9">
        <v>46144</v>
      </c>
      <c r="B1138" s="10" t="s">
        <v>1516</v>
      </c>
      <c r="C1138" s="11" t="s">
        <v>59</v>
      </c>
      <c r="D1138" s="27" t="s">
        <v>314</v>
      </c>
      <c r="E1138" s="12" t="s">
        <v>1072</v>
      </c>
      <c r="F1138" s="12" t="s">
        <v>1082</v>
      </c>
      <c r="G1138" s="13">
        <v>1000</v>
      </c>
      <c r="H1138" s="14">
        <v>1000</v>
      </c>
      <c r="I1138" s="15">
        <v>66.31</v>
      </c>
      <c r="J1138" s="16"/>
      <c r="K1138" s="17">
        <v>66310</v>
      </c>
      <c r="L1138" s="18">
        <v>46208</v>
      </c>
      <c r="M1138" s="6" t="str">
        <f t="shared" si="51"/>
        <v>Schedule order</v>
      </c>
      <c r="N1138" s="8">
        <f t="shared" ca="1" si="52"/>
        <v>53</v>
      </c>
      <c r="O1138" s="8" t="str">
        <f t="shared" ca="1" si="53"/>
        <v>Lattest or shedule order</v>
      </c>
      <c r="P1138" t="str">
        <f>VLOOKUP(C1138,[1]Customer_Master!$A:$B,2,0)</f>
        <v>Group 1-Giridhar-Peenya</v>
      </c>
      <c r="Q1138" t="str">
        <f>VLOOKUP(D1138,[2]Template!$A:$D,3,0)</f>
        <v>LAPP</v>
      </c>
      <c r="R1138" t="str">
        <f>VLOOKUP(D1138,[2]Template!$A:$D,4,0)</f>
        <v>Lapp-AMS Group</v>
      </c>
    </row>
    <row r="1139" spans="1:18" ht="13.5" customHeight="1" x14ac:dyDescent="0.25">
      <c r="A1139" s="9">
        <v>46144</v>
      </c>
      <c r="B1139" s="10" t="s">
        <v>1516</v>
      </c>
      <c r="C1139" s="11" t="s">
        <v>59</v>
      </c>
      <c r="D1139" s="27" t="s">
        <v>314</v>
      </c>
      <c r="E1139" s="12" t="s">
        <v>1072</v>
      </c>
      <c r="F1139" s="12" t="s">
        <v>1082</v>
      </c>
      <c r="G1139" s="13">
        <v>1500</v>
      </c>
      <c r="H1139" s="14">
        <v>1500</v>
      </c>
      <c r="I1139" s="15">
        <v>66.31</v>
      </c>
      <c r="J1139" s="16"/>
      <c r="K1139" s="17">
        <v>99465</v>
      </c>
      <c r="L1139" s="18">
        <v>46239</v>
      </c>
      <c r="M1139" s="6" t="str">
        <f t="shared" si="51"/>
        <v>Schedule order</v>
      </c>
      <c r="N1139" s="8">
        <f t="shared" ca="1" si="52"/>
        <v>84</v>
      </c>
      <c r="O1139" s="8" t="str">
        <f t="shared" ca="1" si="53"/>
        <v>Lattest or shedule order</v>
      </c>
      <c r="P1139" t="str">
        <f>VLOOKUP(C1139,[1]Customer_Master!$A:$B,2,0)</f>
        <v>Group 1-Giridhar-Peenya</v>
      </c>
      <c r="Q1139" t="str">
        <f>VLOOKUP(D1139,[2]Template!$A:$D,3,0)</f>
        <v>LAPP</v>
      </c>
      <c r="R1139" t="str">
        <f>VLOOKUP(D1139,[2]Template!$A:$D,4,0)</f>
        <v>Lapp-AMS Group</v>
      </c>
    </row>
    <row r="1140" spans="1:18" ht="13.5" customHeight="1" x14ac:dyDescent="0.25">
      <c r="A1140" s="9">
        <v>46144</v>
      </c>
      <c r="B1140" s="10" t="s">
        <v>1516</v>
      </c>
      <c r="C1140" s="11" t="s">
        <v>59</v>
      </c>
      <c r="D1140" s="27" t="s">
        <v>314</v>
      </c>
      <c r="E1140" s="12" t="s">
        <v>1072</v>
      </c>
      <c r="F1140" s="12" t="s">
        <v>1082</v>
      </c>
      <c r="G1140" s="13">
        <v>1500</v>
      </c>
      <c r="H1140" s="14">
        <v>1500</v>
      </c>
      <c r="I1140" s="15">
        <v>66.31</v>
      </c>
      <c r="J1140" s="16"/>
      <c r="K1140" s="17">
        <v>99465</v>
      </c>
      <c r="L1140" s="18">
        <v>46270</v>
      </c>
      <c r="M1140" s="6" t="str">
        <f t="shared" si="51"/>
        <v>Schedule order</v>
      </c>
      <c r="N1140" s="8">
        <f t="shared" ca="1" si="52"/>
        <v>115</v>
      </c>
      <c r="O1140" s="8" t="str">
        <f t="shared" ca="1" si="53"/>
        <v>Lattest or shedule order</v>
      </c>
      <c r="P1140" t="str">
        <f>VLOOKUP(C1140,[1]Customer_Master!$A:$B,2,0)</f>
        <v>Group 1-Giridhar-Peenya</v>
      </c>
      <c r="Q1140" t="str">
        <f>VLOOKUP(D1140,[2]Template!$A:$D,3,0)</f>
        <v>LAPP</v>
      </c>
      <c r="R1140" t="str">
        <f>VLOOKUP(D1140,[2]Template!$A:$D,4,0)</f>
        <v>Lapp-AMS Group</v>
      </c>
    </row>
    <row r="1141" spans="1:18" ht="13.5" customHeight="1" x14ac:dyDescent="0.25">
      <c r="A1141" s="9">
        <v>46144</v>
      </c>
      <c r="B1141" s="10" t="s">
        <v>1516</v>
      </c>
      <c r="C1141" s="11" t="s">
        <v>59</v>
      </c>
      <c r="D1141" s="27" t="s">
        <v>314</v>
      </c>
      <c r="E1141" s="12" t="s">
        <v>1072</v>
      </c>
      <c r="F1141" s="12" t="s">
        <v>1082</v>
      </c>
      <c r="G1141" s="13">
        <v>1000</v>
      </c>
      <c r="H1141" s="14">
        <v>1000</v>
      </c>
      <c r="I1141" s="15">
        <v>66.31</v>
      </c>
      <c r="J1141" s="16"/>
      <c r="K1141" s="17">
        <v>66310</v>
      </c>
      <c r="L1141" s="18">
        <v>46300</v>
      </c>
      <c r="M1141" s="6" t="str">
        <f t="shared" si="51"/>
        <v>Schedule order</v>
      </c>
      <c r="N1141" s="8">
        <f t="shared" ca="1" si="52"/>
        <v>145</v>
      </c>
      <c r="O1141" s="8" t="str">
        <f t="shared" ca="1" si="53"/>
        <v>Lattest or shedule order</v>
      </c>
      <c r="P1141" t="str">
        <f>VLOOKUP(C1141,[1]Customer_Master!$A:$B,2,0)</f>
        <v>Group 1-Giridhar-Peenya</v>
      </c>
      <c r="Q1141" t="str">
        <f>VLOOKUP(D1141,[2]Template!$A:$D,3,0)</f>
        <v>LAPP</v>
      </c>
      <c r="R1141" t="str">
        <f>VLOOKUP(D1141,[2]Template!$A:$D,4,0)</f>
        <v>Lapp-AMS Group</v>
      </c>
    </row>
    <row r="1142" spans="1:18" ht="13.5" customHeight="1" x14ac:dyDescent="0.25">
      <c r="A1142" s="9">
        <v>46144</v>
      </c>
      <c r="B1142" s="10" t="s">
        <v>1516</v>
      </c>
      <c r="C1142" s="11" t="s">
        <v>59</v>
      </c>
      <c r="D1142" s="27" t="s">
        <v>314</v>
      </c>
      <c r="E1142" s="12" t="s">
        <v>1072</v>
      </c>
      <c r="F1142" s="12" t="s">
        <v>1082</v>
      </c>
      <c r="G1142" s="13">
        <v>1500</v>
      </c>
      <c r="H1142" s="14">
        <v>1500</v>
      </c>
      <c r="I1142" s="15">
        <v>66.31</v>
      </c>
      <c r="J1142" s="16"/>
      <c r="K1142" s="17">
        <v>99465</v>
      </c>
      <c r="L1142" s="18">
        <v>46331</v>
      </c>
      <c r="M1142" s="6" t="str">
        <f t="shared" si="51"/>
        <v>Schedule order</v>
      </c>
      <c r="N1142" s="8">
        <f t="shared" ca="1" si="52"/>
        <v>176</v>
      </c>
      <c r="O1142" s="8" t="str">
        <f t="shared" ca="1" si="53"/>
        <v>Lattest or shedule order</v>
      </c>
      <c r="P1142" t="str">
        <f>VLOOKUP(C1142,[1]Customer_Master!$A:$B,2,0)</f>
        <v>Group 1-Giridhar-Peenya</v>
      </c>
      <c r="Q1142" t="str">
        <f>VLOOKUP(D1142,[2]Template!$A:$D,3,0)</f>
        <v>LAPP</v>
      </c>
      <c r="R1142" t="str">
        <f>VLOOKUP(D1142,[2]Template!$A:$D,4,0)</f>
        <v>Lapp-AMS Group</v>
      </c>
    </row>
    <row r="1143" spans="1:18" ht="13.5" customHeight="1" x14ac:dyDescent="0.25">
      <c r="A1143" s="9">
        <v>46144</v>
      </c>
      <c r="B1143" s="10" t="s">
        <v>1516</v>
      </c>
      <c r="C1143" s="11" t="s">
        <v>59</v>
      </c>
      <c r="D1143" s="10" t="s">
        <v>363</v>
      </c>
      <c r="E1143" s="12" t="s">
        <v>1072</v>
      </c>
      <c r="F1143" s="12" t="s">
        <v>114</v>
      </c>
      <c r="G1143" s="13">
        <v>500</v>
      </c>
      <c r="H1143" s="14">
        <v>500</v>
      </c>
      <c r="I1143" s="15">
        <v>144.54</v>
      </c>
      <c r="J1143" s="16"/>
      <c r="K1143" s="17">
        <v>72270</v>
      </c>
      <c r="L1143" s="18">
        <v>46178</v>
      </c>
      <c r="M1143" s="6" t="str">
        <f t="shared" si="51"/>
        <v>Schedule order</v>
      </c>
      <c r="N1143" s="8">
        <f t="shared" ca="1" si="52"/>
        <v>23</v>
      </c>
      <c r="O1143" s="8" t="str">
        <f t="shared" ca="1" si="53"/>
        <v>Lattest or shedule order</v>
      </c>
      <c r="P1143" t="str">
        <f>VLOOKUP(C1143,[1]Customer_Master!$A:$B,2,0)</f>
        <v>Group 1-Giridhar-Peenya</v>
      </c>
      <c r="Q1143" t="str">
        <f>VLOOKUP(D1143,[2]Template!$A:$D,3,0)</f>
        <v>LAPP</v>
      </c>
      <c r="R1143" t="str">
        <f>VLOOKUP(D1143,[2]Template!$A:$D,4,0)</f>
        <v>Lapp-Planned Stock General</v>
      </c>
    </row>
    <row r="1144" spans="1:18" ht="13.5" customHeight="1" x14ac:dyDescent="0.25">
      <c r="A1144" s="9">
        <v>46144</v>
      </c>
      <c r="B1144" s="10" t="s">
        <v>1516</v>
      </c>
      <c r="C1144" s="11" t="s">
        <v>59</v>
      </c>
      <c r="D1144" s="10" t="s">
        <v>363</v>
      </c>
      <c r="E1144" s="12" t="s">
        <v>1072</v>
      </c>
      <c r="F1144" s="12" t="s">
        <v>114</v>
      </c>
      <c r="G1144" s="13">
        <v>500</v>
      </c>
      <c r="H1144" s="14">
        <v>500</v>
      </c>
      <c r="I1144" s="15">
        <v>144.54</v>
      </c>
      <c r="J1144" s="16"/>
      <c r="K1144" s="17">
        <v>72270</v>
      </c>
      <c r="L1144" s="18">
        <v>46208</v>
      </c>
      <c r="M1144" s="6" t="str">
        <f t="shared" si="51"/>
        <v>Schedule order</v>
      </c>
      <c r="N1144" s="8">
        <f t="shared" ca="1" si="52"/>
        <v>53</v>
      </c>
      <c r="O1144" s="8" t="str">
        <f t="shared" ca="1" si="53"/>
        <v>Lattest or shedule order</v>
      </c>
      <c r="P1144" t="str">
        <f>VLOOKUP(C1144,[1]Customer_Master!$A:$B,2,0)</f>
        <v>Group 1-Giridhar-Peenya</v>
      </c>
      <c r="Q1144" t="str">
        <f>VLOOKUP(D1144,[2]Template!$A:$D,3,0)</f>
        <v>LAPP</v>
      </c>
      <c r="R1144" t="str">
        <f>VLOOKUP(D1144,[2]Template!$A:$D,4,0)</f>
        <v>Lapp-Planned Stock General</v>
      </c>
    </row>
    <row r="1145" spans="1:18" ht="13.5" customHeight="1" x14ac:dyDescent="0.25">
      <c r="A1145" s="9">
        <v>46144</v>
      </c>
      <c r="B1145" s="10" t="s">
        <v>1516</v>
      </c>
      <c r="C1145" s="11" t="s">
        <v>59</v>
      </c>
      <c r="D1145" s="10" t="s">
        <v>363</v>
      </c>
      <c r="E1145" s="12" t="s">
        <v>1072</v>
      </c>
      <c r="F1145" s="12" t="s">
        <v>114</v>
      </c>
      <c r="G1145" s="13">
        <v>500</v>
      </c>
      <c r="H1145" s="14">
        <v>500</v>
      </c>
      <c r="I1145" s="15">
        <v>144.54</v>
      </c>
      <c r="J1145" s="16"/>
      <c r="K1145" s="17">
        <v>72270</v>
      </c>
      <c r="L1145" s="18">
        <v>46239</v>
      </c>
      <c r="M1145" s="6" t="str">
        <f t="shared" si="51"/>
        <v>Schedule order</v>
      </c>
      <c r="N1145" s="8">
        <f t="shared" ca="1" si="52"/>
        <v>84</v>
      </c>
      <c r="O1145" s="8" t="str">
        <f t="shared" ca="1" si="53"/>
        <v>Lattest or shedule order</v>
      </c>
      <c r="P1145" t="str">
        <f>VLOOKUP(C1145,[1]Customer_Master!$A:$B,2,0)</f>
        <v>Group 1-Giridhar-Peenya</v>
      </c>
      <c r="Q1145" t="str">
        <f>VLOOKUP(D1145,[2]Template!$A:$D,3,0)</f>
        <v>LAPP</v>
      </c>
      <c r="R1145" t="str">
        <f>VLOOKUP(D1145,[2]Template!$A:$D,4,0)</f>
        <v>Lapp-Planned Stock General</v>
      </c>
    </row>
    <row r="1146" spans="1:18" ht="13.5" customHeight="1" x14ac:dyDescent="0.25">
      <c r="A1146" s="9">
        <v>46144</v>
      </c>
      <c r="B1146" s="10" t="s">
        <v>1516</v>
      </c>
      <c r="C1146" s="11" t="s">
        <v>59</v>
      </c>
      <c r="D1146" s="10" t="s">
        <v>363</v>
      </c>
      <c r="E1146" s="12" t="s">
        <v>1072</v>
      </c>
      <c r="F1146" s="12" t="s">
        <v>114</v>
      </c>
      <c r="G1146" s="13">
        <v>500</v>
      </c>
      <c r="H1146" s="14">
        <v>500</v>
      </c>
      <c r="I1146" s="15">
        <v>144.54</v>
      </c>
      <c r="J1146" s="16"/>
      <c r="K1146" s="17">
        <v>72270</v>
      </c>
      <c r="L1146" s="18">
        <v>46270</v>
      </c>
      <c r="M1146" s="6" t="str">
        <f t="shared" si="51"/>
        <v>Schedule order</v>
      </c>
      <c r="N1146" s="8">
        <f t="shared" ca="1" si="52"/>
        <v>115</v>
      </c>
      <c r="O1146" s="8" t="str">
        <f t="shared" ca="1" si="53"/>
        <v>Lattest or shedule order</v>
      </c>
      <c r="P1146" t="str">
        <f>VLOOKUP(C1146,[1]Customer_Master!$A:$B,2,0)</f>
        <v>Group 1-Giridhar-Peenya</v>
      </c>
      <c r="Q1146" t="str">
        <f>VLOOKUP(D1146,[2]Template!$A:$D,3,0)</f>
        <v>LAPP</v>
      </c>
      <c r="R1146" t="str">
        <f>VLOOKUP(D1146,[2]Template!$A:$D,4,0)</f>
        <v>Lapp-Planned Stock General</v>
      </c>
    </row>
    <row r="1147" spans="1:18" ht="13.5" customHeight="1" x14ac:dyDescent="0.25">
      <c r="A1147" s="9">
        <v>46144</v>
      </c>
      <c r="B1147" s="10" t="s">
        <v>1516</v>
      </c>
      <c r="C1147" s="11" t="s">
        <v>59</v>
      </c>
      <c r="D1147" s="10" t="s">
        <v>363</v>
      </c>
      <c r="E1147" s="12" t="s">
        <v>1072</v>
      </c>
      <c r="F1147" s="12" t="s">
        <v>114</v>
      </c>
      <c r="G1147" s="13">
        <v>500</v>
      </c>
      <c r="H1147" s="14">
        <v>500</v>
      </c>
      <c r="I1147" s="15">
        <v>144.54</v>
      </c>
      <c r="J1147" s="16"/>
      <c r="K1147" s="17">
        <v>72270</v>
      </c>
      <c r="L1147" s="18">
        <v>46300</v>
      </c>
      <c r="M1147" s="6" t="str">
        <f t="shared" si="51"/>
        <v>Schedule order</v>
      </c>
      <c r="N1147" s="8">
        <f t="shared" ca="1" si="52"/>
        <v>145</v>
      </c>
      <c r="O1147" s="8" t="str">
        <f t="shared" ca="1" si="53"/>
        <v>Lattest or shedule order</v>
      </c>
      <c r="P1147" t="str">
        <f>VLOOKUP(C1147,[1]Customer_Master!$A:$B,2,0)</f>
        <v>Group 1-Giridhar-Peenya</v>
      </c>
      <c r="Q1147" t="str">
        <f>VLOOKUP(D1147,[2]Template!$A:$D,3,0)</f>
        <v>LAPP</v>
      </c>
      <c r="R1147" t="str">
        <f>VLOOKUP(D1147,[2]Template!$A:$D,4,0)</f>
        <v>Lapp-Planned Stock General</v>
      </c>
    </row>
    <row r="1148" spans="1:18" ht="13.5" customHeight="1" x14ac:dyDescent="0.25">
      <c r="A1148" s="9">
        <v>46144</v>
      </c>
      <c r="B1148" s="10" t="s">
        <v>1516</v>
      </c>
      <c r="C1148" s="11" t="s">
        <v>59</v>
      </c>
      <c r="D1148" s="10" t="s">
        <v>363</v>
      </c>
      <c r="E1148" s="12" t="s">
        <v>1072</v>
      </c>
      <c r="F1148" s="12" t="s">
        <v>114</v>
      </c>
      <c r="G1148" s="13">
        <v>500</v>
      </c>
      <c r="H1148" s="14">
        <v>500</v>
      </c>
      <c r="I1148" s="15">
        <v>144.54</v>
      </c>
      <c r="J1148" s="16"/>
      <c r="K1148" s="17">
        <v>72270</v>
      </c>
      <c r="L1148" s="18">
        <v>46331</v>
      </c>
      <c r="M1148" s="6" t="str">
        <f t="shared" si="51"/>
        <v>Schedule order</v>
      </c>
      <c r="N1148" s="8">
        <f t="shared" ca="1" si="52"/>
        <v>176</v>
      </c>
      <c r="O1148" s="8" t="str">
        <f t="shared" ca="1" si="53"/>
        <v>Lattest or shedule order</v>
      </c>
      <c r="P1148" t="str">
        <f>VLOOKUP(C1148,[1]Customer_Master!$A:$B,2,0)</f>
        <v>Group 1-Giridhar-Peenya</v>
      </c>
      <c r="Q1148" t="str">
        <f>VLOOKUP(D1148,[2]Template!$A:$D,3,0)</f>
        <v>LAPP</v>
      </c>
      <c r="R1148" t="str">
        <f>VLOOKUP(D1148,[2]Template!$A:$D,4,0)</f>
        <v>Lapp-Planned Stock General</v>
      </c>
    </row>
    <row r="1149" spans="1:18" ht="13.5" customHeight="1" x14ac:dyDescent="0.25">
      <c r="A1149" s="9">
        <v>46144</v>
      </c>
      <c r="B1149" s="10" t="s">
        <v>1516</v>
      </c>
      <c r="C1149" s="11" t="s">
        <v>59</v>
      </c>
      <c r="D1149" s="10" t="s">
        <v>331</v>
      </c>
      <c r="E1149" s="12" t="s">
        <v>1072</v>
      </c>
      <c r="F1149" s="12" t="s">
        <v>115</v>
      </c>
      <c r="G1149" s="13">
        <v>1000</v>
      </c>
      <c r="H1149" s="14">
        <v>1000</v>
      </c>
      <c r="I1149" s="15">
        <v>227.65</v>
      </c>
      <c r="J1149" s="16"/>
      <c r="K1149" s="17">
        <v>227650</v>
      </c>
      <c r="L1149" s="18">
        <v>46178</v>
      </c>
      <c r="M1149" s="6" t="str">
        <f t="shared" si="51"/>
        <v>Schedule order</v>
      </c>
      <c r="N1149" s="8">
        <f t="shared" ca="1" si="52"/>
        <v>23</v>
      </c>
      <c r="O1149" s="8" t="str">
        <f t="shared" ca="1" si="53"/>
        <v>Lattest or shedule order</v>
      </c>
      <c r="P1149" t="str">
        <f>VLOOKUP(C1149,[1]Customer_Master!$A:$B,2,0)</f>
        <v>Group 1-Giridhar-Peenya</v>
      </c>
      <c r="Q1149" t="str">
        <f>VLOOKUP(D1149,[2]Template!$A:$D,3,0)</f>
        <v>LAPP</v>
      </c>
      <c r="R1149" t="str">
        <f>VLOOKUP(D1149,[2]Template!$A:$D,4,0)</f>
        <v>Lapp-Ace Group</v>
      </c>
    </row>
    <row r="1150" spans="1:18" ht="13.5" customHeight="1" x14ac:dyDescent="0.25">
      <c r="A1150" s="9">
        <v>46144</v>
      </c>
      <c r="B1150" s="10" t="s">
        <v>1516</v>
      </c>
      <c r="C1150" s="11" t="s">
        <v>59</v>
      </c>
      <c r="D1150" s="10" t="s">
        <v>331</v>
      </c>
      <c r="E1150" s="12" t="s">
        <v>1072</v>
      </c>
      <c r="F1150" s="12" t="s">
        <v>115</v>
      </c>
      <c r="G1150" s="13">
        <v>1000</v>
      </c>
      <c r="H1150" s="14">
        <v>1000</v>
      </c>
      <c r="I1150" s="15">
        <v>227.65</v>
      </c>
      <c r="J1150" s="16"/>
      <c r="K1150" s="17">
        <v>227650</v>
      </c>
      <c r="L1150" s="18">
        <v>46208</v>
      </c>
      <c r="M1150" s="6" t="str">
        <f t="shared" si="51"/>
        <v>Schedule order</v>
      </c>
      <c r="N1150" s="8">
        <f t="shared" ca="1" si="52"/>
        <v>53</v>
      </c>
      <c r="O1150" s="8" t="str">
        <f t="shared" ca="1" si="53"/>
        <v>Lattest or shedule order</v>
      </c>
      <c r="P1150" t="str">
        <f>VLOOKUP(C1150,[1]Customer_Master!$A:$B,2,0)</f>
        <v>Group 1-Giridhar-Peenya</v>
      </c>
      <c r="Q1150" t="str">
        <f>VLOOKUP(D1150,[2]Template!$A:$D,3,0)</f>
        <v>LAPP</v>
      </c>
      <c r="R1150" t="str">
        <f>VLOOKUP(D1150,[2]Template!$A:$D,4,0)</f>
        <v>Lapp-Ace Group</v>
      </c>
    </row>
    <row r="1151" spans="1:18" ht="13.5" customHeight="1" x14ac:dyDescent="0.25">
      <c r="A1151" s="9">
        <v>46144</v>
      </c>
      <c r="B1151" s="10" t="s">
        <v>1516</v>
      </c>
      <c r="C1151" s="11" t="s">
        <v>59</v>
      </c>
      <c r="D1151" s="10" t="s">
        <v>331</v>
      </c>
      <c r="E1151" s="12" t="s">
        <v>1072</v>
      </c>
      <c r="F1151" s="12" t="s">
        <v>115</v>
      </c>
      <c r="G1151" s="13">
        <v>1000</v>
      </c>
      <c r="H1151" s="14">
        <v>1000</v>
      </c>
      <c r="I1151" s="15">
        <v>227.65</v>
      </c>
      <c r="J1151" s="16"/>
      <c r="K1151" s="17">
        <v>227650</v>
      </c>
      <c r="L1151" s="18">
        <v>46239</v>
      </c>
      <c r="M1151" s="6" t="str">
        <f t="shared" si="51"/>
        <v>Schedule order</v>
      </c>
      <c r="N1151" s="8">
        <f t="shared" ca="1" si="52"/>
        <v>84</v>
      </c>
      <c r="O1151" s="8" t="str">
        <f t="shared" ca="1" si="53"/>
        <v>Lattest or shedule order</v>
      </c>
      <c r="P1151" t="str">
        <f>VLOOKUP(C1151,[1]Customer_Master!$A:$B,2,0)</f>
        <v>Group 1-Giridhar-Peenya</v>
      </c>
      <c r="Q1151" t="str">
        <f>VLOOKUP(D1151,[2]Template!$A:$D,3,0)</f>
        <v>LAPP</v>
      </c>
      <c r="R1151" t="str">
        <f>VLOOKUP(D1151,[2]Template!$A:$D,4,0)</f>
        <v>Lapp-Ace Group</v>
      </c>
    </row>
    <row r="1152" spans="1:18" ht="13.5" customHeight="1" x14ac:dyDescent="0.25">
      <c r="A1152" s="9">
        <v>46144</v>
      </c>
      <c r="B1152" s="10" t="s">
        <v>1516</v>
      </c>
      <c r="C1152" s="11" t="s">
        <v>59</v>
      </c>
      <c r="D1152" s="10" t="s">
        <v>331</v>
      </c>
      <c r="E1152" s="12" t="s">
        <v>1072</v>
      </c>
      <c r="F1152" s="12" t="s">
        <v>115</v>
      </c>
      <c r="G1152" s="13">
        <v>1000</v>
      </c>
      <c r="H1152" s="14">
        <v>1000</v>
      </c>
      <c r="I1152" s="15">
        <v>227.65</v>
      </c>
      <c r="J1152" s="16"/>
      <c r="K1152" s="17">
        <v>227650</v>
      </c>
      <c r="L1152" s="18">
        <v>46270</v>
      </c>
      <c r="M1152" s="6" t="str">
        <f t="shared" si="51"/>
        <v>Schedule order</v>
      </c>
      <c r="N1152" s="8">
        <f t="shared" ca="1" si="52"/>
        <v>115</v>
      </c>
      <c r="O1152" s="8" t="str">
        <f t="shared" ca="1" si="53"/>
        <v>Lattest or shedule order</v>
      </c>
      <c r="P1152" t="str">
        <f>VLOOKUP(C1152,[1]Customer_Master!$A:$B,2,0)</f>
        <v>Group 1-Giridhar-Peenya</v>
      </c>
      <c r="Q1152" t="str">
        <f>VLOOKUP(D1152,[2]Template!$A:$D,3,0)</f>
        <v>LAPP</v>
      </c>
      <c r="R1152" t="str">
        <f>VLOOKUP(D1152,[2]Template!$A:$D,4,0)</f>
        <v>Lapp-Ace Group</v>
      </c>
    </row>
    <row r="1153" spans="1:18" ht="13.5" customHeight="1" x14ac:dyDescent="0.25">
      <c r="A1153" s="9">
        <v>46144</v>
      </c>
      <c r="B1153" s="10" t="s">
        <v>1516</v>
      </c>
      <c r="C1153" s="11" t="s">
        <v>59</v>
      </c>
      <c r="D1153" s="10" t="s">
        <v>331</v>
      </c>
      <c r="E1153" s="12" t="s">
        <v>1072</v>
      </c>
      <c r="F1153" s="12" t="s">
        <v>115</v>
      </c>
      <c r="G1153" s="13">
        <v>1000</v>
      </c>
      <c r="H1153" s="14">
        <v>1000</v>
      </c>
      <c r="I1153" s="15">
        <v>227.65</v>
      </c>
      <c r="J1153" s="16"/>
      <c r="K1153" s="17">
        <v>227650</v>
      </c>
      <c r="L1153" s="18">
        <v>46300</v>
      </c>
      <c r="M1153" s="6" t="str">
        <f t="shared" si="51"/>
        <v>Schedule order</v>
      </c>
      <c r="N1153" s="8">
        <f t="shared" ca="1" si="52"/>
        <v>145</v>
      </c>
      <c r="O1153" s="8" t="str">
        <f t="shared" ca="1" si="53"/>
        <v>Lattest or shedule order</v>
      </c>
      <c r="P1153" t="str">
        <f>VLOOKUP(C1153,[1]Customer_Master!$A:$B,2,0)</f>
        <v>Group 1-Giridhar-Peenya</v>
      </c>
      <c r="Q1153" t="str">
        <f>VLOOKUP(D1153,[2]Template!$A:$D,3,0)</f>
        <v>LAPP</v>
      </c>
      <c r="R1153" t="str">
        <f>VLOOKUP(D1153,[2]Template!$A:$D,4,0)</f>
        <v>Lapp-Ace Group</v>
      </c>
    </row>
    <row r="1154" spans="1:18" ht="13.5" customHeight="1" x14ac:dyDescent="0.25">
      <c r="A1154" s="9">
        <v>46144</v>
      </c>
      <c r="B1154" s="10" t="s">
        <v>1516</v>
      </c>
      <c r="C1154" s="11" t="s">
        <v>59</v>
      </c>
      <c r="D1154" s="10" t="s">
        <v>331</v>
      </c>
      <c r="E1154" s="12" t="s">
        <v>1072</v>
      </c>
      <c r="F1154" s="12" t="s">
        <v>115</v>
      </c>
      <c r="G1154" s="13">
        <v>1000</v>
      </c>
      <c r="H1154" s="14">
        <v>1000</v>
      </c>
      <c r="I1154" s="15">
        <v>227.65</v>
      </c>
      <c r="J1154" s="16"/>
      <c r="K1154" s="17">
        <v>227650</v>
      </c>
      <c r="L1154" s="18">
        <v>46331</v>
      </c>
      <c r="M1154" s="6" t="str">
        <f t="shared" si="51"/>
        <v>Schedule order</v>
      </c>
      <c r="N1154" s="8">
        <f t="shared" ca="1" si="52"/>
        <v>176</v>
      </c>
      <c r="O1154" s="8" t="str">
        <f t="shared" ca="1" si="53"/>
        <v>Lattest or shedule order</v>
      </c>
      <c r="P1154" t="str">
        <f>VLOOKUP(C1154,[1]Customer_Master!$A:$B,2,0)</f>
        <v>Group 1-Giridhar-Peenya</v>
      </c>
      <c r="Q1154" t="str">
        <f>VLOOKUP(D1154,[2]Template!$A:$D,3,0)</f>
        <v>LAPP</v>
      </c>
      <c r="R1154" t="str">
        <f>VLOOKUP(D1154,[2]Template!$A:$D,4,0)</f>
        <v>Lapp-Ace Group</v>
      </c>
    </row>
    <row r="1155" spans="1:18" ht="13.5" customHeight="1" x14ac:dyDescent="0.25">
      <c r="A1155" s="9">
        <v>46144</v>
      </c>
      <c r="B1155" s="10" t="s">
        <v>1516</v>
      </c>
      <c r="C1155" s="11" t="s">
        <v>59</v>
      </c>
      <c r="D1155" s="10" t="s">
        <v>741</v>
      </c>
      <c r="E1155" s="12" t="s">
        <v>1072</v>
      </c>
      <c r="F1155" s="12" t="s">
        <v>742</v>
      </c>
      <c r="G1155" s="13">
        <v>500</v>
      </c>
      <c r="H1155" s="14">
        <v>487</v>
      </c>
      <c r="I1155" s="15">
        <v>553.78</v>
      </c>
      <c r="J1155" s="16"/>
      <c r="K1155" s="17">
        <v>269690.86</v>
      </c>
      <c r="L1155" s="18">
        <v>46178</v>
      </c>
      <c r="M1155" s="6" t="str">
        <f t="shared" ref="M1155:M1218" si="54">IF(L1155&lt;DATE(2026,4,30),"Due order","Schedule order")</f>
        <v>Schedule order</v>
      </c>
      <c r="N1155" s="8">
        <f t="shared" ref="N1155:N1218" ca="1" si="55">L1155-TODAY()</f>
        <v>23</v>
      </c>
      <c r="O1155" s="8" t="str">
        <f t="shared" ref="O1155:O1218" ca="1" si="56">IF(N1155&lt;-365,"More than 1 Year old",IF(N1155&lt;-180," More than 180 days old",IF(N1155&lt;-90,"More than 90 day old",IF(N1155&lt;0,"With in 90 days","Lattest or shedule order"))))</f>
        <v>Lattest or shedule order</v>
      </c>
      <c r="P1155" t="str">
        <f>VLOOKUP(C1155,[1]Customer_Master!$A:$B,2,0)</f>
        <v>Group 1-Giridhar-Peenya</v>
      </c>
      <c r="Q1155" t="str">
        <f>VLOOKUP(D1155,[2]Template!$A:$D,3,0)</f>
        <v>LAPP</v>
      </c>
      <c r="R1155" t="str">
        <f>VLOOKUP(D1155,[2]Template!$A:$D,4,0)</f>
        <v>Lapp-Ace Group</v>
      </c>
    </row>
    <row r="1156" spans="1:18" ht="13.5" customHeight="1" x14ac:dyDescent="0.25">
      <c r="A1156" s="9">
        <v>46144</v>
      </c>
      <c r="B1156" s="10" t="s">
        <v>1516</v>
      </c>
      <c r="C1156" s="11" t="s">
        <v>59</v>
      </c>
      <c r="D1156" s="10" t="s">
        <v>741</v>
      </c>
      <c r="E1156" s="12" t="s">
        <v>1072</v>
      </c>
      <c r="F1156" s="12" t="s">
        <v>742</v>
      </c>
      <c r="G1156" s="13">
        <v>1000</v>
      </c>
      <c r="H1156" s="14">
        <v>1000</v>
      </c>
      <c r="I1156" s="15">
        <v>553.78</v>
      </c>
      <c r="J1156" s="16"/>
      <c r="K1156" s="17">
        <v>553780</v>
      </c>
      <c r="L1156" s="18">
        <v>46208</v>
      </c>
      <c r="M1156" s="6" t="str">
        <f t="shared" si="54"/>
        <v>Schedule order</v>
      </c>
      <c r="N1156" s="8">
        <f t="shared" ca="1" si="55"/>
        <v>53</v>
      </c>
      <c r="O1156" s="8" t="str">
        <f t="shared" ca="1" si="56"/>
        <v>Lattest or shedule order</v>
      </c>
      <c r="P1156" t="str">
        <f>VLOOKUP(C1156,[1]Customer_Master!$A:$B,2,0)</f>
        <v>Group 1-Giridhar-Peenya</v>
      </c>
      <c r="Q1156" t="str">
        <f>VLOOKUP(D1156,[2]Template!$A:$D,3,0)</f>
        <v>LAPP</v>
      </c>
      <c r="R1156" t="str">
        <f>VLOOKUP(D1156,[2]Template!$A:$D,4,0)</f>
        <v>Lapp-Ace Group</v>
      </c>
    </row>
    <row r="1157" spans="1:18" ht="13.5" customHeight="1" x14ac:dyDescent="0.25">
      <c r="A1157" s="9">
        <v>46144</v>
      </c>
      <c r="B1157" s="10" t="s">
        <v>1516</v>
      </c>
      <c r="C1157" s="11" t="s">
        <v>59</v>
      </c>
      <c r="D1157" s="10" t="s">
        <v>741</v>
      </c>
      <c r="E1157" s="12" t="s">
        <v>1072</v>
      </c>
      <c r="F1157" s="12" t="s">
        <v>742</v>
      </c>
      <c r="G1157" s="13">
        <v>1000</v>
      </c>
      <c r="H1157" s="14">
        <v>1000</v>
      </c>
      <c r="I1157" s="15">
        <v>553.78</v>
      </c>
      <c r="J1157" s="16"/>
      <c r="K1157" s="17">
        <v>553780</v>
      </c>
      <c r="L1157" s="18">
        <v>46239</v>
      </c>
      <c r="M1157" s="6" t="str">
        <f t="shared" si="54"/>
        <v>Schedule order</v>
      </c>
      <c r="N1157" s="8">
        <f t="shared" ca="1" si="55"/>
        <v>84</v>
      </c>
      <c r="O1157" s="8" t="str">
        <f t="shared" ca="1" si="56"/>
        <v>Lattest or shedule order</v>
      </c>
      <c r="P1157" t="str">
        <f>VLOOKUP(C1157,[1]Customer_Master!$A:$B,2,0)</f>
        <v>Group 1-Giridhar-Peenya</v>
      </c>
      <c r="Q1157" t="str">
        <f>VLOOKUP(D1157,[2]Template!$A:$D,3,0)</f>
        <v>LAPP</v>
      </c>
      <c r="R1157" t="str">
        <f>VLOOKUP(D1157,[2]Template!$A:$D,4,0)</f>
        <v>Lapp-Ace Group</v>
      </c>
    </row>
    <row r="1158" spans="1:18" ht="13.5" customHeight="1" x14ac:dyDescent="0.25">
      <c r="A1158" s="9">
        <v>46144</v>
      </c>
      <c r="B1158" s="10" t="s">
        <v>1516</v>
      </c>
      <c r="C1158" s="11" t="s">
        <v>59</v>
      </c>
      <c r="D1158" s="10" t="s">
        <v>741</v>
      </c>
      <c r="E1158" s="12" t="s">
        <v>1072</v>
      </c>
      <c r="F1158" s="12" t="s">
        <v>742</v>
      </c>
      <c r="G1158" s="13">
        <v>1000</v>
      </c>
      <c r="H1158" s="14">
        <v>1000</v>
      </c>
      <c r="I1158" s="15">
        <v>553.78</v>
      </c>
      <c r="J1158" s="16"/>
      <c r="K1158" s="17">
        <v>553780</v>
      </c>
      <c r="L1158" s="18">
        <v>46270</v>
      </c>
      <c r="M1158" s="6" t="str">
        <f t="shared" si="54"/>
        <v>Schedule order</v>
      </c>
      <c r="N1158" s="8">
        <f t="shared" ca="1" si="55"/>
        <v>115</v>
      </c>
      <c r="O1158" s="8" t="str">
        <f t="shared" ca="1" si="56"/>
        <v>Lattest or shedule order</v>
      </c>
      <c r="P1158" t="str">
        <f>VLOOKUP(C1158,[1]Customer_Master!$A:$B,2,0)</f>
        <v>Group 1-Giridhar-Peenya</v>
      </c>
      <c r="Q1158" t="str">
        <f>VLOOKUP(D1158,[2]Template!$A:$D,3,0)</f>
        <v>LAPP</v>
      </c>
      <c r="R1158" t="str">
        <f>VLOOKUP(D1158,[2]Template!$A:$D,4,0)</f>
        <v>Lapp-Ace Group</v>
      </c>
    </row>
    <row r="1159" spans="1:18" ht="13.5" customHeight="1" x14ac:dyDescent="0.25">
      <c r="A1159" s="9">
        <v>46144</v>
      </c>
      <c r="B1159" s="10" t="s">
        <v>1516</v>
      </c>
      <c r="C1159" s="11" t="s">
        <v>59</v>
      </c>
      <c r="D1159" s="10" t="s">
        <v>741</v>
      </c>
      <c r="E1159" s="12" t="s">
        <v>1072</v>
      </c>
      <c r="F1159" s="12" t="s">
        <v>742</v>
      </c>
      <c r="G1159" s="13">
        <v>1000</v>
      </c>
      <c r="H1159" s="14">
        <v>1000</v>
      </c>
      <c r="I1159" s="15">
        <v>553.78</v>
      </c>
      <c r="J1159" s="16"/>
      <c r="K1159" s="17">
        <v>553780</v>
      </c>
      <c r="L1159" s="18">
        <v>46300</v>
      </c>
      <c r="M1159" s="6" t="str">
        <f t="shared" si="54"/>
        <v>Schedule order</v>
      </c>
      <c r="N1159" s="8">
        <f t="shared" ca="1" si="55"/>
        <v>145</v>
      </c>
      <c r="O1159" s="8" t="str">
        <f t="shared" ca="1" si="56"/>
        <v>Lattest or shedule order</v>
      </c>
      <c r="P1159" t="str">
        <f>VLOOKUP(C1159,[1]Customer_Master!$A:$B,2,0)</f>
        <v>Group 1-Giridhar-Peenya</v>
      </c>
      <c r="Q1159" t="str">
        <f>VLOOKUP(D1159,[2]Template!$A:$D,3,0)</f>
        <v>LAPP</v>
      </c>
      <c r="R1159" t="str">
        <f>VLOOKUP(D1159,[2]Template!$A:$D,4,0)</f>
        <v>Lapp-Ace Group</v>
      </c>
    </row>
    <row r="1160" spans="1:18" ht="13.5" customHeight="1" x14ac:dyDescent="0.25">
      <c r="A1160" s="9">
        <v>46144</v>
      </c>
      <c r="B1160" s="10" t="s">
        <v>1516</v>
      </c>
      <c r="C1160" s="11" t="s">
        <v>59</v>
      </c>
      <c r="D1160" s="10" t="s">
        <v>741</v>
      </c>
      <c r="E1160" s="12" t="s">
        <v>1072</v>
      </c>
      <c r="F1160" s="12" t="s">
        <v>742</v>
      </c>
      <c r="G1160" s="13">
        <v>1000</v>
      </c>
      <c r="H1160" s="14">
        <v>1000</v>
      </c>
      <c r="I1160" s="15">
        <v>553.78</v>
      </c>
      <c r="J1160" s="16"/>
      <c r="K1160" s="17">
        <v>553780</v>
      </c>
      <c r="L1160" s="18">
        <v>46331</v>
      </c>
      <c r="M1160" s="6" t="str">
        <f t="shared" si="54"/>
        <v>Schedule order</v>
      </c>
      <c r="N1160" s="8">
        <f t="shared" ca="1" si="55"/>
        <v>176</v>
      </c>
      <c r="O1160" s="8" t="str">
        <f t="shared" ca="1" si="56"/>
        <v>Lattest or shedule order</v>
      </c>
      <c r="P1160" t="str">
        <f>VLOOKUP(C1160,[1]Customer_Master!$A:$B,2,0)</f>
        <v>Group 1-Giridhar-Peenya</v>
      </c>
      <c r="Q1160" t="str">
        <f>VLOOKUP(D1160,[2]Template!$A:$D,3,0)</f>
        <v>LAPP</v>
      </c>
      <c r="R1160" t="str">
        <f>VLOOKUP(D1160,[2]Template!$A:$D,4,0)</f>
        <v>Lapp-Ace Group</v>
      </c>
    </row>
    <row r="1161" spans="1:18" ht="13.5" customHeight="1" x14ac:dyDescent="0.25">
      <c r="A1161" s="9">
        <v>46144</v>
      </c>
      <c r="B1161" s="10" t="s">
        <v>1516</v>
      </c>
      <c r="C1161" s="11" t="s">
        <v>59</v>
      </c>
      <c r="D1161" s="10" t="s">
        <v>499</v>
      </c>
      <c r="E1161" s="12" t="s">
        <v>1072</v>
      </c>
      <c r="F1161" s="12" t="s">
        <v>500</v>
      </c>
      <c r="G1161" s="13">
        <v>6000</v>
      </c>
      <c r="H1161" s="14">
        <v>6000</v>
      </c>
      <c r="I1161" s="15">
        <v>20.83</v>
      </c>
      <c r="J1161" s="16"/>
      <c r="K1161" s="17">
        <v>124980</v>
      </c>
      <c r="L1161" s="18">
        <v>46178</v>
      </c>
      <c r="M1161" s="6" t="str">
        <f t="shared" si="54"/>
        <v>Schedule order</v>
      </c>
      <c r="N1161" s="8">
        <f t="shared" ca="1" si="55"/>
        <v>23</v>
      </c>
      <c r="O1161" s="8" t="str">
        <f t="shared" ca="1" si="56"/>
        <v>Lattest or shedule order</v>
      </c>
      <c r="P1161" t="str">
        <f>VLOOKUP(C1161,[1]Customer_Master!$A:$B,2,0)</f>
        <v>Group 1-Giridhar-Peenya</v>
      </c>
      <c r="Q1161" t="str">
        <f>VLOOKUP(D1161,[2]Template!$A:$D,3,0)</f>
        <v>LAPP</v>
      </c>
      <c r="R1161" t="str">
        <f>VLOOKUP(D1161,[2]Template!$A:$D,4,0)</f>
        <v>Lapp-Against Customer PO</v>
      </c>
    </row>
    <row r="1162" spans="1:18" ht="13.5" customHeight="1" x14ac:dyDescent="0.25">
      <c r="A1162" s="9">
        <v>46144</v>
      </c>
      <c r="B1162" s="10" t="s">
        <v>1516</v>
      </c>
      <c r="C1162" s="11" t="s">
        <v>59</v>
      </c>
      <c r="D1162" s="10" t="s">
        <v>499</v>
      </c>
      <c r="E1162" s="12" t="s">
        <v>1072</v>
      </c>
      <c r="F1162" s="12" t="s">
        <v>500</v>
      </c>
      <c r="G1162" s="13">
        <v>6000</v>
      </c>
      <c r="H1162" s="14">
        <v>6000</v>
      </c>
      <c r="I1162" s="15">
        <v>20.83</v>
      </c>
      <c r="J1162" s="16"/>
      <c r="K1162" s="17">
        <v>124980</v>
      </c>
      <c r="L1162" s="18">
        <v>46239</v>
      </c>
      <c r="M1162" s="6" t="str">
        <f t="shared" si="54"/>
        <v>Schedule order</v>
      </c>
      <c r="N1162" s="8">
        <f t="shared" ca="1" si="55"/>
        <v>84</v>
      </c>
      <c r="O1162" s="8" t="str">
        <f t="shared" ca="1" si="56"/>
        <v>Lattest or shedule order</v>
      </c>
      <c r="P1162" t="str">
        <f>VLOOKUP(C1162,[1]Customer_Master!$A:$B,2,0)</f>
        <v>Group 1-Giridhar-Peenya</v>
      </c>
      <c r="Q1162" t="str">
        <f>VLOOKUP(D1162,[2]Template!$A:$D,3,0)</f>
        <v>LAPP</v>
      </c>
      <c r="R1162" t="str">
        <f>VLOOKUP(D1162,[2]Template!$A:$D,4,0)</f>
        <v>Lapp-Against Customer PO</v>
      </c>
    </row>
    <row r="1163" spans="1:18" ht="13.5" customHeight="1" x14ac:dyDescent="0.25">
      <c r="A1163" s="9">
        <v>46144</v>
      </c>
      <c r="B1163" s="10" t="s">
        <v>1516</v>
      </c>
      <c r="C1163" s="11" t="s">
        <v>59</v>
      </c>
      <c r="D1163" s="10" t="s">
        <v>499</v>
      </c>
      <c r="E1163" s="12" t="s">
        <v>1072</v>
      </c>
      <c r="F1163" s="12" t="s">
        <v>500</v>
      </c>
      <c r="G1163" s="13">
        <v>6000</v>
      </c>
      <c r="H1163" s="14">
        <v>6000</v>
      </c>
      <c r="I1163" s="15">
        <v>20.83</v>
      </c>
      <c r="J1163" s="16"/>
      <c r="K1163" s="17">
        <v>124980</v>
      </c>
      <c r="L1163" s="18">
        <v>46270</v>
      </c>
      <c r="M1163" s="6" t="str">
        <f t="shared" si="54"/>
        <v>Schedule order</v>
      </c>
      <c r="N1163" s="8">
        <f t="shared" ca="1" si="55"/>
        <v>115</v>
      </c>
      <c r="O1163" s="8" t="str">
        <f t="shared" ca="1" si="56"/>
        <v>Lattest or shedule order</v>
      </c>
      <c r="P1163" t="str">
        <f>VLOOKUP(C1163,[1]Customer_Master!$A:$B,2,0)</f>
        <v>Group 1-Giridhar-Peenya</v>
      </c>
      <c r="Q1163" t="str">
        <f>VLOOKUP(D1163,[2]Template!$A:$D,3,0)</f>
        <v>LAPP</v>
      </c>
      <c r="R1163" t="str">
        <f>VLOOKUP(D1163,[2]Template!$A:$D,4,0)</f>
        <v>Lapp-Against Customer PO</v>
      </c>
    </row>
    <row r="1164" spans="1:18" ht="13.5" customHeight="1" x14ac:dyDescent="0.25">
      <c r="A1164" s="9">
        <v>46144</v>
      </c>
      <c r="B1164" s="10" t="s">
        <v>1516</v>
      </c>
      <c r="C1164" s="11" t="s">
        <v>59</v>
      </c>
      <c r="D1164" s="10" t="s">
        <v>318</v>
      </c>
      <c r="E1164" s="12" t="s">
        <v>1072</v>
      </c>
      <c r="F1164" s="12" t="s">
        <v>1083</v>
      </c>
      <c r="G1164" s="13">
        <v>500</v>
      </c>
      <c r="H1164" s="14">
        <v>500</v>
      </c>
      <c r="I1164" s="15">
        <v>346.04</v>
      </c>
      <c r="J1164" s="16"/>
      <c r="K1164" s="17">
        <v>173020</v>
      </c>
      <c r="L1164" s="18">
        <v>46208</v>
      </c>
      <c r="M1164" s="6" t="str">
        <f t="shared" si="54"/>
        <v>Schedule order</v>
      </c>
      <c r="N1164" s="8">
        <f t="shared" ca="1" si="55"/>
        <v>53</v>
      </c>
      <c r="O1164" s="8" t="str">
        <f t="shared" ca="1" si="56"/>
        <v>Lattest or shedule order</v>
      </c>
      <c r="P1164" t="str">
        <f>VLOOKUP(C1164,[1]Customer_Master!$A:$B,2,0)</f>
        <v>Group 1-Giridhar-Peenya</v>
      </c>
      <c r="Q1164" t="str">
        <f>VLOOKUP(D1164,[2]Template!$A:$D,3,0)</f>
        <v>LAPP</v>
      </c>
      <c r="R1164" t="str">
        <f>VLOOKUP(D1164,[2]Template!$A:$D,4,0)</f>
        <v>Lapp-AMS Group</v>
      </c>
    </row>
    <row r="1165" spans="1:18" ht="13.5" customHeight="1" x14ac:dyDescent="0.25">
      <c r="A1165" s="9">
        <v>46144</v>
      </c>
      <c r="B1165" s="10" t="s">
        <v>1516</v>
      </c>
      <c r="C1165" s="11" t="s">
        <v>59</v>
      </c>
      <c r="D1165" s="10" t="s">
        <v>318</v>
      </c>
      <c r="E1165" s="12" t="s">
        <v>1072</v>
      </c>
      <c r="F1165" s="12" t="s">
        <v>1083</v>
      </c>
      <c r="G1165" s="13">
        <v>500</v>
      </c>
      <c r="H1165" s="14">
        <v>500</v>
      </c>
      <c r="I1165" s="15">
        <v>346.04</v>
      </c>
      <c r="J1165" s="16"/>
      <c r="K1165" s="17">
        <v>173020</v>
      </c>
      <c r="L1165" s="18">
        <v>46270</v>
      </c>
      <c r="M1165" s="6" t="str">
        <f t="shared" si="54"/>
        <v>Schedule order</v>
      </c>
      <c r="N1165" s="8">
        <f t="shared" ca="1" si="55"/>
        <v>115</v>
      </c>
      <c r="O1165" s="8" t="str">
        <f t="shared" ca="1" si="56"/>
        <v>Lattest or shedule order</v>
      </c>
      <c r="P1165" t="str">
        <f>VLOOKUP(C1165,[1]Customer_Master!$A:$B,2,0)</f>
        <v>Group 1-Giridhar-Peenya</v>
      </c>
      <c r="Q1165" t="str">
        <f>VLOOKUP(D1165,[2]Template!$A:$D,3,0)</f>
        <v>LAPP</v>
      </c>
      <c r="R1165" t="str">
        <f>VLOOKUP(D1165,[2]Template!$A:$D,4,0)</f>
        <v>Lapp-AMS Group</v>
      </c>
    </row>
    <row r="1166" spans="1:18" ht="13.5" customHeight="1" x14ac:dyDescent="0.25">
      <c r="A1166" s="9">
        <v>46144</v>
      </c>
      <c r="B1166" s="10" t="s">
        <v>1516</v>
      </c>
      <c r="C1166" s="11" t="s">
        <v>59</v>
      </c>
      <c r="D1166" s="10" t="s">
        <v>318</v>
      </c>
      <c r="E1166" s="12" t="s">
        <v>1072</v>
      </c>
      <c r="F1166" s="12" t="s">
        <v>1083</v>
      </c>
      <c r="G1166" s="13">
        <v>500</v>
      </c>
      <c r="H1166" s="14">
        <v>500</v>
      </c>
      <c r="I1166" s="15">
        <v>346.04</v>
      </c>
      <c r="J1166" s="16"/>
      <c r="K1166" s="17">
        <v>173020</v>
      </c>
      <c r="L1166" s="18">
        <v>46300</v>
      </c>
      <c r="M1166" s="6" t="str">
        <f t="shared" si="54"/>
        <v>Schedule order</v>
      </c>
      <c r="N1166" s="8">
        <f t="shared" ca="1" si="55"/>
        <v>145</v>
      </c>
      <c r="O1166" s="8" t="str">
        <f t="shared" ca="1" si="56"/>
        <v>Lattest or shedule order</v>
      </c>
      <c r="P1166" t="str">
        <f>VLOOKUP(C1166,[1]Customer_Master!$A:$B,2,0)</f>
        <v>Group 1-Giridhar-Peenya</v>
      </c>
      <c r="Q1166" t="str">
        <f>VLOOKUP(D1166,[2]Template!$A:$D,3,0)</f>
        <v>LAPP</v>
      </c>
      <c r="R1166" t="str">
        <f>VLOOKUP(D1166,[2]Template!$A:$D,4,0)</f>
        <v>Lapp-AMS Group</v>
      </c>
    </row>
    <row r="1167" spans="1:18" ht="13.5" customHeight="1" x14ac:dyDescent="0.25">
      <c r="A1167" s="9">
        <v>46144</v>
      </c>
      <c r="B1167" s="10" t="s">
        <v>1517</v>
      </c>
      <c r="C1167" s="11" t="s">
        <v>528</v>
      </c>
      <c r="D1167" s="27" t="s">
        <v>1518</v>
      </c>
      <c r="E1167" s="12" t="s">
        <v>1072</v>
      </c>
      <c r="F1167" s="26" t="s">
        <v>1519</v>
      </c>
      <c r="G1167" s="19">
        <v>100</v>
      </c>
      <c r="H1167" s="20">
        <v>100</v>
      </c>
      <c r="I1167" s="15">
        <v>9.94</v>
      </c>
      <c r="J1167" s="16"/>
      <c r="K1167" s="17">
        <v>994</v>
      </c>
      <c r="L1167" s="18">
        <v>46144</v>
      </c>
      <c r="M1167" s="6" t="str">
        <f t="shared" si="54"/>
        <v>Schedule order</v>
      </c>
      <c r="N1167" s="8">
        <f t="shared" ca="1" si="55"/>
        <v>-11</v>
      </c>
      <c r="O1167" s="8" t="str">
        <f t="shared" ca="1" si="56"/>
        <v>With in 90 days</v>
      </c>
      <c r="P1167" t="str">
        <f>VLOOKUP(C1167,[1]Customer_Master!$A:$B,2,0)</f>
        <v>Group-2 (Veeresh- Bomsdr+Hosur)</v>
      </c>
      <c r="Q1167" t="str">
        <f>VLOOKUP(D1167,[2]Template!$A:$D,3,0)</f>
        <v>LAPP</v>
      </c>
      <c r="R1167" t="str">
        <f>VLOOKUP(D1167,[2]Template!$A:$D,4,0)</f>
        <v>Lapp-Non Moving Stocks</v>
      </c>
    </row>
    <row r="1168" spans="1:18" ht="13.5" customHeight="1" x14ac:dyDescent="0.25">
      <c r="A1168" s="9">
        <v>46144</v>
      </c>
      <c r="B1168" s="10" t="s">
        <v>1520</v>
      </c>
      <c r="C1168" s="11" t="s">
        <v>1521</v>
      </c>
      <c r="D1168" s="27" t="s">
        <v>1502</v>
      </c>
      <c r="E1168" s="12" t="s">
        <v>1072</v>
      </c>
      <c r="F1168" s="26" t="s">
        <v>1503</v>
      </c>
      <c r="G1168" s="13">
        <v>50</v>
      </c>
      <c r="H1168" s="14">
        <v>50</v>
      </c>
      <c r="I1168" s="15">
        <v>875</v>
      </c>
      <c r="J1168" s="16"/>
      <c r="K1168" s="17">
        <v>43750</v>
      </c>
      <c r="L1168" s="18">
        <v>46144</v>
      </c>
      <c r="M1168" s="6" t="str">
        <f t="shared" si="54"/>
        <v>Schedule order</v>
      </c>
      <c r="N1168" s="8">
        <f t="shared" ca="1" si="55"/>
        <v>-11</v>
      </c>
      <c r="O1168" s="8" t="str">
        <f t="shared" ca="1" si="56"/>
        <v>With in 90 days</v>
      </c>
      <c r="P1168" t="str">
        <f>VLOOKUP(C1168,[1]Customer_Master!$A:$B,2,0)</f>
        <v>Group 1-Giridhar-Peenya</v>
      </c>
      <c r="Q1168" t="str">
        <f>VLOOKUP(D1168,[2]Template!$A:$D,3,0)</f>
        <v>LAPP</v>
      </c>
      <c r="R1168" t="str">
        <f>VLOOKUP(D1168,[2]Template!$A:$D,4,0)</f>
        <v>Lapp-Non Moving Stocks</v>
      </c>
    </row>
    <row r="1169" spans="1:18" ht="13.5" customHeight="1" x14ac:dyDescent="0.25">
      <c r="A1169" s="9">
        <v>46144</v>
      </c>
      <c r="B1169" s="10" t="s">
        <v>1522</v>
      </c>
      <c r="C1169" s="11" t="s">
        <v>581</v>
      </c>
      <c r="D1169" s="10" t="s">
        <v>1523</v>
      </c>
      <c r="E1169" s="12" t="s">
        <v>1072</v>
      </c>
      <c r="F1169" s="12" t="s">
        <v>1524</v>
      </c>
      <c r="G1169" s="22">
        <v>100</v>
      </c>
      <c r="H1169" s="23">
        <v>73</v>
      </c>
      <c r="I1169" s="15">
        <v>14.55</v>
      </c>
      <c r="J1169" s="16"/>
      <c r="K1169" s="17">
        <v>1062.1500000000001</v>
      </c>
      <c r="L1169" s="18">
        <v>46144</v>
      </c>
      <c r="M1169" s="6" t="str">
        <f t="shared" si="54"/>
        <v>Schedule order</v>
      </c>
      <c r="N1169" s="8">
        <f t="shared" ca="1" si="55"/>
        <v>-11</v>
      </c>
      <c r="O1169" s="8" t="str">
        <f t="shared" ca="1" si="56"/>
        <v>With in 90 days</v>
      </c>
      <c r="P1169" t="str">
        <f>VLOOKUP(C1169,[1]Customer_Master!$A:$B,2,0)</f>
        <v>Group 1-Giridhar-Peenya</v>
      </c>
      <c r="Q1169" t="str">
        <f>VLOOKUP(D1169,[2]Template!$A:$D,3,0)</f>
        <v>LAPP</v>
      </c>
      <c r="R1169" t="str">
        <f>VLOOKUP(D1169,[2]Template!$A:$D,4,0)</f>
        <v>Lapp-Against Customer PO</v>
      </c>
    </row>
    <row r="1170" spans="1:18" ht="13.5" customHeight="1" x14ac:dyDescent="0.25">
      <c r="A1170" s="9">
        <v>46144</v>
      </c>
      <c r="B1170" s="10" t="s">
        <v>1522</v>
      </c>
      <c r="C1170" s="11" t="s">
        <v>581</v>
      </c>
      <c r="D1170" s="10" t="s">
        <v>1446</v>
      </c>
      <c r="E1170" s="12" t="s">
        <v>1072</v>
      </c>
      <c r="F1170" s="12" t="s">
        <v>1447</v>
      </c>
      <c r="G1170" s="22">
        <v>100</v>
      </c>
      <c r="H1170" s="23">
        <v>65</v>
      </c>
      <c r="I1170" s="15">
        <v>114.27</v>
      </c>
      <c r="J1170" s="16"/>
      <c r="K1170" s="17">
        <v>7427.55</v>
      </c>
      <c r="L1170" s="18">
        <v>46144</v>
      </c>
      <c r="M1170" s="6" t="str">
        <f t="shared" si="54"/>
        <v>Schedule order</v>
      </c>
      <c r="N1170" s="8">
        <f t="shared" ca="1" si="55"/>
        <v>-11</v>
      </c>
      <c r="O1170" s="8" t="str">
        <f t="shared" ca="1" si="56"/>
        <v>With in 90 days</v>
      </c>
      <c r="P1170" t="str">
        <f>VLOOKUP(C1170,[1]Customer_Master!$A:$B,2,0)</f>
        <v>Group 1-Giridhar-Peenya</v>
      </c>
      <c r="Q1170" t="str">
        <f>VLOOKUP(D1170,[2]Template!$A:$D,3,0)</f>
        <v>LAPP</v>
      </c>
      <c r="R1170" t="str">
        <f>VLOOKUP(D1170,[2]Template!$A:$D,4,0)</f>
        <v>Lapp-Against Customer PO</v>
      </c>
    </row>
    <row r="1171" spans="1:18" ht="13.5" customHeight="1" x14ac:dyDescent="0.25">
      <c r="A1171" s="9">
        <v>46144</v>
      </c>
      <c r="B1171" s="10" t="s">
        <v>1525</v>
      </c>
      <c r="C1171" s="11" t="s">
        <v>67</v>
      </c>
      <c r="D1171" s="10" t="s">
        <v>326</v>
      </c>
      <c r="E1171" s="12" t="s">
        <v>1072</v>
      </c>
      <c r="F1171" s="12" t="s">
        <v>95</v>
      </c>
      <c r="G1171" s="13">
        <v>500</v>
      </c>
      <c r="H1171" s="14">
        <v>164</v>
      </c>
      <c r="I1171" s="15">
        <v>84.65</v>
      </c>
      <c r="J1171" s="16"/>
      <c r="K1171" s="17">
        <v>13882.6</v>
      </c>
      <c r="L1171" s="18">
        <v>46162</v>
      </c>
      <c r="M1171" s="6" t="str">
        <f t="shared" si="54"/>
        <v>Schedule order</v>
      </c>
      <c r="N1171" s="8">
        <f t="shared" ca="1" si="55"/>
        <v>7</v>
      </c>
      <c r="O1171" s="8" t="str">
        <f t="shared" ca="1" si="56"/>
        <v>Lattest or shedule order</v>
      </c>
      <c r="P1171" t="str">
        <f>VLOOKUP(C1171,[1]Customer_Master!$A:$B,2,0)</f>
        <v>Group 1-Giridhar-Peenya</v>
      </c>
      <c r="Q1171" t="str">
        <f>VLOOKUP(D1171,[2]Template!$A:$D,3,0)</f>
        <v>LAPP</v>
      </c>
      <c r="R1171" t="str">
        <f>VLOOKUP(D1171,[2]Template!$A:$D,4,0)</f>
        <v>Lapp-Planned Stock General</v>
      </c>
    </row>
    <row r="1172" spans="1:18" ht="13.5" customHeight="1" x14ac:dyDescent="0.25">
      <c r="A1172" s="9">
        <v>46144</v>
      </c>
      <c r="B1172" s="10" t="s">
        <v>1525</v>
      </c>
      <c r="C1172" s="11" t="s">
        <v>67</v>
      </c>
      <c r="D1172" s="10" t="s">
        <v>326</v>
      </c>
      <c r="E1172" s="12" t="s">
        <v>1072</v>
      </c>
      <c r="F1172" s="12" t="s">
        <v>95</v>
      </c>
      <c r="G1172" s="13">
        <v>500</v>
      </c>
      <c r="H1172" s="14">
        <v>500</v>
      </c>
      <c r="I1172" s="15">
        <v>84.65</v>
      </c>
      <c r="J1172" s="16"/>
      <c r="K1172" s="17">
        <v>42325</v>
      </c>
      <c r="L1172" s="18">
        <v>46193</v>
      </c>
      <c r="M1172" s="6" t="str">
        <f t="shared" si="54"/>
        <v>Schedule order</v>
      </c>
      <c r="N1172" s="8">
        <f t="shared" ca="1" si="55"/>
        <v>38</v>
      </c>
      <c r="O1172" s="8" t="str">
        <f t="shared" ca="1" si="56"/>
        <v>Lattest or shedule order</v>
      </c>
      <c r="P1172" t="str">
        <f>VLOOKUP(C1172,[1]Customer_Master!$A:$B,2,0)</f>
        <v>Group 1-Giridhar-Peenya</v>
      </c>
      <c r="Q1172" t="str">
        <f>VLOOKUP(D1172,[2]Template!$A:$D,3,0)</f>
        <v>LAPP</v>
      </c>
      <c r="R1172" t="str">
        <f>VLOOKUP(D1172,[2]Template!$A:$D,4,0)</f>
        <v>Lapp-Planned Stock General</v>
      </c>
    </row>
    <row r="1173" spans="1:18" ht="13.5" customHeight="1" x14ac:dyDescent="0.25">
      <c r="A1173" s="9">
        <v>46144</v>
      </c>
      <c r="B1173" s="10" t="s">
        <v>1525</v>
      </c>
      <c r="C1173" s="11" t="s">
        <v>67</v>
      </c>
      <c r="D1173" s="10" t="s">
        <v>363</v>
      </c>
      <c r="E1173" s="12" t="s">
        <v>1072</v>
      </c>
      <c r="F1173" s="12" t="s">
        <v>114</v>
      </c>
      <c r="G1173" s="13">
        <v>500</v>
      </c>
      <c r="H1173" s="14">
        <v>220</v>
      </c>
      <c r="I1173" s="15">
        <v>144.54</v>
      </c>
      <c r="J1173" s="16"/>
      <c r="K1173" s="17">
        <v>31798.799999999999</v>
      </c>
      <c r="L1173" s="18">
        <v>46144</v>
      </c>
      <c r="M1173" s="6" t="str">
        <f t="shared" si="54"/>
        <v>Schedule order</v>
      </c>
      <c r="N1173" s="8">
        <f t="shared" ca="1" si="55"/>
        <v>-11</v>
      </c>
      <c r="O1173" s="8" t="str">
        <f t="shared" ca="1" si="56"/>
        <v>With in 90 days</v>
      </c>
      <c r="P1173" t="str">
        <f>VLOOKUP(C1173,[1]Customer_Master!$A:$B,2,0)</f>
        <v>Group 1-Giridhar-Peenya</v>
      </c>
      <c r="Q1173" t="str">
        <f>VLOOKUP(D1173,[2]Template!$A:$D,3,0)</f>
        <v>LAPP</v>
      </c>
      <c r="R1173" t="str">
        <f>VLOOKUP(D1173,[2]Template!$A:$D,4,0)</f>
        <v>Lapp-Planned Stock General</v>
      </c>
    </row>
    <row r="1174" spans="1:18" ht="13.5" customHeight="1" x14ac:dyDescent="0.25">
      <c r="A1174" s="9">
        <v>46144</v>
      </c>
      <c r="B1174" s="10" t="s">
        <v>1525</v>
      </c>
      <c r="C1174" s="11" t="s">
        <v>67</v>
      </c>
      <c r="D1174" s="10" t="s">
        <v>363</v>
      </c>
      <c r="E1174" s="12" t="s">
        <v>1072</v>
      </c>
      <c r="F1174" s="12" t="s">
        <v>114</v>
      </c>
      <c r="G1174" s="13">
        <v>500</v>
      </c>
      <c r="H1174" s="14">
        <v>500</v>
      </c>
      <c r="I1174" s="15">
        <v>144.54</v>
      </c>
      <c r="J1174" s="16"/>
      <c r="K1174" s="17">
        <v>72270</v>
      </c>
      <c r="L1174" s="18">
        <v>46167</v>
      </c>
      <c r="M1174" s="6" t="str">
        <f t="shared" si="54"/>
        <v>Schedule order</v>
      </c>
      <c r="N1174" s="8">
        <f t="shared" ca="1" si="55"/>
        <v>12</v>
      </c>
      <c r="O1174" s="8" t="str">
        <f t="shared" ca="1" si="56"/>
        <v>Lattest or shedule order</v>
      </c>
      <c r="P1174" t="str">
        <f>VLOOKUP(C1174,[1]Customer_Master!$A:$B,2,0)</f>
        <v>Group 1-Giridhar-Peenya</v>
      </c>
      <c r="Q1174" t="str">
        <f>VLOOKUP(D1174,[2]Template!$A:$D,3,0)</f>
        <v>LAPP</v>
      </c>
      <c r="R1174" t="str">
        <f>VLOOKUP(D1174,[2]Template!$A:$D,4,0)</f>
        <v>Lapp-Planned Stock General</v>
      </c>
    </row>
    <row r="1175" spans="1:18" ht="13.5" customHeight="1" x14ac:dyDescent="0.25">
      <c r="A1175" s="9">
        <v>46144</v>
      </c>
      <c r="B1175" s="10" t="s">
        <v>1525</v>
      </c>
      <c r="C1175" s="11" t="s">
        <v>67</v>
      </c>
      <c r="D1175" s="10" t="s">
        <v>363</v>
      </c>
      <c r="E1175" s="12" t="s">
        <v>1072</v>
      </c>
      <c r="F1175" s="12" t="s">
        <v>114</v>
      </c>
      <c r="G1175" s="13">
        <v>500</v>
      </c>
      <c r="H1175" s="14">
        <v>500</v>
      </c>
      <c r="I1175" s="15">
        <v>144.54</v>
      </c>
      <c r="J1175" s="16"/>
      <c r="K1175" s="17">
        <v>72270</v>
      </c>
      <c r="L1175" s="18">
        <v>46198</v>
      </c>
      <c r="M1175" s="6" t="str">
        <f t="shared" si="54"/>
        <v>Schedule order</v>
      </c>
      <c r="N1175" s="8">
        <f t="shared" ca="1" si="55"/>
        <v>43</v>
      </c>
      <c r="O1175" s="8" t="str">
        <f t="shared" ca="1" si="56"/>
        <v>Lattest or shedule order</v>
      </c>
      <c r="P1175" t="str">
        <f>VLOOKUP(C1175,[1]Customer_Master!$A:$B,2,0)</f>
        <v>Group 1-Giridhar-Peenya</v>
      </c>
      <c r="Q1175" t="str">
        <f>VLOOKUP(D1175,[2]Template!$A:$D,3,0)</f>
        <v>LAPP</v>
      </c>
      <c r="R1175" t="str">
        <f>VLOOKUP(D1175,[2]Template!$A:$D,4,0)</f>
        <v>Lapp-Planned Stock General</v>
      </c>
    </row>
    <row r="1176" spans="1:18" ht="13.5" customHeight="1" x14ac:dyDescent="0.25">
      <c r="A1176" s="9">
        <v>46144</v>
      </c>
      <c r="B1176" s="10" t="s">
        <v>1525</v>
      </c>
      <c r="C1176" s="11" t="s">
        <v>67</v>
      </c>
      <c r="D1176" s="10" t="s">
        <v>331</v>
      </c>
      <c r="E1176" s="12" t="s">
        <v>1072</v>
      </c>
      <c r="F1176" s="12" t="s">
        <v>115</v>
      </c>
      <c r="G1176" s="13">
        <v>500</v>
      </c>
      <c r="H1176" s="14">
        <v>500</v>
      </c>
      <c r="I1176" s="15">
        <v>227.65</v>
      </c>
      <c r="J1176" s="16"/>
      <c r="K1176" s="17">
        <v>113825</v>
      </c>
      <c r="L1176" s="18">
        <v>46167</v>
      </c>
      <c r="M1176" s="6" t="str">
        <f t="shared" si="54"/>
        <v>Schedule order</v>
      </c>
      <c r="N1176" s="8">
        <f t="shared" ca="1" si="55"/>
        <v>12</v>
      </c>
      <c r="O1176" s="8" t="str">
        <f t="shared" ca="1" si="56"/>
        <v>Lattest or shedule order</v>
      </c>
      <c r="P1176" t="str">
        <f>VLOOKUP(C1176,[1]Customer_Master!$A:$B,2,0)</f>
        <v>Group 1-Giridhar-Peenya</v>
      </c>
      <c r="Q1176" t="str">
        <f>VLOOKUP(D1176,[2]Template!$A:$D,3,0)</f>
        <v>LAPP</v>
      </c>
      <c r="R1176" t="str">
        <f>VLOOKUP(D1176,[2]Template!$A:$D,4,0)</f>
        <v>Lapp-Ace Group</v>
      </c>
    </row>
    <row r="1177" spans="1:18" ht="13.5" customHeight="1" x14ac:dyDescent="0.25">
      <c r="A1177" s="9">
        <v>46144</v>
      </c>
      <c r="B1177" s="10" t="s">
        <v>1525</v>
      </c>
      <c r="C1177" s="11" t="s">
        <v>67</v>
      </c>
      <c r="D1177" s="10" t="s">
        <v>331</v>
      </c>
      <c r="E1177" s="12" t="s">
        <v>1072</v>
      </c>
      <c r="F1177" s="12" t="s">
        <v>115</v>
      </c>
      <c r="G1177" s="13">
        <v>500</v>
      </c>
      <c r="H1177" s="14">
        <v>500</v>
      </c>
      <c r="I1177" s="15">
        <v>227.65</v>
      </c>
      <c r="J1177" s="16"/>
      <c r="K1177" s="17">
        <v>113825</v>
      </c>
      <c r="L1177" s="18">
        <v>46198</v>
      </c>
      <c r="M1177" s="6" t="str">
        <f t="shared" si="54"/>
        <v>Schedule order</v>
      </c>
      <c r="N1177" s="8">
        <f t="shared" ca="1" si="55"/>
        <v>43</v>
      </c>
      <c r="O1177" s="8" t="str">
        <f t="shared" ca="1" si="56"/>
        <v>Lattest or shedule order</v>
      </c>
      <c r="P1177" t="str">
        <f>VLOOKUP(C1177,[1]Customer_Master!$A:$B,2,0)</f>
        <v>Group 1-Giridhar-Peenya</v>
      </c>
      <c r="Q1177" t="str">
        <f>VLOOKUP(D1177,[2]Template!$A:$D,3,0)</f>
        <v>LAPP</v>
      </c>
      <c r="R1177" t="str">
        <f>VLOOKUP(D1177,[2]Template!$A:$D,4,0)</f>
        <v>Lapp-Ace Group</v>
      </c>
    </row>
    <row r="1178" spans="1:18" ht="13.5" customHeight="1" x14ac:dyDescent="0.25">
      <c r="A1178" s="9">
        <v>46144</v>
      </c>
      <c r="B1178" s="10" t="s">
        <v>1525</v>
      </c>
      <c r="C1178" s="11" t="s">
        <v>67</v>
      </c>
      <c r="D1178" s="10" t="s">
        <v>331</v>
      </c>
      <c r="E1178" s="12" t="s">
        <v>1072</v>
      </c>
      <c r="F1178" s="12" t="s">
        <v>115</v>
      </c>
      <c r="G1178" s="13">
        <v>500</v>
      </c>
      <c r="H1178" s="14">
        <v>500</v>
      </c>
      <c r="I1178" s="15">
        <v>227.65</v>
      </c>
      <c r="J1178" s="16"/>
      <c r="K1178" s="17">
        <v>113825</v>
      </c>
      <c r="L1178" s="18">
        <v>46228</v>
      </c>
      <c r="M1178" s="6" t="str">
        <f t="shared" si="54"/>
        <v>Schedule order</v>
      </c>
      <c r="N1178" s="8">
        <f t="shared" ca="1" si="55"/>
        <v>73</v>
      </c>
      <c r="O1178" s="8" t="str">
        <f t="shared" ca="1" si="56"/>
        <v>Lattest or shedule order</v>
      </c>
      <c r="P1178" t="str">
        <f>VLOOKUP(C1178,[1]Customer_Master!$A:$B,2,0)</f>
        <v>Group 1-Giridhar-Peenya</v>
      </c>
      <c r="Q1178" t="str">
        <f>VLOOKUP(D1178,[2]Template!$A:$D,3,0)</f>
        <v>LAPP</v>
      </c>
      <c r="R1178" t="str">
        <f>VLOOKUP(D1178,[2]Template!$A:$D,4,0)</f>
        <v>Lapp-Ace Group</v>
      </c>
    </row>
    <row r="1179" spans="1:18" ht="13.5" customHeight="1" x14ac:dyDescent="0.25">
      <c r="A1179" s="9">
        <v>46144</v>
      </c>
      <c r="B1179" s="10" t="s">
        <v>1525</v>
      </c>
      <c r="C1179" s="11" t="s">
        <v>67</v>
      </c>
      <c r="D1179" s="27" t="s">
        <v>314</v>
      </c>
      <c r="E1179" s="12" t="s">
        <v>1072</v>
      </c>
      <c r="F1179" s="12" t="s">
        <v>1082</v>
      </c>
      <c r="G1179" s="13">
        <v>500</v>
      </c>
      <c r="H1179" s="14">
        <v>500</v>
      </c>
      <c r="I1179" s="15">
        <v>66.31</v>
      </c>
      <c r="J1179" s="16"/>
      <c r="K1179" s="17">
        <v>33155</v>
      </c>
      <c r="L1179" s="18">
        <v>46167</v>
      </c>
      <c r="M1179" s="6" t="str">
        <f t="shared" si="54"/>
        <v>Schedule order</v>
      </c>
      <c r="N1179" s="8">
        <f t="shared" ca="1" si="55"/>
        <v>12</v>
      </c>
      <c r="O1179" s="8" t="str">
        <f t="shared" ca="1" si="56"/>
        <v>Lattest or shedule order</v>
      </c>
      <c r="P1179" t="str">
        <f>VLOOKUP(C1179,[1]Customer_Master!$A:$B,2,0)</f>
        <v>Group 1-Giridhar-Peenya</v>
      </c>
      <c r="Q1179" t="str">
        <f>VLOOKUP(D1179,[2]Template!$A:$D,3,0)</f>
        <v>LAPP</v>
      </c>
      <c r="R1179" t="str">
        <f>VLOOKUP(D1179,[2]Template!$A:$D,4,0)</f>
        <v>Lapp-AMS Group</v>
      </c>
    </row>
    <row r="1180" spans="1:18" ht="13.5" customHeight="1" x14ac:dyDescent="0.25">
      <c r="A1180" s="9">
        <v>46144</v>
      </c>
      <c r="B1180" s="10" t="s">
        <v>1525</v>
      </c>
      <c r="C1180" s="11" t="s">
        <v>67</v>
      </c>
      <c r="D1180" s="27" t="s">
        <v>314</v>
      </c>
      <c r="E1180" s="12" t="s">
        <v>1072</v>
      </c>
      <c r="F1180" s="12" t="s">
        <v>1082</v>
      </c>
      <c r="G1180" s="13">
        <v>500</v>
      </c>
      <c r="H1180" s="14">
        <v>500</v>
      </c>
      <c r="I1180" s="15">
        <v>66.31</v>
      </c>
      <c r="J1180" s="16"/>
      <c r="K1180" s="17">
        <v>33155</v>
      </c>
      <c r="L1180" s="18">
        <v>46198</v>
      </c>
      <c r="M1180" s="6" t="str">
        <f t="shared" si="54"/>
        <v>Schedule order</v>
      </c>
      <c r="N1180" s="8">
        <f t="shared" ca="1" si="55"/>
        <v>43</v>
      </c>
      <c r="O1180" s="8" t="str">
        <f t="shared" ca="1" si="56"/>
        <v>Lattest or shedule order</v>
      </c>
      <c r="P1180" t="str">
        <f>VLOOKUP(C1180,[1]Customer_Master!$A:$B,2,0)</f>
        <v>Group 1-Giridhar-Peenya</v>
      </c>
      <c r="Q1180" t="str">
        <f>VLOOKUP(D1180,[2]Template!$A:$D,3,0)</f>
        <v>LAPP</v>
      </c>
      <c r="R1180" t="str">
        <f>VLOOKUP(D1180,[2]Template!$A:$D,4,0)</f>
        <v>Lapp-AMS Group</v>
      </c>
    </row>
    <row r="1181" spans="1:18" ht="13.5" customHeight="1" x14ac:dyDescent="0.25">
      <c r="A1181" s="9">
        <v>46144</v>
      </c>
      <c r="B1181" s="10" t="s">
        <v>1525</v>
      </c>
      <c r="C1181" s="11" t="s">
        <v>67</v>
      </c>
      <c r="D1181" s="27" t="s">
        <v>314</v>
      </c>
      <c r="E1181" s="12" t="s">
        <v>1072</v>
      </c>
      <c r="F1181" s="12" t="s">
        <v>1082</v>
      </c>
      <c r="G1181" s="13">
        <v>500</v>
      </c>
      <c r="H1181" s="14">
        <v>500</v>
      </c>
      <c r="I1181" s="15">
        <v>66.31</v>
      </c>
      <c r="J1181" s="16"/>
      <c r="K1181" s="17">
        <v>33155</v>
      </c>
      <c r="L1181" s="18">
        <v>46223</v>
      </c>
      <c r="M1181" s="6" t="str">
        <f t="shared" si="54"/>
        <v>Schedule order</v>
      </c>
      <c r="N1181" s="8">
        <f t="shared" ca="1" si="55"/>
        <v>68</v>
      </c>
      <c r="O1181" s="8" t="str">
        <f t="shared" ca="1" si="56"/>
        <v>Lattest or shedule order</v>
      </c>
      <c r="P1181" t="str">
        <f>VLOOKUP(C1181,[1]Customer_Master!$A:$B,2,0)</f>
        <v>Group 1-Giridhar-Peenya</v>
      </c>
      <c r="Q1181" t="str">
        <f>VLOOKUP(D1181,[2]Template!$A:$D,3,0)</f>
        <v>LAPP</v>
      </c>
      <c r="R1181" t="str">
        <f>VLOOKUP(D1181,[2]Template!$A:$D,4,0)</f>
        <v>Lapp-AMS Group</v>
      </c>
    </row>
    <row r="1182" spans="1:18" ht="13.5" customHeight="1" x14ac:dyDescent="0.25">
      <c r="A1182" s="9">
        <v>46144</v>
      </c>
      <c r="B1182" s="10" t="s">
        <v>1526</v>
      </c>
      <c r="C1182" s="11" t="s">
        <v>1094</v>
      </c>
      <c r="D1182" s="10" t="s">
        <v>1527</v>
      </c>
      <c r="E1182" s="12" t="s">
        <v>1072</v>
      </c>
      <c r="F1182" s="12" t="s">
        <v>1528</v>
      </c>
      <c r="G1182" s="19">
        <v>50</v>
      </c>
      <c r="H1182" s="20">
        <v>50</v>
      </c>
      <c r="I1182" s="15">
        <v>50.86</v>
      </c>
      <c r="J1182" s="16"/>
      <c r="K1182" s="17">
        <v>2543</v>
      </c>
      <c r="L1182" s="18">
        <v>46144</v>
      </c>
      <c r="M1182" s="6" t="str">
        <f t="shared" si="54"/>
        <v>Schedule order</v>
      </c>
      <c r="N1182" s="8">
        <f t="shared" ca="1" si="55"/>
        <v>-11</v>
      </c>
      <c r="O1182" s="8" t="str">
        <f t="shared" ca="1" si="56"/>
        <v>With in 90 days</v>
      </c>
      <c r="P1182" t="str">
        <f>VLOOKUP(C1182,[1]Customer_Master!$A:$B,2,0)</f>
        <v>Group-4 ( Office Account)</v>
      </c>
      <c r="Q1182" t="str">
        <f>VLOOKUP(D1182,[2]Template!$A:$D,3,0)</f>
        <v>LAPP</v>
      </c>
      <c r="R1182" t="str">
        <f>VLOOKUP(D1182,[2]Template!$A:$D,4,0)</f>
        <v>Lapp-Against Customer PO</v>
      </c>
    </row>
    <row r="1183" spans="1:18" ht="13.5" customHeight="1" x14ac:dyDescent="0.25">
      <c r="A1183" s="9">
        <v>46147</v>
      </c>
      <c r="B1183" s="10" t="s">
        <v>1529</v>
      </c>
      <c r="C1183" s="11" t="s">
        <v>70</v>
      </c>
      <c r="D1183" s="10" t="s">
        <v>1530</v>
      </c>
      <c r="E1183" s="12" t="s">
        <v>1072</v>
      </c>
      <c r="F1183" s="12" t="s">
        <v>1531</v>
      </c>
      <c r="G1183" s="13">
        <v>20</v>
      </c>
      <c r="H1183" s="14">
        <v>20</v>
      </c>
      <c r="I1183" s="15">
        <v>556.96</v>
      </c>
      <c r="J1183" s="16"/>
      <c r="K1183" s="17">
        <v>11139.2</v>
      </c>
      <c r="L1183" s="18">
        <v>46147</v>
      </c>
      <c r="M1183" s="6" t="str">
        <f t="shared" si="54"/>
        <v>Schedule order</v>
      </c>
      <c r="N1183" s="8">
        <f t="shared" ca="1" si="55"/>
        <v>-8</v>
      </c>
      <c r="O1183" s="8" t="str">
        <f t="shared" ca="1" si="56"/>
        <v>With in 90 days</v>
      </c>
      <c r="P1183" t="str">
        <f>VLOOKUP(C1183,[1]Customer_Master!$A:$B,2,0)</f>
        <v>Group-2 (Veeresh- Bomsdr+Hosur)</v>
      </c>
      <c r="Q1183" t="str">
        <f>VLOOKUP(D1183,[2]Template!$A:$D,3,0)</f>
        <v>LAPP</v>
      </c>
      <c r="R1183" t="str">
        <f>VLOOKUP(D1183,[2]Template!$A:$D,4,0)</f>
        <v>Lapp-Non Moving Stocks</v>
      </c>
    </row>
    <row r="1184" spans="1:18" ht="13.5" customHeight="1" x14ac:dyDescent="0.25">
      <c r="A1184" s="9">
        <v>46147</v>
      </c>
      <c r="B1184" s="10" t="s">
        <v>1532</v>
      </c>
      <c r="C1184" s="11" t="s">
        <v>76</v>
      </c>
      <c r="D1184" s="10" t="s">
        <v>349</v>
      </c>
      <c r="E1184" s="12" t="s">
        <v>1072</v>
      </c>
      <c r="F1184" s="12" t="s">
        <v>88</v>
      </c>
      <c r="G1184" s="19">
        <v>134</v>
      </c>
      <c r="H1184" s="20">
        <v>134</v>
      </c>
      <c r="I1184" s="15">
        <v>284</v>
      </c>
      <c r="J1184" s="16"/>
      <c r="K1184" s="17">
        <v>38056</v>
      </c>
      <c r="L1184" s="18">
        <v>46268</v>
      </c>
      <c r="M1184" s="6" t="str">
        <f t="shared" si="54"/>
        <v>Schedule order</v>
      </c>
      <c r="N1184" s="8">
        <f t="shared" ca="1" si="55"/>
        <v>113</v>
      </c>
      <c r="O1184" s="8" t="str">
        <f t="shared" ca="1" si="56"/>
        <v>Lattest or shedule order</v>
      </c>
      <c r="P1184" t="str">
        <f>VLOOKUP(C1184,[1]Customer_Master!$A:$B,2,0)</f>
        <v>Group 1-Giridhar-Peenya</v>
      </c>
      <c r="Q1184" t="str">
        <f>VLOOKUP(D1184,[2]Template!$A:$D,3,0)</f>
        <v>EATON</v>
      </c>
      <c r="R1184" t="str">
        <f>VLOOKUP(D1184,[2]Template!$A:$D,4,0)</f>
        <v>Eaton-Biesse</v>
      </c>
    </row>
    <row r="1185" spans="1:18" ht="13.5" customHeight="1" x14ac:dyDescent="0.25">
      <c r="A1185" s="9">
        <v>46147</v>
      </c>
      <c r="B1185" s="10" t="s">
        <v>1532</v>
      </c>
      <c r="C1185" s="11" t="s">
        <v>76</v>
      </c>
      <c r="D1185" s="10" t="s">
        <v>349</v>
      </c>
      <c r="E1185" s="12" t="s">
        <v>1072</v>
      </c>
      <c r="F1185" s="12" t="s">
        <v>88</v>
      </c>
      <c r="G1185" s="19">
        <v>43</v>
      </c>
      <c r="H1185" s="20">
        <v>43</v>
      </c>
      <c r="I1185" s="15">
        <v>284</v>
      </c>
      <c r="J1185" s="16"/>
      <c r="K1185" s="17">
        <v>12212</v>
      </c>
      <c r="L1185" s="18">
        <v>46301</v>
      </c>
      <c r="M1185" s="6" t="str">
        <f t="shared" si="54"/>
        <v>Schedule order</v>
      </c>
      <c r="N1185" s="8">
        <f t="shared" ca="1" si="55"/>
        <v>146</v>
      </c>
      <c r="O1185" s="8" t="str">
        <f t="shared" ca="1" si="56"/>
        <v>Lattest or shedule order</v>
      </c>
      <c r="P1185" t="str">
        <f>VLOOKUP(C1185,[1]Customer_Master!$A:$B,2,0)</f>
        <v>Group 1-Giridhar-Peenya</v>
      </c>
      <c r="Q1185" t="str">
        <f>VLOOKUP(D1185,[2]Template!$A:$D,3,0)</f>
        <v>EATON</v>
      </c>
      <c r="R1185" t="str">
        <f>VLOOKUP(D1185,[2]Template!$A:$D,4,0)</f>
        <v>Eaton-Biesse</v>
      </c>
    </row>
    <row r="1186" spans="1:18" ht="13.5" customHeight="1" x14ac:dyDescent="0.25">
      <c r="A1186" s="9">
        <v>46147</v>
      </c>
      <c r="B1186" s="10" t="s">
        <v>1532</v>
      </c>
      <c r="C1186" s="11" t="s">
        <v>76</v>
      </c>
      <c r="D1186" s="10" t="s">
        <v>325</v>
      </c>
      <c r="E1186" s="12" t="s">
        <v>1072</v>
      </c>
      <c r="F1186" s="12" t="s">
        <v>77</v>
      </c>
      <c r="G1186" s="19">
        <v>166</v>
      </c>
      <c r="H1186" s="20">
        <v>166</v>
      </c>
      <c r="I1186" s="15">
        <v>241</v>
      </c>
      <c r="J1186" s="16"/>
      <c r="K1186" s="17">
        <v>40006</v>
      </c>
      <c r="L1186" s="18">
        <v>46277</v>
      </c>
      <c r="M1186" s="6" t="str">
        <f t="shared" si="54"/>
        <v>Schedule order</v>
      </c>
      <c r="N1186" s="8">
        <f t="shared" ca="1" si="55"/>
        <v>122</v>
      </c>
      <c r="O1186" s="8" t="str">
        <f t="shared" ca="1" si="56"/>
        <v>Lattest or shedule order</v>
      </c>
      <c r="P1186" t="str">
        <f>VLOOKUP(C1186,[1]Customer_Master!$A:$B,2,0)</f>
        <v>Group 1-Giridhar-Peenya</v>
      </c>
      <c r="Q1186" t="str">
        <f>VLOOKUP(D1186,[2]Template!$A:$D,3,0)</f>
        <v>EATON</v>
      </c>
      <c r="R1186" t="str">
        <f>VLOOKUP(D1186,[2]Template!$A:$D,4,0)</f>
        <v>Eaton-Biesse</v>
      </c>
    </row>
    <row r="1187" spans="1:18" ht="13.5" customHeight="1" x14ac:dyDescent="0.25">
      <c r="A1187" s="9">
        <v>46147</v>
      </c>
      <c r="B1187" s="10" t="s">
        <v>1532</v>
      </c>
      <c r="C1187" s="11" t="s">
        <v>76</v>
      </c>
      <c r="D1187" s="10" t="s">
        <v>325</v>
      </c>
      <c r="E1187" s="12" t="s">
        <v>1072</v>
      </c>
      <c r="F1187" s="12" t="s">
        <v>77</v>
      </c>
      <c r="G1187" s="19">
        <v>10</v>
      </c>
      <c r="H1187" s="20">
        <v>10</v>
      </c>
      <c r="I1187" s="15">
        <v>241</v>
      </c>
      <c r="J1187" s="16"/>
      <c r="K1187" s="17">
        <v>2410</v>
      </c>
      <c r="L1187" s="18">
        <v>46311</v>
      </c>
      <c r="M1187" s="6" t="str">
        <f t="shared" si="54"/>
        <v>Schedule order</v>
      </c>
      <c r="N1187" s="8">
        <f t="shared" ca="1" si="55"/>
        <v>156</v>
      </c>
      <c r="O1187" s="8" t="str">
        <f t="shared" ca="1" si="56"/>
        <v>Lattest or shedule order</v>
      </c>
      <c r="P1187" t="str">
        <f>VLOOKUP(C1187,[1]Customer_Master!$A:$B,2,0)</f>
        <v>Group 1-Giridhar-Peenya</v>
      </c>
      <c r="Q1187" t="str">
        <f>VLOOKUP(D1187,[2]Template!$A:$D,3,0)</f>
        <v>EATON</v>
      </c>
      <c r="R1187" t="str">
        <f>VLOOKUP(D1187,[2]Template!$A:$D,4,0)</f>
        <v>Eaton-Biesse</v>
      </c>
    </row>
    <row r="1188" spans="1:18" ht="13.5" customHeight="1" x14ac:dyDescent="0.25">
      <c r="A1188" s="9">
        <v>46147</v>
      </c>
      <c r="B1188" s="10" t="s">
        <v>1532</v>
      </c>
      <c r="C1188" s="11" t="s">
        <v>76</v>
      </c>
      <c r="D1188" s="10" t="s">
        <v>351</v>
      </c>
      <c r="E1188" s="12" t="s">
        <v>1072</v>
      </c>
      <c r="F1188" s="12" t="s">
        <v>101</v>
      </c>
      <c r="G1188" s="19">
        <v>98</v>
      </c>
      <c r="H1188" s="20">
        <v>98</v>
      </c>
      <c r="I1188" s="15">
        <v>333</v>
      </c>
      <c r="J1188" s="16"/>
      <c r="K1188" s="17">
        <v>32634</v>
      </c>
      <c r="L1188" s="18">
        <v>46241</v>
      </c>
      <c r="M1188" s="6" t="str">
        <f t="shared" si="54"/>
        <v>Schedule order</v>
      </c>
      <c r="N1188" s="8">
        <f t="shared" ca="1" si="55"/>
        <v>86</v>
      </c>
      <c r="O1188" s="8" t="str">
        <f t="shared" ca="1" si="56"/>
        <v>Lattest or shedule order</v>
      </c>
      <c r="P1188" t="str">
        <f>VLOOKUP(C1188,[1]Customer_Master!$A:$B,2,0)</f>
        <v>Group 1-Giridhar-Peenya</v>
      </c>
      <c r="Q1188" t="str">
        <f>VLOOKUP(D1188,[2]Template!$A:$D,3,0)</f>
        <v>EATON</v>
      </c>
      <c r="R1188" t="str">
        <f>VLOOKUP(D1188,[2]Template!$A:$D,4,0)</f>
        <v>Eaton-Biesse</v>
      </c>
    </row>
    <row r="1189" spans="1:18" ht="13.5" customHeight="1" x14ac:dyDescent="0.25">
      <c r="A1189" s="9">
        <v>46147</v>
      </c>
      <c r="B1189" s="10" t="s">
        <v>1532</v>
      </c>
      <c r="C1189" s="11" t="s">
        <v>76</v>
      </c>
      <c r="D1189" s="10" t="s">
        <v>351</v>
      </c>
      <c r="E1189" s="12" t="s">
        <v>1072</v>
      </c>
      <c r="F1189" s="12" t="s">
        <v>101</v>
      </c>
      <c r="G1189" s="19">
        <v>61</v>
      </c>
      <c r="H1189" s="20">
        <v>61</v>
      </c>
      <c r="I1189" s="15">
        <v>333</v>
      </c>
      <c r="J1189" s="16"/>
      <c r="K1189" s="17">
        <v>20313</v>
      </c>
      <c r="L1189" s="18">
        <v>46272</v>
      </c>
      <c r="M1189" s="6" t="str">
        <f t="shared" si="54"/>
        <v>Schedule order</v>
      </c>
      <c r="N1189" s="8">
        <f t="shared" ca="1" si="55"/>
        <v>117</v>
      </c>
      <c r="O1189" s="8" t="str">
        <f t="shared" ca="1" si="56"/>
        <v>Lattest or shedule order</v>
      </c>
      <c r="P1189" t="str">
        <f>VLOOKUP(C1189,[1]Customer_Master!$A:$B,2,0)</f>
        <v>Group 1-Giridhar-Peenya</v>
      </c>
      <c r="Q1189" t="str">
        <f>VLOOKUP(D1189,[2]Template!$A:$D,3,0)</f>
        <v>EATON</v>
      </c>
      <c r="R1189" t="str">
        <f>VLOOKUP(D1189,[2]Template!$A:$D,4,0)</f>
        <v>Eaton-Biesse</v>
      </c>
    </row>
    <row r="1190" spans="1:18" ht="13.5" customHeight="1" x14ac:dyDescent="0.25">
      <c r="A1190" s="9">
        <v>46147</v>
      </c>
      <c r="B1190" s="10" t="s">
        <v>1532</v>
      </c>
      <c r="C1190" s="11" t="s">
        <v>76</v>
      </c>
      <c r="D1190" s="10" t="s">
        <v>446</v>
      </c>
      <c r="E1190" s="12" t="s">
        <v>1072</v>
      </c>
      <c r="F1190" s="12" t="s">
        <v>156</v>
      </c>
      <c r="G1190" s="19">
        <v>17</v>
      </c>
      <c r="H1190" s="20">
        <v>17</v>
      </c>
      <c r="I1190" s="15">
        <v>164</v>
      </c>
      <c r="J1190" s="16"/>
      <c r="K1190" s="17">
        <v>2788</v>
      </c>
      <c r="L1190" s="18">
        <v>46223</v>
      </c>
      <c r="M1190" s="6" t="str">
        <f t="shared" si="54"/>
        <v>Schedule order</v>
      </c>
      <c r="N1190" s="8">
        <f t="shared" ca="1" si="55"/>
        <v>68</v>
      </c>
      <c r="O1190" s="8" t="str">
        <f t="shared" ca="1" si="56"/>
        <v>Lattest or shedule order</v>
      </c>
      <c r="P1190" t="str">
        <f>VLOOKUP(C1190,[1]Customer_Master!$A:$B,2,0)</f>
        <v>Group 1-Giridhar-Peenya</v>
      </c>
      <c r="Q1190" t="str">
        <f>VLOOKUP(D1190,[2]Template!$A:$D,3,0)</f>
        <v>EATON</v>
      </c>
      <c r="R1190" t="str">
        <f>VLOOKUP(D1190,[2]Template!$A:$D,4,0)</f>
        <v>Eaton-Biesse</v>
      </c>
    </row>
    <row r="1191" spans="1:18" ht="13.5" customHeight="1" x14ac:dyDescent="0.25">
      <c r="A1191" s="9">
        <v>46147</v>
      </c>
      <c r="B1191" s="10" t="s">
        <v>1532</v>
      </c>
      <c r="C1191" s="11" t="s">
        <v>76</v>
      </c>
      <c r="D1191" s="10" t="s">
        <v>446</v>
      </c>
      <c r="E1191" s="12" t="s">
        <v>1072</v>
      </c>
      <c r="F1191" s="12" t="s">
        <v>156</v>
      </c>
      <c r="G1191" s="19">
        <v>24</v>
      </c>
      <c r="H1191" s="20">
        <v>24</v>
      </c>
      <c r="I1191" s="15">
        <v>164</v>
      </c>
      <c r="J1191" s="16"/>
      <c r="K1191" s="17">
        <v>3936</v>
      </c>
      <c r="L1191" s="18">
        <v>46253</v>
      </c>
      <c r="M1191" s="6" t="str">
        <f t="shared" si="54"/>
        <v>Schedule order</v>
      </c>
      <c r="N1191" s="8">
        <f t="shared" ca="1" si="55"/>
        <v>98</v>
      </c>
      <c r="O1191" s="8" t="str">
        <f t="shared" ca="1" si="56"/>
        <v>Lattest or shedule order</v>
      </c>
      <c r="P1191" t="str">
        <f>VLOOKUP(C1191,[1]Customer_Master!$A:$B,2,0)</f>
        <v>Group 1-Giridhar-Peenya</v>
      </c>
      <c r="Q1191" t="str">
        <f>VLOOKUP(D1191,[2]Template!$A:$D,3,0)</f>
        <v>EATON</v>
      </c>
      <c r="R1191" t="str">
        <f>VLOOKUP(D1191,[2]Template!$A:$D,4,0)</f>
        <v>Eaton-Biesse</v>
      </c>
    </row>
    <row r="1192" spans="1:18" ht="13.5" customHeight="1" x14ac:dyDescent="0.25">
      <c r="A1192" s="9">
        <v>46147</v>
      </c>
      <c r="B1192" s="10" t="s">
        <v>1533</v>
      </c>
      <c r="C1192" s="11" t="s">
        <v>1534</v>
      </c>
      <c r="D1192" s="10" t="s">
        <v>1304</v>
      </c>
      <c r="E1192" s="12" t="s">
        <v>1072</v>
      </c>
      <c r="F1192" s="12" t="s">
        <v>1305</v>
      </c>
      <c r="G1192" s="13">
        <v>1400</v>
      </c>
      <c r="H1192" s="14">
        <v>1400</v>
      </c>
      <c r="I1192" s="15">
        <v>13.14</v>
      </c>
      <c r="J1192" s="16"/>
      <c r="K1192" s="17">
        <v>18396</v>
      </c>
      <c r="L1192" s="18">
        <v>46147</v>
      </c>
      <c r="M1192" s="6" t="str">
        <f t="shared" si="54"/>
        <v>Schedule order</v>
      </c>
      <c r="N1192" s="8">
        <f t="shared" ca="1" si="55"/>
        <v>-8</v>
      </c>
      <c r="O1192" s="8" t="str">
        <f t="shared" ca="1" si="56"/>
        <v>With in 90 days</v>
      </c>
      <c r="P1192" t="str">
        <f>VLOOKUP(C1192,[1]Customer_Master!$A:$B,2,0)</f>
        <v>Group-2 (Veeresh- Bomsdr+Hosur)</v>
      </c>
      <c r="Q1192" t="str">
        <f>VLOOKUP(D1192,[2]Template!$A:$D,3,0)</f>
        <v>LAPP</v>
      </c>
      <c r="R1192" t="str">
        <f>VLOOKUP(D1192,[2]Template!$A:$D,4,0)</f>
        <v>Lapp-Planned Stock General</v>
      </c>
    </row>
    <row r="1193" spans="1:18" ht="13.5" customHeight="1" x14ac:dyDescent="0.25">
      <c r="A1193" s="9">
        <v>46147</v>
      </c>
      <c r="B1193" s="10" t="s">
        <v>1533</v>
      </c>
      <c r="C1193" s="11" t="s">
        <v>1534</v>
      </c>
      <c r="D1193" s="10" t="s">
        <v>339</v>
      </c>
      <c r="E1193" s="12" t="s">
        <v>1072</v>
      </c>
      <c r="F1193" s="12" t="s">
        <v>124</v>
      </c>
      <c r="G1193" s="13">
        <v>400</v>
      </c>
      <c r="H1193" s="14">
        <v>400</v>
      </c>
      <c r="I1193" s="15">
        <v>24.13</v>
      </c>
      <c r="J1193" s="16"/>
      <c r="K1193" s="17">
        <v>9652</v>
      </c>
      <c r="L1193" s="18">
        <v>46147</v>
      </c>
      <c r="M1193" s="6" t="str">
        <f t="shared" si="54"/>
        <v>Schedule order</v>
      </c>
      <c r="N1193" s="8">
        <f t="shared" ca="1" si="55"/>
        <v>-8</v>
      </c>
      <c r="O1193" s="8" t="str">
        <f t="shared" ca="1" si="56"/>
        <v>With in 90 days</v>
      </c>
      <c r="P1193" t="str">
        <f>VLOOKUP(C1193,[1]Customer_Master!$A:$B,2,0)</f>
        <v>Group-2 (Veeresh- Bomsdr+Hosur)</v>
      </c>
      <c r="Q1193" t="str">
        <f>VLOOKUP(D1193,[2]Template!$A:$D,3,0)</f>
        <v>LAPP</v>
      </c>
      <c r="R1193" t="str">
        <f>VLOOKUP(D1193,[2]Template!$A:$D,4,0)</f>
        <v>Lapp-Planned Stock General</v>
      </c>
    </row>
    <row r="1194" spans="1:18" ht="13.5" customHeight="1" x14ac:dyDescent="0.25">
      <c r="A1194" s="9">
        <v>46147</v>
      </c>
      <c r="B1194" s="10" t="s">
        <v>1533</v>
      </c>
      <c r="C1194" s="11" t="s">
        <v>1534</v>
      </c>
      <c r="D1194" s="10" t="s">
        <v>650</v>
      </c>
      <c r="E1194" s="12" t="s">
        <v>1072</v>
      </c>
      <c r="F1194" s="12" t="s">
        <v>651</v>
      </c>
      <c r="G1194" s="13">
        <v>300</v>
      </c>
      <c r="H1194" s="14">
        <v>300</v>
      </c>
      <c r="I1194" s="15">
        <v>163.93</v>
      </c>
      <c r="J1194" s="16"/>
      <c r="K1194" s="17">
        <v>49179</v>
      </c>
      <c r="L1194" s="18">
        <v>46147</v>
      </c>
      <c r="M1194" s="6" t="str">
        <f t="shared" si="54"/>
        <v>Schedule order</v>
      </c>
      <c r="N1194" s="8">
        <f t="shared" ca="1" si="55"/>
        <v>-8</v>
      </c>
      <c r="O1194" s="8" t="str">
        <f t="shared" ca="1" si="56"/>
        <v>With in 90 days</v>
      </c>
      <c r="P1194" t="str">
        <f>VLOOKUP(C1194,[1]Customer_Master!$A:$B,2,0)</f>
        <v>Group-2 (Veeresh- Bomsdr+Hosur)</v>
      </c>
      <c r="Q1194" t="str">
        <f>VLOOKUP(D1194,[2]Template!$A:$D,3,0)</f>
        <v>LAPP</v>
      </c>
      <c r="R1194" t="str">
        <f>VLOOKUP(D1194,[2]Template!$A:$D,4,0)</f>
        <v>Lapp-Planned Stock General</v>
      </c>
    </row>
    <row r="1195" spans="1:18" ht="13.5" customHeight="1" x14ac:dyDescent="0.25">
      <c r="A1195" s="9">
        <v>46147</v>
      </c>
      <c r="B1195" s="10" t="s">
        <v>1533</v>
      </c>
      <c r="C1195" s="11" t="s">
        <v>1534</v>
      </c>
      <c r="D1195" s="10" t="s">
        <v>477</v>
      </c>
      <c r="E1195" s="12" t="s">
        <v>1072</v>
      </c>
      <c r="F1195" s="12" t="s">
        <v>478</v>
      </c>
      <c r="G1195" s="13">
        <v>200</v>
      </c>
      <c r="H1195" s="14">
        <v>200</v>
      </c>
      <c r="I1195" s="15">
        <v>427.11</v>
      </c>
      <c r="J1195" s="16"/>
      <c r="K1195" s="17">
        <v>85422</v>
      </c>
      <c r="L1195" s="18">
        <v>46147</v>
      </c>
      <c r="M1195" s="6" t="str">
        <f t="shared" si="54"/>
        <v>Schedule order</v>
      </c>
      <c r="N1195" s="8">
        <f t="shared" ca="1" si="55"/>
        <v>-8</v>
      </c>
      <c r="O1195" s="8" t="str">
        <f t="shared" ca="1" si="56"/>
        <v>With in 90 days</v>
      </c>
      <c r="P1195" t="str">
        <f>VLOOKUP(C1195,[1]Customer_Master!$A:$B,2,0)</f>
        <v>Group-2 (Veeresh- Bomsdr+Hosur)</v>
      </c>
      <c r="Q1195" t="str">
        <f>VLOOKUP(D1195,[2]Template!$A:$D,3,0)</f>
        <v>LAPP</v>
      </c>
      <c r="R1195" t="str">
        <f>VLOOKUP(D1195,[2]Template!$A:$D,4,0)</f>
        <v>Lapp-Planned Stock General</v>
      </c>
    </row>
    <row r="1196" spans="1:18" ht="13.5" customHeight="1" x14ac:dyDescent="0.25">
      <c r="A1196" s="9">
        <v>46147</v>
      </c>
      <c r="B1196" s="10" t="s">
        <v>1533</v>
      </c>
      <c r="C1196" s="11" t="s">
        <v>1534</v>
      </c>
      <c r="D1196" s="10" t="s">
        <v>335</v>
      </c>
      <c r="E1196" s="12" t="s">
        <v>1072</v>
      </c>
      <c r="F1196" s="12" t="s">
        <v>122</v>
      </c>
      <c r="G1196" s="13">
        <v>200</v>
      </c>
      <c r="H1196" s="14">
        <v>200</v>
      </c>
      <c r="I1196" s="15">
        <v>40.159999999999997</v>
      </c>
      <c r="J1196" s="16"/>
      <c r="K1196" s="17">
        <v>8032</v>
      </c>
      <c r="L1196" s="18">
        <v>46147</v>
      </c>
      <c r="M1196" s="6" t="str">
        <f t="shared" si="54"/>
        <v>Schedule order</v>
      </c>
      <c r="N1196" s="8">
        <f t="shared" ca="1" si="55"/>
        <v>-8</v>
      </c>
      <c r="O1196" s="8" t="str">
        <f t="shared" ca="1" si="56"/>
        <v>With in 90 days</v>
      </c>
      <c r="P1196" t="str">
        <f>VLOOKUP(C1196,[1]Customer_Master!$A:$B,2,0)</f>
        <v>Group-2 (Veeresh- Bomsdr+Hosur)</v>
      </c>
      <c r="Q1196" t="str">
        <f>VLOOKUP(D1196,[2]Template!$A:$D,3,0)</f>
        <v>LAPP</v>
      </c>
      <c r="R1196" t="str">
        <f>VLOOKUP(D1196,[2]Template!$A:$D,4,0)</f>
        <v>Lapp-Planned Stock General</v>
      </c>
    </row>
    <row r="1197" spans="1:18" ht="13.5" customHeight="1" x14ac:dyDescent="0.25">
      <c r="A1197" s="9">
        <v>46147</v>
      </c>
      <c r="B1197" s="10" t="s">
        <v>1533</v>
      </c>
      <c r="C1197" s="11" t="s">
        <v>1534</v>
      </c>
      <c r="D1197" s="10" t="s">
        <v>1535</v>
      </c>
      <c r="E1197" s="12" t="s">
        <v>1072</v>
      </c>
      <c r="F1197" s="12" t="s">
        <v>1536</v>
      </c>
      <c r="G1197" s="13">
        <v>150</v>
      </c>
      <c r="H1197" s="14">
        <v>150</v>
      </c>
      <c r="I1197" s="15">
        <v>42.15</v>
      </c>
      <c r="J1197" s="16"/>
      <c r="K1197" s="17">
        <v>6322.5</v>
      </c>
      <c r="L1197" s="18">
        <v>46147</v>
      </c>
      <c r="M1197" s="6" t="str">
        <f t="shared" si="54"/>
        <v>Schedule order</v>
      </c>
      <c r="N1197" s="8">
        <f t="shared" ca="1" si="55"/>
        <v>-8</v>
      </c>
      <c r="O1197" s="8" t="str">
        <f t="shared" ca="1" si="56"/>
        <v>With in 90 days</v>
      </c>
      <c r="P1197" t="str">
        <f>VLOOKUP(C1197,[1]Customer_Master!$A:$B,2,0)</f>
        <v>Group-2 (Veeresh- Bomsdr+Hosur)</v>
      </c>
      <c r="Q1197" t="str">
        <f>VLOOKUP(D1197,[2]Template!$A:$D,3,0)</f>
        <v>LAPP</v>
      </c>
      <c r="R1197" t="str">
        <f>VLOOKUP(D1197,[2]Template!$A:$D,4,0)</f>
        <v>Lapp-Planned Stock General</v>
      </c>
    </row>
    <row r="1198" spans="1:18" ht="13.5" customHeight="1" x14ac:dyDescent="0.25">
      <c r="A1198" s="9">
        <v>46147</v>
      </c>
      <c r="B1198" s="10" t="s">
        <v>1533</v>
      </c>
      <c r="C1198" s="11" t="s">
        <v>1534</v>
      </c>
      <c r="D1198" s="10" t="s">
        <v>1488</v>
      </c>
      <c r="E1198" s="12" t="s">
        <v>1072</v>
      </c>
      <c r="F1198" s="12" t="s">
        <v>1489</v>
      </c>
      <c r="G1198" s="13">
        <v>200</v>
      </c>
      <c r="H1198" s="14">
        <v>200</v>
      </c>
      <c r="I1198" s="15">
        <v>63.54</v>
      </c>
      <c r="J1198" s="16"/>
      <c r="K1198" s="17">
        <v>12708</v>
      </c>
      <c r="L1198" s="18">
        <v>46147</v>
      </c>
      <c r="M1198" s="6" t="str">
        <f t="shared" si="54"/>
        <v>Schedule order</v>
      </c>
      <c r="N1198" s="8">
        <f t="shared" ca="1" si="55"/>
        <v>-8</v>
      </c>
      <c r="O1198" s="8" t="str">
        <f t="shared" ca="1" si="56"/>
        <v>With in 90 days</v>
      </c>
      <c r="P1198" t="str">
        <f>VLOOKUP(C1198,[1]Customer_Master!$A:$B,2,0)</f>
        <v>Group-2 (Veeresh- Bomsdr+Hosur)</v>
      </c>
      <c r="Q1198" t="str">
        <f>VLOOKUP(D1198,[2]Template!$A:$D,3,0)</f>
        <v>LAPP</v>
      </c>
      <c r="R1198" t="str">
        <f>VLOOKUP(D1198,[2]Template!$A:$D,4,0)</f>
        <v>Lapp-Non Moving Stocks</v>
      </c>
    </row>
    <row r="1199" spans="1:18" ht="13.5" customHeight="1" x14ac:dyDescent="0.25">
      <c r="A1199" s="9">
        <v>46147</v>
      </c>
      <c r="B1199" s="10" t="s">
        <v>1533</v>
      </c>
      <c r="C1199" s="11" t="s">
        <v>1534</v>
      </c>
      <c r="D1199" s="10" t="s">
        <v>1537</v>
      </c>
      <c r="E1199" s="12" t="s">
        <v>1072</v>
      </c>
      <c r="F1199" s="12" t="s">
        <v>1538</v>
      </c>
      <c r="G1199" s="13">
        <v>50</v>
      </c>
      <c r="H1199" s="14">
        <v>50</v>
      </c>
      <c r="I1199" s="15">
        <v>132.5</v>
      </c>
      <c r="J1199" s="16"/>
      <c r="K1199" s="17">
        <v>6625</v>
      </c>
      <c r="L1199" s="18">
        <v>46147</v>
      </c>
      <c r="M1199" s="6" t="str">
        <f t="shared" si="54"/>
        <v>Schedule order</v>
      </c>
      <c r="N1199" s="8">
        <f t="shared" ca="1" si="55"/>
        <v>-8</v>
      </c>
      <c r="O1199" s="8" t="str">
        <f t="shared" ca="1" si="56"/>
        <v>With in 90 days</v>
      </c>
      <c r="P1199" t="str">
        <f>VLOOKUP(C1199,[1]Customer_Master!$A:$B,2,0)</f>
        <v>Group-2 (Veeresh- Bomsdr+Hosur)</v>
      </c>
      <c r="Q1199" t="str">
        <f>VLOOKUP(D1199,[2]Template!$A:$D,3,0)</f>
        <v>LAPP</v>
      </c>
      <c r="R1199" t="str">
        <f>VLOOKUP(D1199,[2]Template!$A:$D,4,0)</f>
        <v>Lapp-Non Moving Stocks</v>
      </c>
    </row>
    <row r="1200" spans="1:18" ht="13.5" customHeight="1" x14ac:dyDescent="0.25">
      <c r="A1200" s="9">
        <v>46147</v>
      </c>
      <c r="B1200" s="10" t="s">
        <v>1533</v>
      </c>
      <c r="C1200" s="11" t="s">
        <v>1534</v>
      </c>
      <c r="D1200" s="10" t="s">
        <v>448</v>
      </c>
      <c r="E1200" s="12" t="s">
        <v>1072</v>
      </c>
      <c r="F1200" s="12" t="s">
        <v>183</v>
      </c>
      <c r="G1200" s="13">
        <v>50</v>
      </c>
      <c r="H1200" s="14">
        <v>50</v>
      </c>
      <c r="I1200" s="15">
        <v>103.07</v>
      </c>
      <c r="J1200" s="16"/>
      <c r="K1200" s="17">
        <v>5153.5</v>
      </c>
      <c r="L1200" s="18">
        <v>46147</v>
      </c>
      <c r="M1200" s="6" t="str">
        <f t="shared" si="54"/>
        <v>Schedule order</v>
      </c>
      <c r="N1200" s="8">
        <f t="shared" ca="1" si="55"/>
        <v>-8</v>
      </c>
      <c r="O1200" s="8" t="str">
        <f t="shared" ca="1" si="56"/>
        <v>With in 90 days</v>
      </c>
      <c r="P1200" t="str">
        <f>VLOOKUP(C1200,[1]Customer_Master!$A:$B,2,0)</f>
        <v>Group-2 (Veeresh- Bomsdr+Hosur)</v>
      </c>
      <c r="Q1200" t="str">
        <f>VLOOKUP(D1200,[2]Template!$A:$D,3,0)</f>
        <v>LAPP</v>
      </c>
      <c r="R1200" t="str">
        <f>VLOOKUP(D1200,[2]Template!$A:$D,4,0)</f>
        <v>Lapp-Planned Stock General</v>
      </c>
    </row>
    <row r="1201" spans="1:18" ht="13.5" customHeight="1" x14ac:dyDescent="0.25">
      <c r="A1201" s="9">
        <v>46147</v>
      </c>
      <c r="B1201" s="10" t="s">
        <v>1533</v>
      </c>
      <c r="C1201" s="11" t="s">
        <v>1534</v>
      </c>
      <c r="D1201" s="27" t="s">
        <v>455</v>
      </c>
      <c r="E1201" s="12" t="s">
        <v>1072</v>
      </c>
      <c r="F1201" s="26" t="s">
        <v>84</v>
      </c>
      <c r="G1201" s="13">
        <v>200</v>
      </c>
      <c r="H1201" s="14">
        <v>200</v>
      </c>
      <c r="I1201" s="15">
        <v>320.83999999999997</v>
      </c>
      <c r="J1201" s="16"/>
      <c r="K1201" s="17">
        <v>64168</v>
      </c>
      <c r="L1201" s="18">
        <v>46147</v>
      </c>
      <c r="M1201" s="6" t="str">
        <f t="shared" si="54"/>
        <v>Schedule order</v>
      </c>
      <c r="N1201" s="8">
        <f t="shared" ca="1" si="55"/>
        <v>-8</v>
      </c>
      <c r="O1201" s="8" t="str">
        <f t="shared" ca="1" si="56"/>
        <v>With in 90 days</v>
      </c>
      <c r="P1201" t="str">
        <f>VLOOKUP(C1201,[1]Customer_Master!$A:$B,2,0)</f>
        <v>Group-2 (Veeresh- Bomsdr+Hosur)</v>
      </c>
      <c r="Q1201" t="str">
        <f>VLOOKUP(D1201,[2]Template!$A:$D,3,0)</f>
        <v>LAPP</v>
      </c>
      <c r="R1201" t="str">
        <f>VLOOKUP(D1201,[2]Template!$A:$D,4,0)</f>
        <v>Lapp-Against Customer PO</v>
      </c>
    </row>
    <row r="1202" spans="1:18" ht="13.5" customHeight="1" x14ac:dyDescent="0.25">
      <c r="A1202" s="9">
        <v>46147</v>
      </c>
      <c r="B1202" s="10" t="s">
        <v>1539</v>
      </c>
      <c r="C1202" s="11" t="s">
        <v>1534</v>
      </c>
      <c r="D1202" s="10" t="s">
        <v>1304</v>
      </c>
      <c r="E1202" s="12" t="s">
        <v>1072</v>
      </c>
      <c r="F1202" s="12" t="s">
        <v>1305</v>
      </c>
      <c r="G1202" s="13">
        <v>500</v>
      </c>
      <c r="H1202" s="14">
        <v>500</v>
      </c>
      <c r="I1202" s="15">
        <v>13.14</v>
      </c>
      <c r="J1202" s="16"/>
      <c r="K1202" s="17">
        <v>6570</v>
      </c>
      <c r="L1202" s="18">
        <v>46147</v>
      </c>
      <c r="M1202" s="6" t="str">
        <f t="shared" si="54"/>
        <v>Schedule order</v>
      </c>
      <c r="N1202" s="8">
        <f t="shared" ca="1" si="55"/>
        <v>-8</v>
      </c>
      <c r="O1202" s="8" t="str">
        <f t="shared" ca="1" si="56"/>
        <v>With in 90 days</v>
      </c>
      <c r="P1202" t="str">
        <f>VLOOKUP(C1202,[1]Customer_Master!$A:$B,2,0)</f>
        <v>Group-2 (Veeresh- Bomsdr+Hosur)</v>
      </c>
      <c r="Q1202" t="str">
        <f>VLOOKUP(D1202,[2]Template!$A:$D,3,0)</f>
        <v>LAPP</v>
      </c>
      <c r="R1202" t="str">
        <f>VLOOKUP(D1202,[2]Template!$A:$D,4,0)</f>
        <v>Lapp-Planned Stock General</v>
      </c>
    </row>
    <row r="1203" spans="1:18" ht="13.5" customHeight="1" x14ac:dyDescent="0.25">
      <c r="A1203" s="9">
        <v>46147</v>
      </c>
      <c r="B1203" s="10" t="s">
        <v>1539</v>
      </c>
      <c r="C1203" s="11" t="s">
        <v>1534</v>
      </c>
      <c r="D1203" s="10" t="s">
        <v>339</v>
      </c>
      <c r="E1203" s="12" t="s">
        <v>1072</v>
      </c>
      <c r="F1203" s="12" t="s">
        <v>124</v>
      </c>
      <c r="G1203" s="13">
        <v>300</v>
      </c>
      <c r="H1203" s="14">
        <v>300</v>
      </c>
      <c r="I1203" s="15">
        <v>24.13</v>
      </c>
      <c r="J1203" s="16"/>
      <c r="K1203" s="17">
        <v>7239</v>
      </c>
      <c r="L1203" s="18">
        <v>46147</v>
      </c>
      <c r="M1203" s="6" t="str">
        <f t="shared" si="54"/>
        <v>Schedule order</v>
      </c>
      <c r="N1203" s="8">
        <f t="shared" ca="1" si="55"/>
        <v>-8</v>
      </c>
      <c r="O1203" s="8" t="str">
        <f t="shared" ca="1" si="56"/>
        <v>With in 90 days</v>
      </c>
      <c r="P1203" t="str">
        <f>VLOOKUP(C1203,[1]Customer_Master!$A:$B,2,0)</f>
        <v>Group-2 (Veeresh- Bomsdr+Hosur)</v>
      </c>
      <c r="Q1203" t="str">
        <f>VLOOKUP(D1203,[2]Template!$A:$D,3,0)</f>
        <v>LAPP</v>
      </c>
      <c r="R1203" t="str">
        <f>VLOOKUP(D1203,[2]Template!$A:$D,4,0)</f>
        <v>Lapp-Planned Stock General</v>
      </c>
    </row>
    <row r="1204" spans="1:18" ht="13.5" customHeight="1" x14ac:dyDescent="0.25">
      <c r="A1204" s="9">
        <v>46147</v>
      </c>
      <c r="B1204" s="10" t="s">
        <v>1539</v>
      </c>
      <c r="C1204" s="11" t="s">
        <v>1534</v>
      </c>
      <c r="D1204" s="10" t="s">
        <v>334</v>
      </c>
      <c r="E1204" s="12" t="s">
        <v>1072</v>
      </c>
      <c r="F1204" s="12" t="s">
        <v>87</v>
      </c>
      <c r="G1204" s="13">
        <v>200</v>
      </c>
      <c r="H1204" s="14">
        <v>200</v>
      </c>
      <c r="I1204" s="15">
        <v>40.159999999999997</v>
      </c>
      <c r="J1204" s="16"/>
      <c r="K1204" s="17">
        <v>8032</v>
      </c>
      <c r="L1204" s="18">
        <v>46147</v>
      </c>
      <c r="M1204" s="6" t="str">
        <f t="shared" si="54"/>
        <v>Schedule order</v>
      </c>
      <c r="N1204" s="8">
        <f t="shared" ca="1" si="55"/>
        <v>-8</v>
      </c>
      <c r="O1204" s="8" t="str">
        <f t="shared" ca="1" si="56"/>
        <v>With in 90 days</v>
      </c>
      <c r="P1204" t="str">
        <f>VLOOKUP(C1204,[1]Customer_Master!$A:$B,2,0)</f>
        <v>Group-2 (Veeresh- Bomsdr+Hosur)</v>
      </c>
      <c r="Q1204" t="str">
        <f>VLOOKUP(D1204,[2]Template!$A:$D,3,0)</f>
        <v>LAPP</v>
      </c>
      <c r="R1204" t="str">
        <f>VLOOKUP(D1204,[2]Template!$A:$D,4,0)</f>
        <v>Lapp-Planned Stock General</v>
      </c>
    </row>
    <row r="1205" spans="1:18" ht="13.5" customHeight="1" x14ac:dyDescent="0.25">
      <c r="A1205" s="9">
        <v>46147</v>
      </c>
      <c r="B1205" s="10" t="s">
        <v>1539</v>
      </c>
      <c r="C1205" s="11" t="s">
        <v>1534</v>
      </c>
      <c r="D1205" s="10" t="s">
        <v>1535</v>
      </c>
      <c r="E1205" s="12" t="s">
        <v>1072</v>
      </c>
      <c r="F1205" s="12" t="s">
        <v>1536</v>
      </c>
      <c r="G1205" s="13">
        <v>40</v>
      </c>
      <c r="H1205" s="14">
        <v>40</v>
      </c>
      <c r="I1205" s="15">
        <v>42.15</v>
      </c>
      <c r="J1205" s="16"/>
      <c r="K1205" s="17">
        <v>1686</v>
      </c>
      <c r="L1205" s="18">
        <v>46147</v>
      </c>
      <c r="M1205" s="6" t="str">
        <f t="shared" si="54"/>
        <v>Schedule order</v>
      </c>
      <c r="N1205" s="8">
        <f t="shared" ca="1" si="55"/>
        <v>-8</v>
      </c>
      <c r="O1205" s="8" t="str">
        <f t="shared" ca="1" si="56"/>
        <v>With in 90 days</v>
      </c>
      <c r="P1205" t="str">
        <f>VLOOKUP(C1205,[1]Customer_Master!$A:$B,2,0)</f>
        <v>Group-2 (Veeresh- Bomsdr+Hosur)</v>
      </c>
      <c r="Q1205" t="str">
        <f>VLOOKUP(D1205,[2]Template!$A:$D,3,0)</f>
        <v>LAPP</v>
      </c>
      <c r="R1205" t="str">
        <f>VLOOKUP(D1205,[2]Template!$A:$D,4,0)</f>
        <v>Lapp-Planned Stock General</v>
      </c>
    </row>
    <row r="1206" spans="1:18" ht="13.5" customHeight="1" x14ac:dyDescent="0.25">
      <c r="A1206" s="9">
        <v>46147</v>
      </c>
      <c r="B1206" s="10" t="s">
        <v>1539</v>
      </c>
      <c r="C1206" s="11" t="s">
        <v>1534</v>
      </c>
      <c r="D1206" s="10" t="s">
        <v>1488</v>
      </c>
      <c r="E1206" s="12" t="s">
        <v>1072</v>
      </c>
      <c r="F1206" s="12" t="s">
        <v>1489</v>
      </c>
      <c r="G1206" s="13">
        <v>50</v>
      </c>
      <c r="H1206" s="14">
        <v>50</v>
      </c>
      <c r="I1206" s="15">
        <v>63.54</v>
      </c>
      <c r="J1206" s="16"/>
      <c r="K1206" s="17">
        <v>3177</v>
      </c>
      <c r="L1206" s="18">
        <v>46147</v>
      </c>
      <c r="M1206" s="6" t="str">
        <f t="shared" si="54"/>
        <v>Schedule order</v>
      </c>
      <c r="N1206" s="8">
        <f t="shared" ca="1" si="55"/>
        <v>-8</v>
      </c>
      <c r="O1206" s="8" t="str">
        <f t="shared" ca="1" si="56"/>
        <v>With in 90 days</v>
      </c>
      <c r="P1206" t="str">
        <f>VLOOKUP(C1206,[1]Customer_Master!$A:$B,2,0)</f>
        <v>Group-2 (Veeresh- Bomsdr+Hosur)</v>
      </c>
      <c r="Q1206" t="str">
        <f>VLOOKUP(D1206,[2]Template!$A:$D,3,0)</f>
        <v>LAPP</v>
      </c>
      <c r="R1206" t="str">
        <f>VLOOKUP(D1206,[2]Template!$A:$D,4,0)</f>
        <v>Lapp-Non Moving Stocks</v>
      </c>
    </row>
    <row r="1207" spans="1:18" ht="13.5" customHeight="1" x14ac:dyDescent="0.25">
      <c r="A1207" s="9">
        <v>46147</v>
      </c>
      <c r="B1207" s="10" t="s">
        <v>1539</v>
      </c>
      <c r="C1207" s="11" t="s">
        <v>1534</v>
      </c>
      <c r="D1207" s="10" t="s">
        <v>1537</v>
      </c>
      <c r="E1207" s="12" t="s">
        <v>1072</v>
      </c>
      <c r="F1207" s="12" t="s">
        <v>1538</v>
      </c>
      <c r="G1207" s="13">
        <v>20</v>
      </c>
      <c r="H1207" s="14">
        <v>20</v>
      </c>
      <c r="I1207" s="15">
        <v>132.5</v>
      </c>
      <c r="J1207" s="16"/>
      <c r="K1207" s="17">
        <v>2650</v>
      </c>
      <c r="L1207" s="18">
        <v>46147</v>
      </c>
      <c r="M1207" s="6" t="str">
        <f t="shared" si="54"/>
        <v>Schedule order</v>
      </c>
      <c r="N1207" s="8">
        <f t="shared" ca="1" si="55"/>
        <v>-8</v>
      </c>
      <c r="O1207" s="8" t="str">
        <f t="shared" ca="1" si="56"/>
        <v>With in 90 days</v>
      </c>
      <c r="P1207" t="str">
        <f>VLOOKUP(C1207,[1]Customer_Master!$A:$B,2,0)</f>
        <v>Group-2 (Veeresh- Bomsdr+Hosur)</v>
      </c>
      <c r="Q1207" t="str">
        <f>VLOOKUP(D1207,[2]Template!$A:$D,3,0)</f>
        <v>LAPP</v>
      </c>
      <c r="R1207" t="str">
        <f>VLOOKUP(D1207,[2]Template!$A:$D,4,0)</f>
        <v>Lapp-Non Moving Stocks</v>
      </c>
    </row>
    <row r="1208" spans="1:18" ht="13.5" customHeight="1" x14ac:dyDescent="0.25">
      <c r="A1208" s="9">
        <v>46147</v>
      </c>
      <c r="B1208" s="10" t="s">
        <v>1539</v>
      </c>
      <c r="C1208" s="11" t="s">
        <v>1534</v>
      </c>
      <c r="D1208" s="10" t="s">
        <v>448</v>
      </c>
      <c r="E1208" s="12" t="s">
        <v>1072</v>
      </c>
      <c r="F1208" s="12" t="s">
        <v>183</v>
      </c>
      <c r="G1208" s="13">
        <v>30</v>
      </c>
      <c r="H1208" s="14">
        <v>30</v>
      </c>
      <c r="I1208" s="15">
        <v>112.44</v>
      </c>
      <c r="J1208" s="16"/>
      <c r="K1208" s="17">
        <v>3373.2</v>
      </c>
      <c r="L1208" s="18">
        <v>46147</v>
      </c>
      <c r="M1208" s="6" t="str">
        <f t="shared" si="54"/>
        <v>Schedule order</v>
      </c>
      <c r="N1208" s="8">
        <f t="shared" ca="1" si="55"/>
        <v>-8</v>
      </c>
      <c r="O1208" s="8" t="str">
        <f t="shared" ca="1" si="56"/>
        <v>With in 90 days</v>
      </c>
      <c r="P1208" t="str">
        <f>VLOOKUP(C1208,[1]Customer_Master!$A:$B,2,0)</f>
        <v>Group-2 (Veeresh- Bomsdr+Hosur)</v>
      </c>
      <c r="Q1208" t="str">
        <f>VLOOKUP(D1208,[2]Template!$A:$D,3,0)</f>
        <v>LAPP</v>
      </c>
      <c r="R1208" t="str">
        <f>VLOOKUP(D1208,[2]Template!$A:$D,4,0)</f>
        <v>Lapp-Planned Stock General</v>
      </c>
    </row>
    <row r="1209" spans="1:18" ht="13.5" customHeight="1" x14ac:dyDescent="0.25">
      <c r="A1209" s="9">
        <v>46147</v>
      </c>
      <c r="B1209" s="10" t="s">
        <v>1539</v>
      </c>
      <c r="C1209" s="11" t="s">
        <v>1534</v>
      </c>
      <c r="D1209" s="27" t="s">
        <v>1540</v>
      </c>
      <c r="E1209" s="12" t="s">
        <v>1072</v>
      </c>
      <c r="F1209" s="12" t="s">
        <v>1541</v>
      </c>
      <c r="G1209" s="13">
        <v>30</v>
      </c>
      <c r="H1209" s="14">
        <v>30</v>
      </c>
      <c r="I1209" s="15">
        <v>197.66</v>
      </c>
      <c r="J1209" s="16"/>
      <c r="K1209" s="17">
        <v>5929.8</v>
      </c>
      <c r="L1209" s="18">
        <v>46147</v>
      </c>
      <c r="M1209" s="6" t="str">
        <f t="shared" si="54"/>
        <v>Schedule order</v>
      </c>
      <c r="N1209" s="8">
        <f t="shared" ca="1" si="55"/>
        <v>-8</v>
      </c>
      <c r="O1209" s="8" t="str">
        <f t="shared" ca="1" si="56"/>
        <v>With in 90 days</v>
      </c>
      <c r="P1209" t="str">
        <f>VLOOKUP(C1209,[1]Customer_Master!$A:$B,2,0)</f>
        <v>Group-2 (Veeresh- Bomsdr+Hosur)</v>
      </c>
      <c r="Q1209" t="str">
        <f>VLOOKUP(D1209,[2]Template!$A:$D,3,0)</f>
        <v>LAPP</v>
      </c>
      <c r="R1209" t="str">
        <f>VLOOKUP(D1209,[2]Template!$A:$D,4,0)</f>
        <v>Lapp-Against Customer PO</v>
      </c>
    </row>
    <row r="1210" spans="1:18" ht="13.5" customHeight="1" x14ac:dyDescent="0.25">
      <c r="A1210" s="9">
        <v>46147</v>
      </c>
      <c r="B1210" s="10" t="s">
        <v>1539</v>
      </c>
      <c r="C1210" s="11" t="s">
        <v>1534</v>
      </c>
      <c r="D1210" s="27" t="s">
        <v>455</v>
      </c>
      <c r="E1210" s="12" t="s">
        <v>1072</v>
      </c>
      <c r="F1210" s="26" t="s">
        <v>84</v>
      </c>
      <c r="G1210" s="13">
        <v>40</v>
      </c>
      <c r="H1210" s="14">
        <v>40</v>
      </c>
      <c r="I1210" s="15">
        <v>320.83999999999997</v>
      </c>
      <c r="J1210" s="16"/>
      <c r="K1210" s="17">
        <v>12833.6</v>
      </c>
      <c r="L1210" s="18">
        <v>46147</v>
      </c>
      <c r="M1210" s="6" t="str">
        <f t="shared" si="54"/>
        <v>Schedule order</v>
      </c>
      <c r="N1210" s="8">
        <f t="shared" ca="1" si="55"/>
        <v>-8</v>
      </c>
      <c r="O1210" s="8" t="str">
        <f t="shared" ca="1" si="56"/>
        <v>With in 90 days</v>
      </c>
      <c r="P1210" t="str">
        <f>VLOOKUP(C1210,[1]Customer_Master!$A:$B,2,0)</f>
        <v>Group-2 (Veeresh- Bomsdr+Hosur)</v>
      </c>
      <c r="Q1210" t="str">
        <f>VLOOKUP(D1210,[2]Template!$A:$D,3,0)</f>
        <v>LAPP</v>
      </c>
      <c r="R1210" t="str">
        <f>VLOOKUP(D1210,[2]Template!$A:$D,4,0)</f>
        <v>Lapp-Against Customer PO</v>
      </c>
    </row>
    <row r="1211" spans="1:18" ht="13.5" customHeight="1" x14ac:dyDescent="0.25">
      <c r="A1211" s="9">
        <v>46147</v>
      </c>
      <c r="B1211" s="10" t="s">
        <v>1539</v>
      </c>
      <c r="C1211" s="11" t="s">
        <v>1534</v>
      </c>
      <c r="D1211" s="10" t="s">
        <v>947</v>
      </c>
      <c r="E1211" s="12" t="s">
        <v>1072</v>
      </c>
      <c r="F1211" s="12" t="s">
        <v>948</v>
      </c>
      <c r="G1211" s="13">
        <v>20</v>
      </c>
      <c r="H1211" s="14">
        <v>20</v>
      </c>
      <c r="I1211" s="15">
        <v>828.8</v>
      </c>
      <c r="J1211" s="16"/>
      <c r="K1211" s="17">
        <v>16576</v>
      </c>
      <c r="L1211" s="18">
        <v>46147</v>
      </c>
      <c r="M1211" s="6" t="str">
        <f t="shared" si="54"/>
        <v>Schedule order</v>
      </c>
      <c r="N1211" s="8">
        <f t="shared" ca="1" si="55"/>
        <v>-8</v>
      </c>
      <c r="O1211" s="8" t="str">
        <f t="shared" ca="1" si="56"/>
        <v>With in 90 days</v>
      </c>
      <c r="P1211" t="str">
        <f>VLOOKUP(C1211,[1]Customer_Master!$A:$B,2,0)</f>
        <v>Group-2 (Veeresh- Bomsdr+Hosur)</v>
      </c>
      <c r="Q1211" t="str">
        <f>VLOOKUP(D1211,[2]Template!$A:$D,3,0)</f>
        <v>LAPP</v>
      </c>
      <c r="R1211" t="str">
        <f>VLOOKUP(D1211,[2]Template!$A:$D,4,0)</f>
        <v>Lapp-Planned Stock General</v>
      </c>
    </row>
    <row r="1212" spans="1:18" ht="13.5" customHeight="1" x14ac:dyDescent="0.25">
      <c r="A1212" s="9">
        <v>46147</v>
      </c>
      <c r="B1212" s="10" t="s">
        <v>1542</v>
      </c>
      <c r="C1212" s="11" t="s">
        <v>612</v>
      </c>
      <c r="D1212" s="10" t="s">
        <v>1543</v>
      </c>
      <c r="E1212" s="12" t="s">
        <v>1072</v>
      </c>
      <c r="F1212" s="12" t="s">
        <v>1544</v>
      </c>
      <c r="G1212" s="22">
        <v>3000</v>
      </c>
      <c r="H1212" s="23">
        <v>2900</v>
      </c>
      <c r="I1212" s="15">
        <v>44.5</v>
      </c>
      <c r="J1212" s="16"/>
      <c r="K1212" s="17">
        <v>129050</v>
      </c>
      <c r="L1212" s="18">
        <v>46147</v>
      </c>
      <c r="M1212" s="6" t="str">
        <f t="shared" si="54"/>
        <v>Schedule order</v>
      </c>
      <c r="N1212" s="8">
        <f t="shared" ca="1" si="55"/>
        <v>-8</v>
      </c>
      <c r="O1212" s="8" t="str">
        <f t="shared" ca="1" si="56"/>
        <v>With in 90 days</v>
      </c>
      <c r="P1212" t="str">
        <f>VLOOKUP(C1212,[1]Customer_Master!$A:$B,2,0)</f>
        <v>Online Business</v>
      </c>
      <c r="Q1212" t="str">
        <f>VLOOKUP(D1212,[2]Template!$A:$D,3,0)</f>
        <v>LAPP</v>
      </c>
      <c r="R1212" t="str">
        <f>VLOOKUP(D1212,[2]Template!$A:$D,4,0)</f>
        <v>Lapp-Planned Stock General</v>
      </c>
    </row>
    <row r="1213" spans="1:18" ht="13.5" customHeight="1" x14ac:dyDescent="0.25">
      <c r="A1213" s="9">
        <v>46147</v>
      </c>
      <c r="B1213" s="10" t="s">
        <v>1542</v>
      </c>
      <c r="C1213" s="11" t="s">
        <v>612</v>
      </c>
      <c r="D1213" s="10" t="s">
        <v>613</v>
      </c>
      <c r="E1213" s="12" t="s">
        <v>1072</v>
      </c>
      <c r="F1213" s="12" t="s">
        <v>614</v>
      </c>
      <c r="G1213" s="22">
        <v>3500</v>
      </c>
      <c r="H1213" s="23">
        <v>3000</v>
      </c>
      <c r="I1213" s="15">
        <v>12.25</v>
      </c>
      <c r="J1213" s="16"/>
      <c r="K1213" s="17">
        <v>36750</v>
      </c>
      <c r="L1213" s="18">
        <v>46147</v>
      </c>
      <c r="M1213" s="6" t="str">
        <f t="shared" si="54"/>
        <v>Schedule order</v>
      </c>
      <c r="N1213" s="8">
        <f t="shared" ca="1" si="55"/>
        <v>-8</v>
      </c>
      <c r="O1213" s="8" t="str">
        <f t="shared" ca="1" si="56"/>
        <v>With in 90 days</v>
      </c>
      <c r="P1213" t="str">
        <f>VLOOKUP(C1213,[1]Customer_Master!$A:$B,2,0)</f>
        <v>Online Business</v>
      </c>
      <c r="Q1213" t="str">
        <f>VLOOKUP(D1213,[2]Template!$A:$D,3,0)</f>
        <v>LAPP</v>
      </c>
      <c r="R1213" t="str">
        <f>VLOOKUP(D1213,[2]Template!$A:$D,4,0)</f>
        <v>Lapp-Against Customer PO</v>
      </c>
    </row>
    <row r="1214" spans="1:18" ht="13.5" customHeight="1" x14ac:dyDescent="0.25">
      <c r="A1214" s="9">
        <v>46147</v>
      </c>
      <c r="B1214" s="10" t="s">
        <v>1542</v>
      </c>
      <c r="C1214" s="11" t="s">
        <v>612</v>
      </c>
      <c r="D1214" s="10" t="s">
        <v>340</v>
      </c>
      <c r="E1214" s="12" t="s">
        <v>1072</v>
      </c>
      <c r="F1214" s="12" t="s">
        <v>126</v>
      </c>
      <c r="G1214" s="22">
        <v>2000</v>
      </c>
      <c r="H1214" s="23">
        <v>1900</v>
      </c>
      <c r="I1214" s="15">
        <v>5.28</v>
      </c>
      <c r="J1214" s="16"/>
      <c r="K1214" s="17">
        <v>10032</v>
      </c>
      <c r="L1214" s="18">
        <v>46147</v>
      </c>
      <c r="M1214" s="6" t="str">
        <f t="shared" si="54"/>
        <v>Schedule order</v>
      </c>
      <c r="N1214" s="8">
        <f t="shared" ca="1" si="55"/>
        <v>-8</v>
      </c>
      <c r="O1214" s="8" t="str">
        <f t="shared" ca="1" si="56"/>
        <v>With in 90 days</v>
      </c>
      <c r="P1214" t="str">
        <f>VLOOKUP(C1214,[1]Customer_Master!$A:$B,2,0)</f>
        <v>Online Business</v>
      </c>
      <c r="Q1214" t="str">
        <f>VLOOKUP(D1214,[2]Template!$A:$D,3,0)</f>
        <v>LAPP</v>
      </c>
      <c r="R1214" t="str">
        <f>VLOOKUP(D1214,[2]Template!$A:$D,4,0)</f>
        <v>Lapp-Non Moving Stocks</v>
      </c>
    </row>
    <row r="1215" spans="1:18" ht="13.5" customHeight="1" x14ac:dyDescent="0.25">
      <c r="A1215" s="9">
        <v>46147</v>
      </c>
      <c r="B1215" s="10" t="s">
        <v>1542</v>
      </c>
      <c r="C1215" s="11" t="s">
        <v>612</v>
      </c>
      <c r="D1215" s="10" t="s">
        <v>939</v>
      </c>
      <c r="E1215" s="12" t="s">
        <v>1072</v>
      </c>
      <c r="F1215" s="12" t="s">
        <v>940</v>
      </c>
      <c r="G1215" s="22">
        <v>500</v>
      </c>
      <c r="H1215" s="23">
        <v>100</v>
      </c>
      <c r="I1215" s="15">
        <v>69.760000000000005</v>
      </c>
      <c r="J1215" s="16"/>
      <c r="K1215" s="17">
        <v>6976</v>
      </c>
      <c r="L1215" s="18">
        <v>46147</v>
      </c>
      <c r="M1215" s="6" t="str">
        <f t="shared" si="54"/>
        <v>Schedule order</v>
      </c>
      <c r="N1215" s="8">
        <f t="shared" ca="1" si="55"/>
        <v>-8</v>
      </c>
      <c r="O1215" s="8" t="str">
        <f t="shared" ca="1" si="56"/>
        <v>With in 90 days</v>
      </c>
      <c r="P1215" t="str">
        <f>VLOOKUP(C1215,[1]Customer_Master!$A:$B,2,0)</f>
        <v>Online Business</v>
      </c>
      <c r="Q1215" t="str">
        <f>VLOOKUP(D1215,[2]Template!$A:$D,3,0)</f>
        <v>LAPP</v>
      </c>
      <c r="R1215" t="str">
        <f>VLOOKUP(D1215,[2]Template!$A:$D,4,0)</f>
        <v>Lapp-Planned Stock General</v>
      </c>
    </row>
    <row r="1216" spans="1:18" ht="13.5" customHeight="1" x14ac:dyDescent="0.25">
      <c r="A1216" s="9">
        <v>46147</v>
      </c>
      <c r="B1216" s="10" t="s">
        <v>1542</v>
      </c>
      <c r="C1216" s="11" t="s">
        <v>612</v>
      </c>
      <c r="D1216" s="10" t="s">
        <v>1549</v>
      </c>
      <c r="E1216" s="12" t="s">
        <v>1072</v>
      </c>
      <c r="F1216" s="12" t="s">
        <v>1550</v>
      </c>
      <c r="G1216" s="22">
        <v>2000</v>
      </c>
      <c r="H1216" s="23">
        <v>2000</v>
      </c>
      <c r="I1216" s="15">
        <v>11.25</v>
      </c>
      <c r="J1216" s="16"/>
      <c r="K1216" s="17">
        <v>22500</v>
      </c>
      <c r="L1216" s="18">
        <v>46147</v>
      </c>
      <c r="M1216" s="6" t="str">
        <f t="shared" si="54"/>
        <v>Schedule order</v>
      </c>
      <c r="N1216" s="8">
        <f t="shared" ca="1" si="55"/>
        <v>-8</v>
      </c>
      <c r="O1216" s="8" t="str">
        <f t="shared" ca="1" si="56"/>
        <v>With in 90 days</v>
      </c>
      <c r="P1216" t="str">
        <f>VLOOKUP(C1216,[1]Customer_Master!$A:$B,2,0)</f>
        <v>Online Business</v>
      </c>
      <c r="Q1216" t="str">
        <f>VLOOKUP(D1216,[2]Template!$A:$D,3,0)</f>
        <v>LAPP</v>
      </c>
      <c r="R1216" t="str">
        <f>VLOOKUP(D1216,[2]Template!$A:$D,4,0)</f>
        <v>Lapp-Non Moving Stocks</v>
      </c>
    </row>
    <row r="1217" spans="1:18" ht="13.5" customHeight="1" x14ac:dyDescent="0.25">
      <c r="A1217" s="9">
        <v>46147</v>
      </c>
      <c r="B1217" s="10" t="s">
        <v>1551</v>
      </c>
      <c r="C1217" s="11" t="s">
        <v>612</v>
      </c>
      <c r="D1217" s="10" t="s">
        <v>1543</v>
      </c>
      <c r="E1217" s="12" t="s">
        <v>1072</v>
      </c>
      <c r="F1217" s="12" t="s">
        <v>1544</v>
      </c>
      <c r="G1217" s="22">
        <v>2500</v>
      </c>
      <c r="H1217" s="23">
        <v>2500</v>
      </c>
      <c r="I1217" s="15">
        <v>44.5</v>
      </c>
      <c r="J1217" s="16"/>
      <c r="K1217" s="17">
        <v>111250</v>
      </c>
      <c r="L1217" s="18">
        <v>46167</v>
      </c>
      <c r="M1217" s="6" t="str">
        <f t="shared" si="54"/>
        <v>Schedule order</v>
      </c>
      <c r="N1217" s="8">
        <f t="shared" ca="1" si="55"/>
        <v>12</v>
      </c>
      <c r="O1217" s="8" t="str">
        <f t="shared" ca="1" si="56"/>
        <v>Lattest or shedule order</v>
      </c>
      <c r="P1217" t="str">
        <f>VLOOKUP(C1217,[1]Customer_Master!$A:$B,2,0)</f>
        <v>Online Business</v>
      </c>
      <c r="Q1217" t="str">
        <f>VLOOKUP(D1217,[2]Template!$A:$D,3,0)</f>
        <v>LAPP</v>
      </c>
      <c r="R1217" t="str">
        <f>VLOOKUP(D1217,[2]Template!$A:$D,4,0)</f>
        <v>Lapp-Planned Stock General</v>
      </c>
    </row>
    <row r="1218" spans="1:18" ht="13.5" customHeight="1" x14ac:dyDescent="0.25">
      <c r="A1218" s="9">
        <v>46147</v>
      </c>
      <c r="B1218" s="10" t="s">
        <v>1551</v>
      </c>
      <c r="C1218" s="11" t="s">
        <v>612</v>
      </c>
      <c r="D1218" s="10" t="s">
        <v>613</v>
      </c>
      <c r="E1218" s="12" t="s">
        <v>1072</v>
      </c>
      <c r="F1218" s="12" t="s">
        <v>614</v>
      </c>
      <c r="G1218" s="22">
        <v>3000</v>
      </c>
      <c r="H1218" s="23">
        <v>3000</v>
      </c>
      <c r="I1218" s="15">
        <v>12.25</v>
      </c>
      <c r="J1218" s="16"/>
      <c r="K1218" s="17">
        <v>36750</v>
      </c>
      <c r="L1218" s="18">
        <v>46167</v>
      </c>
      <c r="M1218" s="6" t="str">
        <f t="shared" si="54"/>
        <v>Schedule order</v>
      </c>
      <c r="N1218" s="8">
        <f t="shared" ca="1" si="55"/>
        <v>12</v>
      </c>
      <c r="O1218" s="8" t="str">
        <f t="shared" ca="1" si="56"/>
        <v>Lattest or shedule order</v>
      </c>
      <c r="P1218" t="str">
        <f>VLOOKUP(C1218,[1]Customer_Master!$A:$B,2,0)</f>
        <v>Online Business</v>
      </c>
      <c r="Q1218" t="str">
        <f>VLOOKUP(D1218,[2]Template!$A:$D,3,0)</f>
        <v>LAPP</v>
      </c>
      <c r="R1218" t="str">
        <f>VLOOKUP(D1218,[2]Template!$A:$D,4,0)</f>
        <v>Lapp-Against Customer PO</v>
      </c>
    </row>
    <row r="1219" spans="1:18" ht="13.5" customHeight="1" x14ac:dyDescent="0.25">
      <c r="A1219" s="9">
        <v>46147</v>
      </c>
      <c r="B1219" s="10" t="s">
        <v>1551</v>
      </c>
      <c r="C1219" s="11" t="s">
        <v>612</v>
      </c>
      <c r="D1219" s="10" t="s">
        <v>483</v>
      </c>
      <c r="E1219" s="12" t="s">
        <v>1072</v>
      </c>
      <c r="F1219" s="12" t="s">
        <v>484</v>
      </c>
      <c r="G1219" s="22">
        <v>2500</v>
      </c>
      <c r="H1219" s="23">
        <v>1600</v>
      </c>
      <c r="I1219" s="15">
        <v>5.23</v>
      </c>
      <c r="J1219" s="16"/>
      <c r="K1219" s="17">
        <v>8368</v>
      </c>
      <c r="L1219" s="18">
        <v>46167</v>
      </c>
      <c r="M1219" s="6" t="str">
        <f t="shared" ref="M1219:M1282" si="57">IF(L1219&lt;DATE(2026,4,30),"Due order","Schedule order")</f>
        <v>Schedule order</v>
      </c>
      <c r="N1219" s="8">
        <f t="shared" ref="N1219:N1282" ca="1" si="58">L1219-TODAY()</f>
        <v>12</v>
      </c>
      <c r="O1219" s="8" t="str">
        <f t="shared" ref="O1219:O1282" ca="1" si="59">IF(N1219&lt;-365,"More than 1 Year old",IF(N1219&lt;-180," More than 180 days old",IF(N1219&lt;-90,"More than 90 day old",IF(N1219&lt;0,"With in 90 days","Lattest or shedule order"))))</f>
        <v>Lattest or shedule order</v>
      </c>
      <c r="P1219" t="str">
        <f>VLOOKUP(C1219,[1]Customer_Master!$A:$B,2,0)</f>
        <v>Online Business</v>
      </c>
      <c r="Q1219" t="str">
        <f>VLOOKUP(D1219,[2]Template!$A:$D,3,0)</f>
        <v>LAPP</v>
      </c>
      <c r="R1219" t="str">
        <f>VLOOKUP(D1219,[2]Template!$A:$D,4,0)</f>
        <v>Lapp-Non Moving Stocks</v>
      </c>
    </row>
    <row r="1220" spans="1:18" ht="13.5" customHeight="1" x14ac:dyDescent="0.25">
      <c r="A1220" s="9">
        <v>46147</v>
      </c>
      <c r="B1220" s="10" t="s">
        <v>1551</v>
      </c>
      <c r="C1220" s="11" t="s">
        <v>612</v>
      </c>
      <c r="D1220" s="10" t="s">
        <v>1545</v>
      </c>
      <c r="E1220" s="12" t="s">
        <v>1072</v>
      </c>
      <c r="F1220" s="12" t="s">
        <v>1546</v>
      </c>
      <c r="G1220" s="22">
        <v>500</v>
      </c>
      <c r="H1220" s="23">
        <v>500</v>
      </c>
      <c r="I1220" s="15">
        <v>58.72</v>
      </c>
      <c r="J1220" s="16"/>
      <c r="K1220" s="17">
        <v>29360</v>
      </c>
      <c r="L1220" s="18">
        <v>46167</v>
      </c>
      <c r="M1220" s="6" t="str">
        <f t="shared" si="57"/>
        <v>Schedule order</v>
      </c>
      <c r="N1220" s="8">
        <f t="shared" ca="1" si="58"/>
        <v>12</v>
      </c>
      <c r="O1220" s="8" t="str">
        <f t="shared" ca="1" si="59"/>
        <v>Lattest or shedule order</v>
      </c>
      <c r="P1220" t="str">
        <f>VLOOKUP(C1220,[1]Customer_Master!$A:$B,2,0)</f>
        <v>Online Business</v>
      </c>
      <c r="Q1220" t="str">
        <f>VLOOKUP(D1220,[2]Template!$A:$D,3,0)</f>
        <v>LAPP</v>
      </c>
      <c r="R1220" t="str">
        <f>VLOOKUP(D1220,[2]Template!$A:$D,4,0)</f>
        <v>Lapp-Planned Stock General</v>
      </c>
    </row>
    <row r="1221" spans="1:18" ht="13.5" customHeight="1" x14ac:dyDescent="0.25">
      <c r="A1221" s="9">
        <v>46147</v>
      </c>
      <c r="B1221" s="10" t="s">
        <v>1551</v>
      </c>
      <c r="C1221" s="11" t="s">
        <v>612</v>
      </c>
      <c r="D1221" s="10" t="s">
        <v>1547</v>
      </c>
      <c r="E1221" s="12" t="s">
        <v>1072</v>
      </c>
      <c r="F1221" s="12" t="s">
        <v>1548</v>
      </c>
      <c r="G1221" s="22">
        <v>500</v>
      </c>
      <c r="H1221" s="23">
        <v>500</v>
      </c>
      <c r="I1221" s="15">
        <v>13.52</v>
      </c>
      <c r="J1221" s="16"/>
      <c r="K1221" s="17">
        <v>6760</v>
      </c>
      <c r="L1221" s="18">
        <v>46167</v>
      </c>
      <c r="M1221" s="6" t="str">
        <f t="shared" si="57"/>
        <v>Schedule order</v>
      </c>
      <c r="N1221" s="8">
        <f t="shared" ca="1" si="58"/>
        <v>12</v>
      </c>
      <c r="O1221" s="8" t="str">
        <f t="shared" ca="1" si="59"/>
        <v>Lattest or shedule order</v>
      </c>
      <c r="P1221" t="str">
        <f>VLOOKUP(C1221,[1]Customer_Master!$A:$B,2,0)</f>
        <v>Online Business</v>
      </c>
      <c r="Q1221" t="str">
        <f>VLOOKUP(D1221,[2]Template!$A:$D,3,0)</f>
        <v>LAPP</v>
      </c>
      <c r="R1221" t="str">
        <f>VLOOKUP(D1221,[2]Template!$A:$D,4,0)</f>
        <v>Lapp-Planned Stock General</v>
      </c>
    </row>
    <row r="1222" spans="1:18" ht="13.5" customHeight="1" x14ac:dyDescent="0.25">
      <c r="A1222" s="9">
        <v>46147</v>
      </c>
      <c r="B1222" s="10" t="s">
        <v>1551</v>
      </c>
      <c r="C1222" s="11" t="s">
        <v>612</v>
      </c>
      <c r="D1222" s="10" t="s">
        <v>939</v>
      </c>
      <c r="E1222" s="12" t="s">
        <v>1072</v>
      </c>
      <c r="F1222" s="12" t="s">
        <v>940</v>
      </c>
      <c r="G1222" s="22">
        <v>500</v>
      </c>
      <c r="H1222" s="23">
        <v>500</v>
      </c>
      <c r="I1222" s="15">
        <v>69.760000000000005</v>
      </c>
      <c r="J1222" s="16"/>
      <c r="K1222" s="17">
        <v>34880</v>
      </c>
      <c r="L1222" s="18">
        <v>46167</v>
      </c>
      <c r="M1222" s="6" t="str">
        <f t="shared" si="57"/>
        <v>Schedule order</v>
      </c>
      <c r="N1222" s="8">
        <f t="shared" ca="1" si="58"/>
        <v>12</v>
      </c>
      <c r="O1222" s="8" t="str">
        <f t="shared" ca="1" si="59"/>
        <v>Lattest or shedule order</v>
      </c>
      <c r="P1222" t="str">
        <f>VLOOKUP(C1222,[1]Customer_Master!$A:$B,2,0)</f>
        <v>Online Business</v>
      </c>
      <c r="Q1222" t="str">
        <f>VLOOKUP(D1222,[2]Template!$A:$D,3,0)</f>
        <v>LAPP</v>
      </c>
      <c r="R1222" t="str">
        <f>VLOOKUP(D1222,[2]Template!$A:$D,4,0)</f>
        <v>Lapp-Planned Stock General</v>
      </c>
    </row>
    <row r="1223" spans="1:18" ht="13.5" customHeight="1" x14ac:dyDescent="0.25">
      <c r="A1223" s="9">
        <v>46147</v>
      </c>
      <c r="B1223" s="10" t="s">
        <v>1551</v>
      </c>
      <c r="C1223" s="11" t="s">
        <v>612</v>
      </c>
      <c r="D1223" s="10" t="s">
        <v>1552</v>
      </c>
      <c r="E1223" s="12" t="s">
        <v>1072</v>
      </c>
      <c r="F1223" s="12" t="s">
        <v>1553</v>
      </c>
      <c r="G1223" s="22">
        <v>500</v>
      </c>
      <c r="H1223" s="23">
        <v>500</v>
      </c>
      <c r="I1223" s="15">
        <v>21.07</v>
      </c>
      <c r="J1223" s="16"/>
      <c r="K1223" s="17">
        <v>10535</v>
      </c>
      <c r="L1223" s="18">
        <v>46167</v>
      </c>
      <c r="M1223" s="6" t="str">
        <f t="shared" si="57"/>
        <v>Schedule order</v>
      </c>
      <c r="N1223" s="8">
        <f t="shared" ca="1" si="58"/>
        <v>12</v>
      </c>
      <c r="O1223" s="8" t="str">
        <f t="shared" ca="1" si="59"/>
        <v>Lattest or shedule order</v>
      </c>
      <c r="P1223" t="str">
        <f>VLOOKUP(C1223,[1]Customer_Master!$A:$B,2,0)</f>
        <v>Online Business</v>
      </c>
      <c r="Q1223" t="str">
        <f>VLOOKUP(D1223,[2]Template!$A:$D,3,0)</f>
        <v>LAPP</v>
      </c>
      <c r="R1223" t="str">
        <f>VLOOKUP(D1223,[2]Template!$A:$D,4,0)</f>
        <v>Lapp-Planned Stock General</v>
      </c>
    </row>
    <row r="1224" spans="1:18" ht="13.5" customHeight="1" x14ac:dyDescent="0.25">
      <c r="A1224" s="9">
        <v>46147</v>
      </c>
      <c r="B1224" s="10" t="s">
        <v>1554</v>
      </c>
      <c r="C1224" s="11" t="s">
        <v>1555</v>
      </c>
      <c r="D1224" s="10" t="s">
        <v>988</v>
      </c>
      <c r="E1224" s="12" t="s">
        <v>1072</v>
      </c>
      <c r="F1224" s="12" t="s">
        <v>989</v>
      </c>
      <c r="G1224" s="13">
        <v>400</v>
      </c>
      <c r="H1224" s="14">
        <v>400</v>
      </c>
      <c r="I1224" s="15">
        <v>9.1999999999999993</v>
      </c>
      <c r="J1224" s="16"/>
      <c r="K1224" s="17">
        <v>3680</v>
      </c>
      <c r="L1224" s="18">
        <v>46147</v>
      </c>
      <c r="M1224" s="6" t="str">
        <f t="shared" si="57"/>
        <v>Schedule order</v>
      </c>
      <c r="N1224" s="8">
        <f t="shared" ca="1" si="58"/>
        <v>-8</v>
      </c>
      <c r="O1224" s="8" t="str">
        <f t="shared" ca="1" si="59"/>
        <v>With in 90 days</v>
      </c>
      <c r="P1224" t="str">
        <f>VLOOKUP(C1224,[1]Customer_Master!$A:$B,2,0)</f>
        <v>Group-2 (Veeresh- Bomsdr+Hosur)</v>
      </c>
      <c r="Q1224" t="str">
        <f>VLOOKUP(D1224,[2]Template!$A:$D,3,0)</f>
        <v>LAPP</v>
      </c>
      <c r="R1224" t="str">
        <f>VLOOKUP(D1224,[2]Template!$A:$D,4,0)</f>
        <v>Lapp-Planned Stock General</v>
      </c>
    </row>
    <row r="1225" spans="1:18" ht="13.5" customHeight="1" x14ac:dyDescent="0.25">
      <c r="A1225" s="9">
        <v>46147</v>
      </c>
      <c r="B1225" s="10" t="s">
        <v>1556</v>
      </c>
      <c r="C1225" s="11" t="s">
        <v>748</v>
      </c>
      <c r="D1225" s="10" t="s">
        <v>357</v>
      </c>
      <c r="E1225" s="12" t="s">
        <v>1072</v>
      </c>
      <c r="F1225" s="12" t="s">
        <v>53</v>
      </c>
      <c r="G1225" s="13">
        <v>270</v>
      </c>
      <c r="H1225" s="14">
        <v>70</v>
      </c>
      <c r="I1225" s="15">
        <v>22.81</v>
      </c>
      <c r="J1225" s="16"/>
      <c r="K1225" s="17">
        <v>1596.7</v>
      </c>
      <c r="L1225" s="18">
        <v>46147</v>
      </c>
      <c r="M1225" s="6" t="str">
        <f t="shared" si="57"/>
        <v>Schedule order</v>
      </c>
      <c r="N1225" s="8">
        <f t="shared" ca="1" si="58"/>
        <v>-8</v>
      </c>
      <c r="O1225" s="8" t="str">
        <f t="shared" ca="1" si="59"/>
        <v>With in 90 days</v>
      </c>
      <c r="P1225" t="str">
        <f>VLOOKUP(C1225,[1]Customer_Master!$A:$B,2,0)</f>
        <v>Group-2 (Veeresh- Bomsdr+Hosur)</v>
      </c>
      <c r="Q1225" t="str">
        <f>VLOOKUP(D1225,[2]Template!$A:$D,3,0)</f>
        <v>LAPP</v>
      </c>
      <c r="R1225" t="str">
        <f>VLOOKUP(D1225,[2]Template!$A:$D,4,0)</f>
        <v>Lapp-Planned Stock General</v>
      </c>
    </row>
    <row r="1226" spans="1:18" ht="13.5" customHeight="1" x14ac:dyDescent="0.25">
      <c r="A1226" s="9">
        <v>46147</v>
      </c>
      <c r="B1226" s="10" t="s">
        <v>1557</v>
      </c>
      <c r="C1226" s="11" t="s">
        <v>91</v>
      </c>
      <c r="D1226" s="27" t="s">
        <v>839</v>
      </c>
      <c r="E1226" s="12" t="s">
        <v>1072</v>
      </c>
      <c r="F1226" s="12" t="s">
        <v>840</v>
      </c>
      <c r="G1226" s="19">
        <v>200</v>
      </c>
      <c r="H1226" s="20">
        <v>200</v>
      </c>
      <c r="I1226" s="15">
        <v>52.92</v>
      </c>
      <c r="J1226" s="16"/>
      <c r="K1226" s="17">
        <v>10584</v>
      </c>
      <c r="L1226" s="18">
        <v>46147</v>
      </c>
      <c r="M1226" s="6" t="str">
        <f t="shared" si="57"/>
        <v>Schedule order</v>
      </c>
      <c r="N1226" s="8">
        <f t="shared" ca="1" si="58"/>
        <v>-8</v>
      </c>
      <c r="O1226" s="8" t="str">
        <f t="shared" ca="1" si="59"/>
        <v>With in 90 days</v>
      </c>
      <c r="P1226" t="str">
        <f>VLOOKUP(C1226,[1]Customer_Master!$A:$B,2,0)</f>
        <v>Group-2 (Veeresh- Bomsdr+Hosur)</v>
      </c>
      <c r="Q1226" t="str">
        <f>VLOOKUP(D1226,[2]Template!$A:$D,3,0)</f>
        <v>LAPP</v>
      </c>
      <c r="R1226" t="str">
        <f>VLOOKUP(D1226,[2]Template!$A:$D,4,0)</f>
        <v>Lapp-Non Moving Stocks</v>
      </c>
    </row>
    <row r="1227" spans="1:18" ht="13.5" customHeight="1" x14ac:dyDescent="0.25">
      <c r="A1227" s="9">
        <v>46147</v>
      </c>
      <c r="B1227" s="10" t="s">
        <v>1557</v>
      </c>
      <c r="C1227" s="11" t="s">
        <v>91</v>
      </c>
      <c r="D1227" s="10" t="s">
        <v>841</v>
      </c>
      <c r="E1227" s="12" t="s">
        <v>1072</v>
      </c>
      <c r="F1227" s="12" t="s">
        <v>1086</v>
      </c>
      <c r="G1227" s="22">
        <v>50</v>
      </c>
      <c r="H1227" s="23">
        <v>50</v>
      </c>
      <c r="I1227" s="15">
        <v>118.91</v>
      </c>
      <c r="J1227" s="16"/>
      <c r="K1227" s="17">
        <v>5945.5</v>
      </c>
      <c r="L1227" s="18">
        <v>46147</v>
      </c>
      <c r="M1227" s="6" t="str">
        <f t="shared" si="57"/>
        <v>Schedule order</v>
      </c>
      <c r="N1227" s="8">
        <f t="shared" ca="1" si="58"/>
        <v>-8</v>
      </c>
      <c r="O1227" s="8" t="str">
        <f t="shared" ca="1" si="59"/>
        <v>With in 90 days</v>
      </c>
      <c r="P1227" t="str">
        <f>VLOOKUP(C1227,[1]Customer_Master!$A:$B,2,0)</f>
        <v>Group-2 (Veeresh- Bomsdr+Hosur)</v>
      </c>
      <c r="Q1227" t="str">
        <f>VLOOKUP(D1227,[2]Template!$A:$D,3,0)</f>
        <v>LAPP</v>
      </c>
      <c r="R1227" t="str">
        <f>VLOOKUP(D1227,[2]Template!$A:$D,4,0)</f>
        <v>Lapp-Non Moving Stocks</v>
      </c>
    </row>
    <row r="1228" spans="1:18" ht="13.5" customHeight="1" x14ac:dyDescent="0.25">
      <c r="A1228" s="9">
        <v>46147</v>
      </c>
      <c r="B1228" s="10" t="s">
        <v>1558</v>
      </c>
      <c r="C1228" s="11" t="s">
        <v>127</v>
      </c>
      <c r="D1228" s="27" t="s">
        <v>732</v>
      </c>
      <c r="E1228" s="12" t="s">
        <v>1072</v>
      </c>
      <c r="F1228" s="26" t="s">
        <v>733</v>
      </c>
      <c r="G1228" s="13">
        <v>100</v>
      </c>
      <c r="H1228" s="14">
        <v>100</v>
      </c>
      <c r="I1228" s="15">
        <v>88.6</v>
      </c>
      <c r="J1228" s="21">
        <v>35</v>
      </c>
      <c r="K1228" s="17">
        <v>5759</v>
      </c>
      <c r="L1228" s="18">
        <v>46147</v>
      </c>
      <c r="M1228" s="6" t="str">
        <f t="shared" si="57"/>
        <v>Schedule order</v>
      </c>
      <c r="N1228" s="8">
        <f t="shared" ca="1" si="58"/>
        <v>-8</v>
      </c>
      <c r="O1228" s="8" t="str">
        <f t="shared" ca="1" si="59"/>
        <v>With in 90 days</v>
      </c>
      <c r="P1228" t="str">
        <f>VLOOKUP(C1228,[1]Customer_Master!$A:$B,2,0)</f>
        <v>Group 1-Giridhar-Peenya</v>
      </c>
      <c r="Q1228" t="str">
        <f>VLOOKUP(D1228,[2]Template!$A:$D,3,0)</f>
        <v>LAPP</v>
      </c>
      <c r="R1228" t="str">
        <f>VLOOKUP(D1228,[2]Template!$A:$D,4,0)</f>
        <v>Lapp-Non Moving Stocks</v>
      </c>
    </row>
    <row r="1229" spans="1:18" ht="13.5" customHeight="1" x14ac:dyDescent="0.25">
      <c r="A1229" s="9">
        <v>46147</v>
      </c>
      <c r="B1229" s="10" t="s">
        <v>1558</v>
      </c>
      <c r="C1229" s="11" t="s">
        <v>127</v>
      </c>
      <c r="D1229" s="10" t="s">
        <v>481</v>
      </c>
      <c r="E1229" s="12" t="s">
        <v>1072</v>
      </c>
      <c r="F1229" s="12" t="s">
        <v>482</v>
      </c>
      <c r="G1229" s="22">
        <v>100</v>
      </c>
      <c r="H1229" s="23">
        <v>100</v>
      </c>
      <c r="I1229" s="15">
        <v>17.579999999999998</v>
      </c>
      <c r="J1229" s="21">
        <v>35</v>
      </c>
      <c r="K1229" s="17">
        <v>1142.7</v>
      </c>
      <c r="L1229" s="18">
        <v>46147</v>
      </c>
      <c r="M1229" s="6" t="str">
        <f t="shared" si="57"/>
        <v>Schedule order</v>
      </c>
      <c r="N1229" s="8">
        <f t="shared" ca="1" si="58"/>
        <v>-8</v>
      </c>
      <c r="O1229" s="8" t="str">
        <f t="shared" ca="1" si="59"/>
        <v>With in 90 days</v>
      </c>
      <c r="P1229" t="str">
        <f>VLOOKUP(C1229,[1]Customer_Master!$A:$B,2,0)</f>
        <v>Group 1-Giridhar-Peenya</v>
      </c>
      <c r="Q1229" t="str">
        <f>VLOOKUP(D1229,[2]Template!$A:$D,3,0)</f>
        <v>LAPP</v>
      </c>
      <c r="R1229" t="str">
        <f>VLOOKUP(D1229,[2]Template!$A:$D,4,0)</f>
        <v>Lapp-Non Moving Stocks</v>
      </c>
    </row>
    <row r="1230" spans="1:18" ht="13.5" customHeight="1" x14ac:dyDescent="0.25">
      <c r="A1230" s="9">
        <v>46147</v>
      </c>
      <c r="B1230" s="10" t="s">
        <v>1559</v>
      </c>
      <c r="C1230" s="11" t="s">
        <v>127</v>
      </c>
      <c r="D1230" s="27" t="s">
        <v>732</v>
      </c>
      <c r="E1230" s="12" t="s">
        <v>1072</v>
      </c>
      <c r="F1230" s="26" t="s">
        <v>733</v>
      </c>
      <c r="G1230" s="13">
        <v>200</v>
      </c>
      <c r="H1230" s="14">
        <v>200</v>
      </c>
      <c r="I1230" s="15">
        <v>88.6</v>
      </c>
      <c r="J1230" s="21">
        <v>35</v>
      </c>
      <c r="K1230" s="17">
        <v>11518</v>
      </c>
      <c r="L1230" s="18">
        <v>46147</v>
      </c>
      <c r="M1230" s="6" t="str">
        <f t="shared" si="57"/>
        <v>Schedule order</v>
      </c>
      <c r="N1230" s="8">
        <f t="shared" ca="1" si="58"/>
        <v>-8</v>
      </c>
      <c r="O1230" s="8" t="str">
        <f t="shared" ca="1" si="59"/>
        <v>With in 90 days</v>
      </c>
      <c r="P1230" t="str">
        <f>VLOOKUP(C1230,[1]Customer_Master!$A:$B,2,0)</f>
        <v>Group 1-Giridhar-Peenya</v>
      </c>
      <c r="Q1230" t="str">
        <f>VLOOKUP(D1230,[2]Template!$A:$D,3,0)</f>
        <v>LAPP</v>
      </c>
      <c r="R1230" t="str">
        <f>VLOOKUP(D1230,[2]Template!$A:$D,4,0)</f>
        <v>Lapp-Non Moving Stocks</v>
      </c>
    </row>
    <row r="1231" spans="1:18" ht="13.5" customHeight="1" x14ac:dyDescent="0.25">
      <c r="A1231" s="9">
        <v>46147</v>
      </c>
      <c r="B1231" s="10" t="s">
        <v>1559</v>
      </c>
      <c r="C1231" s="11" t="s">
        <v>127</v>
      </c>
      <c r="D1231" s="10" t="s">
        <v>481</v>
      </c>
      <c r="E1231" s="12" t="s">
        <v>1072</v>
      </c>
      <c r="F1231" s="12" t="s">
        <v>482</v>
      </c>
      <c r="G1231" s="22">
        <v>200</v>
      </c>
      <c r="H1231" s="23">
        <v>200</v>
      </c>
      <c r="I1231" s="15">
        <v>17.579999999999998</v>
      </c>
      <c r="J1231" s="21">
        <v>35</v>
      </c>
      <c r="K1231" s="17">
        <v>2285.4</v>
      </c>
      <c r="L1231" s="18">
        <v>46147</v>
      </c>
      <c r="M1231" s="6" t="str">
        <f t="shared" si="57"/>
        <v>Schedule order</v>
      </c>
      <c r="N1231" s="8">
        <f t="shared" ca="1" si="58"/>
        <v>-8</v>
      </c>
      <c r="O1231" s="8" t="str">
        <f t="shared" ca="1" si="59"/>
        <v>With in 90 days</v>
      </c>
      <c r="P1231" t="str">
        <f>VLOOKUP(C1231,[1]Customer_Master!$A:$B,2,0)</f>
        <v>Group 1-Giridhar-Peenya</v>
      </c>
      <c r="Q1231" t="str">
        <f>VLOOKUP(D1231,[2]Template!$A:$D,3,0)</f>
        <v>LAPP</v>
      </c>
      <c r="R1231" t="str">
        <f>VLOOKUP(D1231,[2]Template!$A:$D,4,0)</f>
        <v>Lapp-Non Moving Stocks</v>
      </c>
    </row>
    <row r="1232" spans="1:18" ht="13.5" customHeight="1" x14ac:dyDescent="0.25">
      <c r="A1232" s="9">
        <v>46147</v>
      </c>
      <c r="B1232" s="10" t="s">
        <v>1559</v>
      </c>
      <c r="C1232" s="11" t="s">
        <v>127</v>
      </c>
      <c r="D1232" s="27" t="s">
        <v>466</v>
      </c>
      <c r="E1232" s="12" t="s">
        <v>1072</v>
      </c>
      <c r="F1232" s="12" t="s">
        <v>295</v>
      </c>
      <c r="G1232" s="19">
        <v>200</v>
      </c>
      <c r="H1232" s="20">
        <v>200</v>
      </c>
      <c r="I1232" s="15">
        <v>43.08</v>
      </c>
      <c r="J1232" s="21">
        <v>35</v>
      </c>
      <c r="K1232" s="17">
        <v>5600.4</v>
      </c>
      <c r="L1232" s="18">
        <v>46147</v>
      </c>
      <c r="M1232" s="6" t="str">
        <f t="shared" si="57"/>
        <v>Schedule order</v>
      </c>
      <c r="N1232" s="8">
        <f t="shared" ca="1" si="58"/>
        <v>-8</v>
      </c>
      <c r="O1232" s="8" t="str">
        <f t="shared" ca="1" si="59"/>
        <v>With in 90 days</v>
      </c>
      <c r="P1232" t="str">
        <f>VLOOKUP(C1232,[1]Customer_Master!$A:$B,2,0)</f>
        <v>Group 1-Giridhar-Peenya</v>
      </c>
      <c r="Q1232" t="str">
        <f>VLOOKUP(D1232,[2]Template!$A:$D,3,0)</f>
        <v>LAPP</v>
      </c>
      <c r="R1232" t="str">
        <f>VLOOKUP(D1232,[2]Template!$A:$D,4,0)</f>
        <v>Lapp-Non Moving Stocks</v>
      </c>
    </row>
    <row r="1233" spans="1:18" ht="13.5" customHeight="1" x14ac:dyDescent="0.25">
      <c r="A1233" s="9">
        <v>46147</v>
      </c>
      <c r="B1233" s="10" t="s">
        <v>1560</v>
      </c>
      <c r="C1233" s="11" t="s">
        <v>116</v>
      </c>
      <c r="D1233" s="27" t="s">
        <v>1236</v>
      </c>
      <c r="E1233" s="12" t="s">
        <v>1072</v>
      </c>
      <c r="F1233" s="26" t="s">
        <v>1237</v>
      </c>
      <c r="G1233" s="13">
        <v>50</v>
      </c>
      <c r="H1233" s="14">
        <v>50</v>
      </c>
      <c r="I1233" s="15">
        <v>417.66</v>
      </c>
      <c r="J1233" s="16"/>
      <c r="K1233" s="17">
        <v>20883</v>
      </c>
      <c r="L1233" s="18">
        <v>46171</v>
      </c>
      <c r="M1233" s="6" t="str">
        <f t="shared" si="57"/>
        <v>Schedule order</v>
      </c>
      <c r="N1233" s="8">
        <f t="shared" ca="1" si="58"/>
        <v>16</v>
      </c>
      <c r="O1233" s="8" t="str">
        <f t="shared" ca="1" si="59"/>
        <v>Lattest or shedule order</v>
      </c>
      <c r="P1233" t="str">
        <f>VLOOKUP(C1233,[1]Customer_Master!$A:$B,2,0)</f>
        <v>Group-2 (Veeresh- Bomsdr+Hosur)</v>
      </c>
      <c r="Q1233" t="str">
        <f>VLOOKUP(D1233,[2]Template!$A:$D,3,0)</f>
        <v>LAPP</v>
      </c>
      <c r="R1233" t="str">
        <f>VLOOKUP(D1233,[2]Template!$A:$D,4,0)</f>
        <v>Lapp-Non Moving Stocks</v>
      </c>
    </row>
    <row r="1234" spans="1:18" ht="13.5" customHeight="1" x14ac:dyDescent="0.25">
      <c r="A1234" s="9">
        <v>46147</v>
      </c>
      <c r="B1234" s="10" t="s">
        <v>1560</v>
      </c>
      <c r="C1234" s="11" t="s">
        <v>116</v>
      </c>
      <c r="D1234" s="10" t="s">
        <v>812</v>
      </c>
      <c r="E1234" s="12" t="s">
        <v>1072</v>
      </c>
      <c r="F1234" s="12" t="s">
        <v>813</v>
      </c>
      <c r="G1234" s="13">
        <v>40</v>
      </c>
      <c r="H1234" s="14">
        <v>40</v>
      </c>
      <c r="I1234" s="15">
        <v>87.3</v>
      </c>
      <c r="J1234" s="16"/>
      <c r="K1234" s="17">
        <v>3492</v>
      </c>
      <c r="L1234" s="18">
        <v>46171</v>
      </c>
      <c r="M1234" s="6" t="str">
        <f t="shared" si="57"/>
        <v>Schedule order</v>
      </c>
      <c r="N1234" s="8">
        <f t="shared" ca="1" si="58"/>
        <v>16</v>
      </c>
      <c r="O1234" s="8" t="str">
        <f t="shared" ca="1" si="59"/>
        <v>Lattest or shedule order</v>
      </c>
      <c r="P1234" t="str">
        <f>VLOOKUP(C1234,[1]Customer_Master!$A:$B,2,0)</f>
        <v>Group-2 (Veeresh- Bomsdr+Hosur)</v>
      </c>
      <c r="Q1234" t="str">
        <f>VLOOKUP(D1234,[2]Template!$A:$D,3,0)</f>
        <v>LAPP</v>
      </c>
      <c r="R1234" t="str">
        <f>VLOOKUP(D1234,[2]Template!$A:$D,4,0)</f>
        <v>Lapp-Titan</v>
      </c>
    </row>
    <row r="1235" spans="1:18" ht="13.5" customHeight="1" x14ac:dyDescent="0.25">
      <c r="A1235" s="9">
        <v>46147</v>
      </c>
      <c r="B1235" s="10" t="s">
        <v>1560</v>
      </c>
      <c r="C1235" s="11" t="s">
        <v>116</v>
      </c>
      <c r="D1235" s="10" t="s">
        <v>242</v>
      </c>
      <c r="E1235" s="12" t="s">
        <v>1072</v>
      </c>
      <c r="F1235" s="12" t="s">
        <v>1072</v>
      </c>
      <c r="G1235" s="19">
        <v>1</v>
      </c>
      <c r="H1235" s="20">
        <v>1</v>
      </c>
      <c r="I1235" s="15">
        <v>2057</v>
      </c>
      <c r="J1235" s="16"/>
      <c r="K1235" s="17">
        <v>2057</v>
      </c>
      <c r="L1235" s="18">
        <v>46147</v>
      </c>
      <c r="M1235" s="6" t="str">
        <f t="shared" si="57"/>
        <v>Schedule order</v>
      </c>
      <c r="N1235" s="8">
        <f t="shared" ca="1" si="58"/>
        <v>-8</v>
      </c>
      <c r="O1235" s="8" t="str">
        <f t="shared" ca="1" si="59"/>
        <v>With in 90 days</v>
      </c>
      <c r="P1235" t="str">
        <f>VLOOKUP(C1235,[1]Customer_Master!$A:$B,2,0)</f>
        <v>Group-2 (Veeresh- Bomsdr+Hosur)</v>
      </c>
      <c r="Q1235" t="str">
        <f>VLOOKUP(D1235,[2]Template!$A:$D,3,0)</f>
        <v>LAPP</v>
      </c>
      <c r="R1235" t="str">
        <f>VLOOKUP(D1235,[2]Template!$A:$D,4,0)</f>
        <v>Lapp-Against Customer PO</v>
      </c>
    </row>
    <row r="1236" spans="1:18" ht="13.5" customHeight="1" x14ac:dyDescent="0.25">
      <c r="A1236" s="9">
        <v>46147</v>
      </c>
      <c r="B1236" s="10" t="s">
        <v>1561</v>
      </c>
      <c r="C1236" s="11" t="s">
        <v>528</v>
      </c>
      <c r="D1236" s="10" t="s">
        <v>1562</v>
      </c>
      <c r="E1236" s="12" t="s">
        <v>1072</v>
      </c>
      <c r="F1236" s="12" t="s">
        <v>1563</v>
      </c>
      <c r="G1236" s="22">
        <v>50</v>
      </c>
      <c r="H1236" s="23">
        <v>50</v>
      </c>
      <c r="I1236" s="15">
        <v>255.52</v>
      </c>
      <c r="J1236" s="16"/>
      <c r="K1236" s="17">
        <v>12776</v>
      </c>
      <c r="L1236" s="18">
        <v>46147</v>
      </c>
      <c r="M1236" s="6" t="str">
        <f t="shared" si="57"/>
        <v>Schedule order</v>
      </c>
      <c r="N1236" s="8">
        <f t="shared" ca="1" si="58"/>
        <v>-8</v>
      </c>
      <c r="O1236" s="8" t="str">
        <f t="shared" ca="1" si="59"/>
        <v>With in 90 days</v>
      </c>
      <c r="P1236" t="str">
        <f>VLOOKUP(C1236,[1]Customer_Master!$A:$B,2,0)</f>
        <v>Group-2 (Veeresh- Bomsdr+Hosur)</v>
      </c>
      <c r="Q1236" t="str">
        <f>VLOOKUP(D1236,[2]Template!$A:$D,3,0)</f>
        <v>LAPP</v>
      </c>
      <c r="R1236" t="str">
        <f>VLOOKUP(D1236,[2]Template!$A:$D,4,0)</f>
        <v>Lapp-Non Moving Stocks</v>
      </c>
    </row>
    <row r="1237" spans="1:18" ht="13.5" customHeight="1" x14ac:dyDescent="0.25">
      <c r="A1237" s="9">
        <v>46148</v>
      </c>
      <c r="B1237" s="10" t="s">
        <v>1564</v>
      </c>
      <c r="C1237" s="11" t="s">
        <v>76</v>
      </c>
      <c r="D1237" s="10" t="s">
        <v>1021</v>
      </c>
      <c r="E1237" s="12" t="s">
        <v>1072</v>
      </c>
      <c r="F1237" s="12" t="s">
        <v>1022</v>
      </c>
      <c r="G1237" s="19">
        <v>1000</v>
      </c>
      <c r="H1237" s="20">
        <v>1000</v>
      </c>
      <c r="I1237" s="15">
        <v>31</v>
      </c>
      <c r="J1237" s="16"/>
      <c r="K1237" s="17">
        <v>31000</v>
      </c>
      <c r="L1237" s="18">
        <v>46211</v>
      </c>
      <c r="M1237" s="6" t="str">
        <f t="shared" si="57"/>
        <v>Schedule order</v>
      </c>
      <c r="N1237" s="8">
        <f t="shared" ca="1" si="58"/>
        <v>56</v>
      </c>
      <c r="O1237" s="8" t="str">
        <f t="shared" ca="1" si="59"/>
        <v>Lattest or shedule order</v>
      </c>
      <c r="P1237" t="str">
        <f>VLOOKUP(C1237,[1]Customer_Master!$A:$B,2,0)</f>
        <v>Group 1-Giridhar-Peenya</v>
      </c>
      <c r="Q1237" t="str">
        <f>VLOOKUP(D1237,[2]Template!$A:$D,3,0)</f>
        <v>EATON</v>
      </c>
      <c r="R1237" t="str">
        <f>VLOOKUP(D1237,[2]Template!$A:$D,4,0)</f>
        <v>Eaton-Biesse</v>
      </c>
    </row>
    <row r="1238" spans="1:18" ht="13.5" customHeight="1" x14ac:dyDescent="0.25">
      <c r="A1238" s="9">
        <v>46148</v>
      </c>
      <c r="B1238" s="10" t="s">
        <v>1564</v>
      </c>
      <c r="C1238" s="11" t="s">
        <v>76</v>
      </c>
      <c r="D1238" s="10" t="s">
        <v>633</v>
      </c>
      <c r="E1238" s="12" t="s">
        <v>1072</v>
      </c>
      <c r="F1238" s="12" t="s">
        <v>634</v>
      </c>
      <c r="G1238" s="19">
        <v>500</v>
      </c>
      <c r="H1238" s="20">
        <v>500</v>
      </c>
      <c r="I1238" s="15">
        <v>128</v>
      </c>
      <c r="J1238" s="16"/>
      <c r="K1238" s="17">
        <v>64000</v>
      </c>
      <c r="L1238" s="18">
        <v>46196</v>
      </c>
      <c r="M1238" s="6" t="str">
        <f t="shared" si="57"/>
        <v>Schedule order</v>
      </c>
      <c r="N1238" s="8">
        <f t="shared" ca="1" si="58"/>
        <v>41</v>
      </c>
      <c r="O1238" s="8" t="str">
        <f t="shared" ca="1" si="59"/>
        <v>Lattest or shedule order</v>
      </c>
      <c r="P1238" t="str">
        <f>VLOOKUP(C1238,[1]Customer_Master!$A:$B,2,0)</f>
        <v>Group 1-Giridhar-Peenya</v>
      </c>
      <c r="Q1238" t="str">
        <f>VLOOKUP(D1238,[2]Template!$A:$D,3,0)</f>
        <v>EATON</v>
      </c>
      <c r="R1238" t="str">
        <f>VLOOKUP(D1238,[2]Template!$A:$D,4,0)</f>
        <v>Eaton-Biesse</v>
      </c>
    </row>
    <row r="1239" spans="1:18" ht="13.5" customHeight="1" x14ac:dyDescent="0.25">
      <c r="A1239" s="9">
        <v>46148</v>
      </c>
      <c r="B1239" s="10" t="s">
        <v>1564</v>
      </c>
      <c r="C1239" s="11" t="s">
        <v>76</v>
      </c>
      <c r="D1239" s="27" t="s">
        <v>1565</v>
      </c>
      <c r="E1239" s="12" t="s">
        <v>1072</v>
      </c>
      <c r="F1239" s="26" t="s">
        <v>1566</v>
      </c>
      <c r="G1239" s="19">
        <v>100</v>
      </c>
      <c r="H1239" s="20">
        <v>100</v>
      </c>
      <c r="I1239" s="15">
        <v>225</v>
      </c>
      <c r="J1239" s="16"/>
      <c r="K1239" s="17">
        <v>22500</v>
      </c>
      <c r="L1239" s="18">
        <v>46196</v>
      </c>
      <c r="M1239" s="6" t="str">
        <f t="shared" si="57"/>
        <v>Schedule order</v>
      </c>
      <c r="N1239" s="8">
        <f t="shared" ca="1" si="58"/>
        <v>41</v>
      </c>
      <c r="O1239" s="8" t="str">
        <f t="shared" ca="1" si="59"/>
        <v>Lattest or shedule order</v>
      </c>
      <c r="P1239" t="str">
        <f>VLOOKUP(C1239,[1]Customer_Master!$A:$B,2,0)</f>
        <v>Group 1-Giridhar-Peenya</v>
      </c>
      <c r="Q1239" t="str">
        <f>VLOOKUP(D1239,[2]Template!$A:$D,3,0)</f>
        <v>EATON</v>
      </c>
      <c r="R1239" t="str">
        <f>VLOOKUP(D1239,[2]Template!$A:$D,4,0)</f>
        <v>Eaton-Biesse</v>
      </c>
    </row>
    <row r="1240" spans="1:18" ht="13.5" customHeight="1" x14ac:dyDescent="0.25">
      <c r="A1240" s="9">
        <v>46148</v>
      </c>
      <c r="B1240" s="10" t="s">
        <v>1567</v>
      </c>
      <c r="C1240" s="11" t="s">
        <v>76</v>
      </c>
      <c r="D1240" s="10" t="s">
        <v>412</v>
      </c>
      <c r="E1240" s="12" t="s">
        <v>1072</v>
      </c>
      <c r="F1240" s="12" t="s">
        <v>146</v>
      </c>
      <c r="G1240" s="19">
        <v>10</v>
      </c>
      <c r="H1240" s="20">
        <v>10</v>
      </c>
      <c r="I1240" s="15">
        <v>94</v>
      </c>
      <c r="J1240" s="16"/>
      <c r="K1240" s="17">
        <v>940</v>
      </c>
      <c r="L1240" s="18">
        <v>46219</v>
      </c>
      <c r="M1240" s="6" t="str">
        <f t="shared" si="57"/>
        <v>Schedule order</v>
      </c>
      <c r="N1240" s="8">
        <f t="shared" ca="1" si="58"/>
        <v>64</v>
      </c>
      <c r="O1240" s="8" t="str">
        <f t="shared" ca="1" si="59"/>
        <v>Lattest or shedule order</v>
      </c>
      <c r="P1240" t="str">
        <f>VLOOKUP(C1240,[1]Customer_Master!$A:$B,2,0)</f>
        <v>Group 1-Giridhar-Peenya</v>
      </c>
      <c r="Q1240" t="str">
        <f>VLOOKUP(D1240,[2]Template!$A:$D,3,0)</f>
        <v>EATON</v>
      </c>
      <c r="R1240" t="str">
        <f>VLOOKUP(D1240,[2]Template!$A:$D,4,0)</f>
        <v>Eaton-Biesse</v>
      </c>
    </row>
    <row r="1241" spans="1:18" ht="13.5" customHeight="1" x14ac:dyDescent="0.25">
      <c r="A1241" s="9">
        <v>46148</v>
      </c>
      <c r="B1241" s="10" t="s">
        <v>1567</v>
      </c>
      <c r="C1241" s="11" t="s">
        <v>76</v>
      </c>
      <c r="D1241" s="10" t="s">
        <v>365</v>
      </c>
      <c r="E1241" s="12" t="s">
        <v>1072</v>
      </c>
      <c r="F1241" s="12" t="s">
        <v>103</v>
      </c>
      <c r="G1241" s="19">
        <v>20</v>
      </c>
      <c r="H1241" s="20">
        <v>20</v>
      </c>
      <c r="I1241" s="15">
        <v>266</v>
      </c>
      <c r="J1241" s="16"/>
      <c r="K1241" s="17">
        <v>5320</v>
      </c>
      <c r="L1241" s="18">
        <v>46220</v>
      </c>
      <c r="M1241" s="6" t="str">
        <f t="shared" si="57"/>
        <v>Schedule order</v>
      </c>
      <c r="N1241" s="8">
        <f t="shared" ca="1" si="58"/>
        <v>65</v>
      </c>
      <c r="O1241" s="8" t="str">
        <f t="shared" ca="1" si="59"/>
        <v>Lattest or shedule order</v>
      </c>
      <c r="P1241" t="str">
        <f>VLOOKUP(C1241,[1]Customer_Master!$A:$B,2,0)</f>
        <v>Group 1-Giridhar-Peenya</v>
      </c>
      <c r="Q1241" t="str">
        <f>VLOOKUP(D1241,[2]Template!$A:$D,3,0)</f>
        <v>EATON</v>
      </c>
      <c r="R1241" t="str">
        <f>VLOOKUP(D1241,[2]Template!$A:$D,4,0)</f>
        <v>Eaton-Biesse</v>
      </c>
    </row>
    <row r="1242" spans="1:18" ht="13.5" customHeight="1" x14ac:dyDescent="0.25">
      <c r="A1242" s="9">
        <v>46148</v>
      </c>
      <c r="B1242" s="10" t="s">
        <v>1567</v>
      </c>
      <c r="C1242" s="11" t="s">
        <v>76</v>
      </c>
      <c r="D1242" s="10" t="s">
        <v>365</v>
      </c>
      <c r="E1242" s="12" t="s">
        <v>1072</v>
      </c>
      <c r="F1242" s="12" t="s">
        <v>103</v>
      </c>
      <c r="G1242" s="19">
        <v>23</v>
      </c>
      <c r="H1242" s="20">
        <v>23</v>
      </c>
      <c r="I1242" s="15">
        <v>266</v>
      </c>
      <c r="J1242" s="16"/>
      <c r="K1242" s="17">
        <v>6118</v>
      </c>
      <c r="L1242" s="18">
        <v>46251</v>
      </c>
      <c r="M1242" s="6" t="str">
        <f t="shared" si="57"/>
        <v>Schedule order</v>
      </c>
      <c r="N1242" s="8">
        <f t="shared" ca="1" si="58"/>
        <v>96</v>
      </c>
      <c r="O1242" s="8" t="str">
        <f t="shared" ca="1" si="59"/>
        <v>Lattest or shedule order</v>
      </c>
      <c r="P1242" t="str">
        <f>VLOOKUP(C1242,[1]Customer_Master!$A:$B,2,0)</f>
        <v>Group 1-Giridhar-Peenya</v>
      </c>
      <c r="Q1242" t="str">
        <f>VLOOKUP(D1242,[2]Template!$A:$D,3,0)</f>
        <v>EATON</v>
      </c>
      <c r="R1242" t="str">
        <f>VLOOKUP(D1242,[2]Template!$A:$D,4,0)</f>
        <v>Eaton-Biesse</v>
      </c>
    </row>
    <row r="1243" spans="1:18" ht="13.5" customHeight="1" x14ac:dyDescent="0.25">
      <c r="A1243" s="9">
        <v>46148</v>
      </c>
      <c r="B1243" s="10" t="s">
        <v>1567</v>
      </c>
      <c r="C1243" s="11" t="s">
        <v>76</v>
      </c>
      <c r="D1243" s="10" t="s">
        <v>368</v>
      </c>
      <c r="E1243" s="12" t="s">
        <v>1072</v>
      </c>
      <c r="F1243" s="12" t="s">
        <v>128</v>
      </c>
      <c r="G1243" s="19">
        <v>10</v>
      </c>
      <c r="H1243" s="20">
        <v>10</v>
      </c>
      <c r="I1243" s="15">
        <v>484</v>
      </c>
      <c r="J1243" s="16"/>
      <c r="K1243" s="17">
        <v>4840</v>
      </c>
      <c r="L1243" s="18">
        <v>46235</v>
      </c>
      <c r="M1243" s="6" t="str">
        <f t="shared" si="57"/>
        <v>Schedule order</v>
      </c>
      <c r="N1243" s="8">
        <f t="shared" ca="1" si="58"/>
        <v>80</v>
      </c>
      <c r="O1243" s="8" t="str">
        <f t="shared" ca="1" si="59"/>
        <v>Lattest or shedule order</v>
      </c>
      <c r="P1243" t="str">
        <f>VLOOKUP(C1243,[1]Customer_Master!$A:$B,2,0)</f>
        <v>Group 1-Giridhar-Peenya</v>
      </c>
      <c r="Q1243" t="str">
        <f>VLOOKUP(D1243,[2]Template!$A:$D,3,0)</f>
        <v>EATON</v>
      </c>
      <c r="R1243" t="str">
        <f>VLOOKUP(D1243,[2]Template!$A:$D,4,0)</f>
        <v>Eaton-Biesse</v>
      </c>
    </row>
    <row r="1244" spans="1:18" ht="13.5" customHeight="1" x14ac:dyDescent="0.25">
      <c r="A1244" s="9">
        <v>46148</v>
      </c>
      <c r="B1244" s="10" t="s">
        <v>1567</v>
      </c>
      <c r="C1244" s="11" t="s">
        <v>76</v>
      </c>
      <c r="D1244" s="10" t="s">
        <v>368</v>
      </c>
      <c r="E1244" s="12" t="s">
        <v>1072</v>
      </c>
      <c r="F1244" s="12" t="s">
        <v>128</v>
      </c>
      <c r="G1244" s="19">
        <v>10</v>
      </c>
      <c r="H1244" s="20">
        <v>10</v>
      </c>
      <c r="I1244" s="15">
        <v>484</v>
      </c>
      <c r="J1244" s="16"/>
      <c r="K1244" s="17">
        <v>4840</v>
      </c>
      <c r="L1244" s="18">
        <v>46283</v>
      </c>
      <c r="M1244" s="6" t="str">
        <f t="shared" si="57"/>
        <v>Schedule order</v>
      </c>
      <c r="N1244" s="8">
        <f t="shared" ca="1" si="58"/>
        <v>128</v>
      </c>
      <c r="O1244" s="8" t="str">
        <f t="shared" ca="1" si="59"/>
        <v>Lattest or shedule order</v>
      </c>
      <c r="P1244" t="str">
        <f>VLOOKUP(C1244,[1]Customer_Master!$A:$B,2,0)</f>
        <v>Group 1-Giridhar-Peenya</v>
      </c>
      <c r="Q1244" t="str">
        <f>VLOOKUP(D1244,[2]Template!$A:$D,3,0)</f>
        <v>EATON</v>
      </c>
      <c r="R1244" t="str">
        <f>VLOOKUP(D1244,[2]Template!$A:$D,4,0)</f>
        <v>Eaton-Biesse</v>
      </c>
    </row>
    <row r="1245" spans="1:18" ht="13.5" customHeight="1" x14ac:dyDescent="0.25">
      <c r="A1245" s="9">
        <v>46148</v>
      </c>
      <c r="B1245" s="10" t="s">
        <v>1568</v>
      </c>
      <c r="C1245" s="11" t="s">
        <v>1569</v>
      </c>
      <c r="D1245" s="10" t="s">
        <v>317</v>
      </c>
      <c r="E1245" s="12" t="s">
        <v>1072</v>
      </c>
      <c r="F1245" s="12" t="s">
        <v>71</v>
      </c>
      <c r="G1245" s="13">
        <v>18000</v>
      </c>
      <c r="H1245" s="14">
        <v>18000</v>
      </c>
      <c r="I1245" s="15">
        <v>7.87</v>
      </c>
      <c r="J1245" s="16"/>
      <c r="K1245" s="17">
        <v>141660</v>
      </c>
      <c r="L1245" s="18">
        <v>46234</v>
      </c>
      <c r="M1245" s="6" t="str">
        <f t="shared" si="57"/>
        <v>Schedule order</v>
      </c>
      <c r="N1245" s="8">
        <f t="shared" ca="1" si="58"/>
        <v>79</v>
      </c>
      <c r="O1245" s="8" t="str">
        <f t="shared" ca="1" si="59"/>
        <v>Lattest or shedule order</v>
      </c>
      <c r="P1245" t="str">
        <f>VLOOKUP(C1245,[1]Customer_Master!$A:$B,2,0)</f>
        <v>Group 1-Giridhar-Peenya</v>
      </c>
      <c r="Q1245" t="str">
        <f>VLOOKUP(D1245,[2]Template!$A:$D,3,0)</f>
        <v>LAPP</v>
      </c>
      <c r="R1245" t="str">
        <f>VLOOKUP(D1245,[2]Template!$A:$D,4,0)</f>
        <v>Lapp-Planned Stock General</v>
      </c>
    </row>
    <row r="1246" spans="1:18" ht="13.5" customHeight="1" x14ac:dyDescent="0.25">
      <c r="A1246" s="9">
        <v>46148</v>
      </c>
      <c r="B1246" s="10" t="s">
        <v>1568</v>
      </c>
      <c r="C1246" s="11" t="s">
        <v>1569</v>
      </c>
      <c r="D1246" s="10" t="s">
        <v>334</v>
      </c>
      <c r="E1246" s="12" t="s">
        <v>1072</v>
      </c>
      <c r="F1246" s="12" t="s">
        <v>87</v>
      </c>
      <c r="G1246" s="13">
        <v>1200</v>
      </c>
      <c r="H1246" s="14">
        <v>1200</v>
      </c>
      <c r="I1246" s="15">
        <v>33.590000000000003</v>
      </c>
      <c r="J1246" s="16"/>
      <c r="K1246" s="17">
        <v>40308</v>
      </c>
      <c r="L1246" s="18">
        <v>46234</v>
      </c>
      <c r="M1246" s="6" t="str">
        <f t="shared" si="57"/>
        <v>Schedule order</v>
      </c>
      <c r="N1246" s="8">
        <f t="shared" ca="1" si="58"/>
        <v>79</v>
      </c>
      <c r="O1246" s="8" t="str">
        <f t="shared" ca="1" si="59"/>
        <v>Lattest or shedule order</v>
      </c>
      <c r="P1246" t="str">
        <f>VLOOKUP(C1246,[1]Customer_Master!$A:$B,2,0)</f>
        <v>Group 1-Giridhar-Peenya</v>
      </c>
      <c r="Q1246" t="str">
        <f>VLOOKUP(D1246,[2]Template!$A:$D,3,0)</f>
        <v>LAPP</v>
      </c>
      <c r="R1246" t="str">
        <f>VLOOKUP(D1246,[2]Template!$A:$D,4,0)</f>
        <v>Lapp-Planned Stock General</v>
      </c>
    </row>
    <row r="1247" spans="1:18" ht="13.5" customHeight="1" x14ac:dyDescent="0.25">
      <c r="A1247" s="9">
        <v>46148</v>
      </c>
      <c r="B1247" s="10" t="s">
        <v>1568</v>
      </c>
      <c r="C1247" s="11" t="s">
        <v>1569</v>
      </c>
      <c r="D1247" s="10" t="s">
        <v>335</v>
      </c>
      <c r="E1247" s="12" t="s">
        <v>1072</v>
      </c>
      <c r="F1247" s="12" t="s">
        <v>122</v>
      </c>
      <c r="G1247" s="13">
        <v>5000</v>
      </c>
      <c r="H1247" s="14">
        <v>5000</v>
      </c>
      <c r="I1247" s="15">
        <v>33.590000000000003</v>
      </c>
      <c r="J1247" s="16"/>
      <c r="K1247" s="17">
        <v>167950</v>
      </c>
      <c r="L1247" s="18">
        <v>46234</v>
      </c>
      <c r="M1247" s="6" t="str">
        <f t="shared" si="57"/>
        <v>Schedule order</v>
      </c>
      <c r="N1247" s="8">
        <f t="shared" ca="1" si="58"/>
        <v>79</v>
      </c>
      <c r="O1247" s="8" t="str">
        <f t="shared" ca="1" si="59"/>
        <v>Lattest or shedule order</v>
      </c>
      <c r="P1247" t="str">
        <f>VLOOKUP(C1247,[1]Customer_Master!$A:$B,2,0)</f>
        <v>Group 1-Giridhar-Peenya</v>
      </c>
      <c r="Q1247" t="str">
        <f>VLOOKUP(D1247,[2]Template!$A:$D,3,0)</f>
        <v>LAPP</v>
      </c>
      <c r="R1247" t="str">
        <f>VLOOKUP(D1247,[2]Template!$A:$D,4,0)</f>
        <v>Lapp-Planned Stock General</v>
      </c>
    </row>
    <row r="1248" spans="1:18" ht="13.5" customHeight="1" x14ac:dyDescent="0.25">
      <c r="A1248" s="9">
        <v>46148</v>
      </c>
      <c r="B1248" s="10" t="s">
        <v>1568</v>
      </c>
      <c r="C1248" s="11" t="s">
        <v>1569</v>
      </c>
      <c r="D1248" s="10" t="s">
        <v>354</v>
      </c>
      <c r="E1248" s="12" t="s">
        <v>1072</v>
      </c>
      <c r="F1248" s="12" t="s">
        <v>134</v>
      </c>
      <c r="G1248" s="13">
        <v>2200</v>
      </c>
      <c r="H1248" s="14">
        <v>2200</v>
      </c>
      <c r="I1248" s="15">
        <v>141.28</v>
      </c>
      <c r="J1248" s="16"/>
      <c r="K1248" s="17">
        <v>310816</v>
      </c>
      <c r="L1248" s="18">
        <v>46234</v>
      </c>
      <c r="M1248" s="6" t="str">
        <f t="shared" si="57"/>
        <v>Schedule order</v>
      </c>
      <c r="N1248" s="8">
        <f t="shared" ca="1" si="58"/>
        <v>79</v>
      </c>
      <c r="O1248" s="8" t="str">
        <f t="shared" ca="1" si="59"/>
        <v>Lattest or shedule order</v>
      </c>
      <c r="P1248" t="str">
        <f>VLOOKUP(C1248,[1]Customer_Master!$A:$B,2,0)</f>
        <v>Group 1-Giridhar-Peenya</v>
      </c>
      <c r="Q1248" t="str">
        <f>VLOOKUP(D1248,[2]Template!$A:$D,3,0)</f>
        <v>LAPP</v>
      </c>
      <c r="R1248" t="str">
        <f>VLOOKUP(D1248,[2]Template!$A:$D,4,0)</f>
        <v>Lapp-Planned Stock General</v>
      </c>
    </row>
    <row r="1249" spans="1:18" ht="13.5" customHeight="1" x14ac:dyDescent="0.25">
      <c r="A1249" s="9">
        <v>46148</v>
      </c>
      <c r="B1249" s="10" t="s">
        <v>1568</v>
      </c>
      <c r="C1249" s="11" t="s">
        <v>1569</v>
      </c>
      <c r="D1249" s="10" t="s">
        <v>650</v>
      </c>
      <c r="E1249" s="12" t="s">
        <v>1072</v>
      </c>
      <c r="F1249" s="12" t="s">
        <v>651</v>
      </c>
      <c r="G1249" s="13">
        <v>3000</v>
      </c>
      <c r="H1249" s="14">
        <v>3000</v>
      </c>
      <c r="I1249" s="15">
        <v>136.66999999999999</v>
      </c>
      <c r="J1249" s="16"/>
      <c r="K1249" s="17">
        <v>410010</v>
      </c>
      <c r="L1249" s="18">
        <v>46234</v>
      </c>
      <c r="M1249" s="6" t="str">
        <f t="shared" si="57"/>
        <v>Schedule order</v>
      </c>
      <c r="N1249" s="8">
        <f t="shared" ca="1" si="58"/>
        <v>79</v>
      </c>
      <c r="O1249" s="8" t="str">
        <f t="shared" ca="1" si="59"/>
        <v>Lattest or shedule order</v>
      </c>
      <c r="P1249" t="str">
        <f>VLOOKUP(C1249,[1]Customer_Master!$A:$B,2,0)</f>
        <v>Group 1-Giridhar-Peenya</v>
      </c>
      <c r="Q1249" t="str">
        <f>VLOOKUP(D1249,[2]Template!$A:$D,3,0)</f>
        <v>LAPP</v>
      </c>
      <c r="R1249" t="str">
        <f>VLOOKUP(D1249,[2]Template!$A:$D,4,0)</f>
        <v>Lapp-Planned Stock General</v>
      </c>
    </row>
    <row r="1250" spans="1:18" ht="13.5" customHeight="1" x14ac:dyDescent="0.25">
      <c r="A1250" s="9">
        <v>46148</v>
      </c>
      <c r="B1250" s="10" t="s">
        <v>1568</v>
      </c>
      <c r="C1250" s="11" t="s">
        <v>1569</v>
      </c>
      <c r="D1250" s="10" t="s">
        <v>648</v>
      </c>
      <c r="E1250" s="12" t="s">
        <v>1072</v>
      </c>
      <c r="F1250" s="12" t="s">
        <v>649</v>
      </c>
      <c r="G1250" s="13">
        <v>1500</v>
      </c>
      <c r="H1250" s="14">
        <v>1500</v>
      </c>
      <c r="I1250" s="15">
        <v>10.95</v>
      </c>
      <c r="J1250" s="16"/>
      <c r="K1250" s="17">
        <v>16425</v>
      </c>
      <c r="L1250" s="18">
        <v>46234</v>
      </c>
      <c r="M1250" s="6" t="str">
        <f t="shared" si="57"/>
        <v>Schedule order</v>
      </c>
      <c r="N1250" s="8">
        <f t="shared" ca="1" si="58"/>
        <v>79</v>
      </c>
      <c r="O1250" s="8" t="str">
        <f t="shared" ca="1" si="59"/>
        <v>Lattest or shedule order</v>
      </c>
      <c r="P1250" t="str">
        <f>VLOOKUP(C1250,[1]Customer_Master!$A:$B,2,0)</f>
        <v>Group 1-Giridhar-Peenya</v>
      </c>
      <c r="Q1250" t="str">
        <f>VLOOKUP(D1250,[2]Template!$A:$D,3,0)</f>
        <v>LAPP</v>
      </c>
      <c r="R1250" t="str">
        <f>VLOOKUP(D1250,[2]Template!$A:$D,4,0)</f>
        <v>Lapp-Planned Stock General</v>
      </c>
    </row>
    <row r="1251" spans="1:18" ht="13.5" customHeight="1" x14ac:dyDescent="0.25">
      <c r="A1251" s="9">
        <v>46148</v>
      </c>
      <c r="B1251" s="10" t="s">
        <v>1568</v>
      </c>
      <c r="C1251" s="11" t="s">
        <v>1569</v>
      </c>
      <c r="D1251" s="10" t="s">
        <v>357</v>
      </c>
      <c r="E1251" s="12" t="s">
        <v>1072</v>
      </c>
      <c r="F1251" s="12" t="s">
        <v>53</v>
      </c>
      <c r="G1251" s="13">
        <v>2500</v>
      </c>
      <c r="H1251" s="14">
        <v>2500</v>
      </c>
      <c r="I1251" s="15">
        <v>20.46</v>
      </c>
      <c r="J1251" s="16"/>
      <c r="K1251" s="17">
        <v>51150</v>
      </c>
      <c r="L1251" s="18">
        <v>46234</v>
      </c>
      <c r="M1251" s="6" t="str">
        <f t="shared" si="57"/>
        <v>Schedule order</v>
      </c>
      <c r="N1251" s="8">
        <f t="shared" ca="1" si="58"/>
        <v>79</v>
      </c>
      <c r="O1251" s="8" t="str">
        <f t="shared" ca="1" si="59"/>
        <v>Lattest or shedule order</v>
      </c>
      <c r="P1251" t="str">
        <f>VLOOKUP(C1251,[1]Customer_Master!$A:$B,2,0)</f>
        <v>Group 1-Giridhar-Peenya</v>
      </c>
      <c r="Q1251" t="str">
        <f>VLOOKUP(D1251,[2]Template!$A:$D,3,0)</f>
        <v>LAPP</v>
      </c>
      <c r="R1251" t="str">
        <f>VLOOKUP(D1251,[2]Template!$A:$D,4,0)</f>
        <v>Lapp-Planned Stock General</v>
      </c>
    </row>
    <row r="1252" spans="1:18" ht="13.5" customHeight="1" x14ac:dyDescent="0.25">
      <c r="A1252" s="9">
        <v>46148</v>
      </c>
      <c r="B1252" s="10" t="s">
        <v>1568</v>
      </c>
      <c r="C1252" s="11" t="s">
        <v>1569</v>
      </c>
      <c r="D1252" s="10" t="s">
        <v>339</v>
      </c>
      <c r="E1252" s="12" t="s">
        <v>1072</v>
      </c>
      <c r="F1252" s="12" t="s">
        <v>124</v>
      </c>
      <c r="G1252" s="13">
        <v>5000</v>
      </c>
      <c r="H1252" s="14">
        <v>5000</v>
      </c>
      <c r="I1252" s="15">
        <v>20.46</v>
      </c>
      <c r="J1252" s="16"/>
      <c r="K1252" s="17">
        <v>102300</v>
      </c>
      <c r="L1252" s="18">
        <v>46234</v>
      </c>
      <c r="M1252" s="6" t="str">
        <f t="shared" si="57"/>
        <v>Schedule order</v>
      </c>
      <c r="N1252" s="8">
        <f t="shared" ca="1" si="58"/>
        <v>79</v>
      </c>
      <c r="O1252" s="8" t="str">
        <f t="shared" ca="1" si="59"/>
        <v>Lattest or shedule order</v>
      </c>
      <c r="P1252" t="str">
        <f>VLOOKUP(C1252,[1]Customer_Master!$A:$B,2,0)</f>
        <v>Group 1-Giridhar-Peenya</v>
      </c>
      <c r="Q1252" t="str">
        <f>VLOOKUP(D1252,[2]Template!$A:$D,3,0)</f>
        <v>LAPP</v>
      </c>
      <c r="R1252" t="str">
        <f>VLOOKUP(D1252,[2]Template!$A:$D,4,0)</f>
        <v>Lapp-Planned Stock General</v>
      </c>
    </row>
    <row r="1253" spans="1:18" ht="13.5" customHeight="1" x14ac:dyDescent="0.25">
      <c r="A1253" s="9">
        <v>46148</v>
      </c>
      <c r="B1253" s="10" t="s">
        <v>1568</v>
      </c>
      <c r="C1253" s="11" t="s">
        <v>1569</v>
      </c>
      <c r="D1253" s="10" t="s">
        <v>360</v>
      </c>
      <c r="E1253" s="12" t="s">
        <v>1072</v>
      </c>
      <c r="F1253" s="12" t="s">
        <v>141</v>
      </c>
      <c r="G1253" s="13">
        <v>600</v>
      </c>
      <c r="H1253" s="14">
        <v>600</v>
      </c>
      <c r="I1253" s="15">
        <v>85.37</v>
      </c>
      <c r="J1253" s="16"/>
      <c r="K1253" s="17">
        <v>51222</v>
      </c>
      <c r="L1253" s="18">
        <v>46234</v>
      </c>
      <c r="M1253" s="6" t="str">
        <f t="shared" si="57"/>
        <v>Schedule order</v>
      </c>
      <c r="N1253" s="8">
        <f t="shared" ca="1" si="58"/>
        <v>79</v>
      </c>
      <c r="O1253" s="8" t="str">
        <f t="shared" ca="1" si="59"/>
        <v>Lattest or shedule order</v>
      </c>
      <c r="P1253" t="str">
        <f>VLOOKUP(C1253,[1]Customer_Master!$A:$B,2,0)</f>
        <v>Group 1-Giridhar-Peenya</v>
      </c>
      <c r="Q1253" t="str">
        <f>VLOOKUP(D1253,[2]Template!$A:$D,3,0)</f>
        <v>LAPP</v>
      </c>
      <c r="R1253" t="str">
        <f>VLOOKUP(D1253,[2]Template!$A:$D,4,0)</f>
        <v>Lapp-Planned Stock General</v>
      </c>
    </row>
    <row r="1254" spans="1:18" ht="13.5" customHeight="1" x14ac:dyDescent="0.25">
      <c r="A1254" s="9">
        <v>46148</v>
      </c>
      <c r="B1254" s="10" t="s">
        <v>1568</v>
      </c>
      <c r="C1254" s="11" t="s">
        <v>1569</v>
      </c>
      <c r="D1254" s="10" t="s">
        <v>355</v>
      </c>
      <c r="E1254" s="12" t="s">
        <v>1072</v>
      </c>
      <c r="F1254" s="12" t="s">
        <v>135</v>
      </c>
      <c r="G1254" s="13">
        <v>3000</v>
      </c>
      <c r="H1254" s="14">
        <v>3000</v>
      </c>
      <c r="I1254" s="15">
        <v>10.64</v>
      </c>
      <c r="J1254" s="16"/>
      <c r="K1254" s="17">
        <v>31920</v>
      </c>
      <c r="L1254" s="18">
        <v>46234</v>
      </c>
      <c r="M1254" s="6" t="str">
        <f t="shared" si="57"/>
        <v>Schedule order</v>
      </c>
      <c r="N1254" s="8">
        <f t="shared" ca="1" si="58"/>
        <v>79</v>
      </c>
      <c r="O1254" s="8" t="str">
        <f t="shared" ca="1" si="59"/>
        <v>Lattest or shedule order</v>
      </c>
      <c r="P1254" t="str">
        <f>VLOOKUP(C1254,[1]Customer_Master!$A:$B,2,0)</f>
        <v>Group 1-Giridhar-Peenya</v>
      </c>
      <c r="Q1254" t="str">
        <f>VLOOKUP(D1254,[2]Template!$A:$D,3,0)</f>
        <v>LAPP</v>
      </c>
      <c r="R1254" t="str">
        <f>VLOOKUP(D1254,[2]Template!$A:$D,4,0)</f>
        <v>Lapp-Planned Stock General</v>
      </c>
    </row>
    <row r="1255" spans="1:18" ht="13.5" customHeight="1" x14ac:dyDescent="0.25">
      <c r="A1255" s="9">
        <v>46148</v>
      </c>
      <c r="B1255" s="10" t="s">
        <v>1568</v>
      </c>
      <c r="C1255" s="11" t="s">
        <v>1569</v>
      </c>
      <c r="D1255" s="10" t="s">
        <v>342</v>
      </c>
      <c r="E1255" s="12" t="s">
        <v>1072</v>
      </c>
      <c r="F1255" s="12" t="s">
        <v>125</v>
      </c>
      <c r="G1255" s="13">
        <v>3600</v>
      </c>
      <c r="H1255" s="14">
        <v>3600</v>
      </c>
      <c r="I1255" s="15">
        <v>81.900000000000006</v>
      </c>
      <c r="J1255" s="16"/>
      <c r="K1255" s="17">
        <v>294840</v>
      </c>
      <c r="L1255" s="18">
        <v>46234</v>
      </c>
      <c r="M1255" s="6" t="str">
        <f t="shared" si="57"/>
        <v>Schedule order</v>
      </c>
      <c r="N1255" s="8">
        <f t="shared" ca="1" si="58"/>
        <v>79</v>
      </c>
      <c r="O1255" s="8" t="str">
        <f t="shared" ca="1" si="59"/>
        <v>Lattest or shedule order</v>
      </c>
      <c r="P1255" t="str">
        <f>VLOOKUP(C1255,[1]Customer_Master!$A:$B,2,0)</f>
        <v>Group 1-Giridhar-Peenya</v>
      </c>
      <c r="Q1255" t="str">
        <f>VLOOKUP(D1255,[2]Template!$A:$D,3,0)</f>
        <v>LAPP</v>
      </c>
      <c r="R1255" t="str">
        <f>VLOOKUP(D1255,[2]Template!$A:$D,4,0)</f>
        <v>Lapp-Planned Stock General</v>
      </c>
    </row>
    <row r="1256" spans="1:18" ht="13.5" customHeight="1" x14ac:dyDescent="0.25">
      <c r="A1256" s="9">
        <v>46148</v>
      </c>
      <c r="B1256" s="10" t="s">
        <v>1568</v>
      </c>
      <c r="C1256" s="11" t="s">
        <v>1569</v>
      </c>
      <c r="D1256" s="10" t="s">
        <v>739</v>
      </c>
      <c r="E1256" s="12" t="s">
        <v>1072</v>
      </c>
      <c r="F1256" s="12" t="s">
        <v>740</v>
      </c>
      <c r="G1256" s="13">
        <v>2500</v>
      </c>
      <c r="H1256" s="14">
        <v>2500</v>
      </c>
      <c r="I1256" s="15">
        <v>134.72999999999999</v>
      </c>
      <c r="J1256" s="16"/>
      <c r="K1256" s="17">
        <v>336825</v>
      </c>
      <c r="L1256" s="18">
        <v>46234</v>
      </c>
      <c r="M1256" s="6" t="str">
        <f t="shared" si="57"/>
        <v>Schedule order</v>
      </c>
      <c r="N1256" s="8">
        <f t="shared" ca="1" si="58"/>
        <v>79</v>
      </c>
      <c r="O1256" s="8" t="str">
        <f t="shared" ca="1" si="59"/>
        <v>Lattest or shedule order</v>
      </c>
      <c r="P1256" t="str">
        <f>VLOOKUP(C1256,[1]Customer_Master!$A:$B,2,0)</f>
        <v>Group 1-Giridhar-Peenya</v>
      </c>
      <c r="Q1256" t="str">
        <f>VLOOKUP(D1256,[2]Template!$A:$D,3,0)</f>
        <v>LAPP</v>
      </c>
      <c r="R1256" t="str">
        <f>VLOOKUP(D1256,[2]Template!$A:$D,4,0)</f>
        <v>Lapp-AMS Group</v>
      </c>
    </row>
    <row r="1257" spans="1:18" ht="13.5" customHeight="1" x14ac:dyDescent="0.25">
      <c r="A1257" s="9">
        <v>46148</v>
      </c>
      <c r="B1257" s="10" t="s">
        <v>1568</v>
      </c>
      <c r="C1257" s="11" t="s">
        <v>1569</v>
      </c>
      <c r="D1257" s="10" t="s">
        <v>1039</v>
      </c>
      <c r="E1257" s="12" t="s">
        <v>1072</v>
      </c>
      <c r="F1257" s="12" t="s">
        <v>1040</v>
      </c>
      <c r="G1257" s="13">
        <v>4000</v>
      </c>
      <c r="H1257" s="14">
        <v>4000</v>
      </c>
      <c r="I1257" s="15">
        <v>15.4</v>
      </c>
      <c r="J1257" s="16"/>
      <c r="K1257" s="17">
        <v>61600</v>
      </c>
      <c r="L1257" s="18">
        <v>46234</v>
      </c>
      <c r="M1257" s="6" t="str">
        <f t="shared" si="57"/>
        <v>Schedule order</v>
      </c>
      <c r="N1257" s="8">
        <f t="shared" ca="1" si="58"/>
        <v>79</v>
      </c>
      <c r="O1257" s="8" t="str">
        <f t="shared" ca="1" si="59"/>
        <v>Lattest or shedule order</v>
      </c>
      <c r="P1257" t="str">
        <f>VLOOKUP(C1257,[1]Customer_Master!$A:$B,2,0)</f>
        <v>Group 1-Giridhar-Peenya</v>
      </c>
      <c r="Q1257" t="str">
        <f>VLOOKUP(D1257,[2]Template!$A:$D,3,0)</f>
        <v>LAPP</v>
      </c>
      <c r="R1257" t="str">
        <f>VLOOKUP(D1257,[2]Template!$A:$D,4,0)</f>
        <v>Lapp-AMS Group</v>
      </c>
    </row>
    <row r="1258" spans="1:18" ht="13.5" customHeight="1" x14ac:dyDescent="0.25">
      <c r="A1258" s="9">
        <v>46148</v>
      </c>
      <c r="B1258" s="10" t="s">
        <v>1568</v>
      </c>
      <c r="C1258" s="11" t="s">
        <v>1569</v>
      </c>
      <c r="D1258" s="10" t="s">
        <v>361</v>
      </c>
      <c r="E1258" s="12" t="s">
        <v>1072</v>
      </c>
      <c r="F1258" s="12" t="s">
        <v>69</v>
      </c>
      <c r="G1258" s="13">
        <v>1000</v>
      </c>
      <c r="H1258" s="14">
        <v>1000</v>
      </c>
      <c r="I1258" s="15">
        <v>211.33</v>
      </c>
      <c r="J1258" s="16"/>
      <c r="K1258" s="17">
        <v>211330</v>
      </c>
      <c r="L1258" s="18">
        <v>46234</v>
      </c>
      <c r="M1258" s="6" t="str">
        <f t="shared" si="57"/>
        <v>Schedule order</v>
      </c>
      <c r="N1258" s="8">
        <f t="shared" ca="1" si="58"/>
        <v>79</v>
      </c>
      <c r="O1258" s="8" t="str">
        <f t="shared" ca="1" si="59"/>
        <v>Lattest or shedule order</v>
      </c>
      <c r="P1258" t="str">
        <f>VLOOKUP(C1258,[1]Customer_Master!$A:$B,2,0)</f>
        <v>Group 1-Giridhar-Peenya</v>
      </c>
      <c r="Q1258" t="str">
        <f>VLOOKUP(D1258,[2]Template!$A:$D,3,0)</f>
        <v>LAPP</v>
      </c>
      <c r="R1258" t="str">
        <f>VLOOKUP(D1258,[2]Template!$A:$D,4,0)</f>
        <v>Lapp-Ace Group</v>
      </c>
    </row>
    <row r="1259" spans="1:18" ht="13.5" customHeight="1" x14ac:dyDescent="0.25">
      <c r="A1259" s="9">
        <v>46148</v>
      </c>
      <c r="B1259" s="10" t="s">
        <v>1568</v>
      </c>
      <c r="C1259" s="11" t="s">
        <v>1569</v>
      </c>
      <c r="D1259" s="10" t="s">
        <v>495</v>
      </c>
      <c r="E1259" s="12" t="s">
        <v>1072</v>
      </c>
      <c r="F1259" s="12" t="s">
        <v>496</v>
      </c>
      <c r="G1259" s="13">
        <v>1400</v>
      </c>
      <c r="H1259" s="14">
        <v>1400</v>
      </c>
      <c r="I1259" s="15">
        <v>211.33</v>
      </c>
      <c r="J1259" s="16"/>
      <c r="K1259" s="17">
        <v>295862</v>
      </c>
      <c r="L1259" s="18">
        <v>46234</v>
      </c>
      <c r="M1259" s="6" t="str">
        <f t="shared" si="57"/>
        <v>Schedule order</v>
      </c>
      <c r="N1259" s="8">
        <f t="shared" ca="1" si="58"/>
        <v>79</v>
      </c>
      <c r="O1259" s="8" t="str">
        <f t="shared" ca="1" si="59"/>
        <v>Lattest or shedule order</v>
      </c>
      <c r="P1259" t="str">
        <f>VLOOKUP(C1259,[1]Customer_Master!$A:$B,2,0)</f>
        <v>Group 1-Giridhar-Peenya</v>
      </c>
      <c r="Q1259" t="str">
        <f>VLOOKUP(D1259,[2]Template!$A:$D,3,0)</f>
        <v>LAPP</v>
      </c>
      <c r="R1259" t="str">
        <f>VLOOKUP(D1259,[2]Template!$A:$D,4,0)</f>
        <v>Lapp-Ace Group</v>
      </c>
    </row>
    <row r="1260" spans="1:18" ht="13.5" customHeight="1" x14ac:dyDescent="0.25">
      <c r="A1260" s="9">
        <v>46148</v>
      </c>
      <c r="B1260" s="10" t="s">
        <v>1570</v>
      </c>
      <c r="C1260" s="11" t="s">
        <v>1571</v>
      </c>
      <c r="D1260" s="10" t="s">
        <v>1572</v>
      </c>
      <c r="E1260" s="12" t="s">
        <v>1072</v>
      </c>
      <c r="F1260" s="12" t="s">
        <v>1573</v>
      </c>
      <c r="G1260" s="22">
        <v>25</v>
      </c>
      <c r="H1260" s="23">
        <v>25</v>
      </c>
      <c r="I1260" s="15">
        <v>120.4</v>
      </c>
      <c r="J1260" s="16"/>
      <c r="K1260" s="17">
        <v>3010</v>
      </c>
      <c r="L1260" s="18">
        <v>46148</v>
      </c>
      <c r="M1260" s="6" t="str">
        <f t="shared" si="57"/>
        <v>Schedule order</v>
      </c>
      <c r="N1260" s="8">
        <f t="shared" ca="1" si="58"/>
        <v>-7</v>
      </c>
      <c r="O1260" s="8" t="str">
        <f t="shared" ca="1" si="59"/>
        <v>With in 90 days</v>
      </c>
      <c r="P1260" t="str">
        <f>VLOOKUP(C1260,[1]Customer_Master!$A:$B,2,0)</f>
        <v>Online Business</v>
      </c>
      <c r="Q1260" t="str">
        <f>VLOOKUP(D1260,[2]Template!$A:$D,3,0)</f>
        <v>LAPP</v>
      </c>
      <c r="R1260" t="str">
        <f>VLOOKUP(D1260,[2]Template!$A:$D,4,0)</f>
        <v>Lapp-Planned Stock General</v>
      </c>
    </row>
    <row r="1261" spans="1:18" ht="13.5" customHeight="1" x14ac:dyDescent="0.25">
      <c r="A1261" s="9">
        <v>46148</v>
      </c>
      <c r="B1261" s="10" t="s">
        <v>1570</v>
      </c>
      <c r="C1261" s="11" t="s">
        <v>1571</v>
      </c>
      <c r="D1261" s="10" t="s">
        <v>1574</v>
      </c>
      <c r="E1261" s="12" t="s">
        <v>1072</v>
      </c>
      <c r="F1261" s="12" t="s">
        <v>1575</v>
      </c>
      <c r="G1261" s="22">
        <v>25</v>
      </c>
      <c r="H1261" s="23">
        <v>25</v>
      </c>
      <c r="I1261" s="15">
        <v>250.5</v>
      </c>
      <c r="J1261" s="16"/>
      <c r="K1261" s="17">
        <v>6262.5</v>
      </c>
      <c r="L1261" s="18">
        <v>46148</v>
      </c>
      <c r="M1261" s="6" t="str">
        <f t="shared" si="57"/>
        <v>Schedule order</v>
      </c>
      <c r="N1261" s="8">
        <f t="shared" ca="1" si="58"/>
        <v>-7</v>
      </c>
      <c r="O1261" s="8" t="str">
        <f t="shared" ca="1" si="59"/>
        <v>With in 90 days</v>
      </c>
      <c r="P1261" t="str">
        <f>VLOOKUP(C1261,[1]Customer_Master!$A:$B,2,0)</f>
        <v>Online Business</v>
      </c>
      <c r="Q1261" t="str">
        <f>VLOOKUP(D1261,[2]Template!$A:$D,3,0)</f>
        <v>LAPP</v>
      </c>
      <c r="R1261" t="str">
        <f>VLOOKUP(D1261,[2]Template!$A:$D,4,0)</f>
        <v>Lapp-Against Customer PO</v>
      </c>
    </row>
    <row r="1262" spans="1:18" ht="13.5" customHeight="1" x14ac:dyDescent="0.25">
      <c r="A1262" s="9">
        <v>46148</v>
      </c>
      <c r="B1262" s="10" t="s">
        <v>1570</v>
      </c>
      <c r="C1262" s="11" t="s">
        <v>1571</v>
      </c>
      <c r="D1262" s="10" t="s">
        <v>937</v>
      </c>
      <c r="E1262" s="12" t="s">
        <v>1072</v>
      </c>
      <c r="F1262" s="12" t="s">
        <v>938</v>
      </c>
      <c r="G1262" s="22">
        <v>25</v>
      </c>
      <c r="H1262" s="23">
        <v>25</v>
      </c>
      <c r="I1262" s="15">
        <v>782.06</v>
      </c>
      <c r="J1262" s="16"/>
      <c r="K1262" s="17">
        <v>19551.5</v>
      </c>
      <c r="L1262" s="18">
        <v>46148</v>
      </c>
      <c r="M1262" s="6" t="str">
        <f t="shared" si="57"/>
        <v>Schedule order</v>
      </c>
      <c r="N1262" s="8">
        <f t="shared" ca="1" si="58"/>
        <v>-7</v>
      </c>
      <c r="O1262" s="8" t="str">
        <f t="shared" ca="1" si="59"/>
        <v>With in 90 days</v>
      </c>
      <c r="P1262" t="str">
        <f>VLOOKUP(C1262,[1]Customer_Master!$A:$B,2,0)</f>
        <v>Online Business</v>
      </c>
      <c r="Q1262" t="str">
        <f>VLOOKUP(D1262,[2]Template!$A:$D,3,0)</f>
        <v>LAPP</v>
      </c>
      <c r="R1262" t="str">
        <f>VLOOKUP(D1262,[2]Template!$A:$D,4,0)</f>
        <v>Lapp-Non Moving Stocks</v>
      </c>
    </row>
    <row r="1263" spans="1:18" ht="13.5" customHeight="1" x14ac:dyDescent="0.25">
      <c r="A1263" s="9">
        <v>46148</v>
      </c>
      <c r="B1263" s="10" t="s">
        <v>1570</v>
      </c>
      <c r="C1263" s="11" t="s">
        <v>1571</v>
      </c>
      <c r="D1263" s="27" t="s">
        <v>1576</v>
      </c>
      <c r="E1263" s="12" t="s">
        <v>1072</v>
      </c>
      <c r="F1263" s="26" t="s">
        <v>1577</v>
      </c>
      <c r="G1263" s="19">
        <v>25</v>
      </c>
      <c r="H1263" s="20">
        <v>25</v>
      </c>
      <c r="I1263" s="15">
        <v>832.59</v>
      </c>
      <c r="J1263" s="16"/>
      <c r="K1263" s="17">
        <v>20814.75</v>
      </c>
      <c r="L1263" s="18">
        <v>46148</v>
      </c>
      <c r="M1263" s="6" t="str">
        <f t="shared" si="57"/>
        <v>Schedule order</v>
      </c>
      <c r="N1263" s="8">
        <f t="shared" ca="1" si="58"/>
        <v>-7</v>
      </c>
      <c r="O1263" s="8" t="str">
        <f t="shared" ca="1" si="59"/>
        <v>With in 90 days</v>
      </c>
      <c r="P1263" t="str">
        <f>VLOOKUP(C1263,[1]Customer_Master!$A:$B,2,0)</f>
        <v>Online Business</v>
      </c>
      <c r="Q1263" t="str">
        <f>VLOOKUP(D1263,[2]Template!$A:$D,3,0)</f>
        <v>LAPP</v>
      </c>
      <c r="R1263" t="str">
        <f>VLOOKUP(D1263,[2]Template!$A:$D,4,0)</f>
        <v>Lapp-Non Moving Stocks</v>
      </c>
    </row>
    <row r="1264" spans="1:18" ht="13.5" customHeight="1" x14ac:dyDescent="0.25">
      <c r="A1264" s="9">
        <v>46148</v>
      </c>
      <c r="B1264" s="10" t="s">
        <v>1570</v>
      </c>
      <c r="C1264" s="11" t="s">
        <v>1571</v>
      </c>
      <c r="D1264" s="10" t="s">
        <v>419</v>
      </c>
      <c r="E1264" s="12" t="s">
        <v>1072</v>
      </c>
      <c r="F1264" s="12" t="s">
        <v>207</v>
      </c>
      <c r="G1264" s="22">
        <v>25</v>
      </c>
      <c r="H1264" s="23">
        <v>25</v>
      </c>
      <c r="I1264" s="15">
        <v>48.99</v>
      </c>
      <c r="J1264" s="16"/>
      <c r="K1264" s="17">
        <v>1224.75</v>
      </c>
      <c r="L1264" s="18">
        <v>46148</v>
      </c>
      <c r="M1264" s="6" t="str">
        <f t="shared" si="57"/>
        <v>Schedule order</v>
      </c>
      <c r="N1264" s="8">
        <f t="shared" ca="1" si="58"/>
        <v>-7</v>
      </c>
      <c r="O1264" s="8" t="str">
        <f t="shared" ca="1" si="59"/>
        <v>With in 90 days</v>
      </c>
      <c r="P1264" t="str">
        <f>VLOOKUP(C1264,[1]Customer_Master!$A:$B,2,0)</f>
        <v>Online Business</v>
      </c>
      <c r="Q1264" t="str">
        <f>VLOOKUP(D1264,[2]Template!$A:$D,3,0)</f>
        <v>LAPP</v>
      </c>
      <c r="R1264" t="str">
        <f>VLOOKUP(D1264,[2]Template!$A:$D,4,0)</f>
        <v>Lapp-Ace Group</v>
      </c>
    </row>
    <row r="1265" spans="1:18" ht="13.5" customHeight="1" x14ac:dyDescent="0.25">
      <c r="A1265" s="9">
        <v>46148</v>
      </c>
      <c r="B1265" s="10" t="s">
        <v>1570</v>
      </c>
      <c r="C1265" s="11" t="s">
        <v>1571</v>
      </c>
      <c r="D1265" s="27" t="s">
        <v>1578</v>
      </c>
      <c r="E1265" s="12" t="s">
        <v>1072</v>
      </c>
      <c r="F1265" s="26" t="s">
        <v>1579</v>
      </c>
      <c r="G1265" s="19">
        <v>25</v>
      </c>
      <c r="H1265" s="20">
        <v>25</v>
      </c>
      <c r="I1265" s="15">
        <v>196.23</v>
      </c>
      <c r="J1265" s="16"/>
      <c r="K1265" s="17">
        <v>4905.75</v>
      </c>
      <c r="L1265" s="18">
        <v>46148</v>
      </c>
      <c r="M1265" s="6" t="str">
        <f t="shared" si="57"/>
        <v>Schedule order</v>
      </c>
      <c r="N1265" s="8">
        <f t="shared" ca="1" si="58"/>
        <v>-7</v>
      </c>
      <c r="O1265" s="8" t="str">
        <f t="shared" ca="1" si="59"/>
        <v>With in 90 days</v>
      </c>
      <c r="P1265" t="str">
        <f>VLOOKUP(C1265,[1]Customer_Master!$A:$B,2,0)</f>
        <v>Online Business</v>
      </c>
      <c r="Q1265" t="str">
        <f>VLOOKUP(D1265,[2]Template!$A:$D,3,0)</f>
        <v>LAPP</v>
      </c>
      <c r="R1265" t="str">
        <f>VLOOKUP(D1265,[2]Template!$A:$D,4,0)</f>
        <v>Lapp-Non Moving Stocks</v>
      </c>
    </row>
    <row r="1266" spans="1:18" ht="13.5" customHeight="1" x14ac:dyDescent="0.25">
      <c r="A1266" s="9">
        <v>46148</v>
      </c>
      <c r="B1266" s="10" t="s">
        <v>1570</v>
      </c>
      <c r="C1266" s="11" t="s">
        <v>1571</v>
      </c>
      <c r="D1266" s="10" t="s">
        <v>474</v>
      </c>
      <c r="E1266" s="12" t="s">
        <v>1072</v>
      </c>
      <c r="F1266" s="12" t="s">
        <v>475</v>
      </c>
      <c r="G1266" s="22">
        <v>50</v>
      </c>
      <c r="H1266" s="23">
        <v>50</v>
      </c>
      <c r="I1266" s="15">
        <v>41.63</v>
      </c>
      <c r="J1266" s="16"/>
      <c r="K1266" s="17">
        <v>2081.5</v>
      </c>
      <c r="L1266" s="18">
        <v>46148</v>
      </c>
      <c r="M1266" s="6" t="str">
        <f t="shared" si="57"/>
        <v>Schedule order</v>
      </c>
      <c r="N1266" s="8">
        <f t="shared" ca="1" si="58"/>
        <v>-7</v>
      </c>
      <c r="O1266" s="8" t="str">
        <f t="shared" ca="1" si="59"/>
        <v>With in 90 days</v>
      </c>
      <c r="P1266" t="str">
        <f>VLOOKUP(C1266,[1]Customer_Master!$A:$B,2,0)</f>
        <v>Online Business</v>
      </c>
      <c r="Q1266" t="str">
        <f>VLOOKUP(D1266,[2]Template!$A:$D,3,0)</f>
        <v>LAPP</v>
      </c>
      <c r="R1266" t="str">
        <f>VLOOKUP(D1266,[2]Template!$A:$D,4,0)</f>
        <v>Lapp-Planned Stock General</v>
      </c>
    </row>
    <row r="1267" spans="1:18" ht="13.5" customHeight="1" x14ac:dyDescent="0.25">
      <c r="A1267" s="9">
        <v>46148</v>
      </c>
      <c r="B1267" s="10" t="s">
        <v>1580</v>
      </c>
      <c r="C1267" s="11" t="s">
        <v>811</v>
      </c>
      <c r="D1267" s="10" t="s">
        <v>1581</v>
      </c>
      <c r="E1267" s="12" t="s">
        <v>1072</v>
      </c>
      <c r="F1267" s="12" t="s">
        <v>1582</v>
      </c>
      <c r="G1267" s="13">
        <v>8000</v>
      </c>
      <c r="H1267" s="14">
        <v>8000</v>
      </c>
      <c r="I1267" s="15">
        <v>207.46</v>
      </c>
      <c r="J1267" s="16"/>
      <c r="K1267" s="17">
        <v>1659680</v>
      </c>
      <c r="L1267" s="18">
        <v>46148</v>
      </c>
      <c r="M1267" s="6" t="str">
        <f t="shared" si="57"/>
        <v>Schedule order</v>
      </c>
      <c r="N1267" s="8">
        <f t="shared" ca="1" si="58"/>
        <v>-7</v>
      </c>
      <c r="O1267" s="8" t="str">
        <f t="shared" ca="1" si="59"/>
        <v>With in 90 days</v>
      </c>
      <c r="P1267" t="str">
        <f>VLOOKUP(C1267,[1]Customer_Master!$A:$B,2,0)</f>
        <v>Group-4 ( Office Account)</v>
      </c>
      <c r="Q1267" t="str">
        <f>VLOOKUP(D1267,[2]Template!$A:$D,3,0)</f>
        <v>LAPP</v>
      </c>
      <c r="R1267" t="str">
        <f>VLOOKUP(D1267,[2]Template!$A:$D,4,0)</f>
        <v>Lapp-Non Moving Stocks</v>
      </c>
    </row>
    <row r="1268" spans="1:18" ht="13.5" customHeight="1" x14ac:dyDescent="0.25">
      <c r="A1268" s="9">
        <v>46148</v>
      </c>
      <c r="B1268" s="10" t="s">
        <v>1580</v>
      </c>
      <c r="C1268" s="11" t="s">
        <v>811</v>
      </c>
      <c r="D1268" s="10" t="s">
        <v>1583</v>
      </c>
      <c r="E1268" s="12" t="s">
        <v>1072</v>
      </c>
      <c r="F1268" s="12" t="s">
        <v>1584</v>
      </c>
      <c r="G1268" s="13">
        <v>2000</v>
      </c>
      <c r="H1268" s="14">
        <v>2000</v>
      </c>
      <c r="I1268" s="15">
        <v>84.59</v>
      </c>
      <c r="J1268" s="16"/>
      <c r="K1268" s="17">
        <v>169180</v>
      </c>
      <c r="L1268" s="18">
        <v>46148</v>
      </c>
      <c r="M1268" s="6" t="str">
        <f t="shared" si="57"/>
        <v>Schedule order</v>
      </c>
      <c r="N1268" s="8">
        <f t="shared" ca="1" si="58"/>
        <v>-7</v>
      </c>
      <c r="O1268" s="8" t="str">
        <f t="shared" ca="1" si="59"/>
        <v>With in 90 days</v>
      </c>
      <c r="P1268" t="str">
        <f>VLOOKUP(C1268,[1]Customer_Master!$A:$B,2,0)</f>
        <v>Group-4 ( Office Account)</v>
      </c>
      <c r="Q1268" t="str">
        <f>VLOOKUP(D1268,[2]Template!$A:$D,3,0)</f>
        <v>LAPP</v>
      </c>
      <c r="R1268" t="str">
        <f>VLOOKUP(D1268,[2]Template!$A:$D,4,0)</f>
        <v>Lapp-Non Moving Stocks</v>
      </c>
    </row>
    <row r="1269" spans="1:18" ht="13.5" customHeight="1" x14ac:dyDescent="0.25">
      <c r="A1269" s="9">
        <v>46148</v>
      </c>
      <c r="B1269" s="10" t="s">
        <v>1580</v>
      </c>
      <c r="C1269" s="11" t="s">
        <v>811</v>
      </c>
      <c r="D1269" s="27" t="s">
        <v>1585</v>
      </c>
      <c r="E1269" s="12" t="s">
        <v>1072</v>
      </c>
      <c r="F1269" s="12" t="s">
        <v>1586</v>
      </c>
      <c r="G1269" s="13">
        <v>6000</v>
      </c>
      <c r="H1269" s="14">
        <v>6000</v>
      </c>
      <c r="I1269" s="15">
        <v>135.62</v>
      </c>
      <c r="J1269" s="16"/>
      <c r="K1269" s="17">
        <v>813720</v>
      </c>
      <c r="L1269" s="18">
        <v>46148</v>
      </c>
      <c r="M1269" s="6" t="str">
        <f t="shared" si="57"/>
        <v>Schedule order</v>
      </c>
      <c r="N1269" s="8">
        <f t="shared" ca="1" si="58"/>
        <v>-7</v>
      </c>
      <c r="O1269" s="8" t="str">
        <f t="shared" ca="1" si="59"/>
        <v>With in 90 days</v>
      </c>
      <c r="P1269" t="str">
        <f>VLOOKUP(C1269,[1]Customer_Master!$A:$B,2,0)</f>
        <v>Group-4 ( Office Account)</v>
      </c>
      <c r="Q1269" t="str">
        <f>VLOOKUP(D1269,[2]Template!$A:$D,3,0)</f>
        <v>LAPP</v>
      </c>
      <c r="R1269" t="str">
        <f>VLOOKUP(D1269,[2]Template!$A:$D,4,0)</f>
        <v>Lapp-Non Moving Stocks</v>
      </c>
    </row>
    <row r="1270" spans="1:18" ht="13.5" customHeight="1" x14ac:dyDescent="0.25">
      <c r="A1270" s="9">
        <v>46148</v>
      </c>
      <c r="B1270" s="10" t="s">
        <v>1580</v>
      </c>
      <c r="C1270" s="11" t="s">
        <v>811</v>
      </c>
      <c r="D1270" s="27" t="s">
        <v>1244</v>
      </c>
      <c r="E1270" s="12" t="s">
        <v>1072</v>
      </c>
      <c r="F1270" s="26" t="s">
        <v>1245</v>
      </c>
      <c r="G1270" s="13">
        <v>3500</v>
      </c>
      <c r="H1270" s="14">
        <v>3500</v>
      </c>
      <c r="I1270" s="15">
        <v>2223.91</v>
      </c>
      <c r="J1270" s="16"/>
      <c r="K1270" s="17">
        <v>7783685</v>
      </c>
      <c r="L1270" s="18">
        <v>46148</v>
      </c>
      <c r="M1270" s="6" t="str">
        <f t="shared" si="57"/>
        <v>Schedule order</v>
      </c>
      <c r="N1270" s="8">
        <f t="shared" ca="1" si="58"/>
        <v>-7</v>
      </c>
      <c r="O1270" s="8" t="str">
        <f t="shared" ca="1" si="59"/>
        <v>With in 90 days</v>
      </c>
      <c r="P1270" t="str">
        <f>VLOOKUP(C1270,[1]Customer_Master!$A:$B,2,0)</f>
        <v>Group-4 ( Office Account)</v>
      </c>
      <c r="Q1270" t="str">
        <f>VLOOKUP(D1270,[2]Template!$A:$D,3,0)</f>
        <v>LAPP</v>
      </c>
      <c r="R1270" t="str">
        <f>VLOOKUP(D1270,[2]Template!$A:$D,4,0)</f>
        <v>Lapp-Non Moving Stocks</v>
      </c>
    </row>
    <row r="1271" spans="1:18" ht="13.5" customHeight="1" x14ac:dyDescent="0.25">
      <c r="A1271" s="9">
        <v>46148</v>
      </c>
      <c r="B1271" s="10" t="s">
        <v>1580</v>
      </c>
      <c r="C1271" s="11" t="s">
        <v>811</v>
      </c>
      <c r="D1271" s="10" t="s">
        <v>1587</v>
      </c>
      <c r="E1271" s="12" t="s">
        <v>1072</v>
      </c>
      <c r="F1271" s="12" t="s">
        <v>1588</v>
      </c>
      <c r="G1271" s="13">
        <v>150</v>
      </c>
      <c r="H1271" s="14">
        <v>150</v>
      </c>
      <c r="I1271" s="15">
        <v>1680.15</v>
      </c>
      <c r="J1271" s="16"/>
      <c r="K1271" s="17">
        <v>252022.5</v>
      </c>
      <c r="L1271" s="18">
        <v>46148</v>
      </c>
      <c r="M1271" s="6" t="str">
        <f t="shared" si="57"/>
        <v>Schedule order</v>
      </c>
      <c r="N1271" s="8">
        <f t="shared" ca="1" si="58"/>
        <v>-7</v>
      </c>
      <c r="O1271" s="8" t="str">
        <f t="shared" ca="1" si="59"/>
        <v>With in 90 days</v>
      </c>
      <c r="P1271" t="str">
        <f>VLOOKUP(C1271,[1]Customer_Master!$A:$B,2,0)</f>
        <v>Group-4 ( Office Account)</v>
      </c>
      <c r="Q1271" t="str">
        <f>VLOOKUP(D1271,[2]Template!$A:$D,3,0)</f>
        <v>LAPP</v>
      </c>
      <c r="R1271" t="str">
        <f>VLOOKUP(D1271,[2]Template!$A:$D,4,0)</f>
        <v>Lapp-Against Customer PO</v>
      </c>
    </row>
    <row r="1272" spans="1:18" ht="13.5" customHeight="1" x14ac:dyDescent="0.25">
      <c r="A1272" s="9">
        <v>46148</v>
      </c>
      <c r="B1272" s="10" t="s">
        <v>1580</v>
      </c>
      <c r="C1272" s="11" t="s">
        <v>811</v>
      </c>
      <c r="D1272" s="10" t="s">
        <v>1306</v>
      </c>
      <c r="E1272" s="12" t="s">
        <v>1072</v>
      </c>
      <c r="F1272" s="12" t="s">
        <v>1307</v>
      </c>
      <c r="G1272" s="13">
        <v>1000</v>
      </c>
      <c r="H1272" s="14">
        <v>1000</v>
      </c>
      <c r="I1272" s="15">
        <v>667.42</v>
      </c>
      <c r="J1272" s="16"/>
      <c r="K1272" s="17">
        <v>667420</v>
      </c>
      <c r="L1272" s="18">
        <v>46148</v>
      </c>
      <c r="M1272" s="6" t="str">
        <f t="shared" si="57"/>
        <v>Schedule order</v>
      </c>
      <c r="N1272" s="8">
        <f t="shared" ca="1" si="58"/>
        <v>-7</v>
      </c>
      <c r="O1272" s="8" t="str">
        <f t="shared" ca="1" si="59"/>
        <v>With in 90 days</v>
      </c>
      <c r="P1272" t="str">
        <f>VLOOKUP(C1272,[1]Customer_Master!$A:$B,2,0)</f>
        <v>Group-4 ( Office Account)</v>
      </c>
      <c r="Q1272" t="str">
        <f>VLOOKUP(D1272,[2]Template!$A:$D,3,0)</f>
        <v>LAPP</v>
      </c>
      <c r="R1272" t="str">
        <f>VLOOKUP(D1272,[2]Template!$A:$D,4,0)</f>
        <v>Lapp-Against Customer PO</v>
      </c>
    </row>
    <row r="1273" spans="1:18" ht="13.5" customHeight="1" x14ac:dyDescent="0.25">
      <c r="A1273" s="9">
        <v>46148</v>
      </c>
      <c r="B1273" s="10" t="s">
        <v>1580</v>
      </c>
      <c r="C1273" s="11" t="s">
        <v>811</v>
      </c>
      <c r="D1273" s="10" t="s">
        <v>715</v>
      </c>
      <c r="E1273" s="12" t="s">
        <v>1072</v>
      </c>
      <c r="F1273" s="12" t="s">
        <v>716</v>
      </c>
      <c r="G1273" s="13">
        <v>500</v>
      </c>
      <c r="H1273" s="14">
        <v>500</v>
      </c>
      <c r="I1273" s="15">
        <v>657.37</v>
      </c>
      <c r="J1273" s="16"/>
      <c r="K1273" s="17">
        <v>328685</v>
      </c>
      <c r="L1273" s="18">
        <v>46148</v>
      </c>
      <c r="M1273" s="6" t="str">
        <f t="shared" si="57"/>
        <v>Schedule order</v>
      </c>
      <c r="N1273" s="8">
        <f t="shared" ca="1" si="58"/>
        <v>-7</v>
      </c>
      <c r="O1273" s="8" t="str">
        <f t="shared" ca="1" si="59"/>
        <v>With in 90 days</v>
      </c>
      <c r="P1273" t="str">
        <f>VLOOKUP(C1273,[1]Customer_Master!$A:$B,2,0)</f>
        <v>Group-4 ( Office Account)</v>
      </c>
      <c r="Q1273" t="str">
        <f>VLOOKUP(D1273,[2]Template!$A:$D,3,0)</f>
        <v>LAPP</v>
      </c>
      <c r="R1273" t="str">
        <f>VLOOKUP(D1273,[2]Template!$A:$D,4,0)</f>
        <v>Lapp-Titan</v>
      </c>
    </row>
    <row r="1274" spans="1:18" ht="13.5" customHeight="1" x14ac:dyDescent="0.25">
      <c r="A1274" s="9">
        <v>46148</v>
      </c>
      <c r="B1274" s="10" t="s">
        <v>1580</v>
      </c>
      <c r="C1274" s="11" t="s">
        <v>811</v>
      </c>
      <c r="D1274" s="10" t="s">
        <v>318</v>
      </c>
      <c r="E1274" s="12" t="s">
        <v>1072</v>
      </c>
      <c r="F1274" s="12" t="s">
        <v>1083</v>
      </c>
      <c r="G1274" s="13">
        <v>2000</v>
      </c>
      <c r="H1274" s="14">
        <v>2000</v>
      </c>
      <c r="I1274" s="15">
        <v>511.19</v>
      </c>
      <c r="J1274" s="16"/>
      <c r="K1274" s="17">
        <v>1022380</v>
      </c>
      <c r="L1274" s="18">
        <v>46148</v>
      </c>
      <c r="M1274" s="6" t="str">
        <f t="shared" si="57"/>
        <v>Schedule order</v>
      </c>
      <c r="N1274" s="8">
        <f t="shared" ca="1" si="58"/>
        <v>-7</v>
      </c>
      <c r="O1274" s="8" t="str">
        <f t="shared" ca="1" si="59"/>
        <v>With in 90 days</v>
      </c>
      <c r="P1274" t="str">
        <f>VLOOKUP(C1274,[1]Customer_Master!$A:$B,2,0)</f>
        <v>Group-4 ( Office Account)</v>
      </c>
      <c r="Q1274" t="str">
        <f>VLOOKUP(D1274,[2]Template!$A:$D,3,0)</f>
        <v>LAPP</v>
      </c>
      <c r="R1274" t="str">
        <f>VLOOKUP(D1274,[2]Template!$A:$D,4,0)</f>
        <v>Lapp-AMS Group</v>
      </c>
    </row>
    <row r="1275" spans="1:18" ht="13.5" customHeight="1" x14ac:dyDescent="0.25">
      <c r="A1275" s="9">
        <v>46148</v>
      </c>
      <c r="B1275" s="10" t="s">
        <v>1580</v>
      </c>
      <c r="C1275" s="11" t="s">
        <v>811</v>
      </c>
      <c r="D1275" s="27" t="s">
        <v>1589</v>
      </c>
      <c r="E1275" s="12" t="s">
        <v>1072</v>
      </c>
      <c r="F1275" s="12" t="s">
        <v>1590</v>
      </c>
      <c r="G1275" s="13">
        <v>2000</v>
      </c>
      <c r="H1275" s="14">
        <v>2000</v>
      </c>
      <c r="I1275" s="15">
        <v>303.14</v>
      </c>
      <c r="J1275" s="16"/>
      <c r="K1275" s="17">
        <v>606280</v>
      </c>
      <c r="L1275" s="18">
        <v>46148</v>
      </c>
      <c r="M1275" s="6" t="str">
        <f t="shared" si="57"/>
        <v>Schedule order</v>
      </c>
      <c r="N1275" s="8">
        <f t="shared" ca="1" si="58"/>
        <v>-7</v>
      </c>
      <c r="O1275" s="8" t="str">
        <f t="shared" ca="1" si="59"/>
        <v>With in 90 days</v>
      </c>
      <c r="P1275" t="str">
        <f>VLOOKUP(C1275,[1]Customer_Master!$A:$B,2,0)</f>
        <v>Group-4 ( Office Account)</v>
      </c>
      <c r="Q1275" t="str">
        <f>VLOOKUP(D1275,[2]Template!$A:$D,3,0)</f>
        <v>LAPP</v>
      </c>
      <c r="R1275" t="str">
        <f>VLOOKUP(D1275,[2]Template!$A:$D,4,0)</f>
        <v>Lapp-Non Moving Stocks</v>
      </c>
    </row>
    <row r="1276" spans="1:18" ht="13.5" customHeight="1" x14ac:dyDescent="0.25">
      <c r="A1276" s="9">
        <v>46148</v>
      </c>
      <c r="B1276" s="10" t="s">
        <v>1580</v>
      </c>
      <c r="C1276" s="11" t="s">
        <v>811</v>
      </c>
      <c r="D1276" s="10" t="s">
        <v>1591</v>
      </c>
      <c r="E1276" s="12" t="s">
        <v>1072</v>
      </c>
      <c r="F1276" s="12" t="s">
        <v>1592</v>
      </c>
      <c r="G1276" s="13">
        <v>3000</v>
      </c>
      <c r="H1276" s="14">
        <v>3000</v>
      </c>
      <c r="I1276" s="15">
        <v>253.93</v>
      </c>
      <c r="J1276" s="16"/>
      <c r="K1276" s="17">
        <v>761790</v>
      </c>
      <c r="L1276" s="18">
        <v>46148</v>
      </c>
      <c r="M1276" s="6" t="str">
        <f t="shared" si="57"/>
        <v>Schedule order</v>
      </c>
      <c r="N1276" s="8">
        <f t="shared" ca="1" si="58"/>
        <v>-7</v>
      </c>
      <c r="O1276" s="8" t="str">
        <f t="shared" ca="1" si="59"/>
        <v>With in 90 days</v>
      </c>
      <c r="P1276" t="str">
        <f>VLOOKUP(C1276,[1]Customer_Master!$A:$B,2,0)</f>
        <v>Group-4 ( Office Account)</v>
      </c>
      <c r="Q1276" t="str">
        <f>VLOOKUP(D1276,[2]Template!$A:$D,3,0)</f>
        <v>LAPP</v>
      </c>
      <c r="R1276" t="str">
        <f>VLOOKUP(D1276,[2]Template!$A:$D,4,0)</f>
        <v>Lapp-Planned Stock General</v>
      </c>
    </row>
    <row r="1277" spans="1:18" ht="13.5" customHeight="1" x14ac:dyDescent="0.25">
      <c r="A1277" s="9">
        <v>46148</v>
      </c>
      <c r="B1277" s="10" t="s">
        <v>1580</v>
      </c>
      <c r="C1277" s="11" t="s">
        <v>811</v>
      </c>
      <c r="D1277" s="10" t="s">
        <v>1490</v>
      </c>
      <c r="E1277" s="12" t="s">
        <v>1072</v>
      </c>
      <c r="F1277" s="12" t="s">
        <v>1491</v>
      </c>
      <c r="G1277" s="13">
        <v>3000</v>
      </c>
      <c r="H1277" s="14">
        <v>3000</v>
      </c>
      <c r="I1277" s="15">
        <v>163.38</v>
      </c>
      <c r="J1277" s="16"/>
      <c r="K1277" s="17">
        <v>490140</v>
      </c>
      <c r="L1277" s="18">
        <v>46148</v>
      </c>
      <c r="M1277" s="6" t="str">
        <f t="shared" si="57"/>
        <v>Schedule order</v>
      </c>
      <c r="N1277" s="8">
        <f t="shared" ca="1" si="58"/>
        <v>-7</v>
      </c>
      <c r="O1277" s="8" t="str">
        <f t="shared" ca="1" si="59"/>
        <v>With in 90 days</v>
      </c>
      <c r="P1277" t="str">
        <f>VLOOKUP(C1277,[1]Customer_Master!$A:$B,2,0)</f>
        <v>Group-4 ( Office Account)</v>
      </c>
      <c r="Q1277" t="str">
        <f>VLOOKUP(D1277,[2]Template!$A:$D,3,0)</f>
        <v>LAPP</v>
      </c>
      <c r="R1277" t="str">
        <f>VLOOKUP(D1277,[2]Template!$A:$D,4,0)</f>
        <v>Lapp-Planned Stock General</v>
      </c>
    </row>
    <row r="1278" spans="1:18" ht="13.5" customHeight="1" x14ac:dyDescent="0.25">
      <c r="A1278" s="9">
        <v>46148</v>
      </c>
      <c r="B1278" s="10" t="s">
        <v>1580</v>
      </c>
      <c r="C1278" s="11" t="s">
        <v>811</v>
      </c>
      <c r="D1278" s="10" t="s">
        <v>652</v>
      </c>
      <c r="E1278" s="12" t="s">
        <v>1072</v>
      </c>
      <c r="F1278" s="12" t="s">
        <v>653</v>
      </c>
      <c r="G1278" s="13">
        <v>1000</v>
      </c>
      <c r="H1278" s="14">
        <v>1000</v>
      </c>
      <c r="I1278" s="15">
        <v>59.26</v>
      </c>
      <c r="J1278" s="16"/>
      <c r="K1278" s="17">
        <v>59260</v>
      </c>
      <c r="L1278" s="18">
        <v>46148</v>
      </c>
      <c r="M1278" s="6" t="str">
        <f t="shared" si="57"/>
        <v>Schedule order</v>
      </c>
      <c r="N1278" s="8">
        <f t="shared" ca="1" si="58"/>
        <v>-7</v>
      </c>
      <c r="O1278" s="8" t="str">
        <f t="shared" ca="1" si="59"/>
        <v>With in 90 days</v>
      </c>
      <c r="P1278" t="str">
        <f>VLOOKUP(C1278,[1]Customer_Master!$A:$B,2,0)</f>
        <v>Group-4 ( Office Account)</v>
      </c>
      <c r="Q1278" t="str">
        <f>VLOOKUP(D1278,[2]Template!$A:$D,3,0)</f>
        <v>LAPP</v>
      </c>
      <c r="R1278" t="str">
        <f>VLOOKUP(D1278,[2]Template!$A:$D,4,0)</f>
        <v>Lapp-Planned Stock General</v>
      </c>
    </row>
    <row r="1279" spans="1:18" ht="13.5" customHeight="1" x14ac:dyDescent="0.25">
      <c r="A1279" s="9">
        <v>46148</v>
      </c>
      <c r="B1279" s="10" t="s">
        <v>1580</v>
      </c>
      <c r="C1279" s="11" t="s">
        <v>811</v>
      </c>
      <c r="D1279" s="10" t="s">
        <v>360</v>
      </c>
      <c r="E1279" s="12" t="s">
        <v>1072</v>
      </c>
      <c r="F1279" s="12" t="s">
        <v>141</v>
      </c>
      <c r="G1279" s="13">
        <v>1000</v>
      </c>
      <c r="H1279" s="14">
        <v>1000</v>
      </c>
      <c r="I1279" s="15">
        <v>87.95</v>
      </c>
      <c r="J1279" s="16"/>
      <c r="K1279" s="17">
        <v>87950</v>
      </c>
      <c r="L1279" s="18">
        <v>46148</v>
      </c>
      <c r="M1279" s="6" t="str">
        <f t="shared" si="57"/>
        <v>Schedule order</v>
      </c>
      <c r="N1279" s="8">
        <f t="shared" ca="1" si="58"/>
        <v>-7</v>
      </c>
      <c r="O1279" s="8" t="str">
        <f t="shared" ca="1" si="59"/>
        <v>With in 90 days</v>
      </c>
      <c r="P1279" t="str">
        <f>VLOOKUP(C1279,[1]Customer_Master!$A:$B,2,0)</f>
        <v>Group-4 ( Office Account)</v>
      </c>
      <c r="Q1279" t="str">
        <f>VLOOKUP(D1279,[2]Template!$A:$D,3,0)</f>
        <v>LAPP</v>
      </c>
      <c r="R1279" t="str">
        <f>VLOOKUP(D1279,[2]Template!$A:$D,4,0)</f>
        <v>Lapp-Planned Stock General</v>
      </c>
    </row>
    <row r="1280" spans="1:18" ht="13.5" customHeight="1" x14ac:dyDescent="0.25">
      <c r="A1280" s="9">
        <v>46148</v>
      </c>
      <c r="B1280" s="10" t="s">
        <v>1580</v>
      </c>
      <c r="C1280" s="11" t="s">
        <v>811</v>
      </c>
      <c r="D1280" s="10" t="s">
        <v>354</v>
      </c>
      <c r="E1280" s="12" t="s">
        <v>1072</v>
      </c>
      <c r="F1280" s="12" t="s">
        <v>134</v>
      </c>
      <c r="G1280" s="13">
        <v>1000</v>
      </c>
      <c r="H1280" s="14">
        <v>1000</v>
      </c>
      <c r="I1280" s="15">
        <v>154.81</v>
      </c>
      <c r="J1280" s="16"/>
      <c r="K1280" s="17">
        <v>154810</v>
      </c>
      <c r="L1280" s="18">
        <v>46148</v>
      </c>
      <c r="M1280" s="6" t="str">
        <f t="shared" si="57"/>
        <v>Schedule order</v>
      </c>
      <c r="N1280" s="8">
        <f t="shared" ca="1" si="58"/>
        <v>-7</v>
      </c>
      <c r="O1280" s="8" t="str">
        <f t="shared" ca="1" si="59"/>
        <v>With in 90 days</v>
      </c>
      <c r="P1280" t="str">
        <f>VLOOKUP(C1280,[1]Customer_Master!$A:$B,2,0)</f>
        <v>Group-4 ( Office Account)</v>
      </c>
      <c r="Q1280" t="str">
        <f>VLOOKUP(D1280,[2]Template!$A:$D,3,0)</f>
        <v>LAPP</v>
      </c>
      <c r="R1280" t="str">
        <f>VLOOKUP(D1280,[2]Template!$A:$D,4,0)</f>
        <v>Lapp-Planned Stock General</v>
      </c>
    </row>
    <row r="1281" spans="1:18" ht="13.5" customHeight="1" x14ac:dyDescent="0.25">
      <c r="A1281" s="9">
        <v>46148</v>
      </c>
      <c r="B1281" s="10" t="s">
        <v>1593</v>
      </c>
      <c r="C1281" s="11" t="s">
        <v>279</v>
      </c>
      <c r="D1281" s="10" t="s">
        <v>605</v>
      </c>
      <c r="E1281" s="12" t="s">
        <v>1072</v>
      </c>
      <c r="F1281" s="12" t="s">
        <v>606</v>
      </c>
      <c r="G1281" s="22">
        <v>65</v>
      </c>
      <c r="H1281" s="23">
        <v>65</v>
      </c>
      <c r="I1281" s="15">
        <v>20.66</v>
      </c>
      <c r="J1281" s="16"/>
      <c r="K1281" s="17">
        <v>1342.9</v>
      </c>
      <c r="L1281" s="18">
        <v>46199</v>
      </c>
      <c r="M1281" s="6" t="str">
        <f t="shared" si="57"/>
        <v>Schedule order</v>
      </c>
      <c r="N1281" s="8">
        <f t="shared" ca="1" si="58"/>
        <v>44</v>
      </c>
      <c r="O1281" s="8" t="str">
        <f t="shared" ca="1" si="59"/>
        <v>Lattest or shedule order</v>
      </c>
      <c r="P1281" t="str">
        <f>VLOOKUP(C1281,[1]Customer_Master!$A:$B,2,0)</f>
        <v>Group 1-Giridhar-Peenya</v>
      </c>
      <c r="Q1281" t="str">
        <f>VLOOKUP(D1281,[2]Template!$A:$D,3,0)</f>
        <v>LAPP</v>
      </c>
      <c r="R1281" t="str">
        <f>VLOOKUP(D1281,[2]Template!$A:$D,4,0)</f>
        <v>Lapp-Against Customer PO</v>
      </c>
    </row>
    <row r="1282" spans="1:18" ht="13.5" customHeight="1" x14ac:dyDescent="0.25">
      <c r="A1282" s="9">
        <v>46148</v>
      </c>
      <c r="B1282" s="10" t="s">
        <v>1594</v>
      </c>
      <c r="C1282" s="11" t="s">
        <v>209</v>
      </c>
      <c r="D1282" s="27" t="s">
        <v>1595</v>
      </c>
      <c r="E1282" s="12" t="s">
        <v>1072</v>
      </c>
      <c r="F1282" s="12" t="s">
        <v>1596</v>
      </c>
      <c r="G1282" s="13">
        <v>300</v>
      </c>
      <c r="H1282" s="14">
        <v>300</v>
      </c>
      <c r="I1282" s="15">
        <v>646.61</v>
      </c>
      <c r="J1282" s="16"/>
      <c r="K1282" s="17">
        <v>193983</v>
      </c>
      <c r="L1282" s="18">
        <v>46148</v>
      </c>
      <c r="M1282" s="6" t="str">
        <f t="shared" si="57"/>
        <v>Schedule order</v>
      </c>
      <c r="N1282" s="8">
        <f t="shared" ca="1" si="58"/>
        <v>-7</v>
      </c>
      <c r="O1282" s="8" t="str">
        <f t="shared" ca="1" si="59"/>
        <v>With in 90 days</v>
      </c>
      <c r="P1282" t="str">
        <f>VLOOKUP(C1282,[1]Customer_Master!$A:$B,2,0)</f>
        <v>Group 1-Giridhar-Peenya</v>
      </c>
      <c r="Q1282" t="str">
        <f>VLOOKUP(D1282,[2]Template!$A:$D,3,0)</f>
        <v>LAPP</v>
      </c>
      <c r="R1282" t="str">
        <f>VLOOKUP(D1282,[2]Template!$A:$D,4,0)</f>
        <v>Lapp-Non Moving Stocks</v>
      </c>
    </row>
    <row r="1283" spans="1:18" ht="13.5" customHeight="1" x14ac:dyDescent="0.25">
      <c r="A1283" s="9">
        <v>46148</v>
      </c>
      <c r="B1283" s="10" t="s">
        <v>1597</v>
      </c>
      <c r="C1283" s="11" t="s">
        <v>116</v>
      </c>
      <c r="D1283" s="10" t="s">
        <v>891</v>
      </c>
      <c r="E1283" s="12" t="s">
        <v>1072</v>
      </c>
      <c r="F1283" s="12" t="s">
        <v>892</v>
      </c>
      <c r="G1283" s="13">
        <v>25</v>
      </c>
      <c r="H1283" s="14">
        <v>25</v>
      </c>
      <c r="I1283" s="15">
        <v>922.98</v>
      </c>
      <c r="J1283" s="16"/>
      <c r="K1283" s="17">
        <v>23074.5</v>
      </c>
      <c r="L1283" s="18">
        <v>46160</v>
      </c>
      <c r="M1283" s="6" t="str">
        <f t="shared" ref="M1283:M1346" si="60">IF(L1283&lt;DATE(2026,4,30),"Due order","Schedule order")</f>
        <v>Schedule order</v>
      </c>
      <c r="N1283" s="8">
        <f t="shared" ref="N1283:N1346" ca="1" si="61">L1283-TODAY()</f>
        <v>5</v>
      </c>
      <c r="O1283" s="8" t="str">
        <f t="shared" ref="O1283:O1346" ca="1" si="62">IF(N1283&lt;-365,"More than 1 Year old",IF(N1283&lt;-180," More than 180 days old",IF(N1283&lt;-90,"More than 90 day old",IF(N1283&lt;0,"With in 90 days","Lattest or shedule order"))))</f>
        <v>Lattest or shedule order</v>
      </c>
      <c r="P1283" t="str">
        <f>VLOOKUP(C1283,[1]Customer_Master!$A:$B,2,0)</f>
        <v>Group-2 (Veeresh- Bomsdr+Hosur)</v>
      </c>
      <c r="Q1283" t="str">
        <f>VLOOKUP(D1283,[2]Template!$A:$D,3,0)</f>
        <v>LAPP</v>
      </c>
      <c r="R1283" t="str">
        <f>VLOOKUP(D1283,[2]Template!$A:$D,4,0)</f>
        <v>Lapp-Against Customer PO</v>
      </c>
    </row>
    <row r="1284" spans="1:18" ht="13.5" customHeight="1" x14ac:dyDescent="0.25">
      <c r="A1284" s="9">
        <v>46148</v>
      </c>
      <c r="B1284" s="10" t="s">
        <v>1597</v>
      </c>
      <c r="C1284" s="11" t="s">
        <v>116</v>
      </c>
      <c r="D1284" s="10" t="s">
        <v>880</v>
      </c>
      <c r="E1284" s="12" t="s">
        <v>1072</v>
      </c>
      <c r="F1284" s="12" t="s">
        <v>881</v>
      </c>
      <c r="G1284" s="13">
        <v>30</v>
      </c>
      <c r="H1284" s="14">
        <v>30</v>
      </c>
      <c r="I1284" s="15">
        <v>156.1</v>
      </c>
      <c r="J1284" s="16"/>
      <c r="K1284" s="17">
        <v>4683</v>
      </c>
      <c r="L1284" s="18">
        <v>46160</v>
      </c>
      <c r="M1284" s="6" t="str">
        <f t="shared" si="60"/>
        <v>Schedule order</v>
      </c>
      <c r="N1284" s="8">
        <f t="shared" ca="1" si="61"/>
        <v>5</v>
      </c>
      <c r="O1284" s="8" t="str">
        <f t="shared" ca="1" si="62"/>
        <v>Lattest or shedule order</v>
      </c>
      <c r="P1284" t="str">
        <f>VLOOKUP(C1284,[1]Customer_Master!$A:$B,2,0)</f>
        <v>Group-2 (Veeresh- Bomsdr+Hosur)</v>
      </c>
      <c r="Q1284" t="str">
        <f>VLOOKUP(D1284,[2]Template!$A:$D,3,0)</f>
        <v>LAPP</v>
      </c>
      <c r="R1284" t="str">
        <f>VLOOKUP(D1284,[2]Template!$A:$D,4,0)</f>
        <v>Lapp-Non Moving Stocks</v>
      </c>
    </row>
    <row r="1285" spans="1:18" ht="13.5" customHeight="1" x14ac:dyDescent="0.25">
      <c r="A1285" s="9">
        <v>46148</v>
      </c>
      <c r="B1285" s="10" t="s">
        <v>1597</v>
      </c>
      <c r="C1285" s="11" t="s">
        <v>116</v>
      </c>
      <c r="D1285" s="10" t="s">
        <v>417</v>
      </c>
      <c r="E1285" s="12" t="s">
        <v>1072</v>
      </c>
      <c r="F1285" s="12" t="s">
        <v>195</v>
      </c>
      <c r="G1285" s="13">
        <v>50</v>
      </c>
      <c r="H1285" s="14">
        <v>50</v>
      </c>
      <c r="I1285" s="15">
        <v>65.709999999999994</v>
      </c>
      <c r="J1285" s="16"/>
      <c r="K1285" s="17">
        <v>3285.5</v>
      </c>
      <c r="L1285" s="18">
        <v>46160</v>
      </c>
      <c r="M1285" s="6" t="str">
        <f t="shared" si="60"/>
        <v>Schedule order</v>
      </c>
      <c r="N1285" s="8">
        <f t="shared" ca="1" si="61"/>
        <v>5</v>
      </c>
      <c r="O1285" s="8" t="str">
        <f t="shared" ca="1" si="62"/>
        <v>Lattest or shedule order</v>
      </c>
      <c r="P1285" t="str">
        <f>VLOOKUP(C1285,[1]Customer_Master!$A:$B,2,0)</f>
        <v>Group-2 (Veeresh- Bomsdr+Hosur)</v>
      </c>
      <c r="Q1285" t="str">
        <f>VLOOKUP(D1285,[2]Template!$A:$D,3,0)</f>
        <v>LAPP</v>
      </c>
      <c r="R1285" t="str">
        <f>VLOOKUP(D1285,[2]Template!$A:$D,4,0)</f>
        <v>Lapp-Rinac</v>
      </c>
    </row>
    <row r="1286" spans="1:18" ht="13.5" customHeight="1" x14ac:dyDescent="0.25">
      <c r="A1286" s="9">
        <v>46148</v>
      </c>
      <c r="B1286" s="10" t="s">
        <v>1597</v>
      </c>
      <c r="C1286" s="11" t="s">
        <v>116</v>
      </c>
      <c r="D1286" s="10" t="s">
        <v>903</v>
      </c>
      <c r="E1286" s="12" t="s">
        <v>1072</v>
      </c>
      <c r="F1286" s="12" t="s">
        <v>904</v>
      </c>
      <c r="G1286" s="13">
        <v>25</v>
      </c>
      <c r="H1286" s="14">
        <v>25</v>
      </c>
      <c r="I1286" s="15">
        <v>102.89</v>
      </c>
      <c r="J1286" s="16"/>
      <c r="K1286" s="17">
        <v>2572.25</v>
      </c>
      <c r="L1286" s="18">
        <v>46160</v>
      </c>
      <c r="M1286" s="6" t="str">
        <f t="shared" si="60"/>
        <v>Schedule order</v>
      </c>
      <c r="N1286" s="8">
        <f t="shared" ca="1" si="61"/>
        <v>5</v>
      </c>
      <c r="O1286" s="8" t="str">
        <f t="shared" ca="1" si="62"/>
        <v>Lattest or shedule order</v>
      </c>
      <c r="P1286" t="str">
        <f>VLOOKUP(C1286,[1]Customer_Master!$A:$B,2,0)</f>
        <v>Group-2 (Veeresh- Bomsdr+Hosur)</v>
      </c>
      <c r="Q1286" t="str">
        <f>VLOOKUP(D1286,[2]Template!$A:$D,3,0)</f>
        <v>LAPP</v>
      </c>
      <c r="R1286" t="str">
        <f>VLOOKUP(D1286,[2]Template!$A:$D,4,0)</f>
        <v>Lapp-Planned Stock General</v>
      </c>
    </row>
    <row r="1287" spans="1:18" ht="13.5" customHeight="1" x14ac:dyDescent="0.25">
      <c r="A1287" s="9">
        <v>46148</v>
      </c>
      <c r="B1287" s="10" t="s">
        <v>1597</v>
      </c>
      <c r="C1287" s="11" t="s">
        <v>116</v>
      </c>
      <c r="D1287" s="10" t="s">
        <v>1598</v>
      </c>
      <c r="E1287" s="12" t="s">
        <v>1072</v>
      </c>
      <c r="F1287" s="12" t="s">
        <v>1599</v>
      </c>
      <c r="G1287" s="13">
        <v>12</v>
      </c>
      <c r="H1287" s="14">
        <v>12</v>
      </c>
      <c r="I1287" s="15">
        <v>311.57</v>
      </c>
      <c r="J1287" s="16"/>
      <c r="K1287" s="17">
        <v>3738.84</v>
      </c>
      <c r="L1287" s="18">
        <v>46160</v>
      </c>
      <c r="M1287" s="6" t="str">
        <f t="shared" si="60"/>
        <v>Schedule order</v>
      </c>
      <c r="N1287" s="8">
        <f t="shared" ca="1" si="61"/>
        <v>5</v>
      </c>
      <c r="O1287" s="8" t="str">
        <f t="shared" ca="1" si="62"/>
        <v>Lattest or shedule order</v>
      </c>
      <c r="P1287" t="str">
        <f>VLOOKUP(C1287,[1]Customer_Master!$A:$B,2,0)</f>
        <v>Group-2 (Veeresh- Bomsdr+Hosur)</v>
      </c>
      <c r="Q1287" t="str">
        <f>VLOOKUP(D1287,[2]Template!$A:$D,3,0)</f>
        <v>LAPP</v>
      </c>
      <c r="R1287" t="str">
        <f>VLOOKUP(D1287,[2]Template!$A:$D,4,0)</f>
        <v>Lapp-Non Moving Stocks</v>
      </c>
    </row>
    <row r="1288" spans="1:18" ht="13.5" customHeight="1" x14ac:dyDescent="0.25">
      <c r="A1288" s="9">
        <v>46148</v>
      </c>
      <c r="B1288" s="10" t="s">
        <v>1597</v>
      </c>
      <c r="C1288" s="11" t="s">
        <v>116</v>
      </c>
      <c r="D1288" s="10" t="s">
        <v>242</v>
      </c>
      <c r="E1288" s="12" t="s">
        <v>1072</v>
      </c>
      <c r="F1288" s="12" t="s">
        <v>1072</v>
      </c>
      <c r="G1288" s="19">
        <v>1</v>
      </c>
      <c r="H1288" s="20">
        <v>1</v>
      </c>
      <c r="I1288" s="15">
        <v>238</v>
      </c>
      <c r="J1288" s="16"/>
      <c r="K1288" s="17">
        <v>238</v>
      </c>
      <c r="L1288" s="18">
        <v>46160</v>
      </c>
      <c r="M1288" s="6" t="str">
        <f t="shared" si="60"/>
        <v>Schedule order</v>
      </c>
      <c r="N1288" s="8">
        <f t="shared" ca="1" si="61"/>
        <v>5</v>
      </c>
      <c r="O1288" s="8" t="str">
        <f t="shared" ca="1" si="62"/>
        <v>Lattest or shedule order</v>
      </c>
      <c r="P1288" t="str">
        <f>VLOOKUP(C1288,[1]Customer_Master!$A:$B,2,0)</f>
        <v>Group-2 (Veeresh- Bomsdr+Hosur)</v>
      </c>
      <c r="Q1288" t="str">
        <f>VLOOKUP(D1288,[2]Template!$A:$D,3,0)</f>
        <v>LAPP</v>
      </c>
      <c r="R1288" t="str">
        <f>VLOOKUP(D1288,[2]Template!$A:$D,4,0)</f>
        <v>Lapp-Against Customer PO</v>
      </c>
    </row>
    <row r="1289" spans="1:18" ht="13.5" customHeight="1" x14ac:dyDescent="0.25">
      <c r="A1289" s="9">
        <v>46148</v>
      </c>
      <c r="B1289" s="10" t="s">
        <v>1600</v>
      </c>
      <c r="C1289" s="11" t="s">
        <v>116</v>
      </c>
      <c r="D1289" s="10" t="s">
        <v>1439</v>
      </c>
      <c r="E1289" s="12" t="s">
        <v>1072</v>
      </c>
      <c r="F1289" s="12" t="s">
        <v>1440</v>
      </c>
      <c r="G1289" s="13">
        <v>37</v>
      </c>
      <c r="H1289" s="14">
        <v>37</v>
      </c>
      <c r="I1289" s="15">
        <v>251.21</v>
      </c>
      <c r="J1289" s="16"/>
      <c r="K1289" s="17">
        <v>9294.77</v>
      </c>
      <c r="L1289" s="18">
        <v>46167</v>
      </c>
      <c r="M1289" s="6" t="str">
        <f t="shared" si="60"/>
        <v>Schedule order</v>
      </c>
      <c r="N1289" s="8">
        <f t="shared" ca="1" si="61"/>
        <v>12</v>
      </c>
      <c r="O1289" s="8" t="str">
        <f t="shared" ca="1" si="62"/>
        <v>Lattest or shedule order</v>
      </c>
      <c r="P1289" t="str">
        <f>VLOOKUP(C1289,[1]Customer_Master!$A:$B,2,0)</f>
        <v>Group-2 (Veeresh- Bomsdr+Hosur)</v>
      </c>
      <c r="Q1289" t="str">
        <f>VLOOKUP(D1289,[2]Template!$A:$D,3,0)</f>
        <v>LAPP</v>
      </c>
      <c r="R1289" t="str">
        <f>VLOOKUP(D1289,[2]Template!$A:$D,4,0)</f>
        <v>Lapp-Non Moving Stocks</v>
      </c>
    </row>
    <row r="1290" spans="1:18" ht="13.5" customHeight="1" x14ac:dyDescent="0.25">
      <c r="A1290" s="9">
        <v>46148</v>
      </c>
      <c r="B1290" s="10" t="s">
        <v>1600</v>
      </c>
      <c r="C1290" s="11" t="s">
        <v>116</v>
      </c>
      <c r="D1290" s="10" t="s">
        <v>242</v>
      </c>
      <c r="E1290" s="12" t="s">
        <v>1072</v>
      </c>
      <c r="F1290" s="12" t="s">
        <v>1072</v>
      </c>
      <c r="G1290" s="19">
        <v>1</v>
      </c>
      <c r="H1290" s="20">
        <v>1</v>
      </c>
      <c r="I1290" s="15">
        <v>899</v>
      </c>
      <c r="J1290" s="16"/>
      <c r="K1290" s="17">
        <v>899</v>
      </c>
      <c r="L1290" s="18">
        <v>46167</v>
      </c>
      <c r="M1290" s="6" t="str">
        <f t="shared" si="60"/>
        <v>Schedule order</v>
      </c>
      <c r="N1290" s="8">
        <f t="shared" ca="1" si="61"/>
        <v>12</v>
      </c>
      <c r="O1290" s="8" t="str">
        <f t="shared" ca="1" si="62"/>
        <v>Lattest or shedule order</v>
      </c>
      <c r="P1290" t="str">
        <f>VLOOKUP(C1290,[1]Customer_Master!$A:$B,2,0)</f>
        <v>Group-2 (Veeresh- Bomsdr+Hosur)</v>
      </c>
      <c r="Q1290" t="str">
        <f>VLOOKUP(D1290,[2]Template!$A:$D,3,0)</f>
        <v>LAPP</v>
      </c>
      <c r="R1290" t="str">
        <f>VLOOKUP(D1290,[2]Template!$A:$D,4,0)</f>
        <v>Lapp-Against Customer PO</v>
      </c>
    </row>
    <row r="1291" spans="1:18" ht="13.5" customHeight="1" x14ac:dyDescent="0.25">
      <c r="A1291" s="9">
        <v>46148</v>
      </c>
      <c r="B1291" s="10" t="s">
        <v>1601</v>
      </c>
      <c r="C1291" s="11" t="s">
        <v>528</v>
      </c>
      <c r="D1291" s="10" t="s">
        <v>1552</v>
      </c>
      <c r="E1291" s="12" t="s">
        <v>1072</v>
      </c>
      <c r="F1291" s="12" t="s">
        <v>1553</v>
      </c>
      <c r="G1291" s="22">
        <v>500</v>
      </c>
      <c r="H1291" s="23">
        <v>250</v>
      </c>
      <c r="I1291" s="15">
        <v>23.75</v>
      </c>
      <c r="J1291" s="16"/>
      <c r="K1291" s="17">
        <v>5937.5</v>
      </c>
      <c r="L1291" s="18">
        <v>46148</v>
      </c>
      <c r="M1291" s="6" t="str">
        <f t="shared" si="60"/>
        <v>Schedule order</v>
      </c>
      <c r="N1291" s="8">
        <f t="shared" ca="1" si="61"/>
        <v>-7</v>
      </c>
      <c r="O1291" s="8" t="str">
        <f t="shared" ca="1" si="62"/>
        <v>With in 90 days</v>
      </c>
      <c r="P1291" t="str">
        <f>VLOOKUP(C1291,[1]Customer_Master!$A:$B,2,0)</f>
        <v>Group-2 (Veeresh- Bomsdr+Hosur)</v>
      </c>
      <c r="Q1291" t="str">
        <f>VLOOKUP(D1291,[2]Template!$A:$D,3,0)</f>
        <v>LAPP</v>
      </c>
      <c r="R1291" t="str">
        <f>VLOOKUP(D1291,[2]Template!$A:$D,4,0)</f>
        <v>Lapp-Planned Stock General</v>
      </c>
    </row>
    <row r="1292" spans="1:18" ht="13.5" customHeight="1" x14ac:dyDescent="0.25">
      <c r="A1292" s="9">
        <v>46148</v>
      </c>
      <c r="B1292" s="10" t="s">
        <v>1602</v>
      </c>
      <c r="C1292" s="11" t="s">
        <v>617</v>
      </c>
      <c r="D1292" s="10" t="s">
        <v>886</v>
      </c>
      <c r="E1292" s="12" t="s">
        <v>1072</v>
      </c>
      <c r="F1292" s="12" t="s">
        <v>1108</v>
      </c>
      <c r="G1292" s="13">
        <v>500</v>
      </c>
      <c r="H1292" s="14">
        <v>500</v>
      </c>
      <c r="I1292" s="15">
        <v>53.08</v>
      </c>
      <c r="J1292" s="16"/>
      <c r="K1292" s="17">
        <v>26540</v>
      </c>
      <c r="L1292" s="18">
        <v>46148</v>
      </c>
      <c r="M1292" s="6" t="str">
        <f t="shared" si="60"/>
        <v>Schedule order</v>
      </c>
      <c r="N1292" s="8">
        <f t="shared" ca="1" si="61"/>
        <v>-7</v>
      </c>
      <c r="O1292" s="8" t="str">
        <f t="shared" ca="1" si="62"/>
        <v>With in 90 days</v>
      </c>
      <c r="P1292" t="str">
        <f>VLOOKUP(C1292,[1]Customer_Master!$A:$B,2,0)</f>
        <v>Group 1-Giridhar-Peenya</v>
      </c>
      <c r="Q1292" t="str">
        <f>VLOOKUP(D1292,[2]Template!$A:$D,3,0)</f>
        <v>LAPP</v>
      </c>
      <c r="R1292" t="str">
        <f>VLOOKUP(D1292,[2]Template!$A:$D,4,0)</f>
        <v>Lapp-Planned Stock General</v>
      </c>
    </row>
    <row r="1293" spans="1:18" ht="13.5" customHeight="1" x14ac:dyDescent="0.25">
      <c r="A1293" s="9">
        <v>46148</v>
      </c>
      <c r="B1293" s="10" t="s">
        <v>1603</v>
      </c>
      <c r="C1293" s="11" t="s">
        <v>1604</v>
      </c>
      <c r="D1293" s="27" t="s">
        <v>320</v>
      </c>
      <c r="E1293" s="12" t="s">
        <v>1072</v>
      </c>
      <c r="F1293" s="26" t="s">
        <v>73</v>
      </c>
      <c r="G1293" s="13">
        <v>100</v>
      </c>
      <c r="H1293" s="14">
        <v>100</v>
      </c>
      <c r="I1293" s="15">
        <v>102.17</v>
      </c>
      <c r="J1293" s="16"/>
      <c r="K1293" s="17">
        <v>10217</v>
      </c>
      <c r="L1293" s="18">
        <v>46148</v>
      </c>
      <c r="M1293" s="6" t="str">
        <f t="shared" si="60"/>
        <v>Schedule order</v>
      </c>
      <c r="N1293" s="8">
        <f t="shared" ca="1" si="61"/>
        <v>-7</v>
      </c>
      <c r="O1293" s="8" t="str">
        <f t="shared" ca="1" si="62"/>
        <v>With in 90 days</v>
      </c>
      <c r="P1293" t="str">
        <f>VLOOKUP(C1293,[1]Customer_Master!$A:$B,2,0)</f>
        <v>Online Business</v>
      </c>
      <c r="Q1293" t="str">
        <f>VLOOKUP(D1293,[2]Template!$A:$D,3,0)</f>
        <v>LAPP</v>
      </c>
      <c r="R1293" t="str">
        <f>VLOOKUP(D1293,[2]Template!$A:$D,4,0)</f>
        <v>Lapp-TD Power</v>
      </c>
    </row>
    <row r="1294" spans="1:18" ht="13.5" customHeight="1" x14ac:dyDescent="0.25">
      <c r="A1294" s="9">
        <v>46148</v>
      </c>
      <c r="B1294" s="10" t="s">
        <v>1603</v>
      </c>
      <c r="C1294" s="11" t="s">
        <v>1604</v>
      </c>
      <c r="D1294" s="10" t="s">
        <v>1605</v>
      </c>
      <c r="E1294" s="12" t="s">
        <v>1072</v>
      </c>
      <c r="F1294" s="12" t="s">
        <v>1606</v>
      </c>
      <c r="G1294" s="13">
        <v>100</v>
      </c>
      <c r="H1294" s="14">
        <v>45</v>
      </c>
      <c r="I1294" s="15">
        <v>88.61</v>
      </c>
      <c r="J1294" s="16"/>
      <c r="K1294" s="17">
        <v>3987.45</v>
      </c>
      <c r="L1294" s="18">
        <v>46148</v>
      </c>
      <c r="M1294" s="6" t="str">
        <f t="shared" si="60"/>
        <v>Schedule order</v>
      </c>
      <c r="N1294" s="8">
        <f t="shared" ca="1" si="61"/>
        <v>-7</v>
      </c>
      <c r="O1294" s="8" t="str">
        <f t="shared" ca="1" si="62"/>
        <v>With in 90 days</v>
      </c>
      <c r="P1294" t="str">
        <f>VLOOKUP(C1294,[1]Customer_Master!$A:$B,2,0)</f>
        <v>Online Business</v>
      </c>
      <c r="Q1294" t="str">
        <f>VLOOKUP(D1294,[2]Template!$A:$D,3,0)</f>
        <v>LAPP</v>
      </c>
      <c r="R1294" t="str">
        <f>VLOOKUP(D1294,[2]Template!$A:$D,4,0)</f>
        <v>Lapp-Against Customer PO</v>
      </c>
    </row>
    <row r="1295" spans="1:18" ht="13.5" customHeight="1" x14ac:dyDescent="0.25">
      <c r="A1295" s="9">
        <v>46148</v>
      </c>
      <c r="B1295" s="10" t="s">
        <v>1607</v>
      </c>
      <c r="C1295" s="11" t="s">
        <v>1608</v>
      </c>
      <c r="D1295" s="27" t="s">
        <v>1609</v>
      </c>
      <c r="E1295" s="12" t="s">
        <v>1072</v>
      </c>
      <c r="F1295" s="26" t="s">
        <v>1610</v>
      </c>
      <c r="G1295" s="19">
        <v>3</v>
      </c>
      <c r="H1295" s="20">
        <v>3</v>
      </c>
      <c r="I1295" s="15">
        <v>2472.5</v>
      </c>
      <c r="J1295" s="16"/>
      <c r="K1295" s="17">
        <v>7417.5</v>
      </c>
      <c r="L1295" s="18">
        <v>46148</v>
      </c>
      <c r="M1295" s="6" t="str">
        <f t="shared" si="60"/>
        <v>Schedule order</v>
      </c>
      <c r="N1295" s="8">
        <f t="shared" ca="1" si="61"/>
        <v>-7</v>
      </c>
      <c r="O1295" s="8" t="str">
        <f t="shared" ca="1" si="62"/>
        <v>With in 90 days</v>
      </c>
      <c r="P1295" t="str">
        <f>VLOOKUP(C1295,[1]Customer_Master!$A:$B,2,0)</f>
        <v>Group 1-Giridhar-Peenya</v>
      </c>
      <c r="Q1295" t="str">
        <f>VLOOKUP(D1295,[2]Template!$A:$D,3,0)</f>
        <v>EATON</v>
      </c>
      <c r="R1295" t="str">
        <f>VLOOKUP(D1295,[2]Template!$A:$D,4,0)</f>
        <v>Eaton-Non Moving Stock</v>
      </c>
    </row>
    <row r="1296" spans="1:18" ht="13.5" customHeight="1" x14ac:dyDescent="0.25">
      <c r="A1296" s="9">
        <v>46148</v>
      </c>
      <c r="B1296" s="10" t="s">
        <v>1607</v>
      </c>
      <c r="C1296" s="11" t="s">
        <v>1608</v>
      </c>
      <c r="D1296" s="10" t="s">
        <v>1611</v>
      </c>
      <c r="E1296" s="12" t="s">
        <v>1072</v>
      </c>
      <c r="F1296" s="12" t="s">
        <v>1612</v>
      </c>
      <c r="G1296" s="19">
        <v>2</v>
      </c>
      <c r="H1296" s="20">
        <v>2</v>
      </c>
      <c r="I1296" s="15">
        <v>2472.5</v>
      </c>
      <c r="J1296" s="16"/>
      <c r="K1296" s="17">
        <v>4945</v>
      </c>
      <c r="L1296" s="18">
        <v>46148</v>
      </c>
      <c r="M1296" s="6" t="str">
        <f t="shared" si="60"/>
        <v>Schedule order</v>
      </c>
      <c r="N1296" s="8">
        <f t="shared" ca="1" si="61"/>
        <v>-7</v>
      </c>
      <c r="O1296" s="8" t="str">
        <f t="shared" ca="1" si="62"/>
        <v>With in 90 days</v>
      </c>
      <c r="P1296" t="str">
        <f>VLOOKUP(C1296,[1]Customer_Master!$A:$B,2,0)</f>
        <v>Group 1-Giridhar-Peenya</v>
      </c>
      <c r="Q1296" t="str">
        <f>VLOOKUP(D1296,[2]Template!$A:$D,3,0)</f>
        <v>EATON</v>
      </c>
      <c r="R1296" t="str">
        <f>VLOOKUP(D1296,[2]Template!$A:$D,4,0)</f>
        <v>Eaton-Non Moving Stock</v>
      </c>
    </row>
    <row r="1297" spans="1:18" ht="13.5" customHeight="1" x14ac:dyDescent="0.25">
      <c r="A1297" s="9">
        <v>46148</v>
      </c>
      <c r="B1297" s="10" t="s">
        <v>1607</v>
      </c>
      <c r="C1297" s="11" t="s">
        <v>1608</v>
      </c>
      <c r="D1297" s="10" t="s">
        <v>364</v>
      </c>
      <c r="E1297" s="12" t="s">
        <v>1072</v>
      </c>
      <c r="F1297" s="12" t="s">
        <v>102</v>
      </c>
      <c r="G1297" s="19">
        <v>1</v>
      </c>
      <c r="H1297" s="20">
        <v>1</v>
      </c>
      <c r="I1297" s="15">
        <v>747.5</v>
      </c>
      <c r="J1297" s="16"/>
      <c r="K1297" s="17">
        <v>747.5</v>
      </c>
      <c r="L1297" s="18">
        <v>46148</v>
      </c>
      <c r="M1297" s="6" t="str">
        <f t="shared" si="60"/>
        <v>Schedule order</v>
      </c>
      <c r="N1297" s="8">
        <f t="shared" ca="1" si="61"/>
        <v>-7</v>
      </c>
      <c r="O1297" s="8" t="str">
        <f t="shared" ca="1" si="62"/>
        <v>With in 90 days</v>
      </c>
      <c r="P1297" t="str">
        <f>VLOOKUP(C1297,[1]Customer_Master!$A:$B,2,0)</f>
        <v>Group 1-Giridhar-Peenya</v>
      </c>
      <c r="Q1297" t="str">
        <f>VLOOKUP(D1297,[2]Template!$A:$D,3,0)</f>
        <v>EATON</v>
      </c>
      <c r="R1297" t="str">
        <f>VLOOKUP(D1297,[2]Template!$A:$D,4,0)</f>
        <v>Eaton-Biesse</v>
      </c>
    </row>
    <row r="1298" spans="1:18" ht="13.5" customHeight="1" x14ac:dyDescent="0.25">
      <c r="A1298" s="9">
        <v>46149</v>
      </c>
      <c r="B1298" s="10" t="s">
        <v>1631</v>
      </c>
      <c r="C1298" s="11" t="s">
        <v>1632</v>
      </c>
      <c r="D1298" s="10" t="s">
        <v>514</v>
      </c>
      <c r="E1298" s="12" t="s">
        <v>1072</v>
      </c>
      <c r="F1298" s="12" t="s">
        <v>515</v>
      </c>
      <c r="G1298" s="13">
        <v>2500</v>
      </c>
      <c r="H1298" s="14">
        <v>2500</v>
      </c>
      <c r="I1298" s="15">
        <v>496.71</v>
      </c>
      <c r="J1298" s="16"/>
      <c r="K1298" s="17">
        <v>1241775</v>
      </c>
      <c r="L1298" s="18">
        <v>46179</v>
      </c>
      <c r="M1298" s="6" t="str">
        <f t="shared" si="60"/>
        <v>Schedule order</v>
      </c>
      <c r="N1298" s="8">
        <f t="shared" ca="1" si="61"/>
        <v>24</v>
      </c>
      <c r="O1298" s="8" t="str">
        <f t="shared" ca="1" si="62"/>
        <v>Lattest or shedule order</v>
      </c>
      <c r="P1298" t="str">
        <f>VLOOKUP(C1298,[1]Customer_Master!$A:$B,2,0)</f>
        <v>Group 1-Giridhar-Peenya</v>
      </c>
      <c r="Q1298" t="str">
        <f>VLOOKUP(D1298,[2]Template!$A:$D,3,0)</f>
        <v>LAPP</v>
      </c>
      <c r="R1298" t="str">
        <f>VLOOKUP(D1298,[2]Template!$A:$D,4,0)</f>
        <v>Lapp-Ace Group</v>
      </c>
    </row>
    <row r="1299" spans="1:18" ht="13.5" customHeight="1" x14ac:dyDescent="0.25">
      <c r="A1299" s="9">
        <v>46149</v>
      </c>
      <c r="B1299" s="10" t="s">
        <v>1631</v>
      </c>
      <c r="C1299" s="11" t="s">
        <v>1632</v>
      </c>
      <c r="D1299" s="10" t="s">
        <v>404</v>
      </c>
      <c r="E1299" s="12" t="s">
        <v>1072</v>
      </c>
      <c r="F1299" s="12" t="s">
        <v>33</v>
      </c>
      <c r="G1299" s="13">
        <v>2500</v>
      </c>
      <c r="H1299" s="14">
        <v>2500</v>
      </c>
      <c r="I1299" s="15">
        <v>195.15</v>
      </c>
      <c r="J1299" s="16"/>
      <c r="K1299" s="17">
        <v>487875</v>
      </c>
      <c r="L1299" s="18">
        <v>46179</v>
      </c>
      <c r="M1299" s="6" t="str">
        <f t="shared" si="60"/>
        <v>Schedule order</v>
      </c>
      <c r="N1299" s="8">
        <f t="shared" ca="1" si="61"/>
        <v>24</v>
      </c>
      <c r="O1299" s="8" t="str">
        <f t="shared" ca="1" si="62"/>
        <v>Lattest or shedule order</v>
      </c>
      <c r="P1299" t="str">
        <f>VLOOKUP(C1299,[1]Customer_Master!$A:$B,2,0)</f>
        <v>Group 1-Giridhar-Peenya</v>
      </c>
      <c r="Q1299" t="str">
        <f>VLOOKUP(D1299,[2]Template!$A:$D,3,0)</f>
        <v>LAPP</v>
      </c>
      <c r="R1299" t="str">
        <f>VLOOKUP(D1299,[2]Template!$A:$D,4,0)</f>
        <v>Lapp-Ace Group</v>
      </c>
    </row>
    <row r="1300" spans="1:18" ht="13.5" customHeight="1" x14ac:dyDescent="0.25">
      <c r="A1300" s="9">
        <v>46149</v>
      </c>
      <c r="B1300" s="10" t="s">
        <v>1631</v>
      </c>
      <c r="C1300" s="11" t="s">
        <v>1632</v>
      </c>
      <c r="D1300" s="10" t="s">
        <v>316</v>
      </c>
      <c r="E1300" s="12" t="s">
        <v>1072</v>
      </c>
      <c r="F1300" s="12" t="s">
        <v>32</v>
      </c>
      <c r="G1300" s="13">
        <v>500</v>
      </c>
      <c r="H1300" s="14">
        <v>500</v>
      </c>
      <c r="I1300" s="15">
        <v>91.45</v>
      </c>
      <c r="J1300" s="16"/>
      <c r="K1300" s="17">
        <v>45725</v>
      </c>
      <c r="L1300" s="18">
        <v>46179</v>
      </c>
      <c r="M1300" s="6" t="str">
        <f t="shared" si="60"/>
        <v>Schedule order</v>
      </c>
      <c r="N1300" s="8">
        <f t="shared" ca="1" si="61"/>
        <v>24</v>
      </c>
      <c r="O1300" s="8" t="str">
        <f t="shared" ca="1" si="62"/>
        <v>Lattest or shedule order</v>
      </c>
      <c r="P1300" t="str">
        <f>VLOOKUP(C1300,[1]Customer_Master!$A:$B,2,0)</f>
        <v>Group 1-Giridhar-Peenya</v>
      </c>
      <c r="Q1300" t="str">
        <f>VLOOKUP(D1300,[2]Template!$A:$D,3,0)</f>
        <v>LAPP</v>
      </c>
      <c r="R1300" t="str">
        <f>VLOOKUP(D1300,[2]Template!$A:$D,4,0)</f>
        <v>Lapp-Ace Group</v>
      </c>
    </row>
    <row r="1301" spans="1:18" ht="13.5" customHeight="1" x14ac:dyDescent="0.25">
      <c r="A1301" s="9">
        <v>46149</v>
      </c>
      <c r="B1301" s="10" t="s">
        <v>1631</v>
      </c>
      <c r="C1301" s="11" t="s">
        <v>1632</v>
      </c>
      <c r="D1301" s="10" t="s">
        <v>1633</v>
      </c>
      <c r="E1301" s="12" t="s">
        <v>1072</v>
      </c>
      <c r="F1301" s="12" t="s">
        <v>1634</v>
      </c>
      <c r="G1301" s="13">
        <v>3000</v>
      </c>
      <c r="H1301" s="14">
        <v>3000</v>
      </c>
      <c r="I1301" s="15">
        <v>149.69</v>
      </c>
      <c r="J1301" s="16"/>
      <c r="K1301" s="17">
        <v>449070</v>
      </c>
      <c r="L1301" s="18">
        <v>46179</v>
      </c>
      <c r="M1301" s="6" t="str">
        <f t="shared" si="60"/>
        <v>Schedule order</v>
      </c>
      <c r="N1301" s="8">
        <f t="shared" ca="1" si="61"/>
        <v>24</v>
      </c>
      <c r="O1301" s="8" t="str">
        <f t="shared" ca="1" si="62"/>
        <v>Lattest or shedule order</v>
      </c>
      <c r="P1301" t="str">
        <f>VLOOKUP(C1301,[1]Customer_Master!$A:$B,2,0)</f>
        <v>Group 1-Giridhar-Peenya</v>
      </c>
      <c r="Q1301" t="str">
        <f>VLOOKUP(D1301,[2]Template!$A:$D,3,0)</f>
        <v>LAPP</v>
      </c>
      <c r="R1301" t="str">
        <f>VLOOKUP(D1301,[2]Template!$A:$D,4,0)</f>
        <v>Lapp-Ace Group</v>
      </c>
    </row>
    <row r="1302" spans="1:18" ht="13.5" customHeight="1" x14ac:dyDescent="0.25">
      <c r="A1302" s="9">
        <v>46149</v>
      </c>
      <c r="B1302" s="10" t="s">
        <v>1635</v>
      </c>
      <c r="C1302" s="11" t="s">
        <v>79</v>
      </c>
      <c r="D1302" s="10" t="s">
        <v>324</v>
      </c>
      <c r="E1302" s="12" t="s">
        <v>1072</v>
      </c>
      <c r="F1302" s="12" t="s">
        <v>80</v>
      </c>
      <c r="G1302" s="19">
        <v>212</v>
      </c>
      <c r="H1302" s="20">
        <v>212</v>
      </c>
      <c r="I1302" s="15">
        <v>2803</v>
      </c>
      <c r="J1302" s="16"/>
      <c r="K1302" s="17">
        <v>594236</v>
      </c>
      <c r="L1302" s="18">
        <v>46309</v>
      </c>
      <c r="M1302" s="6" t="str">
        <f t="shared" si="60"/>
        <v>Schedule order</v>
      </c>
      <c r="N1302" s="8">
        <f t="shared" ca="1" si="61"/>
        <v>154</v>
      </c>
      <c r="O1302" s="8" t="str">
        <f t="shared" ca="1" si="62"/>
        <v>Lattest or shedule order</v>
      </c>
      <c r="P1302" t="str">
        <f>VLOOKUP(C1302,[1]Customer_Master!$A:$B,2,0)</f>
        <v>Group-4 ( Office Account)</v>
      </c>
      <c r="Q1302" t="str">
        <f>VLOOKUP(D1302,[2]Template!$A:$D,3,0)</f>
        <v>EATON</v>
      </c>
      <c r="R1302" t="str">
        <f>VLOOKUP(D1302,[2]Template!$A:$D,4,0)</f>
        <v>Eaton-Faiveley-(R)</v>
      </c>
    </row>
    <row r="1303" spans="1:18" ht="13.5" customHeight="1" x14ac:dyDescent="0.25">
      <c r="A1303" s="9">
        <v>46149</v>
      </c>
      <c r="B1303" s="10" t="s">
        <v>1635</v>
      </c>
      <c r="C1303" s="11" t="s">
        <v>79</v>
      </c>
      <c r="D1303" s="10" t="s">
        <v>324</v>
      </c>
      <c r="E1303" s="12" t="s">
        <v>1072</v>
      </c>
      <c r="F1303" s="12" t="s">
        <v>80</v>
      </c>
      <c r="G1303" s="19">
        <v>217</v>
      </c>
      <c r="H1303" s="20">
        <v>217</v>
      </c>
      <c r="I1303" s="15">
        <v>2803</v>
      </c>
      <c r="J1303" s="16"/>
      <c r="K1303" s="17">
        <v>608251</v>
      </c>
      <c r="L1303" s="18">
        <v>46310</v>
      </c>
      <c r="M1303" s="6" t="str">
        <f t="shared" si="60"/>
        <v>Schedule order</v>
      </c>
      <c r="N1303" s="8">
        <f t="shared" ca="1" si="61"/>
        <v>155</v>
      </c>
      <c r="O1303" s="8" t="str">
        <f t="shared" ca="1" si="62"/>
        <v>Lattest or shedule order</v>
      </c>
      <c r="P1303" t="str">
        <f>VLOOKUP(C1303,[1]Customer_Master!$A:$B,2,0)</f>
        <v>Group-4 ( Office Account)</v>
      </c>
      <c r="Q1303" t="str">
        <f>VLOOKUP(D1303,[2]Template!$A:$D,3,0)</f>
        <v>EATON</v>
      </c>
      <c r="R1303" t="str">
        <f>VLOOKUP(D1303,[2]Template!$A:$D,4,0)</f>
        <v>Eaton-Faiveley-(R)</v>
      </c>
    </row>
    <row r="1304" spans="1:18" ht="13.5" customHeight="1" x14ac:dyDescent="0.25">
      <c r="A1304" s="9">
        <v>46149</v>
      </c>
      <c r="B1304" s="10" t="s">
        <v>1636</v>
      </c>
      <c r="C1304" s="11" t="s">
        <v>1632</v>
      </c>
      <c r="D1304" s="10" t="s">
        <v>1633</v>
      </c>
      <c r="E1304" s="12" t="s">
        <v>1072</v>
      </c>
      <c r="F1304" s="12" t="s">
        <v>1634</v>
      </c>
      <c r="G1304" s="13">
        <v>2500</v>
      </c>
      <c r="H1304" s="14">
        <v>2500</v>
      </c>
      <c r="I1304" s="15">
        <v>149.69</v>
      </c>
      <c r="J1304" s="16"/>
      <c r="K1304" s="17">
        <v>374225</v>
      </c>
      <c r="L1304" s="18">
        <v>46167</v>
      </c>
      <c r="M1304" s="6" t="str">
        <f t="shared" si="60"/>
        <v>Schedule order</v>
      </c>
      <c r="N1304" s="8">
        <f t="shared" ca="1" si="61"/>
        <v>12</v>
      </c>
      <c r="O1304" s="8" t="str">
        <f t="shared" ca="1" si="62"/>
        <v>Lattest or shedule order</v>
      </c>
      <c r="P1304" t="str">
        <f>VLOOKUP(C1304,[1]Customer_Master!$A:$B,2,0)</f>
        <v>Group 1-Giridhar-Peenya</v>
      </c>
      <c r="Q1304" t="str">
        <f>VLOOKUP(D1304,[2]Template!$A:$D,3,0)</f>
        <v>LAPP</v>
      </c>
      <c r="R1304" t="str">
        <f>VLOOKUP(D1304,[2]Template!$A:$D,4,0)</f>
        <v>Lapp-Ace Group</v>
      </c>
    </row>
    <row r="1305" spans="1:18" ht="13.5" customHeight="1" x14ac:dyDescent="0.25">
      <c r="A1305" s="9">
        <v>46149</v>
      </c>
      <c r="B1305" s="10" t="s">
        <v>1637</v>
      </c>
      <c r="C1305" s="11" t="s">
        <v>859</v>
      </c>
      <c r="D1305" s="27" t="s">
        <v>797</v>
      </c>
      <c r="E1305" s="12" t="s">
        <v>1072</v>
      </c>
      <c r="F1305" s="12" t="s">
        <v>798</v>
      </c>
      <c r="G1305" s="13">
        <v>200</v>
      </c>
      <c r="H1305" s="14">
        <v>200</v>
      </c>
      <c r="I1305" s="15">
        <v>152.97999999999999</v>
      </c>
      <c r="J1305" s="16"/>
      <c r="K1305" s="17">
        <v>30596</v>
      </c>
      <c r="L1305" s="18">
        <v>46149</v>
      </c>
      <c r="M1305" s="6" t="str">
        <f t="shared" si="60"/>
        <v>Schedule order</v>
      </c>
      <c r="N1305" s="8">
        <f t="shared" ca="1" si="61"/>
        <v>-6</v>
      </c>
      <c r="O1305" s="8" t="str">
        <f t="shared" ca="1" si="62"/>
        <v>With in 90 days</v>
      </c>
      <c r="P1305" t="str">
        <f>VLOOKUP(C1305,[1]Customer_Master!$A:$B,2,0)</f>
        <v>Group-2 (Veeresh- Bomsdr+Hosur)</v>
      </c>
      <c r="Q1305" t="str">
        <f>VLOOKUP(D1305,[2]Template!$A:$D,3,0)</f>
        <v>LAPP</v>
      </c>
      <c r="R1305" t="str">
        <f>VLOOKUP(D1305,[2]Template!$A:$D,4,0)</f>
        <v>Lapp-Against Customer PO</v>
      </c>
    </row>
    <row r="1306" spans="1:18" ht="13.5" customHeight="1" x14ac:dyDescent="0.25">
      <c r="A1306" s="9">
        <v>46149</v>
      </c>
      <c r="B1306" s="10" t="s">
        <v>1637</v>
      </c>
      <c r="C1306" s="11" t="s">
        <v>859</v>
      </c>
      <c r="D1306" s="10" t="s">
        <v>913</v>
      </c>
      <c r="E1306" s="12" t="s">
        <v>1072</v>
      </c>
      <c r="F1306" s="12" t="s">
        <v>914</v>
      </c>
      <c r="G1306" s="13">
        <v>20</v>
      </c>
      <c r="H1306" s="14">
        <v>20</v>
      </c>
      <c r="I1306" s="15">
        <v>427.35</v>
      </c>
      <c r="J1306" s="16"/>
      <c r="K1306" s="17">
        <v>8547</v>
      </c>
      <c r="L1306" s="18">
        <v>46149</v>
      </c>
      <c r="M1306" s="6" t="str">
        <f t="shared" si="60"/>
        <v>Schedule order</v>
      </c>
      <c r="N1306" s="8">
        <f t="shared" ca="1" si="61"/>
        <v>-6</v>
      </c>
      <c r="O1306" s="8" t="str">
        <f t="shared" ca="1" si="62"/>
        <v>With in 90 days</v>
      </c>
      <c r="P1306" t="str">
        <f>VLOOKUP(C1306,[1]Customer_Master!$A:$B,2,0)</f>
        <v>Group-2 (Veeresh- Bomsdr+Hosur)</v>
      </c>
      <c r="Q1306" t="str">
        <f>VLOOKUP(D1306,[2]Template!$A:$D,3,0)</f>
        <v>LAPP</v>
      </c>
      <c r="R1306" t="str">
        <f>VLOOKUP(D1306,[2]Template!$A:$D,4,0)</f>
        <v>Lapp-Non Moving Stocks</v>
      </c>
    </row>
    <row r="1307" spans="1:18" ht="13.5" customHeight="1" x14ac:dyDescent="0.25">
      <c r="A1307" s="9">
        <v>46149</v>
      </c>
      <c r="B1307" s="10" t="s">
        <v>1637</v>
      </c>
      <c r="C1307" s="11" t="s">
        <v>859</v>
      </c>
      <c r="D1307" s="27" t="s">
        <v>1193</v>
      </c>
      <c r="E1307" s="12" t="s">
        <v>1072</v>
      </c>
      <c r="F1307" s="12" t="s">
        <v>1194</v>
      </c>
      <c r="G1307" s="13">
        <v>600</v>
      </c>
      <c r="H1307" s="14">
        <v>600</v>
      </c>
      <c r="I1307" s="15">
        <v>57.94</v>
      </c>
      <c r="J1307" s="16"/>
      <c r="K1307" s="17">
        <v>34764</v>
      </c>
      <c r="L1307" s="18">
        <v>46149</v>
      </c>
      <c r="M1307" s="6" t="str">
        <f t="shared" si="60"/>
        <v>Schedule order</v>
      </c>
      <c r="N1307" s="8">
        <f t="shared" ca="1" si="61"/>
        <v>-6</v>
      </c>
      <c r="O1307" s="8" t="str">
        <f t="shared" ca="1" si="62"/>
        <v>With in 90 days</v>
      </c>
      <c r="P1307" t="str">
        <f>VLOOKUP(C1307,[1]Customer_Master!$A:$B,2,0)</f>
        <v>Group-2 (Veeresh- Bomsdr+Hosur)</v>
      </c>
      <c r="Q1307" t="str">
        <f>VLOOKUP(D1307,[2]Template!$A:$D,3,0)</f>
        <v>LAPP</v>
      </c>
      <c r="R1307" t="str">
        <f>VLOOKUP(D1307,[2]Template!$A:$D,4,0)</f>
        <v>Lapp-Non Moving Stocks</v>
      </c>
    </row>
    <row r="1308" spans="1:18" ht="13.5" customHeight="1" x14ac:dyDescent="0.25">
      <c r="A1308" s="9">
        <v>46149</v>
      </c>
      <c r="B1308" s="10" t="s">
        <v>1638</v>
      </c>
      <c r="C1308" s="11" t="s">
        <v>116</v>
      </c>
      <c r="D1308" s="10" t="s">
        <v>357</v>
      </c>
      <c r="E1308" s="12" t="s">
        <v>1072</v>
      </c>
      <c r="F1308" s="12" t="s">
        <v>53</v>
      </c>
      <c r="G1308" s="13">
        <v>100</v>
      </c>
      <c r="H1308" s="14">
        <v>100</v>
      </c>
      <c r="I1308" s="15">
        <v>23.25</v>
      </c>
      <c r="J1308" s="16"/>
      <c r="K1308" s="17">
        <v>2325</v>
      </c>
      <c r="L1308" s="18">
        <v>46155</v>
      </c>
      <c r="M1308" s="6" t="str">
        <f t="shared" si="60"/>
        <v>Schedule order</v>
      </c>
      <c r="N1308" s="8">
        <f t="shared" ca="1" si="61"/>
        <v>0</v>
      </c>
      <c r="O1308" s="8" t="str">
        <f t="shared" ca="1" si="62"/>
        <v>Lattest or shedule order</v>
      </c>
      <c r="P1308" t="str">
        <f>VLOOKUP(C1308,[1]Customer_Master!$A:$B,2,0)</f>
        <v>Group-2 (Veeresh- Bomsdr+Hosur)</v>
      </c>
      <c r="Q1308" t="str">
        <f>VLOOKUP(D1308,[2]Template!$A:$D,3,0)</f>
        <v>LAPP</v>
      </c>
      <c r="R1308" t="str">
        <f>VLOOKUP(D1308,[2]Template!$A:$D,4,0)</f>
        <v>Lapp-Planned Stock General</v>
      </c>
    </row>
    <row r="1309" spans="1:18" ht="13.5" customHeight="1" x14ac:dyDescent="0.25">
      <c r="A1309" s="9">
        <v>46149</v>
      </c>
      <c r="B1309" s="10" t="s">
        <v>1638</v>
      </c>
      <c r="C1309" s="11" t="s">
        <v>116</v>
      </c>
      <c r="D1309" s="10" t="s">
        <v>449</v>
      </c>
      <c r="E1309" s="12" t="s">
        <v>1072</v>
      </c>
      <c r="F1309" s="12" t="s">
        <v>202</v>
      </c>
      <c r="G1309" s="13">
        <v>100</v>
      </c>
      <c r="H1309" s="14">
        <v>100</v>
      </c>
      <c r="I1309" s="15">
        <v>38.700000000000003</v>
      </c>
      <c r="J1309" s="16"/>
      <c r="K1309" s="17">
        <v>3870</v>
      </c>
      <c r="L1309" s="18">
        <v>46155</v>
      </c>
      <c r="M1309" s="6" t="str">
        <f t="shared" si="60"/>
        <v>Schedule order</v>
      </c>
      <c r="N1309" s="8">
        <f t="shared" ca="1" si="61"/>
        <v>0</v>
      </c>
      <c r="O1309" s="8" t="str">
        <f t="shared" ca="1" si="62"/>
        <v>Lattest or shedule order</v>
      </c>
      <c r="P1309" t="str">
        <f>VLOOKUP(C1309,[1]Customer_Master!$A:$B,2,0)</f>
        <v>Group-2 (Veeresh- Bomsdr+Hosur)</v>
      </c>
      <c r="Q1309" t="str">
        <f>VLOOKUP(D1309,[2]Template!$A:$D,3,0)</f>
        <v>LAPP</v>
      </c>
      <c r="R1309" t="str">
        <f>VLOOKUP(D1309,[2]Template!$A:$D,4,0)</f>
        <v>Lapp-Against Customer PO</v>
      </c>
    </row>
    <row r="1310" spans="1:18" ht="13.5" customHeight="1" x14ac:dyDescent="0.25">
      <c r="A1310" s="9">
        <v>46149</v>
      </c>
      <c r="B1310" s="10" t="s">
        <v>1638</v>
      </c>
      <c r="C1310" s="11" t="s">
        <v>116</v>
      </c>
      <c r="D1310" s="10" t="s">
        <v>1304</v>
      </c>
      <c r="E1310" s="12" t="s">
        <v>1072</v>
      </c>
      <c r="F1310" s="12" t="s">
        <v>1305</v>
      </c>
      <c r="G1310" s="13">
        <v>300</v>
      </c>
      <c r="H1310" s="14">
        <v>300</v>
      </c>
      <c r="I1310" s="15">
        <v>12.66</v>
      </c>
      <c r="J1310" s="16"/>
      <c r="K1310" s="17">
        <v>3798</v>
      </c>
      <c r="L1310" s="18">
        <v>46155</v>
      </c>
      <c r="M1310" s="6" t="str">
        <f t="shared" si="60"/>
        <v>Schedule order</v>
      </c>
      <c r="N1310" s="8">
        <f t="shared" ca="1" si="61"/>
        <v>0</v>
      </c>
      <c r="O1310" s="8" t="str">
        <f t="shared" ca="1" si="62"/>
        <v>Lattest or shedule order</v>
      </c>
      <c r="P1310" t="str">
        <f>VLOOKUP(C1310,[1]Customer_Master!$A:$B,2,0)</f>
        <v>Group-2 (Veeresh- Bomsdr+Hosur)</v>
      </c>
      <c r="Q1310" t="str">
        <f>VLOOKUP(D1310,[2]Template!$A:$D,3,0)</f>
        <v>LAPP</v>
      </c>
      <c r="R1310" t="str">
        <f>VLOOKUP(D1310,[2]Template!$A:$D,4,0)</f>
        <v>Lapp-Planned Stock General</v>
      </c>
    </row>
    <row r="1311" spans="1:18" ht="13.5" customHeight="1" x14ac:dyDescent="0.25">
      <c r="A1311" s="9">
        <v>46149</v>
      </c>
      <c r="B1311" s="10" t="s">
        <v>1638</v>
      </c>
      <c r="C1311" s="11" t="s">
        <v>116</v>
      </c>
      <c r="D1311" s="27" t="s">
        <v>1639</v>
      </c>
      <c r="E1311" s="12" t="s">
        <v>1072</v>
      </c>
      <c r="F1311" s="26" t="s">
        <v>1640</v>
      </c>
      <c r="G1311" s="13">
        <v>50</v>
      </c>
      <c r="H1311" s="14">
        <v>50</v>
      </c>
      <c r="I1311" s="15">
        <v>1186.93</v>
      </c>
      <c r="J1311" s="16"/>
      <c r="K1311" s="17">
        <v>59346.5</v>
      </c>
      <c r="L1311" s="18">
        <v>46155</v>
      </c>
      <c r="M1311" s="6" t="str">
        <f t="shared" si="60"/>
        <v>Schedule order</v>
      </c>
      <c r="N1311" s="8">
        <f t="shared" ca="1" si="61"/>
        <v>0</v>
      </c>
      <c r="O1311" s="8" t="str">
        <f t="shared" ca="1" si="62"/>
        <v>Lattest or shedule order</v>
      </c>
      <c r="P1311" t="str">
        <f>VLOOKUP(C1311,[1]Customer_Master!$A:$B,2,0)</f>
        <v>Group-2 (Veeresh- Bomsdr+Hosur)</v>
      </c>
      <c r="Q1311" t="str">
        <f>VLOOKUP(D1311,[2]Template!$A:$D,3,0)</f>
        <v>LAPP</v>
      </c>
      <c r="R1311" t="str">
        <f>VLOOKUP(D1311,[2]Template!$A:$D,4,0)</f>
        <v>Lapp-Non Moving Stocks</v>
      </c>
    </row>
    <row r="1312" spans="1:18" ht="13.5" customHeight="1" x14ac:dyDescent="0.25">
      <c r="A1312" s="9">
        <v>46149</v>
      </c>
      <c r="B1312" s="10" t="s">
        <v>1638</v>
      </c>
      <c r="C1312" s="11" t="s">
        <v>116</v>
      </c>
      <c r="D1312" s="10" t="s">
        <v>416</v>
      </c>
      <c r="E1312" s="12" t="s">
        <v>1072</v>
      </c>
      <c r="F1312" s="12" t="s">
        <v>203</v>
      </c>
      <c r="G1312" s="13">
        <v>20</v>
      </c>
      <c r="H1312" s="14">
        <v>20</v>
      </c>
      <c r="I1312" s="15">
        <v>2079.66</v>
      </c>
      <c r="J1312" s="16"/>
      <c r="K1312" s="17">
        <v>41593.199999999997</v>
      </c>
      <c r="L1312" s="18">
        <v>46155</v>
      </c>
      <c r="M1312" s="6" t="str">
        <f t="shared" si="60"/>
        <v>Schedule order</v>
      </c>
      <c r="N1312" s="8">
        <f t="shared" ca="1" si="61"/>
        <v>0</v>
      </c>
      <c r="O1312" s="8" t="str">
        <f t="shared" ca="1" si="62"/>
        <v>Lattest or shedule order</v>
      </c>
      <c r="P1312" t="str">
        <f>VLOOKUP(C1312,[1]Customer_Master!$A:$B,2,0)</f>
        <v>Group-2 (Veeresh- Bomsdr+Hosur)</v>
      </c>
      <c r="Q1312" t="str">
        <f>VLOOKUP(D1312,[2]Template!$A:$D,3,0)</f>
        <v>LAPP</v>
      </c>
      <c r="R1312" t="str">
        <f>VLOOKUP(D1312,[2]Template!$A:$D,4,0)</f>
        <v>Lapp-Against Customer PO</v>
      </c>
    </row>
    <row r="1313" spans="1:18" ht="13.5" customHeight="1" x14ac:dyDescent="0.25">
      <c r="A1313" s="9">
        <v>46149</v>
      </c>
      <c r="B1313" s="10" t="s">
        <v>1638</v>
      </c>
      <c r="C1313" s="11" t="s">
        <v>116</v>
      </c>
      <c r="D1313" s="27" t="s">
        <v>1641</v>
      </c>
      <c r="E1313" s="12" t="s">
        <v>1072</v>
      </c>
      <c r="F1313" s="26" t="s">
        <v>1642</v>
      </c>
      <c r="G1313" s="13">
        <v>20</v>
      </c>
      <c r="H1313" s="14">
        <v>20</v>
      </c>
      <c r="I1313" s="15">
        <v>228.01</v>
      </c>
      <c r="J1313" s="16"/>
      <c r="K1313" s="17">
        <v>4560.2</v>
      </c>
      <c r="L1313" s="18">
        <v>46155</v>
      </c>
      <c r="M1313" s="6" t="str">
        <f t="shared" si="60"/>
        <v>Schedule order</v>
      </c>
      <c r="N1313" s="8">
        <f t="shared" ca="1" si="61"/>
        <v>0</v>
      </c>
      <c r="O1313" s="8" t="str">
        <f t="shared" ca="1" si="62"/>
        <v>Lattest or shedule order</v>
      </c>
      <c r="P1313" t="str">
        <f>VLOOKUP(C1313,[1]Customer_Master!$A:$B,2,0)</f>
        <v>Group-2 (Veeresh- Bomsdr+Hosur)</v>
      </c>
      <c r="Q1313" t="str">
        <f>VLOOKUP(D1313,[2]Template!$A:$D,3,0)</f>
        <v>LAPP</v>
      </c>
      <c r="R1313" t="str">
        <f>VLOOKUP(D1313,[2]Template!$A:$D,4,0)</f>
        <v>Lapp-Non Moving Stocks</v>
      </c>
    </row>
    <row r="1314" spans="1:18" ht="13.5" customHeight="1" x14ac:dyDescent="0.25">
      <c r="A1314" s="9">
        <v>46149</v>
      </c>
      <c r="B1314" s="10" t="s">
        <v>1638</v>
      </c>
      <c r="C1314" s="11" t="s">
        <v>116</v>
      </c>
      <c r="D1314" s="10" t="s">
        <v>477</v>
      </c>
      <c r="E1314" s="12" t="s">
        <v>1072</v>
      </c>
      <c r="F1314" s="12" t="s">
        <v>478</v>
      </c>
      <c r="G1314" s="13">
        <v>15</v>
      </c>
      <c r="H1314" s="14">
        <v>15</v>
      </c>
      <c r="I1314" s="15">
        <v>411.58</v>
      </c>
      <c r="J1314" s="16"/>
      <c r="K1314" s="17">
        <v>6173.7</v>
      </c>
      <c r="L1314" s="18">
        <v>46155</v>
      </c>
      <c r="M1314" s="6" t="str">
        <f t="shared" si="60"/>
        <v>Schedule order</v>
      </c>
      <c r="N1314" s="8">
        <f t="shared" ca="1" si="61"/>
        <v>0</v>
      </c>
      <c r="O1314" s="8" t="str">
        <f t="shared" ca="1" si="62"/>
        <v>Lattest or shedule order</v>
      </c>
      <c r="P1314" t="str">
        <f>VLOOKUP(C1314,[1]Customer_Master!$A:$B,2,0)</f>
        <v>Group-2 (Veeresh- Bomsdr+Hosur)</v>
      </c>
      <c r="Q1314" t="str">
        <f>VLOOKUP(D1314,[2]Template!$A:$D,3,0)</f>
        <v>LAPP</v>
      </c>
      <c r="R1314" t="str">
        <f>VLOOKUP(D1314,[2]Template!$A:$D,4,0)</f>
        <v>Lapp-Planned Stock General</v>
      </c>
    </row>
    <row r="1315" spans="1:18" ht="13.5" customHeight="1" x14ac:dyDescent="0.25">
      <c r="A1315" s="9">
        <v>46149</v>
      </c>
      <c r="B1315" s="10" t="s">
        <v>1638</v>
      </c>
      <c r="C1315" s="11" t="s">
        <v>116</v>
      </c>
      <c r="D1315" s="10" t="s">
        <v>318</v>
      </c>
      <c r="E1315" s="12" t="s">
        <v>1072</v>
      </c>
      <c r="F1315" s="12" t="s">
        <v>1083</v>
      </c>
      <c r="G1315" s="13">
        <v>60</v>
      </c>
      <c r="H1315" s="14">
        <v>60</v>
      </c>
      <c r="I1315" s="15">
        <v>746.71</v>
      </c>
      <c r="J1315" s="16"/>
      <c r="K1315" s="17">
        <v>44802.6</v>
      </c>
      <c r="L1315" s="18">
        <v>46155</v>
      </c>
      <c r="M1315" s="6" t="str">
        <f t="shared" si="60"/>
        <v>Schedule order</v>
      </c>
      <c r="N1315" s="8">
        <f t="shared" ca="1" si="61"/>
        <v>0</v>
      </c>
      <c r="O1315" s="8" t="str">
        <f t="shared" ca="1" si="62"/>
        <v>Lattest or shedule order</v>
      </c>
      <c r="P1315" t="str">
        <f>VLOOKUP(C1315,[1]Customer_Master!$A:$B,2,0)</f>
        <v>Group-2 (Veeresh- Bomsdr+Hosur)</v>
      </c>
      <c r="Q1315" t="str">
        <f>VLOOKUP(D1315,[2]Template!$A:$D,3,0)</f>
        <v>LAPP</v>
      </c>
      <c r="R1315" t="str">
        <f>VLOOKUP(D1315,[2]Template!$A:$D,4,0)</f>
        <v>Lapp-AMS Group</v>
      </c>
    </row>
    <row r="1316" spans="1:18" ht="13.5" customHeight="1" x14ac:dyDescent="0.25">
      <c r="A1316" s="9">
        <v>46149</v>
      </c>
      <c r="B1316" s="10" t="s">
        <v>1638</v>
      </c>
      <c r="C1316" s="11" t="s">
        <v>116</v>
      </c>
      <c r="D1316" s="27" t="s">
        <v>1193</v>
      </c>
      <c r="E1316" s="12" t="s">
        <v>1072</v>
      </c>
      <c r="F1316" s="12" t="s">
        <v>1194</v>
      </c>
      <c r="G1316" s="13">
        <v>30</v>
      </c>
      <c r="H1316" s="14">
        <v>30</v>
      </c>
      <c r="I1316" s="15">
        <v>82.29</v>
      </c>
      <c r="J1316" s="16"/>
      <c r="K1316" s="17">
        <v>2468.6999999999998</v>
      </c>
      <c r="L1316" s="18">
        <v>46155</v>
      </c>
      <c r="M1316" s="6" t="str">
        <f t="shared" si="60"/>
        <v>Schedule order</v>
      </c>
      <c r="N1316" s="8">
        <f t="shared" ca="1" si="61"/>
        <v>0</v>
      </c>
      <c r="O1316" s="8" t="str">
        <f t="shared" ca="1" si="62"/>
        <v>Lattest or shedule order</v>
      </c>
      <c r="P1316" t="str">
        <f>VLOOKUP(C1316,[1]Customer_Master!$A:$B,2,0)</f>
        <v>Group-2 (Veeresh- Bomsdr+Hosur)</v>
      </c>
      <c r="Q1316" t="str">
        <f>VLOOKUP(D1316,[2]Template!$A:$D,3,0)</f>
        <v>LAPP</v>
      </c>
      <c r="R1316" t="str">
        <f>VLOOKUP(D1316,[2]Template!$A:$D,4,0)</f>
        <v>Lapp-Non Moving Stocks</v>
      </c>
    </row>
    <row r="1317" spans="1:18" ht="13.5" customHeight="1" x14ac:dyDescent="0.25">
      <c r="A1317" s="9">
        <v>46149</v>
      </c>
      <c r="B1317" s="10" t="s">
        <v>1638</v>
      </c>
      <c r="C1317" s="11" t="s">
        <v>116</v>
      </c>
      <c r="D1317" s="10" t="s">
        <v>1643</v>
      </c>
      <c r="E1317" s="12" t="s">
        <v>1072</v>
      </c>
      <c r="F1317" s="12" t="s">
        <v>1644</v>
      </c>
      <c r="G1317" s="13">
        <v>30</v>
      </c>
      <c r="H1317" s="14">
        <v>30</v>
      </c>
      <c r="I1317" s="15">
        <v>52.25</v>
      </c>
      <c r="J1317" s="16"/>
      <c r="K1317" s="17">
        <v>1567.5</v>
      </c>
      <c r="L1317" s="18">
        <v>46155</v>
      </c>
      <c r="M1317" s="6" t="str">
        <f t="shared" si="60"/>
        <v>Schedule order</v>
      </c>
      <c r="N1317" s="8">
        <f t="shared" ca="1" si="61"/>
        <v>0</v>
      </c>
      <c r="O1317" s="8" t="str">
        <f t="shared" ca="1" si="62"/>
        <v>Lattest or shedule order</v>
      </c>
      <c r="P1317" t="str">
        <f>VLOOKUP(C1317,[1]Customer_Master!$A:$B,2,0)</f>
        <v>Group-2 (Veeresh- Bomsdr+Hosur)</v>
      </c>
      <c r="Q1317" t="str">
        <f>VLOOKUP(D1317,[2]Template!$A:$D,3,0)</f>
        <v>LAPP</v>
      </c>
      <c r="R1317" t="str">
        <f>VLOOKUP(D1317,[2]Template!$A:$D,4,0)</f>
        <v>Lapp-Against Customer PO</v>
      </c>
    </row>
    <row r="1318" spans="1:18" ht="13.5" customHeight="1" x14ac:dyDescent="0.25">
      <c r="A1318" s="9">
        <v>46149</v>
      </c>
      <c r="B1318" s="10" t="s">
        <v>1638</v>
      </c>
      <c r="C1318" s="11" t="s">
        <v>116</v>
      </c>
      <c r="D1318" s="27" t="s">
        <v>455</v>
      </c>
      <c r="E1318" s="12" t="s">
        <v>1072</v>
      </c>
      <c r="F1318" s="26" t="s">
        <v>84</v>
      </c>
      <c r="G1318" s="13">
        <v>20</v>
      </c>
      <c r="H1318" s="14">
        <v>20</v>
      </c>
      <c r="I1318" s="15">
        <v>280</v>
      </c>
      <c r="J1318" s="16"/>
      <c r="K1318" s="17">
        <v>5600</v>
      </c>
      <c r="L1318" s="18">
        <v>46155</v>
      </c>
      <c r="M1318" s="6" t="str">
        <f t="shared" si="60"/>
        <v>Schedule order</v>
      </c>
      <c r="N1318" s="8">
        <f t="shared" ca="1" si="61"/>
        <v>0</v>
      </c>
      <c r="O1318" s="8" t="str">
        <f t="shared" ca="1" si="62"/>
        <v>Lattest or shedule order</v>
      </c>
      <c r="P1318" t="str">
        <f>VLOOKUP(C1318,[1]Customer_Master!$A:$B,2,0)</f>
        <v>Group-2 (Veeresh- Bomsdr+Hosur)</v>
      </c>
      <c r="Q1318" t="str">
        <f>VLOOKUP(D1318,[2]Template!$A:$D,3,0)</f>
        <v>LAPP</v>
      </c>
      <c r="R1318" t="str">
        <f>VLOOKUP(D1318,[2]Template!$A:$D,4,0)</f>
        <v>Lapp-Against Customer PO</v>
      </c>
    </row>
    <row r="1319" spans="1:18" ht="13.5" customHeight="1" x14ac:dyDescent="0.25">
      <c r="A1319" s="9">
        <v>46149</v>
      </c>
      <c r="B1319" s="10" t="s">
        <v>1638</v>
      </c>
      <c r="C1319" s="11" t="s">
        <v>116</v>
      </c>
      <c r="D1319" s="27" t="s">
        <v>1645</v>
      </c>
      <c r="E1319" s="12" t="s">
        <v>1072</v>
      </c>
      <c r="F1319" s="12" t="s">
        <v>1646</v>
      </c>
      <c r="G1319" s="13">
        <v>50</v>
      </c>
      <c r="H1319" s="14">
        <v>50</v>
      </c>
      <c r="I1319" s="15">
        <v>558.88</v>
      </c>
      <c r="J1319" s="16"/>
      <c r="K1319" s="17">
        <v>27944</v>
      </c>
      <c r="L1319" s="18">
        <v>46155</v>
      </c>
      <c r="M1319" s="6" t="str">
        <f t="shared" si="60"/>
        <v>Schedule order</v>
      </c>
      <c r="N1319" s="8">
        <f t="shared" ca="1" si="61"/>
        <v>0</v>
      </c>
      <c r="O1319" s="8" t="str">
        <f t="shared" ca="1" si="62"/>
        <v>Lattest or shedule order</v>
      </c>
      <c r="P1319" t="str">
        <f>VLOOKUP(C1319,[1]Customer_Master!$A:$B,2,0)</f>
        <v>Group-2 (Veeresh- Bomsdr+Hosur)</v>
      </c>
      <c r="Q1319" t="str">
        <f>VLOOKUP(D1319,[2]Template!$A:$D,3,0)</f>
        <v>LAPP</v>
      </c>
      <c r="R1319" t="str">
        <f>VLOOKUP(D1319,[2]Template!$A:$D,4,0)</f>
        <v>Lapp-Non Moving Stocks</v>
      </c>
    </row>
    <row r="1320" spans="1:18" ht="13.5" customHeight="1" x14ac:dyDescent="0.25">
      <c r="A1320" s="9">
        <v>46149</v>
      </c>
      <c r="B1320" s="10" t="s">
        <v>1638</v>
      </c>
      <c r="C1320" s="11" t="s">
        <v>116</v>
      </c>
      <c r="D1320" s="10" t="s">
        <v>415</v>
      </c>
      <c r="E1320" s="12" t="s">
        <v>1072</v>
      </c>
      <c r="F1320" s="12" t="s">
        <v>232</v>
      </c>
      <c r="G1320" s="13">
        <v>20</v>
      </c>
      <c r="H1320" s="14">
        <v>20</v>
      </c>
      <c r="I1320" s="15">
        <v>334.99</v>
      </c>
      <c r="J1320" s="16"/>
      <c r="K1320" s="17">
        <v>6699.8</v>
      </c>
      <c r="L1320" s="18">
        <v>46155</v>
      </c>
      <c r="M1320" s="6" t="str">
        <f t="shared" si="60"/>
        <v>Schedule order</v>
      </c>
      <c r="N1320" s="8">
        <f t="shared" ca="1" si="61"/>
        <v>0</v>
      </c>
      <c r="O1320" s="8" t="str">
        <f t="shared" ca="1" si="62"/>
        <v>Lattest or shedule order</v>
      </c>
      <c r="P1320" t="str">
        <f>VLOOKUP(C1320,[1]Customer_Master!$A:$B,2,0)</f>
        <v>Group-2 (Veeresh- Bomsdr+Hosur)</v>
      </c>
      <c r="Q1320" t="str">
        <f>VLOOKUP(D1320,[2]Template!$A:$D,3,0)</f>
        <v>LAPP</v>
      </c>
      <c r="R1320" t="str">
        <f>VLOOKUP(D1320,[2]Template!$A:$D,4,0)</f>
        <v>Lapp-Against Customer PO</v>
      </c>
    </row>
    <row r="1321" spans="1:18" ht="13.5" customHeight="1" x14ac:dyDescent="0.25">
      <c r="A1321" s="9">
        <v>46149</v>
      </c>
      <c r="B1321" s="10" t="s">
        <v>1638</v>
      </c>
      <c r="C1321" s="11" t="s">
        <v>116</v>
      </c>
      <c r="D1321" s="10" t="s">
        <v>448</v>
      </c>
      <c r="E1321" s="12" t="s">
        <v>1072</v>
      </c>
      <c r="F1321" s="12" t="s">
        <v>183</v>
      </c>
      <c r="G1321" s="13">
        <v>100</v>
      </c>
      <c r="H1321" s="14">
        <v>100</v>
      </c>
      <c r="I1321" s="15">
        <v>89.95</v>
      </c>
      <c r="J1321" s="16"/>
      <c r="K1321" s="17">
        <v>8995</v>
      </c>
      <c r="L1321" s="18">
        <v>46155</v>
      </c>
      <c r="M1321" s="6" t="str">
        <f t="shared" si="60"/>
        <v>Schedule order</v>
      </c>
      <c r="N1321" s="8">
        <f t="shared" ca="1" si="61"/>
        <v>0</v>
      </c>
      <c r="O1321" s="8" t="str">
        <f t="shared" ca="1" si="62"/>
        <v>Lattest or shedule order</v>
      </c>
      <c r="P1321" t="str">
        <f>VLOOKUP(C1321,[1]Customer_Master!$A:$B,2,0)</f>
        <v>Group-2 (Veeresh- Bomsdr+Hosur)</v>
      </c>
      <c r="Q1321" t="str">
        <f>VLOOKUP(D1321,[2]Template!$A:$D,3,0)</f>
        <v>LAPP</v>
      </c>
      <c r="R1321" t="str">
        <f>VLOOKUP(D1321,[2]Template!$A:$D,4,0)</f>
        <v>Lapp-Planned Stock General</v>
      </c>
    </row>
    <row r="1322" spans="1:18" ht="13.5" customHeight="1" x14ac:dyDescent="0.25">
      <c r="A1322" s="9">
        <v>46149</v>
      </c>
      <c r="B1322" s="10" t="s">
        <v>1638</v>
      </c>
      <c r="C1322" s="11" t="s">
        <v>116</v>
      </c>
      <c r="D1322" s="27" t="s">
        <v>1647</v>
      </c>
      <c r="E1322" s="12" t="s">
        <v>1072</v>
      </c>
      <c r="F1322" s="12" t="s">
        <v>1648</v>
      </c>
      <c r="G1322" s="13">
        <v>70</v>
      </c>
      <c r="H1322" s="14">
        <v>70</v>
      </c>
      <c r="I1322" s="15">
        <v>175.84</v>
      </c>
      <c r="J1322" s="16"/>
      <c r="K1322" s="17">
        <v>12308.8</v>
      </c>
      <c r="L1322" s="18">
        <v>46155</v>
      </c>
      <c r="M1322" s="6" t="str">
        <f t="shared" si="60"/>
        <v>Schedule order</v>
      </c>
      <c r="N1322" s="8">
        <f t="shared" ca="1" si="61"/>
        <v>0</v>
      </c>
      <c r="O1322" s="8" t="str">
        <f t="shared" ca="1" si="62"/>
        <v>Lattest or shedule order</v>
      </c>
      <c r="P1322" t="str">
        <f>VLOOKUP(C1322,[1]Customer_Master!$A:$B,2,0)</f>
        <v>Group-2 (Veeresh- Bomsdr+Hosur)</v>
      </c>
      <c r="Q1322" t="str">
        <f>VLOOKUP(D1322,[2]Template!$A:$D,3,0)</f>
        <v>LAPP</v>
      </c>
      <c r="R1322" t="str">
        <f>VLOOKUP(D1322,[2]Template!$A:$D,4,0)</f>
        <v>Lapp-Non Moving Stocks</v>
      </c>
    </row>
    <row r="1323" spans="1:18" ht="13.5" customHeight="1" x14ac:dyDescent="0.25">
      <c r="A1323" s="9">
        <v>46149</v>
      </c>
      <c r="B1323" s="10" t="s">
        <v>1649</v>
      </c>
      <c r="C1323" s="11" t="s">
        <v>116</v>
      </c>
      <c r="D1323" s="10" t="s">
        <v>1439</v>
      </c>
      <c r="E1323" s="12" t="s">
        <v>1072</v>
      </c>
      <c r="F1323" s="12" t="s">
        <v>1440</v>
      </c>
      <c r="G1323" s="13">
        <v>18</v>
      </c>
      <c r="H1323" s="14">
        <v>18</v>
      </c>
      <c r="I1323" s="15">
        <v>251.21</v>
      </c>
      <c r="J1323" s="16"/>
      <c r="K1323" s="17">
        <v>4521.78</v>
      </c>
      <c r="L1323" s="18">
        <v>46149</v>
      </c>
      <c r="M1323" s="6" t="str">
        <f t="shared" si="60"/>
        <v>Schedule order</v>
      </c>
      <c r="N1323" s="8">
        <f t="shared" ca="1" si="61"/>
        <v>-6</v>
      </c>
      <c r="O1323" s="8" t="str">
        <f t="shared" ca="1" si="62"/>
        <v>With in 90 days</v>
      </c>
      <c r="P1323" t="str">
        <f>VLOOKUP(C1323,[1]Customer_Master!$A:$B,2,0)</f>
        <v>Group-2 (Veeresh- Bomsdr+Hosur)</v>
      </c>
      <c r="Q1323" t="str">
        <f>VLOOKUP(D1323,[2]Template!$A:$D,3,0)</f>
        <v>LAPP</v>
      </c>
      <c r="R1323" t="str">
        <f>VLOOKUP(D1323,[2]Template!$A:$D,4,0)</f>
        <v>Lapp-Non Moving Stocks</v>
      </c>
    </row>
    <row r="1324" spans="1:18" ht="13.5" customHeight="1" x14ac:dyDescent="0.25">
      <c r="A1324" s="9">
        <v>46149</v>
      </c>
      <c r="B1324" s="10" t="s">
        <v>1649</v>
      </c>
      <c r="C1324" s="11" t="s">
        <v>116</v>
      </c>
      <c r="D1324" s="10" t="s">
        <v>242</v>
      </c>
      <c r="E1324" s="12" t="s">
        <v>1072</v>
      </c>
      <c r="F1324" s="12" t="s">
        <v>1072</v>
      </c>
      <c r="G1324" s="19">
        <v>1</v>
      </c>
      <c r="H1324" s="20">
        <v>1</v>
      </c>
      <c r="I1324" s="15">
        <v>488</v>
      </c>
      <c r="J1324" s="16"/>
      <c r="K1324" s="17">
        <v>488</v>
      </c>
      <c r="L1324" s="18">
        <v>46149</v>
      </c>
      <c r="M1324" s="6" t="str">
        <f t="shared" si="60"/>
        <v>Schedule order</v>
      </c>
      <c r="N1324" s="8">
        <f t="shared" ca="1" si="61"/>
        <v>-6</v>
      </c>
      <c r="O1324" s="8" t="str">
        <f t="shared" ca="1" si="62"/>
        <v>With in 90 days</v>
      </c>
      <c r="P1324" t="str">
        <f>VLOOKUP(C1324,[1]Customer_Master!$A:$B,2,0)</f>
        <v>Group-2 (Veeresh- Bomsdr+Hosur)</v>
      </c>
      <c r="Q1324" t="str">
        <f>VLOOKUP(D1324,[2]Template!$A:$D,3,0)</f>
        <v>LAPP</v>
      </c>
      <c r="R1324" t="str">
        <f>VLOOKUP(D1324,[2]Template!$A:$D,4,0)</f>
        <v>Lapp-Against Customer PO</v>
      </c>
    </row>
    <row r="1325" spans="1:18" ht="13.5" customHeight="1" x14ac:dyDescent="0.25">
      <c r="A1325" s="9">
        <v>46149</v>
      </c>
      <c r="B1325" s="10" t="s">
        <v>1650</v>
      </c>
      <c r="C1325" s="11" t="s">
        <v>528</v>
      </c>
      <c r="D1325" s="10" t="s">
        <v>735</v>
      </c>
      <c r="E1325" s="12" t="s">
        <v>1072</v>
      </c>
      <c r="F1325" s="12" t="s">
        <v>736</v>
      </c>
      <c r="G1325" s="22">
        <v>100</v>
      </c>
      <c r="H1325" s="23">
        <v>100</v>
      </c>
      <c r="I1325" s="15">
        <v>10.56</v>
      </c>
      <c r="J1325" s="16"/>
      <c r="K1325" s="17">
        <v>1056</v>
      </c>
      <c r="L1325" s="18">
        <v>46149</v>
      </c>
      <c r="M1325" s="6" t="str">
        <f t="shared" si="60"/>
        <v>Schedule order</v>
      </c>
      <c r="N1325" s="8">
        <f t="shared" ca="1" si="61"/>
        <v>-6</v>
      </c>
      <c r="O1325" s="8" t="str">
        <f t="shared" ca="1" si="62"/>
        <v>With in 90 days</v>
      </c>
      <c r="P1325" t="str">
        <f>VLOOKUP(C1325,[1]Customer_Master!$A:$B,2,0)</f>
        <v>Group-2 (Veeresh- Bomsdr+Hosur)</v>
      </c>
      <c r="Q1325" t="str">
        <f>VLOOKUP(D1325,[2]Template!$A:$D,3,0)</f>
        <v>LAPP</v>
      </c>
      <c r="R1325" t="str">
        <f>VLOOKUP(D1325,[2]Template!$A:$D,4,0)</f>
        <v>Lapp-Planned Stock General</v>
      </c>
    </row>
    <row r="1326" spans="1:18" ht="13.5" customHeight="1" x14ac:dyDescent="0.25">
      <c r="A1326" s="9">
        <v>46149</v>
      </c>
      <c r="B1326" s="10" t="s">
        <v>1650</v>
      </c>
      <c r="C1326" s="11" t="s">
        <v>528</v>
      </c>
      <c r="D1326" s="10" t="s">
        <v>1651</v>
      </c>
      <c r="E1326" s="12" t="s">
        <v>1072</v>
      </c>
      <c r="F1326" s="12" t="s">
        <v>1652</v>
      </c>
      <c r="G1326" s="22">
        <v>500</v>
      </c>
      <c r="H1326" s="23">
        <v>500</v>
      </c>
      <c r="I1326" s="15">
        <v>117.8</v>
      </c>
      <c r="J1326" s="16"/>
      <c r="K1326" s="17">
        <v>58900</v>
      </c>
      <c r="L1326" s="18">
        <v>46149</v>
      </c>
      <c r="M1326" s="6" t="str">
        <f t="shared" si="60"/>
        <v>Schedule order</v>
      </c>
      <c r="N1326" s="8">
        <f t="shared" ca="1" si="61"/>
        <v>-6</v>
      </c>
      <c r="O1326" s="8" t="str">
        <f t="shared" ca="1" si="62"/>
        <v>With in 90 days</v>
      </c>
      <c r="P1326" t="str">
        <f>VLOOKUP(C1326,[1]Customer_Master!$A:$B,2,0)</f>
        <v>Group-2 (Veeresh- Bomsdr+Hosur)</v>
      </c>
      <c r="Q1326" t="str">
        <f>VLOOKUP(D1326,[2]Template!$A:$D,3,0)</f>
        <v>LAPP</v>
      </c>
      <c r="R1326" t="str">
        <f>VLOOKUP(D1326,[2]Template!$A:$D,4,0)</f>
        <v>Lapp-Non Moving Stocks</v>
      </c>
    </row>
    <row r="1327" spans="1:18" ht="13.5" customHeight="1" x14ac:dyDescent="0.25">
      <c r="A1327" s="9">
        <v>46149</v>
      </c>
      <c r="B1327" s="10" t="s">
        <v>1650</v>
      </c>
      <c r="C1327" s="11" t="s">
        <v>528</v>
      </c>
      <c r="D1327" s="27" t="s">
        <v>1653</v>
      </c>
      <c r="E1327" s="12" t="s">
        <v>1072</v>
      </c>
      <c r="F1327" s="12" t="s">
        <v>1654</v>
      </c>
      <c r="G1327" s="19">
        <v>500</v>
      </c>
      <c r="H1327" s="20">
        <v>500</v>
      </c>
      <c r="I1327" s="15">
        <v>131.97</v>
      </c>
      <c r="J1327" s="16"/>
      <c r="K1327" s="17">
        <v>65985</v>
      </c>
      <c r="L1327" s="18">
        <v>46149</v>
      </c>
      <c r="M1327" s="6" t="str">
        <f t="shared" si="60"/>
        <v>Schedule order</v>
      </c>
      <c r="N1327" s="8">
        <f t="shared" ca="1" si="61"/>
        <v>-6</v>
      </c>
      <c r="O1327" s="8" t="str">
        <f t="shared" ca="1" si="62"/>
        <v>With in 90 days</v>
      </c>
      <c r="P1327" t="str">
        <f>VLOOKUP(C1327,[1]Customer_Master!$A:$B,2,0)</f>
        <v>Group-2 (Veeresh- Bomsdr+Hosur)</v>
      </c>
      <c r="Q1327" t="str">
        <f>VLOOKUP(D1327,[2]Template!$A:$D,3,0)</f>
        <v>LAPP</v>
      </c>
      <c r="R1327" t="str">
        <f>VLOOKUP(D1327,[2]Template!$A:$D,4,0)</f>
        <v>Lapp-Non Moving Stocks</v>
      </c>
    </row>
    <row r="1328" spans="1:18" ht="13.5" customHeight="1" x14ac:dyDescent="0.25">
      <c r="A1328" s="9">
        <v>46149</v>
      </c>
      <c r="B1328" s="10" t="s">
        <v>1655</v>
      </c>
      <c r="C1328" s="11" t="s">
        <v>1632</v>
      </c>
      <c r="D1328" s="10" t="s">
        <v>514</v>
      </c>
      <c r="E1328" s="12" t="s">
        <v>1072</v>
      </c>
      <c r="F1328" s="12" t="s">
        <v>515</v>
      </c>
      <c r="G1328" s="13">
        <v>2500</v>
      </c>
      <c r="H1328" s="14">
        <v>2500</v>
      </c>
      <c r="I1328" s="15">
        <v>496.71</v>
      </c>
      <c r="J1328" s="16"/>
      <c r="K1328" s="17">
        <v>1241775</v>
      </c>
      <c r="L1328" s="18">
        <v>46209</v>
      </c>
      <c r="M1328" s="6" t="str">
        <f t="shared" si="60"/>
        <v>Schedule order</v>
      </c>
      <c r="N1328" s="8">
        <f t="shared" ca="1" si="61"/>
        <v>54</v>
      </c>
      <c r="O1328" s="8" t="str">
        <f t="shared" ca="1" si="62"/>
        <v>Lattest or shedule order</v>
      </c>
      <c r="P1328" t="str">
        <f>VLOOKUP(C1328,[1]Customer_Master!$A:$B,2,0)</f>
        <v>Group 1-Giridhar-Peenya</v>
      </c>
      <c r="Q1328" t="str">
        <f>VLOOKUP(D1328,[2]Template!$A:$D,3,0)</f>
        <v>LAPP</v>
      </c>
      <c r="R1328" t="str">
        <f>VLOOKUP(D1328,[2]Template!$A:$D,4,0)</f>
        <v>Lapp-Ace Group</v>
      </c>
    </row>
    <row r="1329" spans="1:18" ht="13.5" customHeight="1" x14ac:dyDescent="0.25">
      <c r="A1329" s="9">
        <v>46149</v>
      </c>
      <c r="B1329" s="10" t="s">
        <v>1655</v>
      </c>
      <c r="C1329" s="11" t="s">
        <v>1632</v>
      </c>
      <c r="D1329" s="10" t="s">
        <v>404</v>
      </c>
      <c r="E1329" s="12" t="s">
        <v>1072</v>
      </c>
      <c r="F1329" s="12" t="s">
        <v>33</v>
      </c>
      <c r="G1329" s="13">
        <v>2500</v>
      </c>
      <c r="H1329" s="14">
        <v>2500</v>
      </c>
      <c r="I1329" s="15">
        <v>195.15</v>
      </c>
      <c r="J1329" s="16"/>
      <c r="K1329" s="17">
        <v>487875</v>
      </c>
      <c r="L1329" s="18">
        <v>46179</v>
      </c>
      <c r="M1329" s="6" t="str">
        <f t="shared" si="60"/>
        <v>Schedule order</v>
      </c>
      <c r="N1329" s="8">
        <f t="shared" ca="1" si="61"/>
        <v>24</v>
      </c>
      <c r="O1329" s="8" t="str">
        <f t="shared" ca="1" si="62"/>
        <v>Lattest or shedule order</v>
      </c>
      <c r="P1329" t="str">
        <f>VLOOKUP(C1329,[1]Customer_Master!$A:$B,2,0)</f>
        <v>Group 1-Giridhar-Peenya</v>
      </c>
      <c r="Q1329" t="str">
        <f>VLOOKUP(D1329,[2]Template!$A:$D,3,0)</f>
        <v>LAPP</v>
      </c>
      <c r="R1329" t="str">
        <f>VLOOKUP(D1329,[2]Template!$A:$D,4,0)</f>
        <v>Lapp-Ace Group</v>
      </c>
    </row>
    <row r="1330" spans="1:18" ht="13.5" customHeight="1" x14ac:dyDescent="0.25">
      <c r="A1330" s="9">
        <v>46149</v>
      </c>
      <c r="B1330" s="10" t="s">
        <v>1655</v>
      </c>
      <c r="C1330" s="11" t="s">
        <v>1632</v>
      </c>
      <c r="D1330" s="10" t="s">
        <v>316</v>
      </c>
      <c r="E1330" s="12" t="s">
        <v>1072</v>
      </c>
      <c r="F1330" s="12" t="s">
        <v>32</v>
      </c>
      <c r="G1330" s="13">
        <v>500</v>
      </c>
      <c r="H1330" s="14">
        <v>500</v>
      </c>
      <c r="I1330" s="15">
        <v>91.45</v>
      </c>
      <c r="J1330" s="16"/>
      <c r="K1330" s="17">
        <v>45725</v>
      </c>
      <c r="L1330" s="18">
        <v>46179</v>
      </c>
      <c r="M1330" s="6" t="str">
        <f t="shared" si="60"/>
        <v>Schedule order</v>
      </c>
      <c r="N1330" s="8">
        <f t="shared" ca="1" si="61"/>
        <v>24</v>
      </c>
      <c r="O1330" s="8" t="str">
        <f t="shared" ca="1" si="62"/>
        <v>Lattest or shedule order</v>
      </c>
      <c r="P1330" t="str">
        <f>VLOOKUP(C1330,[1]Customer_Master!$A:$B,2,0)</f>
        <v>Group 1-Giridhar-Peenya</v>
      </c>
      <c r="Q1330" t="str">
        <f>VLOOKUP(D1330,[2]Template!$A:$D,3,0)</f>
        <v>LAPP</v>
      </c>
      <c r="R1330" t="str">
        <f>VLOOKUP(D1330,[2]Template!$A:$D,4,0)</f>
        <v>Lapp-Ace Group</v>
      </c>
    </row>
    <row r="1331" spans="1:18" ht="13.5" customHeight="1" x14ac:dyDescent="0.25">
      <c r="A1331" s="9">
        <v>46149</v>
      </c>
      <c r="B1331" s="10" t="s">
        <v>1655</v>
      </c>
      <c r="C1331" s="11" t="s">
        <v>1632</v>
      </c>
      <c r="D1331" s="10" t="s">
        <v>1633</v>
      </c>
      <c r="E1331" s="12" t="s">
        <v>1072</v>
      </c>
      <c r="F1331" s="12" t="s">
        <v>1634</v>
      </c>
      <c r="G1331" s="13">
        <v>3000</v>
      </c>
      <c r="H1331" s="14">
        <v>3000</v>
      </c>
      <c r="I1331" s="15">
        <v>149.69</v>
      </c>
      <c r="J1331" s="16"/>
      <c r="K1331" s="17">
        <v>449070</v>
      </c>
      <c r="L1331" s="18">
        <v>46179</v>
      </c>
      <c r="M1331" s="6" t="str">
        <f t="shared" si="60"/>
        <v>Schedule order</v>
      </c>
      <c r="N1331" s="8">
        <f t="shared" ca="1" si="61"/>
        <v>24</v>
      </c>
      <c r="O1331" s="8" t="str">
        <f t="shared" ca="1" si="62"/>
        <v>Lattest or shedule order</v>
      </c>
      <c r="P1331" t="str">
        <f>VLOOKUP(C1331,[1]Customer_Master!$A:$B,2,0)</f>
        <v>Group 1-Giridhar-Peenya</v>
      </c>
      <c r="Q1331" t="str">
        <f>VLOOKUP(D1331,[2]Template!$A:$D,3,0)</f>
        <v>LAPP</v>
      </c>
      <c r="R1331" t="str">
        <f>VLOOKUP(D1331,[2]Template!$A:$D,4,0)</f>
        <v>Lapp-Ace Group</v>
      </c>
    </row>
    <row r="1332" spans="1:18" ht="13.5" customHeight="1" x14ac:dyDescent="0.25">
      <c r="A1332" s="9">
        <v>46149</v>
      </c>
      <c r="B1332" s="10" t="s">
        <v>1656</v>
      </c>
      <c r="C1332" s="11" t="s">
        <v>1657</v>
      </c>
      <c r="D1332" s="27" t="s">
        <v>1658</v>
      </c>
      <c r="E1332" s="12" t="s">
        <v>1072</v>
      </c>
      <c r="F1332" s="26" t="s">
        <v>1659</v>
      </c>
      <c r="G1332" s="13">
        <v>200</v>
      </c>
      <c r="H1332" s="14">
        <v>200</v>
      </c>
      <c r="I1332" s="15">
        <v>174.48</v>
      </c>
      <c r="J1332" s="16"/>
      <c r="K1332" s="17">
        <v>34896</v>
      </c>
      <c r="L1332" s="18">
        <v>46149</v>
      </c>
      <c r="M1332" s="6" t="str">
        <f t="shared" si="60"/>
        <v>Schedule order</v>
      </c>
      <c r="N1332" s="8">
        <f t="shared" ca="1" si="61"/>
        <v>-6</v>
      </c>
      <c r="O1332" s="8" t="str">
        <f t="shared" ca="1" si="62"/>
        <v>With in 90 days</v>
      </c>
      <c r="P1332" t="str">
        <f>VLOOKUP(C1332,[1]Customer_Master!$A:$B,2,0)</f>
        <v>Group 1-Giridhar-Peenya</v>
      </c>
      <c r="Q1332" t="str">
        <f>VLOOKUP(D1332,[2]Template!$A:$D,3,0)</f>
        <v>LAPP</v>
      </c>
      <c r="R1332" t="str">
        <f>VLOOKUP(D1332,[2]Template!$A:$D,4,0)</f>
        <v>Lapp-Non Moving Stocks</v>
      </c>
    </row>
    <row r="1333" spans="1:18" ht="13.5" customHeight="1" x14ac:dyDescent="0.25">
      <c r="A1333" s="9">
        <v>46149</v>
      </c>
      <c r="B1333" s="10" t="s">
        <v>1660</v>
      </c>
      <c r="C1333" s="11" t="s">
        <v>1661</v>
      </c>
      <c r="D1333" s="10" t="s">
        <v>1662</v>
      </c>
      <c r="E1333" s="12" t="s">
        <v>1072</v>
      </c>
      <c r="F1333" s="12" t="s">
        <v>1663</v>
      </c>
      <c r="G1333" s="19">
        <v>4</v>
      </c>
      <c r="H1333" s="20">
        <v>4</v>
      </c>
      <c r="I1333" s="15">
        <v>4378</v>
      </c>
      <c r="J1333" s="16"/>
      <c r="K1333" s="17">
        <v>17512</v>
      </c>
      <c r="L1333" s="18">
        <v>46149</v>
      </c>
      <c r="M1333" s="6" t="str">
        <f t="shared" si="60"/>
        <v>Schedule order</v>
      </c>
      <c r="N1333" s="8">
        <f t="shared" ca="1" si="61"/>
        <v>-6</v>
      </c>
      <c r="O1333" s="8" t="str">
        <f t="shared" ca="1" si="62"/>
        <v>With in 90 days</v>
      </c>
      <c r="P1333" t="str">
        <f>VLOOKUP(C1333,[1]Customer_Master!$A:$B,2,0)</f>
        <v>Group 1-Giridhar-Peenya</v>
      </c>
      <c r="Q1333" t="e">
        <f>VLOOKUP(D1333,[2]Template!$A:$D,3,0)</f>
        <v>#N/A</v>
      </c>
      <c r="R1333" t="e">
        <f>VLOOKUP(D1333,[2]Template!$A:$D,4,0)</f>
        <v>#N/A</v>
      </c>
    </row>
    <row r="1334" spans="1:18" ht="13.5" customHeight="1" x14ac:dyDescent="0.25">
      <c r="A1334" s="9">
        <v>46149</v>
      </c>
      <c r="B1334" s="10" t="s">
        <v>1660</v>
      </c>
      <c r="C1334" s="11" t="s">
        <v>1661</v>
      </c>
      <c r="D1334" s="10" t="s">
        <v>1664</v>
      </c>
      <c r="E1334" s="12" t="s">
        <v>1072</v>
      </c>
      <c r="F1334" s="12" t="s">
        <v>1665</v>
      </c>
      <c r="G1334" s="19">
        <v>2</v>
      </c>
      <c r="H1334" s="20">
        <v>2</v>
      </c>
      <c r="I1334" s="15">
        <v>4378</v>
      </c>
      <c r="J1334" s="16"/>
      <c r="K1334" s="17">
        <v>8756</v>
      </c>
      <c r="L1334" s="18">
        <v>46149</v>
      </c>
      <c r="M1334" s="6" t="str">
        <f t="shared" si="60"/>
        <v>Schedule order</v>
      </c>
      <c r="N1334" s="8">
        <f t="shared" ca="1" si="61"/>
        <v>-6</v>
      </c>
      <c r="O1334" s="8" t="str">
        <f t="shared" ca="1" si="62"/>
        <v>With in 90 days</v>
      </c>
      <c r="P1334" t="str">
        <f>VLOOKUP(C1334,[1]Customer_Master!$A:$B,2,0)</f>
        <v>Group 1-Giridhar-Peenya</v>
      </c>
      <c r="Q1334" t="e">
        <f>VLOOKUP(D1334,[2]Template!$A:$D,3,0)</f>
        <v>#N/A</v>
      </c>
      <c r="R1334" t="e">
        <f>VLOOKUP(D1334,[2]Template!$A:$D,4,0)</f>
        <v>#N/A</v>
      </c>
    </row>
    <row r="1335" spans="1:18" ht="13.5" customHeight="1" x14ac:dyDescent="0.25">
      <c r="A1335" s="9">
        <v>46149</v>
      </c>
      <c r="B1335" s="10" t="s">
        <v>1666</v>
      </c>
      <c r="C1335" s="11" t="s">
        <v>1667</v>
      </c>
      <c r="D1335" s="27" t="s">
        <v>1352</v>
      </c>
      <c r="E1335" s="12" t="s">
        <v>1072</v>
      </c>
      <c r="F1335" s="26" t="s">
        <v>1353</v>
      </c>
      <c r="G1335" s="13">
        <v>1000</v>
      </c>
      <c r="H1335" s="14">
        <v>1000</v>
      </c>
      <c r="I1335" s="15">
        <v>21.39</v>
      </c>
      <c r="J1335" s="16"/>
      <c r="K1335" s="17">
        <v>21390</v>
      </c>
      <c r="L1335" s="18">
        <v>46149</v>
      </c>
      <c r="M1335" s="6" t="str">
        <f t="shared" si="60"/>
        <v>Schedule order</v>
      </c>
      <c r="N1335" s="8">
        <f t="shared" ca="1" si="61"/>
        <v>-6</v>
      </c>
      <c r="O1335" s="8" t="str">
        <f t="shared" ca="1" si="62"/>
        <v>With in 90 days</v>
      </c>
      <c r="P1335" t="str">
        <f>VLOOKUP(C1335,[1]Customer_Master!$A:$B,2,0)</f>
        <v>Online Business</v>
      </c>
      <c r="Q1335" t="str">
        <f>VLOOKUP(D1335,[2]Template!$A:$D,3,0)</f>
        <v>LAPP</v>
      </c>
      <c r="R1335" t="str">
        <f>VLOOKUP(D1335,[2]Template!$A:$D,4,0)</f>
        <v>Lapp-Against Customer PO</v>
      </c>
    </row>
    <row r="1336" spans="1:18" ht="13.5" customHeight="1" x14ac:dyDescent="0.25">
      <c r="A1336" s="9">
        <v>46149</v>
      </c>
      <c r="B1336" s="10" t="s">
        <v>1666</v>
      </c>
      <c r="C1336" s="11" t="s">
        <v>1667</v>
      </c>
      <c r="D1336" s="10" t="s">
        <v>1039</v>
      </c>
      <c r="E1336" s="12" t="s">
        <v>1072</v>
      </c>
      <c r="F1336" s="12" t="s">
        <v>1040</v>
      </c>
      <c r="G1336" s="13">
        <v>1000</v>
      </c>
      <c r="H1336" s="14">
        <v>1000</v>
      </c>
      <c r="I1336" s="15">
        <v>21.39</v>
      </c>
      <c r="J1336" s="16"/>
      <c r="K1336" s="17">
        <v>21390</v>
      </c>
      <c r="L1336" s="18">
        <v>46149</v>
      </c>
      <c r="M1336" s="6" t="str">
        <f t="shared" si="60"/>
        <v>Schedule order</v>
      </c>
      <c r="N1336" s="8">
        <f t="shared" ca="1" si="61"/>
        <v>-6</v>
      </c>
      <c r="O1336" s="8" t="str">
        <f t="shared" ca="1" si="62"/>
        <v>With in 90 days</v>
      </c>
      <c r="P1336" t="str">
        <f>VLOOKUP(C1336,[1]Customer_Master!$A:$B,2,0)</f>
        <v>Online Business</v>
      </c>
      <c r="Q1336" t="str">
        <f>VLOOKUP(D1336,[2]Template!$A:$D,3,0)</f>
        <v>LAPP</v>
      </c>
      <c r="R1336" t="str">
        <f>VLOOKUP(D1336,[2]Template!$A:$D,4,0)</f>
        <v>Lapp-AMS Group</v>
      </c>
    </row>
    <row r="1337" spans="1:18" ht="13.5" customHeight="1" x14ac:dyDescent="0.25">
      <c r="A1337" s="9">
        <v>46149</v>
      </c>
      <c r="B1337" s="10" t="s">
        <v>1666</v>
      </c>
      <c r="C1337" s="11" t="s">
        <v>1667</v>
      </c>
      <c r="D1337" s="27" t="s">
        <v>1350</v>
      </c>
      <c r="E1337" s="12" t="s">
        <v>1072</v>
      </c>
      <c r="F1337" s="26" t="s">
        <v>1351</v>
      </c>
      <c r="G1337" s="13">
        <v>1000</v>
      </c>
      <c r="H1337" s="14">
        <v>1000</v>
      </c>
      <c r="I1337" s="15">
        <v>21.39</v>
      </c>
      <c r="J1337" s="16"/>
      <c r="K1337" s="17">
        <v>21390</v>
      </c>
      <c r="L1337" s="18">
        <v>46149</v>
      </c>
      <c r="M1337" s="6" t="str">
        <f t="shared" si="60"/>
        <v>Schedule order</v>
      </c>
      <c r="N1337" s="8">
        <f t="shared" ca="1" si="61"/>
        <v>-6</v>
      </c>
      <c r="O1337" s="8" t="str">
        <f t="shared" ca="1" si="62"/>
        <v>With in 90 days</v>
      </c>
      <c r="P1337" t="str">
        <f>VLOOKUP(C1337,[1]Customer_Master!$A:$B,2,0)</f>
        <v>Online Business</v>
      </c>
      <c r="Q1337" t="str">
        <f>VLOOKUP(D1337,[2]Template!$A:$D,3,0)</f>
        <v>LAPP</v>
      </c>
      <c r="R1337" t="str">
        <f>VLOOKUP(D1337,[2]Template!$A:$D,4,0)</f>
        <v>Lapp-Against Customer PO</v>
      </c>
    </row>
    <row r="1338" spans="1:18" ht="13.5" customHeight="1" x14ac:dyDescent="0.25">
      <c r="A1338" s="9">
        <v>46149</v>
      </c>
      <c r="B1338" s="10" t="s">
        <v>1666</v>
      </c>
      <c r="C1338" s="11" t="s">
        <v>1667</v>
      </c>
      <c r="D1338" s="27" t="s">
        <v>1668</v>
      </c>
      <c r="E1338" s="12" t="s">
        <v>1072</v>
      </c>
      <c r="F1338" s="26" t="s">
        <v>1669</v>
      </c>
      <c r="G1338" s="13">
        <v>2000</v>
      </c>
      <c r="H1338" s="14">
        <v>2000</v>
      </c>
      <c r="I1338" s="15">
        <v>21.39</v>
      </c>
      <c r="J1338" s="16"/>
      <c r="K1338" s="17">
        <v>42780</v>
      </c>
      <c r="L1338" s="18">
        <v>46149</v>
      </c>
      <c r="M1338" s="6" t="str">
        <f t="shared" si="60"/>
        <v>Schedule order</v>
      </c>
      <c r="N1338" s="8">
        <f t="shared" ca="1" si="61"/>
        <v>-6</v>
      </c>
      <c r="O1338" s="8" t="str">
        <f t="shared" ca="1" si="62"/>
        <v>With in 90 days</v>
      </c>
      <c r="P1338" t="str">
        <f>VLOOKUP(C1338,[1]Customer_Master!$A:$B,2,0)</f>
        <v>Online Business</v>
      </c>
      <c r="Q1338" t="str">
        <f>VLOOKUP(D1338,[2]Template!$A:$D,3,0)</f>
        <v>LAPP</v>
      </c>
      <c r="R1338" t="str">
        <f>VLOOKUP(D1338,[2]Template!$A:$D,4,0)</f>
        <v>Lapp-Against Customer PO</v>
      </c>
    </row>
    <row r="1339" spans="1:18" ht="13.5" customHeight="1" x14ac:dyDescent="0.25">
      <c r="A1339" s="9">
        <v>46149</v>
      </c>
      <c r="B1339" s="10" t="s">
        <v>1670</v>
      </c>
      <c r="C1339" s="11" t="s">
        <v>1671</v>
      </c>
      <c r="D1339" s="10" t="s">
        <v>941</v>
      </c>
      <c r="E1339" s="12" t="s">
        <v>1072</v>
      </c>
      <c r="F1339" s="12" t="s">
        <v>942</v>
      </c>
      <c r="G1339" s="13">
        <v>200</v>
      </c>
      <c r="H1339" s="14">
        <v>200</v>
      </c>
      <c r="I1339" s="15">
        <v>36.68</v>
      </c>
      <c r="J1339" s="16"/>
      <c r="K1339" s="17">
        <v>7336</v>
      </c>
      <c r="L1339" s="18">
        <v>46149</v>
      </c>
      <c r="M1339" s="6" t="str">
        <f t="shared" si="60"/>
        <v>Schedule order</v>
      </c>
      <c r="N1339" s="8">
        <f t="shared" ca="1" si="61"/>
        <v>-6</v>
      </c>
      <c r="O1339" s="8" t="str">
        <f t="shared" ca="1" si="62"/>
        <v>With in 90 days</v>
      </c>
      <c r="P1339" t="str">
        <f>VLOOKUP(C1339,[1]Customer_Master!$A:$B,2,0)</f>
        <v>Group 1-Giridhar-Peenya</v>
      </c>
      <c r="Q1339" t="str">
        <f>VLOOKUP(D1339,[2]Template!$A:$D,3,0)</f>
        <v>LAPP</v>
      </c>
      <c r="R1339" t="str">
        <f>VLOOKUP(D1339,[2]Template!$A:$D,4,0)</f>
        <v>Lapp-AMS Group</v>
      </c>
    </row>
    <row r="1340" spans="1:18" ht="13.5" customHeight="1" x14ac:dyDescent="0.25">
      <c r="A1340" s="9">
        <v>46149</v>
      </c>
      <c r="B1340" s="10" t="s">
        <v>1672</v>
      </c>
      <c r="C1340" s="11" t="s">
        <v>62</v>
      </c>
      <c r="D1340" s="10" t="s">
        <v>1673</v>
      </c>
      <c r="E1340" s="12" t="s">
        <v>1072</v>
      </c>
      <c r="F1340" s="12" t="s">
        <v>1674</v>
      </c>
      <c r="G1340" s="22">
        <v>12</v>
      </c>
      <c r="H1340" s="23">
        <v>12</v>
      </c>
      <c r="I1340" s="15">
        <v>1928.5</v>
      </c>
      <c r="J1340" s="16"/>
      <c r="K1340" s="17">
        <v>23142</v>
      </c>
      <c r="L1340" s="18">
        <v>46149</v>
      </c>
      <c r="M1340" s="6" t="str">
        <f t="shared" si="60"/>
        <v>Schedule order</v>
      </c>
      <c r="N1340" s="8">
        <f t="shared" ca="1" si="61"/>
        <v>-6</v>
      </c>
      <c r="O1340" s="8" t="str">
        <f t="shared" ca="1" si="62"/>
        <v>With in 90 days</v>
      </c>
      <c r="P1340" t="str">
        <f>VLOOKUP(C1340,[1]Customer_Master!$A:$B,2,0)</f>
        <v>Group 1-Giridhar-Peenya</v>
      </c>
      <c r="Q1340" t="str">
        <f>VLOOKUP(D1340,[2]Template!$A:$D,3,0)</f>
        <v>LAPP</v>
      </c>
      <c r="R1340" t="str">
        <f>VLOOKUP(D1340,[2]Template!$A:$D,4,0)</f>
        <v>Lapp-Non Moving Stocks</v>
      </c>
    </row>
    <row r="1341" spans="1:18" ht="13.5" customHeight="1" x14ac:dyDescent="0.25">
      <c r="A1341" s="9">
        <v>46149</v>
      </c>
      <c r="B1341" s="10" t="s">
        <v>1672</v>
      </c>
      <c r="C1341" s="11" t="s">
        <v>62</v>
      </c>
      <c r="D1341" s="10" t="s">
        <v>1675</v>
      </c>
      <c r="E1341" s="12" t="s">
        <v>1072</v>
      </c>
      <c r="F1341" s="12" t="s">
        <v>1676</v>
      </c>
      <c r="G1341" s="22">
        <v>12</v>
      </c>
      <c r="H1341" s="23">
        <v>12</v>
      </c>
      <c r="I1341" s="15">
        <v>214.5</v>
      </c>
      <c r="J1341" s="16"/>
      <c r="K1341" s="17">
        <v>2574</v>
      </c>
      <c r="L1341" s="18">
        <v>46149</v>
      </c>
      <c r="M1341" s="6" t="str">
        <f t="shared" si="60"/>
        <v>Schedule order</v>
      </c>
      <c r="N1341" s="8">
        <f t="shared" ca="1" si="61"/>
        <v>-6</v>
      </c>
      <c r="O1341" s="8" t="str">
        <f t="shared" ca="1" si="62"/>
        <v>With in 90 days</v>
      </c>
      <c r="P1341" t="str">
        <f>VLOOKUP(C1341,[1]Customer_Master!$A:$B,2,0)</f>
        <v>Group 1-Giridhar-Peenya</v>
      </c>
      <c r="Q1341" t="str">
        <f>VLOOKUP(D1341,[2]Template!$A:$D,3,0)</f>
        <v>LAPP</v>
      </c>
      <c r="R1341" t="str">
        <f>VLOOKUP(D1341,[2]Template!$A:$D,4,0)</f>
        <v>Lapp-Non Moving Stocks</v>
      </c>
    </row>
    <row r="1342" spans="1:18" ht="13.5" customHeight="1" x14ac:dyDescent="0.25">
      <c r="A1342" s="9">
        <v>46150</v>
      </c>
      <c r="B1342" s="10" t="s">
        <v>1677</v>
      </c>
      <c r="C1342" s="11" t="s">
        <v>76</v>
      </c>
      <c r="D1342" s="10" t="s">
        <v>365</v>
      </c>
      <c r="E1342" s="12" t="s">
        <v>1072</v>
      </c>
      <c r="F1342" s="12" t="s">
        <v>103</v>
      </c>
      <c r="G1342" s="19">
        <v>16</v>
      </c>
      <c r="H1342" s="20">
        <v>16</v>
      </c>
      <c r="I1342" s="15">
        <v>266</v>
      </c>
      <c r="J1342" s="16"/>
      <c r="K1342" s="17">
        <v>4256</v>
      </c>
      <c r="L1342" s="18">
        <v>46219</v>
      </c>
      <c r="M1342" s="6" t="str">
        <f t="shared" si="60"/>
        <v>Schedule order</v>
      </c>
      <c r="N1342" s="8">
        <f t="shared" ca="1" si="61"/>
        <v>64</v>
      </c>
      <c r="O1342" s="8" t="str">
        <f t="shared" ca="1" si="62"/>
        <v>Lattest or shedule order</v>
      </c>
      <c r="P1342" t="str">
        <f>VLOOKUP(C1342,[1]Customer_Master!$A:$B,2,0)</f>
        <v>Group 1-Giridhar-Peenya</v>
      </c>
      <c r="Q1342" t="str">
        <f>VLOOKUP(D1342,[2]Template!$A:$D,3,0)</f>
        <v>EATON</v>
      </c>
      <c r="R1342" t="str">
        <f>VLOOKUP(D1342,[2]Template!$A:$D,4,0)</f>
        <v>Eaton-Biesse</v>
      </c>
    </row>
    <row r="1343" spans="1:18" ht="13.5" customHeight="1" x14ac:dyDescent="0.25">
      <c r="A1343" s="9">
        <v>46150</v>
      </c>
      <c r="B1343" s="10" t="s">
        <v>1677</v>
      </c>
      <c r="C1343" s="11" t="s">
        <v>76</v>
      </c>
      <c r="D1343" s="10" t="s">
        <v>365</v>
      </c>
      <c r="E1343" s="12" t="s">
        <v>1072</v>
      </c>
      <c r="F1343" s="12" t="s">
        <v>103</v>
      </c>
      <c r="G1343" s="19">
        <v>18</v>
      </c>
      <c r="H1343" s="20">
        <v>18</v>
      </c>
      <c r="I1343" s="15">
        <v>266</v>
      </c>
      <c r="J1343" s="16"/>
      <c r="K1343" s="17">
        <v>4788</v>
      </c>
      <c r="L1343" s="18">
        <v>46248</v>
      </c>
      <c r="M1343" s="6" t="str">
        <f t="shared" si="60"/>
        <v>Schedule order</v>
      </c>
      <c r="N1343" s="8">
        <f t="shared" ca="1" si="61"/>
        <v>93</v>
      </c>
      <c r="O1343" s="8" t="str">
        <f t="shared" ca="1" si="62"/>
        <v>Lattest or shedule order</v>
      </c>
      <c r="P1343" t="str">
        <f>VLOOKUP(C1343,[1]Customer_Master!$A:$B,2,0)</f>
        <v>Group 1-Giridhar-Peenya</v>
      </c>
      <c r="Q1343" t="str">
        <f>VLOOKUP(D1343,[2]Template!$A:$D,3,0)</f>
        <v>EATON</v>
      </c>
      <c r="R1343" t="str">
        <f>VLOOKUP(D1343,[2]Template!$A:$D,4,0)</f>
        <v>Eaton-Biesse</v>
      </c>
    </row>
    <row r="1344" spans="1:18" ht="13.5" customHeight="1" x14ac:dyDescent="0.25">
      <c r="A1344" s="9">
        <v>46150</v>
      </c>
      <c r="B1344" s="10" t="s">
        <v>1677</v>
      </c>
      <c r="C1344" s="11" t="s">
        <v>76</v>
      </c>
      <c r="D1344" s="10" t="s">
        <v>1678</v>
      </c>
      <c r="E1344" s="12" t="s">
        <v>1072</v>
      </c>
      <c r="F1344" s="12" t="s">
        <v>1679</v>
      </c>
      <c r="G1344" s="19">
        <v>100</v>
      </c>
      <c r="H1344" s="20">
        <v>100</v>
      </c>
      <c r="I1344" s="15">
        <v>48</v>
      </c>
      <c r="J1344" s="16"/>
      <c r="K1344" s="17">
        <v>4800</v>
      </c>
      <c r="L1344" s="18">
        <v>46245</v>
      </c>
      <c r="M1344" s="6" t="str">
        <f t="shared" si="60"/>
        <v>Schedule order</v>
      </c>
      <c r="N1344" s="8">
        <f t="shared" ca="1" si="61"/>
        <v>90</v>
      </c>
      <c r="O1344" s="8" t="str">
        <f t="shared" ca="1" si="62"/>
        <v>Lattest or shedule order</v>
      </c>
      <c r="P1344" t="str">
        <f>VLOOKUP(C1344,[1]Customer_Master!$A:$B,2,0)</f>
        <v>Group 1-Giridhar-Peenya</v>
      </c>
      <c r="Q1344" t="str">
        <f>VLOOKUP(D1344,[2]Template!$A:$D,3,0)</f>
        <v>EATON</v>
      </c>
      <c r="R1344" t="str">
        <f>VLOOKUP(D1344,[2]Template!$A:$D,4,0)</f>
        <v>Eaton-Biesse</v>
      </c>
    </row>
    <row r="1345" spans="1:18" ht="13.5" customHeight="1" x14ac:dyDescent="0.25">
      <c r="A1345" s="9">
        <v>46150</v>
      </c>
      <c r="B1345" s="10" t="s">
        <v>1677</v>
      </c>
      <c r="C1345" s="11" t="s">
        <v>76</v>
      </c>
      <c r="D1345" s="10" t="s">
        <v>327</v>
      </c>
      <c r="E1345" s="12" t="s">
        <v>1072</v>
      </c>
      <c r="F1345" s="12" t="s">
        <v>81</v>
      </c>
      <c r="G1345" s="19">
        <v>34</v>
      </c>
      <c r="H1345" s="20">
        <v>34</v>
      </c>
      <c r="I1345" s="15">
        <v>1811</v>
      </c>
      <c r="J1345" s="16"/>
      <c r="K1345" s="17">
        <v>61574</v>
      </c>
      <c r="L1345" s="18">
        <v>46270</v>
      </c>
      <c r="M1345" s="6" t="str">
        <f t="shared" si="60"/>
        <v>Schedule order</v>
      </c>
      <c r="N1345" s="8">
        <f t="shared" ca="1" si="61"/>
        <v>115</v>
      </c>
      <c r="O1345" s="8" t="str">
        <f t="shared" ca="1" si="62"/>
        <v>Lattest or shedule order</v>
      </c>
      <c r="P1345" t="str">
        <f>VLOOKUP(C1345,[1]Customer_Master!$A:$B,2,0)</f>
        <v>Group 1-Giridhar-Peenya</v>
      </c>
      <c r="Q1345" t="str">
        <f>VLOOKUP(D1345,[2]Template!$A:$D,3,0)</f>
        <v>EATON</v>
      </c>
      <c r="R1345" t="str">
        <f>VLOOKUP(D1345,[2]Template!$A:$D,4,0)</f>
        <v>Eaton-Biesse</v>
      </c>
    </row>
    <row r="1346" spans="1:18" ht="13.5" customHeight="1" x14ac:dyDescent="0.25">
      <c r="A1346" s="9">
        <v>46150</v>
      </c>
      <c r="B1346" s="10" t="s">
        <v>1677</v>
      </c>
      <c r="C1346" s="11" t="s">
        <v>76</v>
      </c>
      <c r="D1346" s="10" t="s">
        <v>344</v>
      </c>
      <c r="E1346" s="12" t="s">
        <v>1072</v>
      </c>
      <c r="F1346" s="12" t="s">
        <v>107</v>
      </c>
      <c r="G1346" s="19">
        <v>100</v>
      </c>
      <c r="H1346" s="20">
        <v>100</v>
      </c>
      <c r="I1346" s="15">
        <v>48</v>
      </c>
      <c r="J1346" s="16"/>
      <c r="K1346" s="17">
        <v>4800</v>
      </c>
      <c r="L1346" s="18">
        <v>46273</v>
      </c>
      <c r="M1346" s="6" t="str">
        <f t="shared" si="60"/>
        <v>Schedule order</v>
      </c>
      <c r="N1346" s="8">
        <f t="shared" ca="1" si="61"/>
        <v>118</v>
      </c>
      <c r="O1346" s="8" t="str">
        <f t="shared" ca="1" si="62"/>
        <v>Lattest or shedule order</v>
      </c>
      <c r="P1346" t="str">
        <f>VLOOKUP(C1346,[1]Customer_Master!$A:$B,2,0)</f>
        <v>Group 1-Giridhar-Peenya</v>
      </c>
      <c r="Q1346" t="str">
        <f>VLOOKUP(D1346,[2]Template!$A:$D,3,0)</f>
        <v>EATON</v>
      </c>
      <c r="R1346" t="str">
        <f>VLOOKUP(D1346,[2]Template!$A:$D,4,0)</f>
        <v>Eaton-Biesse</v>
      </c>
    </row>
    <row r="1347" spans="1:18" ht="13.5" customHeight="1" x14ac:dyDescent="0.25">
      <c r="A1347" s="9">
        <v>46150</v>
      </c>
      <c r="B1347" s="10" t="s">
        <v>1677</v>
      </c>
      <c r="C1347" s="11" t="s">
        <v>76</v>
      </c>
      <c r="D1347" s="10" t="s">
        <v>345</v>
      </c>
      <c r="E1347" s="12" t="s">
        <v>1072</v>
      </c>
      <c r="F1347" s="12" t="s">
        <v>108</v>
      </c>
      <c r="G1347" s="19">
        <v>100</v>
      </c>
      <c r="H1347" s="20">
        <v>100</v>
      </c>
      <c r="I1347" s="15">
        <v>48</v>
      </c>
      <c r="J1347" s="16"/>
      <c r="K1347" s="17">
        <v>4800</v>
      </c>
      <c r="L1347" s="18">
        <v>46269</v>
      </c>
      <c r="M1347" s="6" t="str">
        <f t="shared" ref="M1347:M1410" si="63">IF(L1347&lt;DATE(2026,4,30),"Due order","Schedule order")</f>
        <v>Schedule order</v>
      </c>
      <c r="N1347" s="8">
        <f t="shared" ref="N1347:N1410" ca="1" si="64">L1347-TODAY()</f>
        <v>114</v>
      </c>
      <c r="O1347" s="8" t="str">
        <f t="shared" ref="O1347:O1410" ca="1" si="65">IF(N1347&lt;-365,"More than 1 Year old",IF(N1347&lt;-180," More than 180 days old",IF(N1347&lt;-90,"More than 90 day old",IF(N1347&lt;0,"With in 90 days","Lattest or shedule order"))))</f>
        <v>Lattest or shedule order</v>
      </c>
      <c r="P1347" t="str">
        <f>VLOOKUP(C1347,[1]Customer_Master!$A:$B,2,0)</f>
        <v>Group 1-Giridhar-Peenya</v>
      </c>
      <c r="Q1347" t="str">
        <f>VLOOKUP(D1347,[2]Template!$A:$D,3,0)</f>
        <v>EATON</v>
      </c>
      <c r="R1347" t="str">
        <f>VLOOKUP(D1347,[2]Template!$A:$D,4,0)</f>
        <v>Eaton-Biesse</v>
      </c>
    </row>
    <row r="1348" spans="1:18" ht="13.5" customHeight="1" x14ac:dyDescent="0.25">
      <c r="A1348" s="9">
        <v>46150</v>
      </c>
      <c r="B1348" s="10" t="s">
        <v>1677</v>
      </c>
      <c r="C1348" s="11" t="s">
        <v>76</v>
      </c>
      <c r="D1348" s="10" t="s">
        <v>328</v>
      </c>
      <c r="E1348" s="12" t="s">
        <v>1072</v>
      </c>
      <c r="F1348" s="12" t="s">
        <v>82</v>
      </c>
      <c r="G1348" s="19">
        <v>30</v>
      </c>
      <c r="H1348" s="20">
        <v>30</v>
      </c>
      <c r="I1348" s="15">
        <v>1764</v>
      </c>
      <c r="J1348" s="16"/>
      <c r="K1348" s="17">
        <v>52920</v>
      </c>
      <c r="L1348" s="18">
        <v>46150</v>
      </c>
      <c r="M1348" s="6" t="str">
        <f t="shared" si="63"/>
        <v>Schedule order</v>
      </c>
      <c r="N1348" s="8">
        <f t="shared" ca="1" si="64"/>
        <v>-5</v>
      </c>
      <c r="O1348" s="8" t="str">
        <f t="shared" ca="1" si="65"/>
        <v>With in 90 days</v>
      </c>
      <c r="P1348" t="str">
        <f>VLOOKUP(C1348,[1]Customer_Master!$A:$B,2,0)</f>
        <v>Group 1-Giridhar-Peenya</v>
      </c>
      <c r="Q1348" t="str">
        <f>VLOOKUP(D1348,[2]Template!$A:$D,3,0)</f>
        <v>EATON</v>
      </c>
      <c r="R1348" t="str">
        <f>VLOOKUP(D1348,[2]Template!$A:$D,4,0)</f>
        <v>Eaton-Biesse</v>
      </c>
    </row>
    <row r="1349" spans="1:18" ht="13.5" customHeight="1" x14ac:dyDescent="0.25">
      <c r="A1349" s="9">
        <v>46150</v>
      </c>
      <c r="B1349" s="10" t="s">
        <v>1677</v>
      </c>
      <c r="C1349" s="11" t="s">
        <v>76</v>
      </c>
      <c r="D1349" s="10" t="s">
        <v>397</v>
      </c>
      <c r="E1349" s="12" t="s">
        <v>1072</v>
      </c>
      <c r="F1349" s="12" t="s">
        <v>130</v>
      </c>
      <c r="G1349" s="19">
        <v>40</v>
      </c>
      <c r="H1349" s="20">
        <v>40</v>
      </c>
      <c r="I1349" s="15">
        <v>88</v>
      </c>
      <c r="J1349" s="16"/>
      <c r="K1349" s="17">
        <v>3520</v>
      </c>
      <c r="L1349" s="18">
        <v>46260</v>
      </c>
      <c r="M1349" s="6" t="str">
        <f t="shared" si="63"/>
        <v>Schedule order</v>
      </c>
      <c r="N1349" s="8">
        <f t="shared" ca="1" si="64"/>
        <v>105</v>
      </c>
      <c r="O1349" s="8" t="str">
        <f t="shared" ca="1" si="65"/>
        <v>Lattest or shedule order</v>
      </c>
      <c r="P1349" t="str">
        <f>VLOOKUP(C1349,[1]Customer_Master!$A:$B,2,0)</f>
        <v>Group 1-Giridhar-Peenya</v>
      </c>
      <c r="Q1349" t="str">
        <f>VLOOKUP(D1349,[2]Template!$A:$D,3,0)</f>
        <v>EATON</v>
      </c>
      <c r="R1349" t="str">
        <f>VLOOKUP(D1349,[2]Template!$A:$D,4,0)</f>
        <v>Eaton-Biesse</v>
      </c>
    </row>
    <row r="1350" spans="1:18" ht="13.5" customHeight="1" x14ac:dyDescent="0.25">
      <c r="A1350" s="9">
        <v>46150</v>
      </c>
      <c r="B1350" s="10" t="s">
        <v>1680</v>
      </c>
      <c r="C1350" s="11" t="s">
        <v>94</v>
      </c>
      <c r="D1350" s="10" t="s">
        <v>418</v>
      </c>
      <c r="E1350" s="12" t="s">
        <v>1072</v>
      </c>
      <c r="F1350" s="12" t="s">
        <v>237</v>
      </c>
      <c r="G1350" s="22">
        <v>50</v>
      </c>
      <c r="H1350" s="23">
        <v>50</v>
      </c>
      <c r="I1350" s="15">
        <v>18.91</v>
      </c>
      <c r="J1350" s="16"/>
      <c r="K1350" s="17">
        <v>945.5</v>
      </c>
      <c r="L1350" s="18">
        <v>46157</v>
      </c>
      <c r="M1350" s="6" t="str">
        <f t="shared" si="63"/>
        <v>Schedule order</v>
      </c>
      <c r="N1350" s="8">
        <f t="shared" ca="1" si="64"/>
        <v>2</v>
      </c>
      <c r="O1350" s="8" t="str">
        <f t="shared" ca="1" si="65"/>
        <v>Lattest or shedule order</v>
      </c>
      <c r="P1350" t="str">
        <f>VLOOKUP(C1350,[1]Customer_Master!$A:$B,2,0)</f>
        <v>Group 1-Giridhar-Peenya</v>
      </c>
      <c r="Q1350" t="str">
        <f>VLOOKUP(D1350,[2]Template!$A:$D,3,0)</f>
        <v>LAPP</v>
      </c>
      <c r="R1350" t="str">
        <f>VLOOKUP(D1350,[2]Template!$A:$D,4,0)</f>
        <v>Lapp-Against Customer PO</v>
      </c>
    </row>
    <row r="1351" spans="1:18" ht="13.5" customHeight="1" x14ac:dyDescent="0.25">
      <c r="A1351" s="9">
        <v>46150</v>
      </c>
      <c r="B1351" s="10" t="s">
        <v>1680</v>
      </c>
      <c r="C1351" s="11" t="s">
        <v>94</v>
      </c>
      <c r="D1351" s="10" t="s">
        <v>1681</v>
      </c>
      <c r="E1351" s="12" t="s">
        <v>1072</v>
      </c>
      <c r="F1351" s="12" t="s">
        <v>1682</v>
      </c>
      <c r="G1351" s="22">
        <v>50</v>
      </c>
      <c r="H1351" s="23">
        <v>50</v>
      </c>
      <c r="I1351" s="15">
        <v>5.35</v>
      </c>
      <c r="J1351" s="16"/>
      <c r="K1351" s="17">
        <v>267.5</v>
      </c>
      <c r="L1351" s="18">
        <v>46157</v>
      </c>
      <c r="M1351" s="6" t="str">
        <f t="shared" si="63"/>
        <v>Schedule order</v>
      </c>
      <c r="N1351" s="8">
        <f t="shared" ca="1" si="64"/>
        <v>2</v>
      </c>
      <c r="O1351" s="8" t="str">
        <f t="shared" ca="1" si="65"/>
        <v>Lattest or shedule order</v>
      </c>
      <c r="P1351" t="str">
        <f>VLOOKUP(C1351,[1]Customer_Master!$A:$B,2,0)</f>
        <v>Group 1-Giridhar-Peenya</v>
      </c>
      <c r="Q1351" t="str">
        <f>VLOOKUP(D1351,[2]Template!$A:$D,3,0)</f>
        <v>LAPP</v>
      </c>
      <c r="R1351" t="str">
        <f>VLOOKUP(D1351,[2]Template!$A:$D,4,0)</f>
        <v>Lapp-Planned Stock General</v>
      </c>
    </row>
    <row r="1352" spans="1:18" ht="13.5" customHeight="1" x14ac:dyDescent="0.25">
      <c r="A1352" s="9">
        <v>46151</v>
      </c>
      <c r="B1352" s="10" t="s">
        <v>1683</v>
      </c>
      <c r="C1352" s="11" t="s">
        <v>209</v>
      </c>
      <c r="D1352" s="10" t="s">
        <v>1430</v>
      </c>
      <c r="E1352" s="12" t="s">
        <v>1072</v>
      </c>
      <c r="F1352" s="12" t="s">
        <v>1431</v>
      </c>
      <c r="G1352" s="13">
        <v>240</v>
      </c>
      <c r="H1352" s="14">
        <v>240</v>
      </c>
      <c r="I1352" s="15">
        <v>615.08000000000004</v>
      </c>
      <c r="J1352" s="16"/>
      <c r="K1352" s="17">
        <v>147619.20000000001</v>
      </c>
      <c r="L1352" s="18">
        <v>46151</v>
      </c>
      <c r="M1352" s="6" t="str">
        <f t="shared" si="63"/>
        <v>Schedule order</v>
      </c>
      <c r="N1352" s="8">
        <f t="shared" ca="1" si="64"/>
        <v>-4</v>
      </c>
      <c r="O1352" s="8" t="str">
        <f t="shared" ca="1" si="65"/>
        <v>With in 90 days</v>
      </c>
      <c r="P1352" t="str">
        <f>VLOOKUP(C1352,[1]Customer_Master!$A:$B,2,0)</f>
        <v>Group 1-Giridhar-Peenya</v>
      </c>
      <c r="Q1352" t="str">
        <f>VLOOKUP(D1352,[2]Template!$A:$D,3,0)</f>
        <v>LAPP</v>
      </c>
      <c r="R1352" t="str">
        <f>VLOOKUP(D1352,[2]Template!$A:$D,4,0)</f>
        <v>Lapp-Non Moving Stocks</v>
      </c>
    </row>
    <row r="1353" spans="1:18" ht="13.5" customHeight="1" x14ac:dyDescent="0.25">
      <c r="A1353" s="9">
        <v>46151</v>
      </c>
      <c r="B1353" s="10" t="s">
        <v>1683</v>
      </c>
      <c r="C1353" s="11" t="s">
        <v>209</v>
      </c>
      <c r="D1353" s="27" t="s">
        <v>1329</v>
      </c>
      <c r="E1353" s="12" t="s">
        <v>1072</v>
      </c>
      <c r="F1353" s="12" t="s">
        <v>1330</v>
      </c>
      <c r="G1353" s="13">
        <v>50</v>
      </c>
      <c r="H1353" s="14">
        <v>50</v>
      </c>
      <c r="I1353" s="15">
        <v>283.39999999999998</v>
      </c>
      <c r="J1353" s="16"/>
      <c r="K1353" s="17">
        <v>14170</v>
      </c>
      <c r="L1353" s="18">
        <v>46151</v>
      </c>
      <c r="M1353" s="6" t="str">
        <f t="shared" si="63"/>
        <v>Schedule order</v>
      </c>
      <c r="N1353" s="8">
        <f t="shared" ca="1" si="64"/>
        <v>-4</v>
      </c>
      <c r="O1353" s="8" t="str">
        <f t="shared" ca="1" si="65"/>
        <v>With in 90 days</v>
      </c>
      <c r="P1353" t="str">
        <f>VLOOKUP(C1353,[1]Customer_Master!$A:$B,2,0)</f>
        <v>Group 1-Giridhar-Peenya</v>
      </c>
      <c r="Q1353" t="str">
        <f>VLOOKUP(D1353,[2]Template!$A:$D,3,0)</f>
        <v>LAPP</v>
      </c>
      <c r="R1353" t="str">
        <f>VLOOKUP(D1353,[2]Template!$A:$D,4,0)</f>
        <v>Lapp-Non Moving Stocks</v>
      </c>
    </row>
    <row r="1354" spans="1:18" ht="13.5" customHeight="1" x14ac:dyDescent="0.25">
      <c r="A1354" s="9">
        <v>46151</v>
      </c>
      <c r="B1354" s="10" t="s">
        <v>1683</v>
      </c>
      <c r="C1354" s="11" t="s">
        <v>209</v>
      </c>
      <c r="D1354" s="10" t="s">
        <v>1684</v>
      </c>
      <c r="E1354" s="12" t="s">
        <v>1072</v>
      </c>
      <c r="F1354" s="12" t="s">
        <v>1685</v>
      </c>
      <c r="G1354" s="13">
        <v>200</v>
      </c>
      <c r="H1354" s="14">
        <v>200</v>
      </c>
      <c r="I1354" s="15">
        <v>302.39</v>
      </c>
      <c r="J1354" s="16"/>
      <c r="K1354" s="17">
        <v>60478</v>
      </c>
      <c r="L1354" s="18">
        <v>46151</v>
      </c>
      <c r="M1354" s="6" t="str">
        <f t="shared" si="63"/>
        <v>Schedule order</v>
      </c>
      <c r="N1354" s="8">
        <f t="shared" ca="1" si="64"/>
        <v>-4</v>
      </c>
      <c r="O1354" s="8" t="str">
        <f t="shared" ca="1" si="65"/>
        <v>With in 90 days</v>
      </c>
      <c r="P1354" t="str">
        <f>VLOOKUP(C1354,[1]Customer_Master!$A:$B,2,0)</f>
        <v>Group 1-Giridhar-Peenya</v>
      </c>
      <c r="Q1354" t="str">
        <f>VLOOKUP(D1354,[2]Template!$A:$D,3,0)</f>
        <v>LAPP</v>
      </c>
      <c r="R1354" t="str">
        <f>VLOOKUP(D1354,[2]Template!$A:$D,4,0)</f>
        <v>Lapp-Non Moving Stocks</v>
      </c>
    </row>
    <row r="1355" spans="1:18" ht="13.5" customHeight="1" x14ac:dyDescent="0.25">
      <c r="A1355" s="9">
        <v>46151</v>
      </c>
      <c r="B1355" s="10" t="s">
        <v>1683</v>
      </c>
      <c r="C1355" s="11" t="s">
        <v>209</v>
      </c>
      <c r="D1355" s="27" t="s">
        <v>1686</v>
      </c>
      <c r="E1355" s="12" t="s">
        <v>1072</v>
      </c>
      <c r="F1355" s="26" t="s">
        <v>1687</v>
      </c>
      <c r="G1355" s="13">
        <v>80</v>
      </c>
      <c r="H1355" s="14">
        <v>80</v>
      </c>
      <c r="I1355" s="15">
        <v>778.36</v>
      </c>
      <c r="J1355" s="16"/>
      <c r="K1355" s="17">
        <v>62268.800000000003</v>
      </c>
      <c r="L1355" s="18">
        <v>46151</v>
      </c>
      <c r="M1355" s="6" t="str">
        <f t="shared" si="63"/>
        <v>Schedule order</v>
      </c>
      <c r="N1355" s="8">
        <f t="shared" ca="1" si="64"/>
        <v>-4</v>
      </c>
      <c r="O1355" s="8" t="str">
        <f t="shared" ca="1" si="65"/>
        <v>With in 90 days</v>
      </c>
      <c r="P1355" t="str">
        <f>VLOOKUP(C1355,[1]Customer_Master!$A:$B,2,0)</f>
        <v>Group 1-Giridhar-Peenya</v>
      </c>
      <c r="Q1355" t="str">
        <f>VLOOKUP(D1355,[2]Template!$A:$D,3,0)</f>
        <v>LAPP</v>
      </c>
      <c r="R1355" t="str">
        <f>VLOOKUP(D1355,[2]Template!$A:$D,4,0)</f>
        <v>Lapp-Non Moving Stocks</v>
      </c>
    </row>
    <row r="1356" spans="1:18" ht="13.5" customHeight="1" x14ac:dyDescent="0.25">
      <c r="A1356" s="9">
        <v>46151</v>
      </c>
      <c r="B1356" s="10" t="s">
        <v>1683</v>
      </c>
      <c r="C1356" s="11" t="s">
        <v>209</v>
      </c>
      <c r="D1356" s="27" t="s">
        <v>1688</v>
      </c>
      <c r="E1356" s="12" t="s">
        <v>1072</v>
      </c>
      <c r="F1356" s="12" t="s">
        <v>1689</v>
      </c>
      <c r="G1356" s="13">
        <v>80</v>
      </c>
      <c r="H1356" s="14">
        <v>80</v>
      </c>
      <c r="I1356" s="15">
        <v>1213.07</v>
      </c>
      <c r="J1356" s="16"/>
      <c r="K1356" s="17">
        <v>97045.6</v>
      </c>
      <c r="L1356" s="18">
        <v>46151</v>
      </c>
      <c r="M1356" s="6" t="str">
        <f t="shared" si="63"/>
        <v>Schedule order</v>
      </c>
      <c r="N1356" s="8">
        <f t="shared" ca="1" si="64"/>
        <v>-4</v>
      </c>
      <c r="O1356" s="8" t="str">
        <f t="shared" ca="1" si="65"/>
        <v>With in 90 days</v>
      </c>
      <c r="P1356" t="str">
        <f>VLOOKUP(C1356,[1]Customer_Master!$A:$B,2,0)</f>
        <v>Group 1-Giridhar-Peenya</v>
      </c>
      <c r="Q1356" t="str">
        <f>VLOOKUP(D1356,[2]Template!$A:$D,3,0)</f>
        <v>LAPP</v>
      </c>
      <c r="R1356" t="str">
        <f>VLOOKUP(D1356,[2]Template!$A:$D,4,0)</f>
        <v>Lapp-Non Moving Stocks</v>
      </c>
    </row>
    <row r="1357" spans="1:18" ht="13.5" customHeight="1" x14ac:dyDescent="0.25">
      <c r="A1357" s="9">
        <v>46153</v>
      </c>
      <c r="B1357" s="10" t="s">
        <v>1690</v>
      </c>
      <c r="C1357" s="11" t="s">
        <v>1410</v>
      </c>
      <c r="D1357" s="10" t="s">
        <v>1691</v>
      </c>
      <c r="E1357" s="12" t="s">
        <v>1072</v>
      </c>
      <c r="F1357" s="12" t="s">
        <v>1692</v>
      </c>
      <c r="G1357" s="19">
        <v>50</v>
      </c>
      <c r="H1357" s="20">
        <v>50</v>
      </c>
      <c r="I1357" s="15">
        <v>229.53</v>
      </c>
      <c r="J1357" s="16"/>
      <c r="K1357" s="17">
        <v>11476.5</v>
      </c>
      <c r="L1357" s="18">
        <v>46153</v>
      </c>
      <c r="M1357" s="6" t="str">
        <f t="shared" si="63"/>
        <v>Schedule order</v>
      </c>
      <c r="N1357" s="8">
        <f t="shared" ca="1" si="64"/>
        <v>-2</v>
      </c>
      <c r="O1357" s="8" t="str">
        <f t="shared" ca="1" si="65"/>
        <v>With in 90 days</v>
      </c>
      <c r="P1357" t="str">
        <f>VLOOKUP(C1357,[1]Customer_Master!$A:$B,2,0)</f>
        <v>Group 1-Giridhar-Peenya</v>
      </c>
      <c r="Q1357" t="str">
        <f>VLOOKUP(D1357,[2]Template!$A:$D,3,0)</f>
        <v>LAPP</v>
      </c>
      <c r="R1357" t="str">
        <f>VLOOKUP(D1357,[2]Template!$A:$D,4,0)</f>
        <v>Lapp-Non Moving Stocks</v>
      </c>
    </row>
    <row r="1358" spans="1:18" ht="13.5" customHeight="1" x14ac:dyDescent="0.25">
      <c r="A1358" s="9">
        <v>46153</v>
      </c>
      <c r="B1358" s="10" t="s">
        <v>1690</v>
      </c>
      <c r="C1358" s="11" t="s">
        <v>1410</v>
      </c>
      <c r="D1358" s="10" t="s">
        <v>1693</v>
      </c>
      <c r="E1358" s="12" t="s">
        <v>1072</v>
      </c>
      <c r="F1358" s="12" t="s">
        <v>1694</v>
      </c>
      <c r="G1358" s="19">
        <v>25</v>
      </c>
      <c r="H1358" s="20">
        <v>25</v>
      </c>
      <c r="I1358" s="15">
        <v>606.37</v>
      </c>
      <c r="J1358" s="16"/>
      <c r="K1358" s="17">
        <v>15159.25</v>
      </c>
      <c r="L1358" s="18">
        <v>46153</v>
      </c>
      <c r="M1358" s="6" t="str">
        <f t="shared" si="63"/>
        <v>Schedule order</v>
      </c>
      <c r="N1358" s="8">
        <f t="shared" ca="1" si="64"/>
        <v>-2</v>
      </c>
      <c r="O1358" s="8" t="str">
        <f t="shared" ca="1" si="65"/>
        <v>With in 90 days</v>
      </c>
      <c r="P1358" t="str">
        <f>VLOOKUP(C1358,[1]Customer_Master!$A:$B,2,0)</f>
        <v>Group 1-Giridhar-Peenya</v>
      </c>
      <c r="Q1358" t="str">
        <f>VLOOKUP(D1358,[2]Template!$A:$D,3,0)</f>
        <v>LAPP</v>
      </c>
      <c r="R1358" t="str">
        <f>VLOOKUP(D1358,[2]Template!$A:$D,4,0)</f>
        <v>Lapp-Non Moving Stocks</v>
      </c>
    </row>
    <row r="1359" spans="1:18" ht="13.5" customHeight="1" x14ac:dyDescent="0.25">
      <c r="A1359" s="9">
        <v>46153</v>
      </c>
      <c r="B1359" s="10" t="s">
        <v>1690</v>
      </c>
      <c r="C1359" s="11" t="s">
        <v>1410</v>
      </c>
      <c r="D1359" s="27" t="s">
        <v>391</v>
      </c>
      <c r="E1359" s="12" t="s">
        <v>1072</v>
      </c>
      <c r="F1359" s="26" t="s">
        <v>182</v>
      </c>
      <c r="G1359" s="19">
        <v>100</v>
      </c>
      <c r="H1359" s="20">
        <v>100</v>
      </c>
      <c r="I1359" s="15">
        <v>25.98</v>
      </c>
      <c r="J1359" s="16"/>
      <c r="K1359" s="17">
        <v>2598</v>
      </c>
      <c r="L1359" s="18">
        <v>46153</v>
      </c>
      <c r="M1359" s="6" t="str">
        <f t="shared" si="63"/>
        <v>Schedule order</v>
      </c>
      <c r="N1359" s="8">
        <f t="shared" ca="1" si="64"/>
        <v>-2</v>
      </c>
      <c r="O1359" s="8" t="str">
        <f t="shared" ca="1" si="65"/>
        <v>With in 90 days</v>
      </c>
      <c r="P1359" t="str">
        <f>VLOOKUP(C1359,[1]Customer_Master!$A:$B,2,0)</f>
        <v>Group 1-Giridhar-Peenya</v>
      </c>
      <c r="Q1359" t="str">
        <f>VLOOKUP(D1359,[2]Template!$A:$D,3,0)</f>
        <v>LAPP</v>
      </c>
      <c r="R1359" t="str">
        <f>VLOOKUP(D1359,[2]Template!$A:$D,4,0)</f>
        <v>Lapp-Non Moving Stocks</v>
      </c>
    </row>
    <row r="1360" spans="1:18" ht="13.5" customHeight="1" x14ac:dyDescent="0.25">
      <c r="A1360" s="9">
        <v>46153</v>
      </c>
      <c r="B1360" s="10" t="s">
        <v>1690</v>
      </c>
      <c r="C1360" s="11" t="s">
        <v>1410</v>
      </c>
      <c r="D1360" s="10" t="s">
        <v>1695</v>
      </c>
      <c r="E1360" s="12" t="s">
        <v>1072</v>
      </c>
      <c r="F1360" s="12" t="s">
        <v>1696</v>
      </c>
      <c r="G1360" s="22">
        <v>100</v>
      </c>
      <c r="H1360" s="23">
        <v>100</v>
      </c>
      <c r="I1360" s="15">
        <v>41.49</v>
      </c>
      <c r="J1360" s="16"/>
      <c r="K1360" s="17">
        <v>4149</v>
      </c>
      <c r="L1360" s="18">
        <v>46153</v>
      </c>
      <c r="M1360" s="6" t="str">
        <f t="shared" si="63"/>
        <v>Schedule order</v>
      </c>
      <c r="N1360" s="8">
        <f t="shared" ca="1" si="64"/>
        <v>-2</v>
      </c>
      <c r="O1360" s="8" t="str">
        <f t="shared" ca="1" si="65"/>
        <v>With in 90 days</v>
      </c>
      <c r="P1360" t="str">
        <f>VLOOKUP(C1360,[1]Customer_Master!$A:$B,2,0)</f>
        <v>Group 1-Giridhar-Peenya</v>
      </c>
      <c r="Q1360" t="str">
        <f>VLOOKUP(D1360,[2]Template!$A:$D,3,0)</f>
        <v>LAPP</v>
      </c>
      <c r="R1360" t="str">
        <f>VLOOKUP(D1360,[2]Template!$A:$D,4,0)</f>
        <v>Lapp-Non Moving Stocks</v>
      </c>
    </row>
    <row r="1361" spans="1:18" ht="13.5" customHeight="1" x14ac:dyDescent="0.25">
      <c r="A1361" s="9">
        <v>46153</v>
      </c>
      <c r="B1361" s="10" t="s">
        <v>1697</v>
      </c>
      <c r="C1361" s="11" t="s">
        <v>1698</v>
      </c>
      <c r="D1361" s="10" t="s">
        <v>529</v>
      </c>
      <c r="E1361" s="12" t="s">
        <v>1072</v>
      </c>
      <c r="F1361" s="12" t="s">
        <v>530</v>
      </c>
      <c r="G1361" s="13">
        <v>200</v>
      </c>
      <c r="H1361" s="14">
        <v>200</v>
      </c>
      <c r="I1361" s="15">
        <v>42.35</v>
      </c>
      <c r="J1361" s="16"/>
      <c r="K1361" s="17">
        <v>8470</v>
      </c>
      <c r="L1361" s="18">
        <v>46172</v>
      </c>
      <c r="M1361" s="6" t="str">
        <f t="shared" si="63"/>
        <v>Schedule order</v>
      </c>
      <c r="N1361" s="8">
        <f t="shared" ca="1" si="64"/>
        <v>17</v>
      </c>
      <c r="O1361" s="8" t="str">
        <f t="shared" ca="1" si="65"/>
        <v>Lattest or shedule order</v>
      </c>
      <c r="P1361" t="str">
        <f>VLOOKUP(C1361,[1]Customer_Master!$A:$B,2,0)</f>
        <v>Group - 5 (Ananthapadmanabha)</v>
      </c>
      <c r="Q1361" t="str">
        <f>VLOOKUP(D1361,[2]Template!$A:$D,3,0)</f>
        <v>LAPP</v>
      </c>
      <c r="R1361" t="str">
        <f>VLOOKUP(D1361,[2]Template!$A:$D,4,0)</f>
        <v>Lapp-Planned Stock General</v>
      </c>
    </row>
    <row r="1362" spans="1:18" ht="13.5" customHeight="1" x14ac:dyDescent="0.25">
      <c r="A1362" s="9">
        <v>46153</v>
      </c>
      <c r="B1362" s="10" t="s">
        <v>1697</v>
      </c>
      <c r="C1362" s="11" t="s">
        <v>1698</v>
      </c>
      <c r="D1362" s="10" t="s">
        <v>334</v>
      </c>
      <c r="E1362" s="12" t="s">
        <v>1072</v>
      </c>
      <c r="F1362" s="12" t="s">
        <v>87</v>
      </c>
      <c r="G1362" s="13">
        <v>200</v>
      </c>
      <c r="H1362" s="14">
        <v>200</v>
      </c>
      <c r="I1362" s="15">
        <v>42.35</v>
      </c>
      <c r="J1362" s="16"/>
      <c r="K1362" s="17">
        <v>8470</v>
      </c>
      <c r="L1362" s="18">
        <v>46172</v>
      </c>
      <c r="M1362" s="6" t="str">
        <f t="shared" si="63"/>
        <v>Schedule order</v>
      </c>
      <c r="N1362" s="8">
        <f t="shared" ca="1" si="64"/>
        <v>17</v>
      </c>
      <c r="O1362" s="8" t="str">
        <f t="shared" ca="1" si="65"/>
        <v>Lattest or shedule order</v>
      </c>
      <c r="P1362" t="str">
        <f>VLOOKUP(C1362,[1]Customer_Master!$A:$B,2,0)</f>
        <v>Group - 5 (Ananthapadmanabha)</v>
      </c>
      <c r="Q1362" t="str">
        <f>VLOOKUP(D1362,[2]Template!$A:$D,3,0)</f>
        <v>LAPP</v>
      </c>
      <c r="R1362" t="str">
        <f>VLOOKUP(D1362,[2]Template!$A:$D,4,0)</f>
        <v>Lapp-Planned Stock General</v>
      </c>
    </row>
    <row r="1363" spans="1:18" ht="13.5" customHeight="1" x14ac:dyDescent="0.25">
      <c r="A1363" s="9">
        <v>46153</v>
      </c>
      <c r="B1363" s="10" t="s">
        <v>1697</v>
      </c>
      <c r="C1363" s="11" t="s">
        <v>1698</v>
      </c>
      <c r="D1363" s="10" t="s">
        <v>335</v>
      </c>
      <c r="E1363" s="12" t="s">
        <v>1072</v>
      </c>
      <c r="F1363" s="12" t="s">
        <v>122</v>
      </c>
      <c r="G1363" s="13">
        <v>200</v>
      </c>
      <c r="H1363" s="14">
        <v>200</v>
      </c>
      <c r="I1363" s="15">
        <v>42.35</v>
      </c>
      <c r="J1363" s="16"/>
      <c r="K1363" s="17">
        <v>8470</v>
      </c>
      <c r="L1363" s="18">
        <v>46172</v>
      </c>
      <c r="M1363" s="6" t="str">
        <f t="shared" si="63"/>
        <v>Schedule order</v>
      </c>
      <c r="N1363" s="8">
        <f t="shared" ca="1" si="64"/>
        <v>17</v>
      </c>
      <c r="O1363" s="8" t="str">
        <f t="shared" ca="1" si="65"/>
        <v>Lattest or shedule order</v>
      </c>
      <c r="P1363" t="str">
        <f>VLOOKUP(C1363,[1]Customer_Master!$A:$B,2,0)</f>
        <v>Group - 5 (Ananthapadmanabha)</v>
      </c>
      <c r="Q1363" t="str">
        <f>VLOOKUP(D1363,[2]Template!$A:$D,3,0)</f>
        <v>LAPP</v>
      </c>
      <c r="R1363" t="str">
        <f>VLOOKUP(D1363,[2]Template!$A:$D,4,0)</f>
        <v>Lapp-Planned Stock General</v>
      </c>
    </row>
    <row r="1364" spans="1:18" ht="13.5" customHeight="1" x14ac:dyDescent="0.25">
      <c r="A1364" s="9">
        <v>46153</v>
      </c>
      <c r="B1364" s="10" t="s">
        <v>1697</v>
      </c>
      <c r="C1364" s="11" t="s">
        <v>1698</v>
      </c>
      <c r="D1364" s="10" t="s">
        <v>543</v>
      </c>
      <c r="E1364" s="12" t="s">
        <v>1072</v>
      </c>
      <c r="F1364" s="12" t="s">
        <v>544</v>
      </c>
      <c r="G1364" s="13">
        <v>30</v>
      </c>
      <c r="H1364" s="14">
        <v>30</v>
      </c>
      <c r="I1364" s="15">
        <v>172.87</v>
      </c>
      <c r="J1364" s="16"/>
      <c r="K1364" s="17">
        <v>5186.1000000000004</v>
      </c>
      <c r="L1364" s="18">
        <v>46172</v>
      </c>
      <c r="M1364" s="6" t="str">
        <f t="shared" si="63"/>
        <v>Schedule order</v>
      </c>
      <c r="N1364" s="8">
        <f t="shared" ca="1" si="64"/>
        <v>17</v>
      </c>
      <c r="O1364" s="8" t="str">
        <f t="shared" ca="1" si="65"/>
        <v>Lattest or shedule order</v>
      </c>
      <c r="P1364" t="str">
        <f>VLOOKUP(C1364,[1]Customer_Master!$A:$B,2,0)</f>
        <v>Group - 5 (Ananthapadmanabha)</v>
      </c>
      <c r="Q1364" t="str">
        <f>VLOOKUP(D1364,[2]Template!$A:$D,3,0)</f>
        <v>LAPP</v>
      </c>
      <c r="R1364" t="str">
        <f>VLOOKUP(D1364,[2]Template!$A:$D,4,0)</f>
        <v>Lapp-Planned Stock General</v>
      </c>
    </row>
    <row r="1365" spans="1:18" ht="13.5" customHeight="1" x14ac:dyDescent="0.25">
      <c r="A1365" s="9">
        <v>46153</v>
      </c>
      <c r="B1365" s="10" t="s">
        <v>1697</v>
      </c>
      <c r="C1365" s="11" t="s">
        <v>1698</v>
      </c>
      <c r="D1365" s="10" t="s">
        <v>650</v>
      </c>
      <c r="E1365" s="12" t="s">
        <v>1072</v>
      </c>
      <c r="F1365" s="12" t="s">
        <v>651</v>
      </c>
      <c r="G1365" s="13">
        <v>30</v>
      </c>
      <c r="H1365" s="14">
        <v>30</v>
      </c>
      <c r="I1365" s="15">
        <v>172.87</v>
      </c>
      <c r="J1365" s="16"/>
      <c r="K1365" s="17">
        <v>5186.1000000000004</v>
      </c>
      <c r="L1365" s="18">
        <v>46172</v>
      </c>
      <c r="M1365" s="6" t="str">
        <f t="shared" si="63"/>
        <v>Schedule order</v>
      </c>
      <c r="N1365" s="8">
        <f t="shared" ca="1" si="64"/>
        <v>17</v>
      </c>
      <c r="O1365" s="8" t="str">
        <f t="shared" ca="1" si="65"/>
        <v>Lattest or shedule order</v>
      </c>
      <c r="P1365" t="str">
        <f>VLOOKUP(C1365,[1]Customer_Master!$A:$B,2,0)</f>
        <v>Group - 5 (Ananthapadmanabha)</v>
      </c>
      <c r="Q1365" t="str">
        <f>VLOOKUP(D1365,[2]Template!$A:$D,3,0)</f>
        <v>LAPP</v>
      </c>
      <c r="R1365" t="str">
        <f>VLOOKUP(D1365,[2]Template!$A:$D,4,0)</f>
        <v>Lapp-Planned Stock General</v>
      </c>
    </row>
    <row r="1366" spans="1:18" ht="13.5" customHeight="1" x14ac:dyDescent="0.25">
      <c r="A1366" s="9">
        <v>46153</v>
      </c>
      <c r="B1366" s="10" t="s">
        <v>1697</v>
      </c>
      <c r="C1366" s="11" t="s">
        <v>1698</v>
      </c>
      <c r="D1366" s="10" t="s">
        <v>354</v>
      </c>
      <c r="E1366" s="12" t="s">
        <v>1072</v>
      </c>
      <c r="F1366" s="12" t="s">
        <v>134</v>
      </c>
      <c r="G1366" s="13">
        <v>30</v>
      </c>
      <c r="H1366" s="14">
        <v>30</v>
      </c>
      <c r="I1366" s="15">
        <v>172.87</v>
      </c>
      <c r="J1366" s="16"/>
      <c r="K1366" s="17">
        <v>5186.1000000000004</v>
      </c>
      <c r="L1366" s="18">
        <v>46172</v>
      </c>
      <c r="M1366" s="6" t="str">
        <f t="shared" si="63"/>
        <v>Schedule order</v>
      </c>
      <c r="N1366" s="8">
        <f t="shared" ca="1" si="64"/>
        <v>17</v>
      </c>
      <c r="O1366" s="8" t="str">
        <f t="shared" ca="1" si="65"/>
        <v>Lattest or shedule order</v>
      </c>
      <c r="P1366" t="str">
        <f>VLOOKUP(C1366,[1]Customer_Master!$A:$B,2,0)</f>
        <v>Group - 5 (Ananthapadmanabha)</v>
      </c>
      <c r="Q1366" t="str">
        <f>VLOOKUP(D1366,[2]Template!$A:$D,3,0)</f>
        <v>LAPP</v>
      </c>
      <c r="R1366" t="str">
        <f>VLOOKUP(D1366,[2]Template!$A:$D,4,0)</f>
        <v>Lapp-Planned Stock General</v>
      </c>
    </row>
    <row r="1367" spans="1:18" ht="13.5" customHeight="1" x14ac:dyDescent="0.25">
      <c r="A1367" s="9">
        <v>46153</v>
      </c>
      <c r="B1367" s="10" t="s">
        <v>1697</v>
      </c>
      <c r="C1367" s="11" t="s">
        <v>1698</v>
      </c>
      <c r="D1367" s="10" t="s">
        <v>539</v>
      </c>
      <c r="E1367" s="12" t="s">
        <v>1072</v>
      </c>
      <c r="F1367" s="12" t="s">
        <v>540</v>
      </c>
      <c r="G1367" s="13">
        <v>50</v>
      </c>
      <c r="H1367" s="14">
        <v>50</v>
      </c>
      <c r="I1367" s="15">
        <v>98.22</v>
      </c>
      <c r="J1367" s="16"/>
      <c r="K1367" s="17">
        <v>4911</v>
      </c>
      <c r="L1367" s="18">
        <v>46172</v>
      </c>
      <c r="M1367" s="6" t="str">
        <f t="shared" si="63"/>
        <v>Schedule order</v>
      </c>
      <c r="N1367" s="8">
        <f t="shared" ca="1" si="64"/>
        <v>17</v>
      </c>
      <c r="O1367" s="8" t="str">
        <f t="shared" ca="1" si="65"/>
        <v>Lattest or shedule order</v>
      </c>
      <c r="P1367" t="str">
        <f>VLOOKUP(C1367,[1]Customer_Master!$A:$B,2,0)</f>
        <v>Group - 5 (Ananthapadmanabha)</v>
      </c>
      <c r="Q1367" t="str">
        <f>VLOOKUP(D1367,[2]Template!$A:$D,3,0)</f>
        <v>LAPP</v>
      </c>
      <c r="R1367" t="str">
        <f>VLOOKUP(D1367,[2]Template!$A:$D,4,0)</f>
        <v>Lapp-Planned Stock General</v>
      </c>
    </row>
    <row r="1368" spans="1:18" ht="13.5" customHeight="1" x14ac:dyDescent="0.25">
      <c r="A1368" s="9">
        <v>46153</v>
      </c>
      <c r="B1368" s="10" t="s">
        <v>1697</v>
      </c>
      <c r="C1368" s="11" t="s">
        <v>1698</v>
      </c>
      <c r="D1368" s="10" t="s">
        <v>342</v>
      </c>
      <c r="E1368" s="12" t="s">
        <v>1072</v>
      </c>
      <c r="F1368" s="12" t="s">
        <v>125</v>
      </c>
      <c r="G1368" s="13">
        <v>50</v>
      </c>
      <c r="H1368" s="14">
        <v>50</v>
      </c>
      <c r="I1368" s="15">
        <v>98.22</v>
      </c>
      <c r="J1368" s="16"/>
      <c r="K1368" s="17">
        <v>4911</v>
      </c>
      <c r="L1368" s="18">
        <v>46172</v>
      </c>
      <c r="M1368" s="6" t="str">
        <f t="shared" si="63"/>
        <v>Schedule order</v>
      </c>
      <c r="N1368" s="8">
        <f t="shared" ca="1" si="64"/>
        <v>17</v>
      </c>
      <c r="O1368" s="8" t="str">
        <f t="shared" ca="1" si="65"/>
        <v>Lattest or shedule order</v>
      </c>
      <c r="P1368" t="str">
        <f>VLOOKUP(C1368,[1]Customer_Master!$A:$B,2,0)</f>
        <v>Group - 5 (Ananthapadmanabha)</v>
      </c>
      <c r="Q1368" t="str">
        <f>VLOOKUP(D1368,[2]Template!$A:$D,3,0)</f>
        <v>LAPP</v>
      </c>
      <c r="R1368" t="str">
        <f>VLOOKUP(D1368,[2]Template!$A:$D,4,0)</f>
        <v>Lapp-Planned Stock General</v>
      </c>
    </row>
    <row r="1369" spans="1:18" ht="13.5" customHeight="1" x14ac:dyDescent="0.25">
      <c r="A1369" s="9">
        <v>46153</v>
      </c>
      <c r="B1369" s="10" t="s">
        <v>1697</v>
      </c>
      <c r="C1369" s="11" t="s">
        <v>1698</v>
      </c>
      <c r="D1369" s="10" t="s">
        <v>360</v>
      </c>
      <c r="E1369" s="12" t="s">
        <v>1072</v>
      </c>
      <c r="F1369" s="12" t="s">
        <v>141</v>
      </c>
      <c r="G1369" s="13">
        <v>50</v>
      </c>
      <c r="H1369" s="14">
        <v>50</v>
      </c>
      <c r="I1369" s="15">
        <v>98.22</v>
      </c>
      <c r="J1369" s="16"/>
      <c r="K1369" s="17">
        <v>4911</v>
      </c>
      <c r="L1369" s="18">
        <v>46172</v>
      </c>
      <c r="M1369" s="6" t="str">
        <f t="shared" si="63"/>
        <v>Schedule order</v>
      </c>
      <c r="N1369" s="8">
        <f t="shared" ca="1" si="64"/>
        <v>17</v>
      </c>
      <c r="O1369" s="8" t="str">
        <f t="shared" ca="1" si="65"/>
        <v>Lattest or shedule order</v>
      </c>
      <c r="P1369" t="str">
        <f>VLOOKUP(C1369,[1]Customer_Master!$A:$B,2,0)</f>
        <v>Group - 5 (Ananthapadmanabha)</v>
      </c>
      <c r="Q1369" t="str">
        <f>VLOOKUP(D1369,[2]Template!$A:$D,3,0)</f>
        <v>LAPP</v>
      </c>
      <c r="R1369" t="str">
        <f>VLOOKUP(D1369,[2]Template!$A:$D,4,0)</f>
        <v>Lapp-Planned Stock General</v>
      </c>
    </row>
    <row r="1370" spans="1:18" ht="13.5" customHeight="1" x14ac:dyDescent="0.25">
      <c r="A1370" s="9">
        <v>46153</v>
      </c>
      <c r="B1370" s="10" t="s">
        <v>1697</v>
      </c>
      <c r="C1370" s="11" t="s">
        <v>1698</v>
      </c>
      <c r="D1370" s="10" t="s">
        <v>509</v>
      </c>
      <c r="E1370" s="12" t="s">
        <v>1072</v>
      </c>
      <c r="F1370" s="12" t="s">
        <v>510</v>
      </c>
      <c r="G1370" s="13">
        <v>100</v>
      </c>
      <c r="H1370" s="14">
        <v>100</v>
      </c>
      <c r="I1370" s="15">
        <v>25.44</v>
      </c>
      <c r="J1370" s="16"/>
      <c r="K1370" s="17">
        <v>2544</v>
      </c>
      <c r="L1370" s="18">
        <v>46172</v>
      </c>
      <c r="M1370" s="6" t="str">
        <f t="shared" si="63"/>
        <v>Schedule order</v>
      </c>
      <c r="N1370" s="8">
        <f t="shared" ca="1" si="64"/>
        <v>17</v>
      </c>
      <c r="O1370" s="8" t="str">
        <f t="shared" ca="1" si="65"/>
        <v>Lattest or shedule order</v>
      </c>
      <c r="P1370" t="str">
        <f>VLOOKUP(C1370,[1]Customer_Master!$A:$B,2,0)</f>
        <v>Group - 5 (Ananthapadmanabha)</v>
      </c>
      <c r="Q1370" t="str">
        <f>VLOOKUP(D1370,[2]Template!$A:$D,3,0)</f>
        <v>LAPP</v>
      </c>
      <c r="R1370" t="str">
        <f>VLOOKUP(D1370,[2]Template!$A:$D,4,0)</f>
        <v>Lapp-Planned Stock General</v>
      </c>
    </row>
    <row r="1371" spans="1:18" ht="13.5" customHeight="1" x14ac:dyDescent="0.25">
      <c r="A1371" s="9">
        <v>46153</v>
      </c>
      <c r="B1371" s="10" t="s">
        <v>1697</v>
      </c>
      <c r="C1371" s="11" t="s">
        <v>1698</v>
      </c>
      <c r="D1371" s="10" t="s">
        <v>339</v>
      </c>
      <c r="E1371" s="12" t="s">
        <v>1072</v>
      </c>
      <c r="F1371" s="12" t="s">
        <v>124</v>
      </c>
      <c r="G1371" s="13">
        <v>100</v>
      </c>
      <c r="H1371" s="14">
        <v>100</v>
      </c>
      <c r="I1371" s="15">
        <v>25.44</v>
      </c>
      <c r="J1371" s="16"/>
      <c r="K1371" s="17">
        <v>2544</v>
      </c>
      <c r="L1371" s="18">
        <v>46172</v>
      </c>
      <c r="M1371" s="6" t="str">
        <f t="shared" si="63"/>
        <v>Schedule order</v>
      </c>
      <c r="N1371" s="8">
        <f t="shared" ca="1" si="64"/>
        <v>17</v>
      </c>
      <c r="O1371" s="8" t="str">
        <f t="shared" ca="1" si="65"/>
        <v>Lattest or shedule order</v>
      </c>
      <c r="P1371" t="str">
        <f>VLOOKUP(C1371,[1]Customer_Master!$A:$B,2,0)</f>
        <v>Group - 5 (Ananthapadmanabha)</v>
      </c>
      <c r="Q1371" t="str">
        <f>VLOOKUP(D1371,[2]Template!$A:$D,3,0)</f>
        <v>LAPP</v>
      </c>
      <c r="R1371" t="str">
        <f>VLOOKUP(D1371,[2]Template!$A:$D,4,0)</f>
        <v>Lapp-Planned Stock General</v>
      </c>
    </row>
    <row r="1372" spans="1:18" ht="13.5" customHeight="1" x14ac:dyDescent="0.25">
      <c r="A1372" s="9">
        <v>46153</v>
      </c>
      <c r="B1372" s="10" t="s">
        <v>1697</v>
      </c>
      <c r="C1372" s="11" t="s">
        <v>1698</v>
      </c>
      <c r="D1372" s="10" t="s">
        <v>357</v>
      </c>
      <c r="E1372" s="12" t="s">
        <v>1072</v>
      </c>
      <c r="F1372" s="12" t="s">
        <v>53</v>
      </c>
      <c r="G1372" s="13">
        <v>100</v>
      </c>
      <c r="H1372" s="14">
        <v>100</v>
      </c>
      <c r="I1372" s="15">
        <v>25.44</v>
      </c>
      <c r="J1372" s="16"/>
      <c r="K1372" s="17">
        <v>2544</v>
      </c>
      <c r="L1372" s="18">
        <v>46172</v>
      </c>
      <c r="M1372" s="6" t="str">
        <f t="shared" si="63"/>
        <v>Schedule order</v>
      </c>
      <c r="N1372" s="8">
        <f t="shared" ca="1" si="64"/>
        <v>17</v>
      </c>
      <c r="O1372" s="8" t="str">
        <f t="shared" ca="1" si="65"/>
        <v>Lattest or shedule order</v>
      </c>
      <c r="P1372" t="str">
        <f>VLOOKUP(C1372,[1]Customer_Master!$A:$B,2,0)</f>
        <v>Group - 5 (Ananthapadmanabha)</v>
      </c>
      <c r="Q1372" t="str">
        <f>VLOOKUP(D1372,[2]Template!$A:$D,3,0)</f>
        <v>LAPP</v>
      </c>
      <c r="R1372" t="str">
        <f>VLOOKUP(D1372,[2]Template!$A:$D,4,0)</f>
        <v>Lapp-Planned Stock General</v>
      </c>
    </row>
    <row r="1373" spans="1:18" ht="13.5" customHeight="1" x14ac:dyDescent="0.25">
      <c r="A1373" s="9">
        <v>46153</v>
      </c>
      <c r="B1373" s="10" t="s">
        <v>1697</v>
      </c>
      <c r="C1373" s="11" t="s">
        <v>1698</v>
      </c>
      <c r="D1373" s="10" t="s">
        <v>1699</v>
      </c>
      <c r="E1373" s="12" t="s">
        <v>1072</v>
      </c>
      <c r="F1373" s="12" t="s">
        <v>1700</v>
      </c>
      <c r="G1373" s="13">
        <v>100</v>
      </c>
      <c r="H1373" s="14">
        <v>100</v>
      </c>
      <c r="I1373" s="15">
        <v>9.6999999999999993</v>
      </c>
      <c r="J1373" s="16"/>
      <c r="K1373" s="17">
        <v>970</v>
      </c>
      <c r="L1373" s="18">
        <v>46172</v>
      </c>
      <c r="M1373" s="6" t="str">
        <f t="shared" si="63"/>
        <v>Schedule order</v>
      </c>
      <c r="N1373" s="8">
        <f t="shared" ca="1" si="64"/>
        <v>17</v>
      </c>
      <c r="O1373" s="8" t="str">
        <f t="shared" ca="1" si="65"/>
        <v>Lattest or shedule order</v>
      </c>
      <c r="P1373" t="str">
        <f>VLOOKUP(C1373,[1]Customer_Master!$A:$B,2,0)</f>
        <v>Group - 5 (Ananthapadmanabha)</v>
      </c>
      <c r="Q1373" t="str">
        <f>VLOOKUP(D1373,[2]Template!$A:$D,3,0)</f>
        <v>LAPP</v>
      </c>
      <c r="R1373" t="str">
        <f>VLOOKUP(D1373,[2]Template!$A:$D,4,0)</f>
        <v>Lapp-Planned Stock General</v>
      </c>
    </row>
    <row r="1374" spans="1:18" ht="13.5" customHeight="1" x14ac:dyDescent="0.25">
      <c r="A1374" s="9">
        <v>46153</v>
      </c>
      <c r="B1374" s="10" t="s">
        <v>1697</v>
      </c>
      <c r="C1374" s="11" t="s">
        <v>1698</v>
      </c>
      <c r="D1374" s="10" t="s">
        <v>1701</v>
      </c>
      <c r="E1374" s="12" t="s">
        <v>1072</v>
      </c>
      <c r="F1374" s="12" t="s">
        <v>1702</v>
      </c>
      <c r="G1374" s="13">
        <v>100</v>
      </c>
      <c r="H1374" s="14">
        <v>100</v>
      </c>
      <c r="I1374" s="15">
        <v>9.6999999999999993</v>
      </c>
      <c r="J1374" s="16"/>
      <c r="K1374" s="17">
        <v>970</v>
      </c>
      <c r="L1374" s="18">
        <v>46172</v>
      </c>
      <c r="M1374" s="6" t="str">
        <f t="shared" si="63"/>
        <v>Schedule order</v>
      </c>
      <c r="N1374" s="8">
        <f t="shared" ca="1" si="64"/>
        <v>17</v>
      </c>
      <c r="O1374" s="8" t="str">
        <f t="shared" ca="1" si="65"/>
        <v>Lattest or shedule order</v>
      </c>
      <c r="P1374" t="str">
        <f>VLOOKUP(C1374,[1]Customer_Master!$A:$B,2,0)</f>
        <v>Group - 5 (Ananthapadmanabha)</v>
      </c>
      <c r="Q1374" t="str">
        <f>VLOOKUP(D1374,[2]Template!$A:$D,3,0)</f>
        <v>LAPP</v>
      </c>
      <c r="R1374" t="str">
        <f>VLOOKUP(D1374,[2]Template!$A:$D,4,0)</f>
        <v>Lapp-Planned Stock General</v>
      </c>
    </row>
    <row r="1375" spans="1:18" ht="13.5" customHeight="1" x14ac:dyDescent="0.25">
      <c r="A1375" s="9">
        <v>46153</v>
      </c>
      <c r="B1375" s="10" t="s">
        <v>1697</v>
      </c>
      <c r="C1375" s="11" t="s">
        <v>1698</v>
      </c>
      <c r="D1375" s="10" t="s">
        <v>1703</v>
      </c>
      <c r="E1375" s="12" t="s">
        <v>1072</v>
      </c>
      <c r="F1375" s="12" t="s">
        <v>1704</v>
      </c>
      <c r="G1375" s="13">
        <v>100</v>
      </c>
      <c r="H1375" s="14">
        <v>100</v>
      </c>
      <c r="I1375" s="15">
        <v>9.6999999999999993</v>
      </c>
      <c r="J1375" s="16"/>
      <c r="K1375" s="17">
        <v>970</v>
      </c>
      <c r="L1375" s="18">
        <v>46172</v>
      </c>
      <c r="M1375" s="6" t="str">
        <f t="shared" si="63"/>
        <v>Schedule order</v>
      </c>
      <c r="N1375" s="8">
        <f t="shared" ca="1" si="64"/>
        <v>17</v>
      </c>
      <c r="O1375" s="8" t="str">
        <f t="shared" ca="1" si="65"/>
        <v>Lattest or shedule order</v>
      </c>
      <c r="P1375" t="str">
        <f>VLOOKUP(C1375,[1]Customer_Master!$A:$B,2,0)</f>
        <v>Group - 5 (Ananthapadmanabha)</v>
      </c>
      <c r="Q1375" t="str">
        <f>VLOOKUP(D1375,[2]Template!$A:$D,3,0)</f>
        <v>LAPP</v>
      </c>
      <c r="R1375" t="str">
        <f>VLOOKUP(D1375,[2]Template!$A:$D,4,0)</f>
        <v>Lapp-Planned Stock General</v>
      </c>
    </row>
    <row r="1376" spans="1:18" ht="13.5" customHeight="1" x14ac:dyDescent="0.25">
      <c r="A1376" s="9">
        <v>46153</v>
      </c>
      <c r="B1376" s="10" t="s">
        <v>1697</v>
      </c>
      <c r="C1376" s="11" t="s">
        <v>1698</v>
      </c>
      <c r="D1376" s="10" t="s">
        <v>832</v>
      </c>
      <c r="E1376" s="12" t="s">
        <v>1072</v>
      </c>
      <c r="F1376" s="12" t="s">
        <v>833</v>
      </c>
      <c r="G1376" s="13">
        <v>150</v>
      </c>
      <c r="H1376" s="14">
        <v>150</v>
      </c>
      <c r="I1376" s="15">
        <v>140.75</v>
      </c>
      <c r="J1376" s="16"/>
      <c r="K1376" s="17">
        <v>21112.5</v>
      </c>
      <c r="L1376" s="18">
        <v>46172</v>
      </c>
      <c r="M1376" s="6" t="str">
        <f t="shared" si="63"/>
        <v>Schedule order</v>
      </c>
      <c r="N1376" s="8">
        <f t="shared" ca="1" si="64"/>
        <v>17</v>
      </c>
      <c r="O1376" s="8" t="str">
        <f t="shared" ca="1" si="65"/>
        <v>Lattest or shedule order</v>
      </c>
      <c r="P1376" t="str">
        <f>VLOOKUP(C1376,[1]Customer_Master!$A:$B,2,0)</f>
        <v>Group - 5 (Ananthapadmanabha)</v>
      </c>
      <c r="Q1376" t="str">
        <f>VLOOKUP(D1376,[2]Template!$A:$D,3,0)</f>
        <v>LAPP</v>
      </c>
      <c r="R1376" t="str">
        <f>VLOOKUP(D1376,[2]Template!$A:$D,4,0)</f>
        <v>Lapp-Planned Stock General</v>
      </c>
    </row>
    <row r="1377" spans="1:18" ht="13.5" customHeight="1" x14ac:dyDescent="0.25">
      <c r="A1377" s="9">
        <v>46153</v>
      </c>
      <c r="B1377" s="10" t="s">
        <v>1697</v>
      </c>
      <c r="C1377" s="11" t="s">
        <v>1698</v>
      </c>
      <c r="D1377" s="10" t="s">
        <v>1705</v>
      </c>
      <c r="E1377" s="12" t="s">
        <v>1072</v>
      </c>
      <c r="F1377" s="12" t="s">
        <v>1706</v>
      </c>
      <c r="G1377" s="13">
        <v>50</v>
      </c>
      <c r="H1377" s="14">
        <v>50</v>
      </c>
      <c r="I1377" s="15">
        <v>576.14</v>
      </c>
      <c r="J1377" s="16"/>
      <c r="K1377" s="17">
        <v>28807</v>
      </c>
      <c r="L1377" s="18">
        <v>46172</v>
      </c>
      <c r="M1377" s="6" t="str">
        <f t="shared" si="63"/>
        <v>Schedule order</v>
      </c>
      <c r="N1377" s="8">
        <f t="shared" ca="1" si="64"/>
        <v>17</v>
      </c>
      <c r="O1377" s="8" t="str">
        <f t="shared" ca="1" si="65"/>
        <v>Lattest or shedule order</v>
      </c>
      <c r="P1377" t="str">
        <f>VLOOKUP(C1377,[1]Customer_Master!$A:$B,2,0)</f>
        <v>Group - 5 (Ananthapadmanabha)</v>
      </c>
      <c r="Q1377" t="str">
        <f>VLOOKUP(D1377,[2]Template!$A:$D,3,0)</f>
        <v>LAPP</v>
      </c>
      <c r="R1377" t="str">
        <f>VLOOKUP(D1377,[2]Template!$A:$D,4,0)</f>
        <v>Lapp-Non Moving Stocks</v>
      </c>
    </row>
    <row r="1378" spans="1:18" ht="13.5" customHeight="1" x14ac:dyDescent="0.25">
      <c r="A1378" s="9">
        <v>46153</v>
      </c>
      <c r="B1378" s="10" t="s">
        <v>1707</v>
      </c>
      <c r="C1378" s="11" t="s">
        <v>1511</v>
      </c>
      <c r="D1378" s="10" t="s">
        <v>1574</v>
      </c>
      <c r="E1378" s="12" t="s">
        <v>1072</v>
      </c>
      <c r="F1378" s="12" t="s">
        <v>1575</v>
      </c>
      <c r="G1378" s="22">
        <v>25</v>
      </c>
      <c r="H1378" s="23">
        <v>25</v>
      </c>
      <c r="I1378" s="15">
        <v>250.5</v>
      </c>
      <c r="J1378" s="16"/>
      <c r="K1378" s="17">
        <v>6262.5</v>
      </c>
      <c r="L1378" s="18">
        <v>46153</v>
      </c>
      <c r="M1378" s="6" t="str">
        <f t="shared" si="63"/>
        <v>Schedule order</v>
      </c>
      <c r="N1378" s="8">
        <f t="shared" ca="1" si="64"/>
        <v>-2</v>
      </c>
      <c r="O1378" s="8" t="str">
        <f t="shared" ca="1" si="65"/>
        <v>With in 90 days</v>
      </c>
      <c r="P1378" t="str">
        <f>VLOOKUP(C1378,[1]Customer_Master!$A:$B,2,0)</f>
        <v>Group 1-Giridhar-Peenya</v>
      </c>
      <c r="Q1378" t="str">
        <f>VLOOKUP(D1378,[2]Template!$A:$D,3,0)</f>
        <v>LAPP</v>
      </c>
      <c r="R1378" t="str">
        <f>VLOOKUP(D1378,[2]Template!$A:$D,4,0)</f>
        <v>Lapp-Against Customer PO</v>
      </c>
    </row>
    <row r="1379" spans="1:18" ht="13.5" customHeight="1" x14ac:dyDescent="0.25">
      <c r="A1379" s="9">
        <v>46153</v>
      </c>
      <c r="B1379" s="10" t="s">
        <v>1707</v>
      </c>
      <c r="C1379" s="11" t="s">
        <v>1511</v>
      </c>
      <c r="D1379" s="10" t="s">
        <v>419</v>
      </c>
      <c r="E1379" s="12" t="s">
        <v>1072</v>
      </c>
      <c r="F1379" s="12" t="s">
        <v>207</v>
      </c>
      <c r="G1379" s="22">
        <v>25</v>
      </c>
      <c r="H1379" s="23">
        <v>25</v>
      </c>
      <c r="I1379" s="15">
        <v>48.99</v>
      </c>
      <c r="J1379" s="16"/>
      <c r="K1379" s="17">
        <v>1224.75</v>
      </c>
      <c r="L1379" s="18">
        <v>46153</v>
      </c>
      <c r="M1379" s="6" t="str">
        <f t="shared" si="63"/>
        <v>Schedule order</v>
      </c>
      <c r="N1379" s="8">
        <f t="shared" ca="1" si="64"/>
        <v>-2</v>
      </c>
      <c r="O1379" s="8" t="str">
        <f t="shared" ca="1" si="65"/>
        <v>With in 90 days</v>
      </c>
      <c r="P1379" t="str">
        <f>VLOOKUP(C1379,[1]Customer_Master!$A:$B,2,0)</f>
        <v>Group 1-Giridhar-Peenya</v>
      </c>
      <c r="Q1379" t="str">
        <f>VLOOKUP(D1379,[2]Template!$A:$D,3,0)</f>
        <v>LAPP</v>
      </c>
      <c r="R1379" t="str">
        <f>VLOOKUP(D1379,[2]Template!$A:$D,4,0)</f>
        <v>Lapp-Ace Group</v>
      </c>
    </row>
    <row r="1380" spans="1:18" ht="13.5" customHeight="1" x14ac:dyDescent="0.25">
      <c r="A1380" s="9">
        <v>46153</v>
      </c>
      <c r="B1380" s="10" t="s">
        <v>1707</v>
      </c>
      <c r="C1380" s="11" t="s">
        <v>1511</v>
      </c>
      <c r="D1380" s="10" t="s">
        <v>1627</v>
      </c>
      <c r="E1380" s="12" t="s">
        <v>1072</v>
      </c>
      <c r="F1380" s="12" t="s">
        <v>1628</v>
      </c>
      <c r="G1380" s="22">
        <v>25</v>
      </c>
      <c r="H1380" s="23">
        <v>25</v>
      </c>
      <c r="I1380" s="15">
        <v>37.57</v>
      </c>
      <c r="J1380" s="16"/>
      <c r="K1380" s="17">
        <v>939.25</v>
      </c>
      <c r="L1380" s="18">
        <v>46153</v>
      </c>
      <c r="M1380" s="6" t="str">
        <f t="shared" si="63"/>
        <v>Schedule order</v>
      </c>
      <c r="N1380" s="8">
        <f t="shared" ca="1" si="64"/>
        <v>-2</v>
      </c>
      <c r="O1380" s="8" t="str">
        <f t="shared" ca="1" si="65"/>
        <v>With in 90 days</v>
      </c>
      <c r="P1380" t="str">
        <f>VLOOKUP(C1380,[1]Customer_Master!$A:$B,2,0)</f>
        <v>Group 1-Giridhar-Peenya</v>
      </c>
      <c r="Q1380" t="str">
        <f>VLOOKUP(D1380,[2]Template!$A:$D,3,0)</f>
        <v>LAPP</v>
      </c>
      <c r="R1380" t="str">
        <f>VLOOKUP(D1380,[2]Template!$A:$D,4,0)</f>
        <v>Lapp-Planned Stock General</v>
      </c>
    </row>
    <row r="1381" spans="1:18" ht="13.5" customHeight="1" x14ac:dyDescent="0.25">
      <c r="A1381" s="9">
        <v>46153</v>
      </c>
      <c r="B1381" s="10" t="s">
        <v>1707</v>
      </c>
      <c r="C1381" s="11" t="s">
        <v>1511</v>
      </c>
      <c r="D1381" s="10" t="s">
        <v>939</v>
      </c>
      <c r="E1381" s="12" t="s">
        <v>1072</v>
      </c>
      <c r="F1381" s="12" t="s">
        <v>940</v>
      </c>
      <c r="G1381" s="22">
        <v>100</v>
      </c>
      <c r="H1381" s="23">
        <v>100</v>
      </c>
      <c r="I1381" s="15">
        <v>78.64</v>
      </c>
      <c r="J1381" s="16"/>
      <c r="K1381" s="17">
        <v>7864</v>
      </c>
      <c r="L1381" s="18">
        <v>46153</v>
      </c>
      <c r="M1381" s="6" t="str">
        <f t="shared" si="63"/>
        <v>Schedule order</v>
      </c>
      <c r="N1381" s="8">
        <f t="shared" ca="1" si="64"/>
        <v>-2</v>
      </c>
      <c r="O1381" s="8" t="str">
        <f t="shared" ca="1" si="65"/>
        <v>With in 90 days</v>
      </c>
      <c r="P1381" t="str">
        <f>VLOOKUP(C1381,[1]Customer_Master!$A:$B,2,0)</f>
        <v>Group 1-Giridhar-Peenya</v>
      </c>
      <c r="Q1381" t="str">
        <f>VLOOKUP(D1381,[2]Template!$A:$D,3,0)</f>
        <v>LAPP</v>
      </c>
      <c r="R1381" t="str">
        <f>VLOOKUP(D1381,[2]Template!$A:$D,4,0)</f>
        <v>Lapp-Planned Stock General</v>
      </c>
    </row>
    <row r="1382" spans="1:18" ht="13.5" customHeight="1" x14ac:dyDescent="0.25">
      <c r="A1382" s="9">
        <v>46153</v>
      </c>
      <c r="B1382" s="10" t="s">
        <v>1707</v>
      </c>
      <c r="C1382" s="11" t="s">
        <v>1511</v>
      </c>
      <c r="D1382" s="10" t="s">
        <v>1552</v>
      </c>
      <c r="E1382" s="12" t="s">
        <v>1072</v>
      </c>
      <c r="F1382" s="12" t="s">
        <v>1553</v>
      </c>
      <c r="G1382" s="22">
        <v>100</v>
      </c>
      <c r="H1382" s="23">
        <v>100</v>
      </c>
      <c r="I1382" s="15">
        <v>23.75</v>
      </c>
      <c r="J1382" s="16"/>
      <c r="K1382" s="17">
        <v>2375</v>
      </c>
      <c r="L1382" s="18">
        <v>46153</v>
      </c>
      <c r="M1382" s="6" t="str">
        <f t="shared" si="63"/>
        <v>Schedule order</v>
      </c>
      <c r="N1382" s="8">
        <f t="shared" ca="1" si="64"/>
        <v>-2</v>
      </c>
      <c r="O1382" s="8" t="str">
        <f t="shared" ca="1" si="65"/>
        <v>With in 90 days</v>
      </c>
      <c r="P1382" t="str">
        <f>VLOOKUP(C1382,[1]Customer_Master!$A:$B,2,0)</f>
        <v>Group 1-Giridhar-Peenya</v>
      </c>
      <c r="Q1382" t="str">
        <f>VLOOKUP(D1382,[2]Template!$A:$D,3,0)</f>
        <v>LAPP</v>
      </c>
      <c r="R1382" t="str">
        <f>VLOOKUP(D1382,[2]Template!$A:$D,4,0)</f>
        <v>Lapp-Planned Stock General</v>
      </c>
    </row>
    <row r="1383" spans="1:18" ht="13.5" customHeight="1" x14ac:dyDescent="0.25">
      <c r="A1383" s="9">
        <v>46153</v>
      </c>
      <c r="B1383" s="10" t="s">
        <v>1708</v>
      </c>
      <c r="C1383" s="11" t="s">
        <v>1372</v>
      </c>
      <c r="D1383" s="10" t="s">
        <v>1709</v>
      </c>
      <c r="E1383" s="12" t="s">
        <v>1072</v>
      </c>
      <c r="F1383" s="12" t="s">
        <v>1710</v>
      </c>
      <c r="G1383" s="13">
        <v>50</v>
      </c>
      <c r="H1383" s="14">
        <v>50</v>
      </c>
      <c r="I1383" s="15">
        <v>185.04</v>
      </c>
      <c r="J1383" s="16"/>
      <c r="K1383" s="17">
        <v>9252</v>
      </c>
      <c r="L1383" s="18">
        <v>46153</v>
      </c>
      <c r="M1383" s="6" t="str">
        <f t="shared" si="63"/>
        <v>Schedule order</v>
      </c>
      <c r="N1383" s="8">
        <f t="shared" ca="1" si="64"/>
        <v>-2</v>
      </c>
      <c r="O1383" s="8" t="str">
        <f t="shared" ca="1" si="65"/>
        <v>With in 90 days</v>
      </c>
      <c r="P1383" t="str">
        <f>VLOOKUP(C1383,[1]Customer_Master!$A:$B,2,0)</f>
        <v>Group - 5 (Ananthapadmanabha)</v>
      </c>
      <c r="Q1383" t="e">
        <f>VLOOKUP(D1383,[2]Template!$A:$D,3,0)</f>
        <v>#N/A</v>
      </c>
      <c r="R1383" t="e">
        <f>VLOOKUP(D1383,[2]Template!$A:$D,4,0)</f>
        <v>#N/A</v>
      </c>
    </row>
    <row r="1384" spans="1:18" ht="13.5" customHeight="1" x14ac:dyDescent="0.25">
      <c r="A1384" s="9">
        <v>46153</v>
      </c>
      <c r="B1384" s="10" t="s">
        <v>1708</v>
      </c>
      <c r="C1384" s="11" t="s">
        <v>1372</v>
      </c>
      <c r="D1384" s="10" t="s">
        <v>1711</v>
      </c>
      <c r="E1384" s="12" t="s">
        <v>1072</v>
      </c>
      <c r="F1384" s="12" t="s">
        <v>1712</v>
      </c>
      <c r="G1384" s="13">
        <v>30</v>
      </c>
      <c r="H1384" s="14">
        <v>30</v>
      </c>
      <c r="I1384" s="15">
        <v>1848.32</v>
      </c>
      <c r="J1384" s="16"/>
      <c r="K1384" s="17">
        <v>55449.599999999999</v>
      </c>
      <c r="L1384" s="18">
        <v>46153</v>
      </c>
      <c r="M1384" s="6" t="str">
        <f t="shared" si="63"/>
        <v>Schedule order</v>
      </c>
      <c r="N1384" s="8">
        <f t="shared" ca="1" si="64"/>
        <v>-2</v>
      </c>
      <c r="O1384" s="8" t="str">
        <f t="shared" ca="1" si="65"/>
        <v>With in 90 days</v>
      </c>
      <c r="P1384" t="str">
        <f>VLOOKUP(C1384,[1]Customer_Master!$A:$B,2,0)</f>
        <v>Group - 5 (Ananthapadmanabha)</v>
      </c>
      <c r="Q1384" t="e">
        <f>VLOOKUP(D1384,[2]Template!$A:$D,3,0)</f>
        <v>#N/A</v>
      </c>
      <c r="R1384" t="e">
        <f>VLOOKUP(D1384,[2]Template!$A:$D,4,0)</f>
        <v>#N/A</v>
      </c>
    </row>
    <row r="1385" spans="1:18" ht="13.5" customHeight="1" x14ac:dyDescent="0.25">
      <c r="A1385" s="9">
        <v>46153</v>
      </c>
      <c r="B1385" s="10" t="s">
        <v>1708</v>
      </c>
      <c r="C1385" s="11" t="s">
        <v>1372</v>
      </c>
      <c r="D1385" s="10" t="s">
        <v>1713</v>
      </c>
      <c r="E1385" s="12" t="s">
        <v>1072</v>
      </c>
      <c r="F1385" s="12" t="s">
        <v>1714</v>
      </c>
      <c r="G1385" s="19">
        <v>5</v>
      </c>
      <c r="H1385" s="20">
        <v>5</v>
      </c>
      <c r="I1385" s="15">
        <v>2354.37</v>
      </c>
      <c r="J1385" s="16"/>
      <c r="K1385" s="17">
        <v>11771.85</v>
      </c>
      <c r="L1385" s="18">
        <v>46153</v>
      </c>
      <c r="M1385" s="6" t="str">
        <f t="shared" si="63"/>
        <v>Schedule order</v>
      </c>
      <c r="N1385" s="8">
        <f t="shared" ca="1" si="64"/>
        <v>-2</v>
      </c>
      <c r="O1385" s="8" t="str">
        <f t="shared" ca="1" si="65"/>
        <v>With in 90 days</v>
      </c>
      <c r="P1385" t="str">
        <f>VLOOKUP(C1385,[1]Customer_Master!$A:$B,2,0)</f>
        <v>Group - 5 (Ananthapadmanabha)</v>
      </c>
      <c r="Q1385" t="e">
        <f>VLOOKUP(D1385,[2]Template!$A:$D,3,0)</f>
        <v>#N/A</v>
      </c>
      <c r="R1385" t="e">
        <f>VLOOKUP(D1385,[2]Template!$A:$D,4,0)</f>
        <v>#N/A</v>
      </c>
    </row>
    <row r="1386" spans="1:18" ht="13.5" customHeight="1" x14ac:dyDescent="0.25">
      <c r="A1386" s="9">
        <v>46153</v>
      </c>
      <c r="B1386" s="10" t="s">
        <v>1715</v>
      </c>
      <c r="C1386" s="11" t="s">
        <v>116</v>
      </c>
      <c r="D1386" s="27" t="s">
        <v>455</v>
      </c>
      <c r="E1386" s="12" t="s">
        <v>1072</v>
      </c>
      <c r="F1386" s="26" t="s">
        <v>84</v>
      </c>
      <c r="G1386" s="13">
        <v>15</v>
      </c>
      <c r="H1386" s="14">
        <v>15</v>
      </c>
      <c r="I1386" s="15">
        <v>280</v>
      </c>
      <c r="J1386" s="16"/>
      <c r="K1386" s="17">
        <v>4200</v>
      </c>
      <c r="L1386" s="18">
        <v>46171</v>
      </c>
      <c r="M1386" s="6" t="str">
        <f t="shared" si="63"/>
        <v>Schedule order</v>
      </c>
      <c r="N1386" s="8">
        <f t="shared" ca="1" si="64"/>
        <v>16</v>
      </c>
      <c r="O1386" s="8" t="str">
        <f t="shared" ca="1" si="65"/>
        <v>Lattest or shedule order</v>
      </c>
      <c r="P1386" t="str">
        <f>VLOOKUP(C1386,[1]Customer_Master!$A:$B,2,0)</f>
        <v>Group-2 (Veeresh- Bomsdr+Hosur)</v>
      </c>
      <c r="Q1386" t="str">
        <f>VLOOKUP(D1386,[2]Template!$A:$D,3,0)</f>
        <v>LAPP</v>
      </c>
      <c r="R1386" t="str">
        <f>VLOOKUP(D1386,[2]Template!$A:$D,4,0)</f>
        <v>Lapp-Against Customer PO</v>
      </c>
    </row>
    <row r="1387" spans="1:18" ht="13.5" customHeight="1" x14ac:dyDescent="0.25">
      <c r="A1387" s="9">
        <v>46153</v>
      </c>
      <c r="B1387" s="10" t="s">
        <v>1715</v>
      </c>
      <c r="C1387" s="11" t="s">
        <v>116</v>
      </c>
      <c r="D1387" s="10" t="s">
        <v>812</v>
      </c>
      <c r="E1387" s="12" t="s">
        <v>1072</v>
      </c>
      <c r="F1387" s="12" t="s">
        <v>813</v>
      </c>
      <c r="G1387" s="13">
        <v>30</v>
      </c>
      <c r="H1387" s="14">
        <v>30</v>
      </c>
      <c r="I1387" s="15">
        <v>87.3</v>
      </c>
      <c r="J1387" s="16"/>
      <c r="K1387" s="17">
        <v>2619</v>
      </c>
      <c r="L1387" s="18">
        <v>46171</v>
      </c>
      <c r="M1387" s="6" t="str">
        <f t="shared" si="63"/>
        <v>Schedule order</v>
      </c>
      <c r="N1387" s="8">
        <f t="shared" ca="1" si="64"/>
        <v>16</v>
      </c>
      <c r="O1387" s="8" t="str">
        <f t="shared" ca="1" si="65"/>
        <v>Lattest or shedule order</v>
      </c>
      <c r="P1387" t="str">
        <f>VLOOKUP(C1387,[1]Customer_Master!$A:$B,2,0)</f>
        <v>Group-2 (Veeresh- Bomsdr+Hosur)</v>
      </c>
      <c r="Q1387" t="str">
        <f>VLOOKUP(D1387,[2]Template!$A:$D,3,0)</f>
        <v>LAPP</v>
      </c>
      <c r="R1387" t="str">
        <f>VLOOKUP(D1387,[2]Template!$A:$D,4,0)</f>
        <v>Lapp-Titan</v>
      </c>
    </row>
    <row r="1388" spans="1:18" ht="13.5" customHeight="1" x14ac:dyDescent="0.25">
      <c r="A1388" s="9">
        <v>46153</v>
      </c>
      <c r="B1388" s="10" t="s">
        <v>1716</v>
      </c>
      <c r="C1388" s="11" t="s">
        <v>1717</v>
      </c>
      <c r="D1388" s="27" t="s">
        <v>1425</v>
      </c>
      <c r="E1388" s="12" t="s">
        <v>1072</v>
      </c>
      <c r="F1388" s="12" t="s">
        <v>1426</v>
      </c>
      <c r="G1388" s="13">
        <v>500</v>
      </c>
      <c r="H1388" s="14">
        <v>500</v>
      </c>
      <c r="I1388" s="15">
        <v>59.95</v>
      </c>
      <c r="J1388" s="16"/>
      <c r="K1388" s="17">
        <v>29975</v>
      </c>
      <c r="L1388" s="18">
        <v>46153</v>
      </c>
      <c r="M1388" s="6" t="str">
        <f t="shared" si="63"/>
        <v>Schedule order</v>
      </c>
      <c r="N1388" s="8">
        <f t="shared" ca="1" si="64"/>
        <v>-2</v>
      </c>
      <c r="O1388" s="8" t="str">
        <f t="shared" ca="1" si="65"/>
        <v>With in 90 days</v>
      </c>
      <c r="P1388" t="str">
        <f>VLOOKUP(C1388,[1]Customer_Master!$A:$B,2,0)</f>
        <v>Group-2 (Veeresh- Bomsdr+Hosur)</v>
      </c>
      <c r="Q1388" t="str">
        <f>VLOOKUP(D1388,[2]Template!$A:$D,3,0)</f>
        <v>LAPP</v>
      </c>
      <c r="R1388" t="str">
        <f>VLOOKUP(D1388,[2]Template!$A:$D,4,0)</f>
        <v>Lapp-Non Moving Stocks</v>
      </c>
    </row>
    <row r="1389" spans="1:18" ht="13.5" customHeight="1" x14ac:dyDescent="0.25">
      <c r="A1389" s="9">
        <v>46153</v>
      </c>
      <c r="B1389" s="10" t="s">
        <v>1716</v>
      </c>
      <c r="C1389" s="11" t="s">
        <v>1717</v>
      </c>
      <c r="D1389" s="27" t="s">
        <v>1427</v>
      </c>
      <c r="E1389" s="12" t="s">
        <v>1072</v>
      </c>
      <c r="F1389" s="12" t="s">
        <v>1428</v>
      </c>
      <c r="G1389" s="13">
        <v>500</v>
      </c>
      <c r="H1389" s="14">
        <v>500</v>
      </c>
      <c r="I1389" s="15">
        <v>74.14</v>
      </c>
      <c r="J1389" s="16"/>
      <c r="K1389" s="17">
        <v>37070</v>
      </c>
      <c r="L1389" s="18">
        <v>46153</v>
      </c>
      <c r="M1389" s="6" t="str">
        <f t="shared" si="63"/>
        <v>Schedule order</v>
      </c>
      <c r="N1389" s="8">
        <f t="shared" ca="1" si="64"/>
        <v>-2</v>
      </c>
      <c r="O1389" s="8" t="str">
        <f t="shared" ca="1" si="65"/>
        <v>With in 90 days</v>
      </c>
      <c r="P1389" t="str">
        <f>VLOOKUP(C1389,[1]Customer_Master!$A:$B,2,0)</f>
        <v>Group-2 (Veeresh- Bomsdr+Hosur)</v>
      </c>
      <c r="Q1389" t="str">
        <f>VLOOKUP(D1389,[2]Template!$A:$D,3,0)</f>
        <v>LAPP</v>
      </c>
      <c r="R1389" t="str">
        <f>VLOOKUP(D1389,[2]Template!$A:$D,4,0)</f>
        <v>Lapp-Non Moving Stocks</v>
      </c>
    </row>
    <row r="1390" spans="1:18" ht="13.5" customHeight="1" x14ac:dyDescent="0.25">
      <c r="A1390" s="9">
        <v>46153</v>
      </c>
      <c r="B1390" s="10" t="s">
        <v>1716</v>
      </c>
      <c r="C1390" s="11" t="s">
        <v>1717</v>
      </c>
      <c r="D1390" s="10" t="s">
        <v>1718</v>
      </c>
      <c r="E1390" s="12" t="s">
        <v>1072</v>
      </c>
      <c r="F1390" s="12" t="s">
        <v>1719</v>
      </c>
      <c r="G1390" s="13">
        <v>300</v>
      </c>
      <c r="H1390" s="14">
        <v>300</v>
      </c>
      <c r="I1390" s="15">
        <v>107</v>
      </c>
      <c r="J1390" s="16"/>
      <c r="K1390" s="17">
        <v>32100</v>
      </c>
      <c r="L1390" s="18">
        <v>46153</v>
      </c>
      <c r="M1390" s="6" t="str">
        <f t="shared" si="63"/>
        <v>Schedule order</v>
      </c>
      <c r="N1390" s="8">
        <f t="shared" ca="1" si="64"/>
        <v>-2</v>
      </c>
      <c r="O1390" s="8" t="str">
        <f t="shared" ca="1" si="65"/>
        <v>With in 90 days</v>
      </c>
      <c r="P1390" t="str">
        <f>VLOOKUP(C1390,[1]Customer_Master!$A:$B,2,0)</f>
        <v>Group-2 (Veeresh- Bomsdr+Hosur)</v>
      </c>
      <c r="Q1390" t="str">
        <f>VLOOKUP(D1390,[2]Template!$A:$D,3,0)</f>
        <v>LAPP</v>
      </c>
      <c r="R1390" t="str">
        <f>VLOOKUP(D1390,[2]Template!$A:$D,4,0)</f>
        <v>Lapp-Against Customer PO</v>
      </c>
    </row>
    <row r="1391" spans="1:18" ht="13.5" customHeight="1" x14ac:dyDescent="0.25">
      <c r="A1391" s="9">
        <v>46154</v>
      </c>
      <c r="B1391" s="10" t="s">
        <v>1720</v>
      </c>
      <c r="C1391" s="11" t="s">
        <v>1721</v>
      </c>
      <c r="D1391" s="27" t="s">
        <v>1722</v>
      </c>
      <c r="E1391" s="12" t="s">
        <v>1072</v>
      </c>
      <c r="F1391" s="26" t="s">
        <v>1723</v>
      </c>
      <c r="G1391" s="13">
        <v>100</v>
      </c>
      <c r="H1391" s="14">
        <v>100</v>
      </c>
      <c r="I1391" s="15">
        <v>321.60000000000002</v>
      </c>
      <c r="J1391" s="16"/>
      <c r="K1391" s="17">
        <v>32160</v>
      </c>
      <c r="L1391" s="18">
        <v>46154</v>
      </c>
      <c r="M1391" s="6" t="str">
        <f t="shared" si="63"/>
        <v>Schedule order</v>
      </c>
      <c r="N1391" s="8">
        <f t="shared" ca="1" si="64"/>
        <v>-1</v>
      </c>
      <c r="O1391" s="8" t="str">
        <f t="shared" ca="1" si="65"/>
        <v>With in 90 days</v>
      </c>
      <c r="P1391" t="str">
        <f>VLOOKUP(C1391,[1]Customer_Master!$A:$B,2,0)</f>
        <v>Group-2 (Veeresh- Bomsdr+Hosur)</v>
      </c>
      <c r="Q1391" t="str">
        <f>VLOOKUP(D1391,[2]Template!$A:$D,3,0)</f>
        <v>LAPP</v>
      </c>
      <c r="R1391" t="str">
        <f>VLOOKUP(D1391,[2]Template!$A:$D,4,0)</f>
        <v>Lapp-Non Moving Stocks</v>
      </c>
    </row>
    <row r="1392" spans="1:18" ht="13.5" customHeight="1" x14ac:dyDescent="0.25">
      <c r="A1392" s="9">
        <v>46154</v>
      </c>
      <c r="B1392" s="10" t="s">
        <v>1724</v>
      </c>
      <c r="C1392" s="11" t="s">
        <v>1721</v>
      </c>
      <c r="D1392" s="10" t="s">
        <v>1725</v>
      </c>
      <c r="E1392" s="12" t="s">
        <v>1072</v>
      </c>
      <c r="F1392" s="12" t="s">
        <v>1726</v>
      </c>
      <c r="G1392" s="22">
        <v>4000</v>
      </c>
      <c r="H1392" s="23">
        <v>3000</v>
      </c>
      <c r="I1392" s="15">
        <v>1.68</v>
      </c>
      <c r="J1392" s="21">
        <v>40</v>
      </c>
      <c r="K1392" s="17">
        <v>3024</v>
      </c>
      <c r="L1392" s="18">
        <v>46154</v>
      </c>
      <c r="M1392" s="6" t="str">
        <f t="shared" si="63"/>
        <v>Schedule order</v>
      </c>
      <c r="N1392" s="8">
        <f t="shared" ca="1" si="64"/>
        <v>-1</v>
      </c>
      <c r="O1392" s="8" t="str">
        <f t="shared" ca="1" si="65"/>
        <v>With in 90 days</v>
      </c>
      <c r="P1392" t="str">
        <f>VLOOKUP(C1392,[1]Customer_Master!$A:$B,2,0)</f>
        <v>Group-2 (Veeresh- Bomsdr+Hosur)</v>
      </c>
      <c r="Q1392" t="str">
        <f>VLOOKUP(D1392,[2]Template!$A:$D,3,0)</f>
        <v>LAPP</v>
      </c>
      <c r="R1392" t="str">
        <f>VLOOKUP(D1392,[2]Template!$A:$D,4,0)</f>
        <v>Lapp-Planned Stock General</v>
      </c>
    </row>
    <row r="1393" spans="1:18" ht="13.5" customHeight="1" x14ac:dyDescent="0.25">
      <c r="A1393" s="9">
        <v>46154</v>
      </c>
      <c r="B1393" s="10" t="s">
        <v>1724</v>
      </c>
      <c r="C1393" s="11" t="s">
        <v>1721</v>
      </c>
      <c r="D1393" s="10" t="s">
        <v>1727</v>
      </c>
      <c r="E1393" s="12" t="s">
        <v>1072</v>
      </c>
      <c r="F1393" s="12" t="s">
        <v>1728</v>
      </c>
      <c r="G1393" s="22">
        <v>1000</v>
      </c>
      <c r="H1393" s="23">
        <v>100</v>
      </c>
      <c r="I1393" s="15">
        <v>4.09</v>
      </c>
      <c r="J1393" s="21">
        <v>40</v>
      </c>
      <c r="K1393" s="17">
        <v>245.4</v>
      </c>
      <c r="L1393" s="18">
        <v>46154</v>
      </c>
      <c r="M1393" s="6" t="str">
        <f t="shared" si="63"/>
        <v>Schedule order</v>
      </c>
      <c r="N1393" s="8">
        <f t="shared" ca="1" si="64"/>
        <v>-1</v>
      </c>
      <c r="O1393" s="8" t="str">
        <f t="shared" ca="1" si="65"/>
        <v>With in 90 days</v>
      </c>
      <c r="P1393" t="str">
        <f>VLOOKUP(C1393,[1]Customer_Master!$A:$B,2,0)</f>
        <v>Group-2 (Veeresh- Bomsdr+Hosur)</v>
      </c>
      <c r="Q1393" t="str">
        <f>VLOOKUP(D1393,[2]Template!$A:$D,3,0)</f>
        <v>LAPP</v>
      </c>
      <c r="R1393" t="str">
        <f>VLOOKUP(D1393,[2]Template!$A:$D,4,0)</f>
        <v>Lapp-Planned Stock General</v>
      </c>
    </row>
    <row r="1394" spans="1:18" ht="13.5" customHeight="1" x14ac:dyDescent="0.25">
      <c r="A1394" s="9">
        <v>46154</v>
      </c>
      <c r="B1394" s="10" t="s">
        <v>1724</v>
      </c>
      <c r="C1394" s="11" t="s">
        <v>1721</v>
      </c>
      <c r="D1394" s="27" t="s">
        <v>1729</v>
      </c>
      <c r="E1394" s="12" t="s">
        <v>1072</v>
      </c>
      <c r="F1394" s="26" t="s">
        <v>1730</v>
      </c>
      <c r="G1394" s="19">
        <v>1000</v>
      </c>
      <c r="H1394" s="20">
        <v>1000</v>
      </c>
      <c r="I1394" s="15">
        <v>4.6100000000000003</v>
      </c>
      <c r="J1394" s="21">
        <v>40</v>
      </c>
      <c r="K1394" s="17">
        <v>2766</v>
      </c>
      <c r="L1394" s="18">
        <v>46154</v>
      </c>
      <c r="M1394" s="6" t="str">
        <f t="shared" si="63"/>
        <v>Schedule order</v>
      </c>
      <c r="N1394" s="8">
        <f t="shared" ca="1" si="64"/>
        <v>-1</v>
      </c>
      <c r="O1394" s="8" t="str">
        <f t="shared" ca="1" si="65"/>
        <v>With in 90 days</v>
      </c>
      <c r="P1394" t="str">
        <f>VLOOKUP(C1394,[1]Customer_Master!$A:$B,2,0)</f>
        <v>Group-2 (Veeresh- Bomsdr+Hosur)</v>
      </c>
      <c r="Q1394" t="str">
        <f>VLOOKUP(D1394,[2]Template!$A:$D,3,0)</f>
        <v>LAPP</v>
      </c>
      <c r="R1394" t="str">
        <f>VLOOKUP(D1394,[2]Template!$A:$D,4,0)</f>
        <v>Lapp-Non Moving Stocks</v>
      </c>
    </row>
    <row r="1395" spans="1:18" ht="13.5" customHeight="1" x14ac:dyDescent="0.25">
      <c r="A1395" s="9">
        <v>46154</v>
      </c>
      <c r="B1395" s="10" t="s">
        <v>1724</v>
      </c>
      <c r="C1395" s="11" t="s">
        <v>1721</v>
      </c>
      <c r="D1395" s="10" t="s">
        <v>1731</v>
      </c>
      <c r="E1395" s="12" t="s">
        <v>1072</v>
      </c>
      <c r="F1395" s="12" t="s">
        <v>1732</v>
      </c>
      <c r="G1395" s="19">
        <v>1000</v>
      </c>
      <c r="H1395" s="20">
        <v>900</v>
      </c>
      <c r="I1395" s="15">
        <v>5.92</v>
      </c>
      <c r="J1395" s="21">
        <v>40</v>
      </c>
      <c r="K1395" s="17">
        <v>3196.8</v>
      </c>
      <c r="L1395" s="18">
        <v>46154</v>
      </c>
      <c r="M1395" s="6" t="str">
        <f t="shared" si="63"/>
        <v>Schedule order</v>
      </c>
      <c r="N1395" s="8">
        <f t="shared" ca="1" si="64"/>
        <v>-1</v>
      </c>
      <c r="O1395" s="8" t="str">
        <f t="shared" ca="1" si="65"/>
        <v>With in 90 days</v>
      </c>
      <c r="P1395" t="str">
        <f>VLOOKUP(C1395,[1]Customer_Master!$A:$B,2,0)</f>
        <v>Group-2 (Veeresh- Bomsdr+Hosur)</v>
      </c>
      <c r="Q1395" t="str">
        <f>VLOOKUP(D1395,[2]Template!$A:$D,3,0)</f>
        <v>LAPP</v>
      </c>
      <c r="R1395" t="str">
        <f>VLOOKUP(D1395,[2]Template!$A:$D,4,0)</f>
        <v>Lapp-Non Moving Stocks</v>
      </c>
    </row>
    <row r="1396" spans="1:18" ht="13.5" customHeight="1" x14ac:dyDescent="0.25">
      <c r="A1396" s="9">
        <v>46154</v>
      </c>
      <c r="B1396" s="10" t="s">
        <v>1733</v>
      </c>
      <c r="C1396" s="11" t="s">
        <v>96</v>
      </c>
      <c r="D1396" s="10" t="s">
        <v>1734</v>
      </c>
      <c r="E1396" s="12" t="s">
        <v>1072</v>
      </c>
      <c r="F1396" s="12" t="s">
        <v>1735</v>
      </c>
      <c r="G1396" s="13">
        <v>2500</v>
      </c>
      <c r="H1396" s="14">
        <v>2500</v>
      </c>
      <c r="I1396" s="15">
        <v>199</v>
      </c>
      <c r="J1396" s="16"/>
      <c r="K1396" s="17">
        <v>497500</v>
      </c>
      <c r="L1396" s="18">
        <v>46154</v>
      </c>
      <c r="M1396" s="6" t="str">
        <f t="shared" si="63"/>
        <v>Schedule order</v>
      </c>
      <c r="N1396" s="8">
        <f t="shared" ca="1" si="64"/>
        <v>-1</v>
      </c>
      <c r="O1396" s="8" t="str">
        <f t="shared" ca="1" si="65"/>
        <v>With in 90 days</v>
      </c>
      <c r="P1396" t="str">
        <f>VLOOKUP(C1396,[1]Customer_Master!$A:$B,2,0)</f>
        <v>Group - 5 (Ananthapadmanabha)</v>
      </c>
      <c r="Q1396" t="str">
        <f>VLOOKUP(D1396,[2]Template!$A:$D,3,0)</f>
        <v>LAPP</v>
      </c>
      <c r="R1396" t="str">
        <f>VLOOKUP(D1396,[2]Template!$A:$D,4,0)</f>
        <v>Lapp-Non Moving Stocks</v>
      </c>
    </row>
    <row r="1397" spans="1:18" ht="13.5" customHeight="1" x14ac:dyDescent="0.25">
      <c r="A1397" s="9">
        <v>46154</v>
      </c>
      <c r="B1397" s="10" t="s">
        <v>1733</v>
      </c>
      <c r="C1397" s="11" t="s">
        <v>96</v>
      </c>
      <c r="D1397" s="10" t="s">
        <v>570</v>
      </c>
      <c r="E1397" s="12" t="s">
        <v>1072</v>
      </c>
      <c r="F1397" s="12" t="s">
        <v>571</v>
      </c>
      <c r="G1397" s="19">
        <v>456</v>
      </c>
      <c r="H1397" s="20">
        <v>456</v>
      </c>
      <c r="I1397" s="15">
        <v>171</v>
      </c>
      <c r="J1397" s="16"/>
      <c r="K1397" s="17">
        <v>77976</v>
      </c>
      <c r="L1397" s="18">
        <v>46154</v>
      </c>
      <c r="M1397" s="6" t="str">
        <f t="shared" si="63"/>
        <v>Schedule order</v>
      </c>
      <c r="N1397" s="8">
        <f t="shared" ca="1" si="64"/>
        <v>-1</v>
      </c>
      <c r="O1397" s="8" t="str">
        <f t="shared" ca="1" si="65"/>
        <v>With in 90 days</v>
      </c>
      <c r="P1397" t="str">
        <f>VLOOKUP(C1397,[1]Customer_Master!$A:$B,2,0)</f>
        <v>Group - 5 (Ananthapadmanabha)</v>
      </c>
      <c r="Q1397" t="str">
        <f>VLOOKUP(D1397,[2]Template!$A:$D,3,0)</f>
        <v>LAPP</v>
      </c>
      <c r="R1397" t="str">
        <f>VLOOKUP(D1397,[2]Template!$A:$D,4,0)</f>
        <v>Lapp-Against Customer PO</v>
      </c>
    </row>
    <row r="1398" spans="1:18" ht="13.5" customHeight="1" x14ac:dyDescent="0.25">
      <c r="A1398" s="9">
        <v>46154</v>
      </c>
      <c r="B1398" s="10" t="s">
        <v>1733</v>
      </c>
      <c r="C1398" s="11" t="s">
        <v>96</v>
      </c>
      <c r="D1398" s="10" t="s">
        <v>572</v>
      </c>
      <c r="E1398" s="12" t="s">
        <v>1072</v>
      </c>
      <c r="F1398" s="12" t="s">
        <v>573</v>
      </c>
      <c r="G1398" s="19">
        <v>18</v>
      </c>
      <c r="H1398" s="20">
        <v>18</v>
      </c>
      <c r="I1398" s="15">
        <v>444</v>
      </c>
      <c r="J1398" s="16"/>
      <c r="K1398" s="17">
        <v>7992</v>
      </c>
      <c r="L1398" s="18">
        <v>46154</v>
      </c>
      <c r="M1398" s="6" t="str">
        <f t="shared" si="63"/>
        <v>Schedule order</v>
      </c>
      <c r="N1398" s="8">
        <f t="shared" ca="1" si="64"/>
        <v>-1</v>
      </c>
      <c r="O1398" s="8" t="str">
        <f t="shared" ca="1" si="65"/>
        <v>With in 90 days</v>
      </c>
      <c r="P1398" t="str">
        <f>VLOOKUP(C1398,[1]Customer_Master!$A:$B,2,0)</f>
        <v>Group - 5 (Ananthapadmanabha)</v>
      </c>
      <c r="Q1398" t="str">
        <f>VLOOKUP(D1398,[2]Template!$A:$D,3,0)</f>
        <v>LAPP</v>
      </c>
      <c r="R1398" t="str">
        <f>VLOOKUP(D1398,[2]Template!$A:$D,4,0)</f>
        <v>Lapp-Against Customer PO</v>
      </c>
    </row>
    <row r="1399" spans="1:18" ht="13.5" customHeight="1" x14ac:dyDescent="0.25">
      <c r="A1399" s="9">
        <v>46154</v>
      </c>
      <c r="B1399" s="10" t="s">
        <v>1733</v>
      </c>
      <c r="C1399" s="11" t="s">
        <v>96</v>
      </c>
      <c r="D1399" s="10" t="s">
        <v>955</v>
      </c>
      <c r="E1399" s="12" t="s">
        <v>1072</v>
      </c>
      <c r="F1399" s="12" t="s">
        <v>956</v>
      </c>
      <c r="G1399" s="19">
        <v>10</v>
      </c>
      <c r="H1399" s="20">
        <v>10</v>
      </c>
      <c r="I1399" s="15">
        <v>143.33000000000001</v>
      </c>
      <c r="J1399" s="16"/>
      <c r="K1399" s="17">
        <v>1433.3</v>
      </c>
      <c r="L1399" s="18">
        <v>46154</v>
      </c>
      <c r="M1399" s="6" t="str">
        <f t="shared" si="63"/>
        <v>Schedule order</v>
      </c>
      <c r="N1399" s="8">
        <f t="shared" ca="1" si="64"/>
        <v>-1</v>
      </c>
      <c r="O1399" s="8" t="str">
        <f t="shared" ca="1" si="65"/>
        <v>With in 90 days</v>
      </c>
      <c r="P1399" t="str">
        <f>VLOOKUP(C1399,[1]Customer_Master!$A:$B,2,0)</f>
        <v>Group - 5 (Ananthapadmanabha)</v>
      </c>
      <c r="Q1399" t="str">
        <f>VLOOKUP(D1399,[2]Template!$A:$D,3,0)</f>
        <v>LAPP</v>
      </c>
      <c r="R1399" t="str">
        <f>VLOOKUP(D1399,[2]Template!$A:$D,4,0)</f>
        <v>Lapp-Against Customer PO</v>
      </c>
    </row>
    <row r="1400" spans="1:18" ht="13.5" customHeight="1" x14ac:dyDescent="0.25">
      <c r="A1400" s="9">
        <v>46154</v>
      </c>
      <c r="B1400" s="10" t="s">
        <v>1736</v>
      </c>
      <c r="C1400" s="11" t="s">
        <v>127</v>
      </c>
      <c r="D1400" s="10" t="s">
        <v>1737</v>
      </c>
      <c r="E1400" s="12" t="s">
        <v>1072</v>
      </c>
      <c r="F1400" s="12" t="s">
        <v>1738</v>
      </c>
      <c r="G1400" s="13">
        <v>100</v>
      </c>
      <c r="H1400" s="14">
        <v>100</v>
      </c>
      <c r="I1400" s="15">
        <v>118.85</v>
      </c>
      <c r="J1400" s="21">
        <v>40</v>
      </c>
      <c r="K1400" s="17">
        <v>7131</v>
      </c>
      <c r="L1400" s="18">
        <v>46154</v>
      </c>
      <c r="M1400" s="6" t="str">
        <f t="shared" si="63"/>
        <v>Schedule order</v>
      </c>
      <c r="N1400" s="8">
        <f t="shared" ca="1" si="64"/>
        <v>-1</v>
      </c>
      <c r="O1400" s="8" t="str">
        <f t="shared" ca="1" si="65"/>
        <v>With in 90 days</v>
      </c>
      <c r="P1400" t="str">
        <f>VLOOKUP(C1400,[1]Customer_Master!$A:$B,2,0)</f>
        <v>Group 1-Giridhar-Peenya</v>
      </c>
      <c r="Q1400" t="str">
        <f>VLOOKUP(D1400,[2]Template!$A:$D,3,0)</f>
        <v>LAPP</v>
      </c>
      <c r="R1400" t="str">
        <f>VLOOKUP(D1400,[2]Template!$A:$D,4,0)</f>
        <v>Lapp-Non Moving Stocks</v>
      </c>
    </row>
    <row r="1401" spans="1:18" ht="13.5" customHeight="1" x14ac:dyDescent="0.25">
      <c r="A1401" s="9">
        <v>46154</v>
      </c>
      <c r="B1401" s="10" t="s">
        <v>1736</v>
      </c>
      <c r="C1401" s="11" t="s">
        <v>127</v>
      </c>
      <c r="D1401" s="10" t="s">
        <v>1739</v>
      </c>
      <c r="E1401" s="12" t="s">
        <v>1072</v>
      </c>
      <c r="F1401" s="12" t="s">
        <v>1740</v>
      </c>
      <c r="G1401" s="13">
        <v>100</v>
      </c>
      <c r="H1401" s="14">
        <v>100</v>
      </c>
      <c r="I1401" s="15">
        <v>375.38</v>
      </c>
      <c r="J1401" s="21">
        <v>40</v>
      </c>
      <c r="K1401" s="17">
        <v>22522.799999999999</v>
      </c>
      <c r="L1401" s="18">
        <v>46154</v>
      </c>
      <c r="M1401" s="6" t="str">
        <f t="shared" si="63"/>
        <v>Schedule order</v>
      </c>
      <c r="N1401" s="8">
        <f t="shared" ca="1" si="64"/>
        <v>-1</v>
      </c>
      <c r="O1401" s="8" t="str">
        <f t="shared" ca="1" si="65"/>
        <v>With in 90 days</v>
      </c>
      <c r="P1401" t="str">
        <f>VLOOKUP(C1401,[1]Customer_Master!$A:$B,2,0)</f>
        <v>Group 1-Giridhar-Peenya</v>
      </c>
      <c r="Q1401" t="str">
        <f>VLOOKUP(D1401,[2]Template!$A:$D,3,0)</f>
        <v>LAPP</v>
      </c>
      <c r="R1401" t="str">
        <f>VLOOKUP(D1401,[2]Template!$A:$D,4,0)</f>
        <v>Lapp-Non Moving Stocks</v>
      </c>
    </row>
    <row r="1402" spans="1:18" ht="13.5" customHeight="1" x14ac:dyDescent="0.25">
      <c r="A1402" s="9">
        <v>46154</v>
      </c>
      <c r="B1402" s="10" t="s">
        <v>1741</v>
      </c>
      <c r="C1402" s="11" t="s">
        <v>528</v>
      </c>
      <c r="D1402" s="10" t="s">
        <v>1742</v>
      </c>
      <c r="E1402" s="12" t="s">
        <v>1072</v>
      </c>
      <c r="F1402" s="12" t="s">
        <v>1743</v>
      </c>
      <c r="G1402" s="22">
        <v>20000</v>
      </c>
      <c r="H1402" s="23">
        <v>20000</v>
      </c>
      <c r="I1402" s="15">
        <v>2.48</v>
      </c>
      <c r="J1402" s="16"/>
      <c r="K1402" s="17">
        <v>49600</v>
      </c>
      <c r="L1402" s="18">
        <v>46154</v>
      </c>
      <c r="M1402" s="6" t="str">
        <f t="shared" si="63"/>
        <v>Schedule order</v>
      </c>
      <c r="N1402" s="8">
        <f t="shared" ca="1" si="64"/>
        <v>-1</v>
      </c>
      <c r="O1402" s="8" t="str">
        <f t="shared" ca="1" si="65"/>
        <v>With in 90 days</v>
      </c>
      <c r="P1402" t="str">
        <f>VLOOKUP(C1402,[1]Customer_Master!$A:$B,2,0)</f>
        <v>Group-2 (Veeresh- Bomsdr+Hosur)</v>
      </c>
      <c r="Q1402" t="str">
        <f>VLOOKUP(D1402,[2]Template!$A:$D,3,0)</f>
        <v>LAPP</v>
      </c>
      <c r="R1402" t="str">
        <f>VLOOKUP(D1402,[2]Template!$A:$D,4,0)</f>
        <v>Lapp-Against Customer PO</v>
      </c>
    </row>
    <row r="1403" spans="1:18" ht="13.5" customHeight="1" x14ac:dyDescent="0.25">
      <c r="A1403" s="9">
        <v>46154</v>
      </c>
      <c r="B1403" s="10" t="s">
        <v>1741</v>
      </c>
      <c r="C1403" s="11" t="s">
        <v>528</v>
      </c>
      <c r="D1403" s="27" t="s">
        <v>1744</v>
      </c>
      <c r="E1403" s="12" t="s">
        <v>1072</v>
      </c>
      <c r="F1403" s="12" t="s">
        <v>1745</v>
      </c>
      <c r="G1403" s="19">
        <v>500</v>
      </c>
      <c r="H1403" s="20">
        <v>500</v>
      </c>
      <c r="I1403" s="15">
        <v>8.43</v>
      </c>
      <c r="J1403" s="16"/>
      <c r="K1403" s="17">
        <v>4215</v>
      </c>
      <c r="L1403" s="18">
        <v>46154</v>
      </c>
      <c r="M1403" s="6" t="str">
        <f t="shared" si="63"/>
        <v>Schedule order</v>
      </c>
      <c r="N1403" s="8">
        <f t="shared" ca="1" si="64"/>
        <v>-1</v>
      </c>
      <c r="O1403" s="8" t="str">
        <f t="shared" ca="1" si="65"/>
        <v>With in 90 days</v>
      </c>
      <c r="P1403" t="str">
        <f>VLOOKUP(C1403,[1]Customer_Master!$A:$B,2,0)</f>
        <v>Group-2 (Veeresh- Bomsdr+Hosur)</v>
      </c>
      <c r="Q1403" t="str">
        <f>VLOOKUP(D1403,[2]Template!$A:$D,3,0)</f>
        <v>LAPP</v>
      </c>
      <c r="R1403" t="str">
        <f>VLOOKUP(D1403,[2]Template!$A:$D,4,0)</f>
        <v>Lapp-Non Moving Stocks</v>
      </c>
    </row>
    <row r="1404" spans="1:18" ht="13.5" customHeight="1" x14ac:dyDescent="0.25">
      <c r="A1404" s="9">
        <v>46154</v>
      </c>
      <c r="B1404" s="10" t="s">
        <v>1746</v>
      </c>
      <c r="C1404" s="11" t="s">
        <v>1521</v>
      </c>
      <c r="D1404" s="10" t="s">
        <v>524</v>
      </c>
      <c r="E1404" s="12" t="s">
        <v>1072</v>
      </c>
      <c r="F1404" s="12" t="s">
        <v>525</v>
      </c>
      <c r="G1404" s="13">
        <v>100</v>
      </c>
      <c r="H1404" s="14">
        <v>100</v>
      </c>
      <c r="I1404" s="15">
        <v>167.34</v>
      </c>
      <c r="J1404" s="16"/>
      <c r="K1404" s="17">
        <v>16734</v>
      </c>
      <c r="L1404" s="18">
        <v>46154</v>
      </c>
      <c r="M1404" s="6" t="str">
        <f t="shared" si="63"/>
        <v>Schedule order</v>
      </c>
      <c r="N1404" s="8">
        <f t="shared" ca="1" si="64"/>
        <v>-1</v>
      </c>
      <c r="O1404" s="8" t="str">
        <f t="shared" ca="1" si="65"/>
        <v>With in 90 days</v>
      </c>
      <c r="P1404" t="str">
        <f>VLOOKUP(C1404,[1]Customer_Master!$A:$B,2,0)</f>
        <v>Group 1-Giridhar-Peenya</v>
      </c>
      <c r="Q1404" t="str">
        <f>VLOOKUP(D1404,[2]Template!$A:$D,3,0)</f>
        <v>LAPP</v>
      </c>
      <c r="R1404" t="str">
        <f>VLOOKUP(D1404,[2]Template!$A:$D,4,0)</f>
        <v>Lapp-Planned Stock General</v>
      </c>
    </row>
    <row r="1405" spans="1:18" ht="13.5" customHeight="1" x14ac:dyDescent="0.25">
      <c r="A1405" s="9">
        <v>46154</v>
      </c>
      <c r="B1405" s="10" t="s">
        <v>1747</v>
      </c>
      <c r="C1405" s="11" t="s">
        <v>581</v>
      </c>
      <c r="D1405" s="10" t="s">
        <v>882</v>
      </c>
      <c r="E1405" s="12" t="s">
        <v>1072</v>
      </c>
      <c r="F1405" s="12" t="s">
        <v>883</v>
      </c>
      <c r="G1405" s="13">
        <v>10</v>
      </c>
      <c r="H1405" s="14">
        <v>10</v>
      </c>
      <c r="I1405" s="15">
        <v>140.24</v>
      </c>
      <c r="J1405" s="16"/>
      <c r="K1405" s="17">
        <v>1402.4</v>
      </c>
      <c r="L1405" s="18">
        <v>46154</v>
      </c>
      <c r="M1405" s="6" t="str">
        <f t="shared" si="63"/>
        <v>Schedule order</v>
      </c>
      <c r="N1405" s="8">
        <f t="shared" ca="1" si="64"/>
        <v>-1</v>
      </c>
      <c r="O1405" s="8" t="str">
        <f t="shared" ca="1" si="65"/>
        <v>With in 90 days</v>
      </c>
      <c r="P1405" t="str">
        <f>VLOOKUP(C1405,[1]Customer_Master!$A:$B,2,0)</f>
        <v>Group 1-Giridhar-Peenya</v>
      </c>
      <c r="Q1405" t="str">
        <f>VLOOKUP(D1405,[2]Template!$A:$D,3,0)</f>
        <v>LAPP</v>
      </c>
      <c r="R1405" t="str">
        <f>VLOOKUP(D1405,[2]Template!$A:$D,4,0)</f>
        <v>Lapp-Against Customer PO</v>
      </c>
    </row>
    <row r="1406" spans="1:18" ht="13.5" customHeight="1" x14ac:dyDescent="0.25">
      <c r="A1406" s="9">
        <v>46154</v>
      </c>
      <c r="B1406" s="10" t="s">
        <v>1748</v>
      </c>
      <c r="C1406" s="11" t="s">
        <v>581</v>
      </c>
      <c r="D1406" s="10" t="s">
        <v>1749</v>
      </c>
      <c r="E1406" s="12" t="s">
        <v>1072</v>
      </c>
      <c r="F1406" s="12" t="s">
        <v>1750</v>
      </c>
      <c r="G1406" s="13">
        <v>36</v>
      </c>
      <c r="H1406" s="14">
        <v>36</v>
      </c>
      <c r="I1406" s="15">
        <v>5962.26</v>
      </c>
      <c r="J1406" s="16"/>
      <c r="K1406" s="17">
        <v>214641.36</v>
      </c>
      <c r="L1406" s="18">
        <v>46154</v>
      </c>
      <c r="M1406" s="6" t="str">
        <f t="shared" si="63"/>
        <v>Schedule order</v>
      </c>
      <c r="N1406" s="8">
        <f t="shared" ca="1" si="64"/>
        <v>-1</v>
      </c>
      <c r="O1406" s="8" t="str">
        <f t="shared" ca="1" si="65"/>
        <v>With in 90 days</v>
      </c>
      <c r="P1406" t="str">
        <f>VLOOKUP(C1406,[1]Customer_Master!$A:$B,2,0)</f>
        <v>Group 1-Giridhar-Peenya</v>
      </c>
      <c r="Q1406" t="e">
        <f>VLOOKUP(D1406,[2]Template!$A:$D,3,0)</f>
        <v>#N/A</v>
      </c>
      <c r="R1406" t="e">
        <f>VLOOKUP(D1406,[2]Template!$A:$D,4,0)</f>
        <v>#N/A</v>
      </c>
    </row>
    <row r="1407" spans="1:18" ht="13.5" customHeight="1" x14ac:dyDescent="0.25">
      <c r="A1407" s="9">
        <v>46154</v>
      </c>
      <c r="B1407" s="10" t="s">
        <v>1751</v>
      </c>
      <c r="C1407" s="11" t="s">
        <v>581</v>
      </c>
      <c r="D1407" s="10" t="s">
        <v>816</v>
      </c>
      <c r="E1407" s="12" t="s">
        <v>1072</v>
      </c>
      <c r="F1407" s="12" t="s">
        <v>817</v>
      </c>
      <c r="G1407" s="13">
        <v>200</v>
      </c>
      <c r="H1407" s="14">
        <v>200</v>
      </c>
      <c r="I1407" s="15">
        <v>180</v>
      </c>
      <c r="J1407" s="16"/>
      <c r="K1407" s="17">
        <v>36000</v>
      </c>
      <c r="L1407" s="18">
        <v>46154</v>
      </c>
      <c r="M1407" s="6" t="str">
        <f t="shared" si="63"/>
        <v>Schedule order</v>
      </c>
      <c r="N1407" s="8">
        <f t="shared" ca="1" si="64"/>
        <v>-1</v>
      </c>
      <c r="O1407" s="8" t="str">
        <f t="shared" ca="1" si="65"/>
        <v>With in 90 days</v>
      </c>
      <c r="P1407" t="str">
        <f>VLOOKUP(C1407,[1]Customer_Master!$A:$B,2,0)</f>
        <v>Group 1-Giridhar-Peenya</v>
      </c>
      <c r="Q1407" t="str">
        <f>VLOOKUP(D1407,[2]Template!$A:$D,3,0)</f>
        <v>LAPP</v>
      </c>
      <c r="R1407" t="str">
        <f>VLOOKUP(D1407,[2]Template!$A:$D,4,0)</f>
        <v>Lapp-Against Customer PO</v>
      </c>
    </row>
    <row r="1408" spans="1:18" ht="13.5" customHeight="1" x14ac:dyDescent="0.25">
      <c r="A1408" s="9">
        <v>46154</v>
      </c>
      <c r="B1408" s="10" t="s">
        <v>1752</v>
      </c>
      <c r="C1408" s="11" t="s">
        <v>818</v>
      </c>
      <c r="D1408" s="10" t="s">
        <v>326</v>
      </c>
      <c r="E1408" s="12" t="s">
        <v>1072</v>
      </c>
      <c r="F1408" s="12" t="s">
        <v>95</v>
      </c>
      <c r="G1408" s="13">
        <v>100</v>
      </c>
      <c r="H1408" s="14">
        <v>100</v>
      </c>
      <c r="I1408" s="15">
        <v>139.72</v>
      </c>
      <c r="J1408" s="16"/>
      <c r="K1408" s="17">
        <v>13972</v>
      </c>
      <c r="L1408" s="18">
        <v>46154</v>
      </c>
      <c r="M1408" s="6" t="str">
        <f t="shared" si="63"/>
        <v>Schedule order</v>
      </c>
      <c r="N1408" s="8">
        <f t="shared" ca="1" si="64"/>
        <v>-1</v>
      </c>
      <c r="O1408" s="8" t="str">
        <f t="shared" ca="1" si="65"/>
        <v>With in 90 days</v>
      </c>
      <c r="P1408" t="str">
        <f>VLOOKUP(C1408,[1]Customer_Master!$A:$B,2,0)</f>
        <v>Group 1-Giridhar-Peenya</v>
      </c>
      <c r="Q1408" t="str">
        <f>VLOOKUP(D1408,[2]Template!$A:$D,3,0)</f>
        <v>LAPP</v>
      </c>
      <c r="R1408" t="str">
        <f>VLOOKUP(D1408,[2]Template!$A:$D,4,0)</f>
        <v>Lapp-Planned Stock General</v>
      </c>
    </row>
    <row r="1409" spans="1:18" ht="13.5" customHeight="1" x14ac:dyDescent="0.25">
      <c r="A1409" s="9">
        <v>46154</v>
      </c>
      <c r="B1409" s="10" t="s">
        <v>1753</v>
      </c>
      <c r="C1409" s="11" t="s">
        <v>511</v>
      </c>
      <c r="D1409" s="10" t="s">
        <v>337</v>
      </c>
      <c r="E1409" s="12" t="s">
        <v>1072</v>
      </c>
      <c r="F1409" s="12" t="s">
        <v>118</v>
      </c>
      <c r="G1409" s="13">
        <v>1500</v>
      </c>
      <c r="H1409" s="14">
        <v>1500</v>
      </c>
      <c r="I1409" s="15">
        <v>25.28</v>
      </c>
      <c r="J1409" s="16"/>
      <c r="K1409" s="17">
        <v>37920</v>
      </c>
      <c r="L1409" s="18">
        <v>46154</v>
      </c>
      <c r="M1409" s="6" t="str">
        <f t="shared" si="63"/>
        <v>Schedule order</v>
      </c>
      <c r="N1409" s="8">
        <f t="shared" ca="1" si="64"/>
        <v>-1</v>
      </c>
      <c r="O1409" s="8" t="str">
        <f t="shared" ca="1" si="65"/>
        <v>With in 90 days</v>
      </c>
      <c r="P1409" t="str">
        <f>VLOOKUP(C1409,[1]Customer_Master!$A:$B,2,0)</f>
        <v>Group 1-Giridhar-Peenya</v>
      </c>
      <c r="Q1409" t="str">
        <f>VLOOKUP(D1409,[2]Template!$A:$D,3,0)</f>
        <v>LAPP</v>
      </c>
      <c r="R1409" t="str">
        <f>VLOOKUP(D1409,[2]Template!$A:$D,4,0)</f>
        <v>Lapp-Ace Group</v>
      </c>
    </row>
    <row r="1410" spans="1:18" ht="13.5" customHeight="1" x14ac:dyDescent="0.25">
      <c r="A1410" s="9">
        <v>46154</v>
      </c>
      <c r="B1410" s="10" t="s">
        <v>1753</v>
      </c>
      <c r="C1410" s="11" t="s">
        <v>511</v>
      </c>
      <c r="D1410" s="10" t="s">
        <v>558</v>
      </c>
      <c r="E1410" s="12" t="s">
        <v>1072</v>
      </c>
      <c r="F1410" s="12" t="s">
        <v>559</v>
      </c>
      <c r="G1410" s="13">
        <v>1500</v>
      </c>
      <c r="H1410" s="14">
        <v>1500</v>
      </c>
      <c r="I1410" s="15">
        <v>23.17</v>
      </c>
      <c r="J1410" s="16"/>
      <c r="K1410" s="17">
        <v>34755</v>
      </c>
      <c r="L1410" s="18">
        <v>46154</v>
      </c>
      <c r="M1410" s="6" t="str">
        <f t="shared" si="63"/>
        <v>Schedule order</v>
      </c>
      <c r="N1410" s="8">
        <f t="shared" ca="1" si="64"/>
        <v>-1</v>
      </c>
      <c r="O1410" s="8" t="str">
        <f t="shared" ca="1" si="65"/>
        <v>With in 90 days</v>
      </c>
      <c r="P1410" t="str">
        <f>VLOOKUP(C1410,[1]Customer_Master!$A:$B,2,0)</f>
        <v>Group 1-Giridhar-Peenya</v>
      </c>
      <c r="Q1410" t="str">
        <f>VLOOKUP(D1410,[2]Template!$A:$D,3,0)</f>
        <v>LAPP</v>
      </c>
      <c r="R1410" t="str">
        <f>VLOOKUP(D1410,[2]Template!$A:$D,4,0)</f>
        <v>Lapp-Ace Group</v>
      </c>
    </row>
    <row r="1411" spans="1:18" ht="13.5" customHeight="1" x14ac:dyDescent="0.25">
      <c r="A1411" s="9">
        <v>46154</v>
      </c>
      <c r="B1411" s="10" t="s">
        <v>1754</v>
      </c>
      <c r="C1411" s="11" t="s">
        <v>98</v>
      </c>
      <c r="D1411" s="27" t="s">
        <v>839</v>
      </c>
      <c r="E1411" s="12" t="s">
        <v>1072</v>
      </c>
      <c r="F1411" s="12" t="s">
        <v>840</v>
      </c>
      <c r="G1411" s="19">
        <v>16</v>
      </c>
      <c r="H1411" s="20">
        <v>16</v>
      </c>
      <c r="I1411" s="15">
        <v>56.32</v>
      </c>
      <c r="J1411" s="16"/>
      <c r="K1411" s="17">
        <v>901.12</v>
      </c>
      <c r="L1411" s="18">
        <v>46154</v>
      </c>
      <c r="M1411" s="6" t="str">
        <f t="shared" ref="M1411:M1447" si="66">IF(L1411&lt;DATE(2026,4,30),"Due order","Schedule order")</f>
        <v>Schedule order</v>
      </c>
      <c r="N1411" s="8">
        <f t="shared" ref="N1411:N1425" ca="1" si="67">L1411-TODAY()</f>
        <v>-1</v>
      </c>
      <c r="O1411" s="8" t="str">
        <f t="shared" ref="O1411:O1425" ca="1" si="68">IF(N1411&lt;-365,"More than 1 Year old",IF(N1411&lt;-180," More than 180 days old",IF(N1411&lt;-90,"More than 90 day old",IF(N1411&lt;0,"With in 90 days","Lattest or shedule order"))))</f>
        <v>With in 90 days</v>
      </c>
      <c r="P1411" t="str">
        <f>VLOOKUP(C1411,[1]Customer_Master!$A:$B,2,0)</f>
        <v>Group - 5 (Ananthapadmanabha)</v>
      </c>
      <c r="Q1411" t="str">
        <f>VLOOKUP(D1411,[2]Template!$A:$D,3,0)</f>
        <v>LAPP</v>
      </c>
      <c r="R1411" t="str">
        <f>VLOOKUP(D1411,[2]Template!$A:$D,4,0)</f>
        <v>Lapp-Non Moving Stocks</v>
      </c>
    </row>
    <row r="1412" spans="1:18" ht="13.5" customHeight="1" x14ac:dyDescent="0.25">
      <c r="A1412" s="9">
        <v>46154</v>
      </c>
      <c r="B1412" s="10" t="s">
        <v>1754</v>
      </c>
      <c r="C1412" s="11" t="s">
        <v>98</v>
      </c>
      <c r="D1412" s="10" t="s">
        <v>1755</v>
      </c>
      <c r="E1412" s="12" t="s">
        <v>1072</v>
      </c>
      <c r="F1412" s="12" t="s">
        <v>1756</v>
      </c>
      <c r="G1412" s="22">
        <v>2</v>
      </c>
      <c r="H1412" s="23">
        <v>2</v>
      </c>
      <c r="I1412" s="15">
        <v>17.68</v>
      </c>
      <c r="J1412" s="16"/>
      <c r="K1412" s="17">
        <v>35.36</v>
      </c>
      <c r="L1412" s="18">
        <v>46154</v>
      </c>
      <c r="M1412" s="6" t="str">
        <f t="shared" si="66"/>
        <v>Schedule order</v>
      </c>
      <c r="N1412" s="8">
        <f t="shared" ca="1" si="67"/>
        <v>-1</v>
      </c>
      <c r="O1412" s="8" t="str">
        <f t="shared" ca="1" si="68"/>
        <v>With in 90 days</v>
      </c>
      <c r="P1412" t="str">
        <f>VLOOKUP(C1412,[1]Customer_Master!$A:$B,2,0)</f>
        <v>Group - 5 (Ananthapadmanabha)</v>
      </c>
      <c r="Q1412" t="str">
        <f>VLOOKUP(D1412,[2]Template!$A:$D,3,0)</f>
        <v>LAPP</v>
      </c>
      <c r="R1412" t="str">
        <f>VLOOKUP(D1412,[2]Template!$A:$D,4,0)</f>
        <v>Lapp-Non Moving Stocks</v>
      </c>
    </row>
    <row r="1413" spans="1:18" ht="13.5" customHeight="1" x14ac:dyDescent="0.25">
      <c r="A1413" s="9">
        <v>46154</v>
      </c>
      <c r="B1413" s="10" t="s">
        <v>1754</v>
      </c>
      <c r="C1413" s="11" t="s">
        <v>98</v>
      </c>
      <c r="D1413" s="10" t="s">
        <v>1757</v>
      </c>
      <c r="E1413" s="12" t="s">
        <v>1072</v>
      </c>
      <c r="F1413" s="12" t="s">
        <v>1758</v>
      </c>
      <c r="G1413" s="22">
        <v>16</v>
      </c>
      <c r="H1413" s="23">
        <v>16</v>
      </c>
      <c r="I1413" s="15">
        <v>390.37</v>
      </c>
      <c r="J1413" s="16"/>
      <c r="K1413" s="17">
        <v>6245.92</v>
      </c>
      <c r="L1413" s="18">
        <v>46154</v>
      </c>
      <c r="M1413" s="6" t="str">
        <f t="shared" si="66"/>
        <v>Schedule order</v>
      </c>
      <c r="N1413" s="8">
        <f t="shared" ca="1" si="67"/>
        <v>-1</v>
      </c>
      <c r="O1413" s="8" t="str">
        <f t="shared" ca="1" si="68"/>
        <v>With in 90 days</v>
      </c>
      <c r="P1413" t="str">
        <f>VLOOKUP(C1413,[1]Customer_Master!$A:$B,2,0)</f>
        <v>Group - 5 (Ananthapadmanabha)</v>
      </c>
      <c r="Q1413" t="str">
        <f>VLOOKUP(D1413,[2]Template!$A:$D,3,0)</f>
        <v>LAPP</v>
      </c>
      <c r="R1413" t="str">
        <f>VLOOKUP(D1413,[2]Template!$A:$D,4,0)</f>
        <v>Lapp-Non Moving Stocks</v>
      </c>
    </row>
    <row r="1414" spans="1:18" ht="13.5" customHeight="1" x14ac:dyDescent="0.25">
      <c r="A1414" s="9">
        <v>46154</v>
      </c>
      <c r="B1414" s="10" t="s">
        <v>1754</v>
      </c>
      <c r="C1414" s="11" t="s">
        <v>98</v>
      </c>
      <c r="D1414" s="10" t="s">
        <v>1279</v>
      </c>
      <c r="E1414" s="12" t="s">
        <v>1072</v>
      </c>
      <c r="F1414" s="12" t="s">
        <v>1280</v>
      </c>
      <c r="G1414" s="22">
        <v>2</v>
      </c>
      <c r="H1414" s="23">
        <v>2</v>
      </c>
      <c r="I1414" s="15">
        <v>136.79</v>
      </c>
      <c r="J1414" s="16"/>
      <c r="K1414" s="17">
        <v>273.58</v>
      </c>
      <c r="L1414" s="18">
        <v>46154</v>
      </c>
      <c r="M1414" s="6" t="str">
        <f t="shared" si="66"/>
        <v>Schedule order</v>
      </c>
      <c r="N1414" s="8">
        <f t="shared" ca="1" si="67"/>
        <v>-1</v>
      </c>
      <c r="O1414" s="8" t="str">
        <f t="shared" ca="1" si="68"/>
        <v>With in 90 days</v>
      </c>
      <c r="P1414" t="str">
        <f>VLOOKUP(C1414,[1]Customer_Master!$A:$B,2,0)</f>
        <v>Group - 5 (Ananthapadmanabha)</v>
      </c>
      <c r="Q1414" t="str">
        <f>VLOOKUP(D1414,[2]Template!$A:$D,3,0)</f>
        <v>LAPP</v>
      </c>
      <c r="R1414" t="str">
        <f>VLOOKUP(D1414,[2]Template!$A:$D,4,0)</f>
        <v>Lapp-Non Moving Stocks</v>
      </c>
    </row>
    <row r="1415" spans="1:18" ht="13.5" customHeight="1" x14ac:dyDescent="0.25">
      <c r="A1415" s="9">
        <v>46154</v>
      </c>
      <c r="B1415" s="10" t="s">
        <v>1754</v>
      </c>
      <c r="C1415" s="11" t="s">
        <v>98</v>
      </c>
      <c r="D1415" s="10" t="s">
        <v>874</v>
      </c>
      <c r="E1415" s="12" t="s">
        <v>1072</v>
      </c>
      <c r="F1415" s="12" t="s">
        <v>875</v>
      </c>
      <c r="G1415" s="19">
        <v>2</v>
      </c>
      <c r="H1415" s="20">
        <v>2</v>
      </c>
      <c r="I1415" s="15">
        <v>15.49</v>
      </c>
      <c r="J1415" s="16"/>
      <c r="K1415" s="17">
        <v>30.98</v>
      </c>
      <c r="L1415" s="18">
        <v>46154</v>
      </c>
      <c r="M1415" s="6" t="str">
        <f t="shared" si="66"/>
        <v>Schedule order</v>
      </c>
      <c r="N1415" s="8">
        <f t="shared" ca="1" si="67"/>
        <v>-1</v>
      </c>
      <c r="O1415" s="8" t="str">
        <f t="shared" ca="1" si="68"/>
        <v>With in 90 days</v>
      </c>
      <c r="P1415" t="str">
        <f>VLOOKUP(C1415,[1]Customer_Master!$A:$B,2,0)</f>
        <v>Group - 5 (Ananthapadmanabha)</v>
      </c>
      <c r="Q1415" t="str">
        <f>VLOOKUP(D1415,[2]Template!$A:$D,3,0)</f>
        <v>LAPP</v>
      </c>
      <c r="R1415" t="str">
        <f>VLOOKUP(D1415,[2]Template!$A:$D,4,0)</f>
        <v>Lapp-Against Customer PO</v>
      </c>
    </row>
    <row r="1416" spans="1:18" ht="13.5" customHeight="1" x14ac:dyDescent="0.25">
      <c r="A1416" s="9">
        <v>46154</v>
      </c>
      <c r="B1416" s="10" t="s">
        <v>1754</v>
      </c>
      <c r="C1416" s="11" t="s">
        <v>98</v>
      </c>
      <c r="D1416" s="10" t="s">
        <v>1759</v>
      </c>
      <c r="E1416" s="12" t="s">
        <v>1072</v>
      </c>
      <c r="F1416" s="12" t="s">
        <v>1760</v>
      </c>
      <c r="G1416" s="22">
        <v>2</v>
      </c>
      <c r="H1416" s="23">
        <v>2</v>
      </c>
      <c r="I1416" s="15">
        <v>185.22</v>
      </c>
      <c r="J1416" s="16"/>
      <c r="K1416" s="17">
        <v>370.44</v>
      </c>
      <c r="L1416" s="18">
        <v>46154</v>
      </c>
      <c r="M1416" s="6" t="str">
        <f t="shared" si="66"/>
        <v>Schedule order</v>
      </c>
      <c r="N1416" s="8">
        <f t="shared" ca="1" si="67"/>
        <v>-1</v>
      </c>
      <c r="O1416" s="8" t="str">
        <f t="shared" ca="1" si="68"/>
        <v>With in 90 days</v>
      </c>
      <c r="P1416" t="str">
        <f>VLOOKUP(C1416,[1]Customer_Master!$A:$B,2,0)</f>
        <v>Group - 5 (Ananthapadmanabha)</v>
      </c>
      <c r="Q1416" t="str">
        <f>VLOOKUP(D1416,[2]Template!$A:$D,3,0)</f>
        <v>LAPP</v>
      </c>
      <c r="R1416" t="str">
        <f>VLOOKUP(D1416,[2]Template!$A:$D,4,0)</f>
        <v>Lapp-Non Moving Stocks</v>
      </c>
    </row>
    <row r="1417" spans="1:18" ht="13.5" customHeight="1" x14ac:dyDescent="0.25">
      <c r="A1417" s="9">
        <v>46154</v>
      </c>
      <c r="B1417" s="10" t="s">
        <v>1761</v>
      </c>
      <c r="C1417" s="11" t="s">
        <v>1762</v>
      </c>
      <c r="D1417" s="10" t="s">
        <v>363</v>
      </c>
      <c r="E1417" s="12" t="s">
        <v>1072</v>
      </c>
      <c r="F1417" s="12" t="s">
        <v>114</v>
      </c>
      <c r="G1417" s="13">
        <v>50</v>
      </c>
      <c r="H1417" s="14">
        <v>50</v>
      </c>
      <c r="I1417" s="15">
        <v>240.85</v>
      </c>
      <c r="J1417" s="16"/>
      <c r="K1417" s="17">
        <v>12042.5</v>
      </c>
      <c r="L1417" s="18">
        <v>46154</v>
      </c>
      <c r="M1417" s="6" t="str">
        <f t="shared" si="66"/>
        <v>Schedule order</v>
      </c>
      <c r="N1417" s="8">
        <f t="shared" ca="1" si="67"/>
        <v>-1</v>
      </c>
      <c r="O1417" s="8" t="str">
        <f t="shared" ca="1" si="68"/>
        <v>With in 90 days</v>
      </c>
      <c r="P1417" t="str">
        <f>VLOOKUP(C1417,[1]Customer_Master!$A:$B,2,0)</f>
        <v>Group 1-Giridhar-Peenya</v>
      </c>
      <c r="Q1417" t="str">
        <f>VLOOKUP(D1417,[2]Template!$A:$D,3,0)</f>
        <v>LAPP</v>
      </c>
      <c r="R1417" t="str">
        <f>VLOOKUP(D1417,[2]Template!$A:$D,4,0)</f>
        <v>Lapp-Planned Stock General</v>
      </c>
    </row>
    <row r="1418" spans="1:18" ht="13.5" customHeight="1" x14ac:dyDescent="0.25">
      <c r="A1418" s="9">
        <v>46155</v>
      </c>
      <c r="B1418" s="10" t="s">
        <v>1763</v>
      </c>
      <c r="C1418" s="11" t="s">
        <v>1614</v>
      </c>
      <c r="D1418" s="10" t="s">
        <v>1633</v>
      </c>
      <c r="E1418" s="26" t="s">
        <v>1764</v>
      </c>
      <c r="F1418" s="12" t="s">
        <v>1634</v>
      </c>
      <c r="G1418" s="13">
        <v>200</v>
      </c>
      <c r="H1418" s="14">
        <v>200</v>
      </c>
      <c r="I1418" s="15">
        <v>149.69</v>
      </c>
      <c r="J1418" s="16"/>
      <c r="K1418" s="17">
        <v>29938</v>
      </c>
      <c r="L1418" s="18">
        <v>46155</v>
      </c>
      <c r="M1418" s="6" t="str">
        <f t="shared" si="66"/>
        <v>Schedule order</v>
      </c>
      <c r="N1418" s="8">
        <f t="shared" ca="1" si="67"/>
        <v>0</v>
      </c>
      <c r="O1418" s="8" t="str">
        <f t="shared" ca="1" si="68"/>
        <v>Lattest or shedule order</v>
      </c>
      <c r="P1418" t="str">
        <f>VLOOKUP(C1418,[1]Customer_Master!$A:$B,2,0)</f>
        <v>Group 1-Giridhar-Peenya</v>
      </c>
      <c r="Q1418" t="str">
        <f>VLOOKUP(D1418,[2]Template!$A:$D,3,0)</f>
        <v>LAPP</v>
      </c>
      <c r="R1418" t="str">
        <f>VLOOKUP(D1418,[2]Template!$A:$D,4,0)</f>
        <v>Lapp-Ace Group</v>
      </c>
    </row>
    <row r="1419" spans="1:18" ht="13.5" customHeight="1" x14ac:dyDescent="0.25">
      <c r="A1419" s="9">
        <v>46155</v>
      </c>
      <c r="B1419" s="10" t="s">
        <v>1765</v>
      </c>
      <c r="C1419" s="11" t="s">
        <v>1766</v>
      </c>
      <c r="D1419" s="27" t="s">
        <v>1373</v>
      </c>
      <c r="E1419" s="12" t="s">
        <v>1072</v>
      </c>
      <c r="F1419" s="12" t="s">
        <v>1374</v>
      </c>
      <c r="G1419" s="13">
        <v>700</v>
      </c>
      <c r="H1419" s="14">
        <v>700</v>
      </c>
      <c r="I1419" s="15">
        <v>82.4</v>
      </c>
      <c r="J1419" s="16"/>
      <c r="K1419" s="17">
        <v>57680</v>
      </c>
      <c r="L1419" s="18">
        <v>46173</v>
      </c>
      <c r="M1419" s="6" t="str">
        <f t="shared" si="66"/>
        <v>Schedule order</v>
      </c>
      <c r="N1419" s="8">
        <f t="shared" ca="1" si="67"/>
        <v>18</v>
      </c>
      <c r="O1419" s="8" t="str">
        <f t="shared" ca="1" si="68"/>
        <v>Lattest or shedule order</v>
      </c>
      <c r="P1419" t="str">
        <f>VLOOKUP(C1419,[1]Customer_Master!$A:$B,2,0)</f>
        <v>Group 1-Giridhar-Peenya</v>
      </c>
      <c r="Q1419" t="str">
        <f>VLOOKUP(D1419,[2]Template!$A:$D,3,0)</f>
        <v>LAPP</v>
      </c>
      <c r="R1419" t="str">
        <f>VLOOKUP(D1419,[2]Template!$A:$D,4,0)</f>
        <v>Lapp-Non Moving Stocks</v>
      </c>
    </row>
    <row r="1420" spans="1:18" ht="13.5" customHeight="1" x14ac:dyDescent="0.25">
      <c r="A1420" s="9">
        <v>46155</v>
      </c>
      <c r="B1420" s="10" t="s">
        <v>1765</v>
      </c>
      <c r="C1420" s="11" t="s">
        <v>1766</v>
      </c>
      <c r="D1420" s="27" t="s">
        <v>1373</v>
      </c>
      <c r="E1420" s="12" t="s">
        <v>1072</v>
      </c>
      <c r="F1420" s="12" t="s">
        <v>1374</v>
      </c>
      <c r="G1420" s="13">
        <v>700</v>
      </c>
      <c r="H1420" s="14">
        <v>700</v>
      </c>
      <c r="I1420" s="15">
        <v>82.4</v>
      </c>
      <c r="J1420" s="16"/>
      <c r="K1420" s="17">
        <v>57680</v>
      </c>
      <c r="L1420" s="18">
        <v>46203</v>
      </c>
      <c r="M1420" s="6" t="str">
        <f t="shared" si="66"/>
        <v>Schedule order</v>
      </c>
      <c r="N1420" s="8">
        <f t="shared" ca="1" si="67"/>
        <v>48</v>
      </c>
      <c r="O1420" s="8" t="str">
        <f t="shared" ca="1" si="68"/>
        <v>Lattest or shedule order</v>
      </c>
      <c r="P1420" t="str">
        <f>VLOOKUP(C1420,[1]Customer_Master!$A:$B,2,0)</f>
        <v>Group 1-Giridhar-Peenya</v>
      </c>
      <c r="Q1420" t="str">
        <f>VLOOKUP(D1420,[2]Template!$A:$D,3,0)</f>
        <v>LAPP</v>
      </c>
      <c r="R1420" t="str">
        <f>VLOOKUP(D1420,[2]Template!$A:$D,4,0)</f>
        <v>Lapp-Non Moving Stocks</v>
      </c>
    </row>
    <row r="1421" spans="1:18" ht="13.5" customHeight="1" x14ac:dyDescent="0.25">
      <c r="A1421" s="9">
        <v>46155</v>
      </c>
      <c r="B1421" s="10" t="s">
        <v>1765</v>
      </c>
      <c r="C1421" s="11" t="s">
        <v>1766</v>
      </c>
      <c r="D1421" s="27" t="s">
        <v>1373</v>
      </c>
      <c r="E1421" s="12" t="s">
        <v>1072</v>
      </c>
      <c r="F1421" s="12" t="s">
        <v>1374</v>
      </c>
      <c r="G1421" s="13">
        <v>700</v>
      </c>
      <c r="H1421" s="14">
        <v>700</v>
      </c>
      <c r="I1421" s="15">
        <v>82.4</v>
      </c>
      <c r="J1421" s="16"/>
      <c r="K1421" s="17">
        <v>57680</v>
      </c>
      <c r="L1421" s="18">
        <v>46234</v>
      </c>
      <c r="M1421" s="6" t="str">
        <f t="shared" si="66"/>
        <v>Schedule order</v>
      </c>
      <c r="N1421" s="8">
        <f t="shared" ca="1" si="67"/>
        <v>79</v>
      </c>
      <c r="O1421" s="8" t="str">
        <f t="shared" ca="1" si="68"/>
        <v>Lattest or shedule order</v>
      </c>
      <c r="P1421" t="str">
        <f>VLOOKUP(C1421,[1]Customer_Master!$A:$B,2,0)</f>
        <v>Group 1-Giridhar-Peenya</v>
      </c>
      <c r="Q1421" t="str">
        <f>VLOOKUP(D1421,[2]Template!$A:$D,3,0)</f>
        <v>LAPP</v>
      </c>
      <c r="R1421" t="str">
        <f>VLOOKUP(D1421,[2]Template!$A:$D,4,0)</f>
        <v>Lapp-Non Moving Stocks</v>
      </c>
    </row>
    <row r="1422" spans="1:18" ht="13.5" customHeight="1" x14ac:dyDescent="0.25">
      <c r="A1422" s="9">
        <v>46155</v>
      </c>
      <c r="B1422" s="10" t="s">
        <v>1765</v>
      </c>
      <c r="C1422" s="11" t="s">
        <v>1766</v>
      </c>
      <c r="D1422" s="27" t="s">
        <v>1767</v>
      </c>
      <c r="E1422" s="12" t="s">
        <v>1072</v>
      </c>
      <c r="F1422" s="12" t="s">
        <v>1768</v>
      </c>
      <c r="G1422" s="13">
        <v>400</v>
      </c>
      <c r="H1422" s="14">
        <v>400</v>
      </c>
      <c r="I1422" s="15">
        <v>97.34</v>
      </c>
      <c r="J1422" s="16"/>
      <c r="K1422" s="17">
        <v>38936</v>
      </c>
      <c r="L1422" s="18">
        <v>46173</v>
      </c>
      <c r="M1422" s="6" t="str">
        <f t="shared" si="66"/>
        <v>Schedule order</v>
      </c>
      <c r="N1422" s="8">
        <f t="shared" ca="1" si="67"/>
        <v>18</v>
      </c>
      <c r="O1422" s="8" t="str">
        <f t="shared" ca="1" si="68"/>
        <v>Lattest or shedule order</v>
      </c>
      <c r="P1422" t="str">
        <f>VLOOKUP(C1422,[1]Customer_Master!$A:$B,2,0)</f>
        <v>Group 1-Giridhar-Peenya</v>
      </c>
      <c r="Q1422" t="str">
        <f>VLOOKUP(D1422,[2]Template!$A:$D,3,0)</f>
        <v>LAPP</v>
      </c>
      <c r="R1422" t="str">
        <f>VLOOKUP(D1422,[2]Template!$A:$D,4,0)</f>
        <v>Lapp-Non Moving Stocks</v>
      </c>
    </row>
    <row r="1423" spans="1:18" ht="13.5" customHeight="1" x14ac:dyDescent="0.25">
      <c r="A1423" s="9">
        <v>46155</v>
      </c>
      <c r="B1423" s="10" t="s">
        <v>1765</v>
      </c>
      <c r="C1423" s="11" t="s">
        <v>1766</v>
      </c>
      <c r="D1423" s="27" t="s">
        <v>1767</v>
      </c>
      <c r="E1423" s="12" t="s">
        <v>1072</v>
      </c>
      <c r="F1423" s="12" t="s">
        <v>1768</v>
      </c>
      <c r="G1423" s="13">
        <v>400</v>
      </c>
      <c r="H1423" s="14">
        <v>400</v>
      </c>
      <c r="I1423" s="15">
        <v>97.34</v>
      </c>
      <c r="J1423" s="16"/>
      <c r="K1423" s="17">
        <v>38936</v>
      </c>
      <c r="L1423" s="18">
        <v>46203</v>
      </c>
      <c r="M1423" s="6" t="str">
        <f t="shared" si="66"/>
        <v>Schedule order</v>
      </c>
      <c r="N1423" s="8">
        <f t="shared" ca="1" si="67"/>
        <v>48</v>
      </c>
      <c r="O1423" s="8" t="str">
        <f t="shared" ca="1" si="68"/>
        <v>Lattest or shedule order</v>
      </c>
      <c r="P1423" t="str">
        <f>VLOOKUP(C1423,[1]Customer_Master!$A:$B,2,0)</f>
        <v>Group 1-Giridhar-Peenya</v>
      </c>
      <c r="Q1423" t="str">
        <f>VLOOKUP(D1423,[2]Template!$A:$D,3,0)</f>
        <v>LAPP</v>
      </c>
      <c r="R1423" t="str">
        <f>VLOOKUP(D1423,[2]Template!$A:$D,4,0)</f>
        <v>Lapp-Non Moving Stocks</v>
      </c>
    </row>
    <row r="1424" spans="1:18" ht="13.5" customHeight="1" x14ac:dyDescent="0.25">
      <c r="A1424" s="9">
        <v>46155</v>
      </c>
      <c r="B1424" s="10" t="s">
        <v>1765</v>
      </c>
      <c r="C1424" s="11" t="s">
        <v>1766</v>
      </c>
      <c r="D1424" s="27" t="s">
        <v>1767</v>
      </c>
      <c r="E1424" s="12" t="s">
        <v>1072</v>
      </c>
      <c r="F1424" s="12" t="s">
        <v>1768</v>
      </c>
      <c r="G1424" s="13">
        <v>400</v>
      </c>
      <c r="H1424" s="14">
        <v>400</v>
      </c>
      <c r="I1424" s="15">
        <v>97.34</v>
      </c>
      <c r="J1424" s="16"/>
      <c r="K1424" s="17">
        <v>38936</v>
      </c>
      <c r="L1424" s="18">
        <v>46234</v>
      </c>
      <c r="M1424" s="6" t="str">
        <f t="shared" si="66"/>
        <v>Schedule order</v>
      </c>
      <c r="N1424" s="8">
        <f t="shared" ca="1" si="67"/>
        <v>79</v>
      </c>
      <c r="O1424" s="8" t="str">
        <f t="shared" ca="1" si="68"/>
        <v>Lattest or shedule order</v>
      </c>
      <c r="P1424" t="str">
        <f>VLOOKUP(C1424,[1]Customer_Master!$A:$B,2,0)</f>
        <v>Group 1-Giridhar-Peenya</v>
      </c>
      <c r="Q1424" t="str">
        <f>VLOOKUP(D1424,[2]Template!$A:$D,3,0)</f>
        <v>LAPP</v>
      </c>
      <c r="R1424" t="str">
        <f>VLOOKUP(D1424,[2]Template!$A:$D,4,0)</f>
        <v>Lapp-Non Moving Stocks</v>
      </c>
    </row>
    <row r="1425" spans="1:18" ht="13.5" customHeight="1" x14ac:dyDescent="0.25">
      <c r="A1425" s="9">
        <v>46155</v>
      </c>
      <c r="B1425" s="10" t="s">
        <v>1765</v>
      </c>
      <c r="C1425" s="11" t="s">
        <v>1766</v>
      </c>
      <c r="D1425" s="27" t="s">
        <v>1769</v>
      </c>
      <c r="E1425" s="12" t="s">
        <v>1072</v>
      </c>
      <c r="F1425" s="12" t="s">
        <v>1770</v>
      </c>
      <c r="G1425" s="13">
        <v>50</v>
      </c>
      <c r="H1425" s="14">
        <v>50</v>
      </c>
      <c r="I1425" s="15">
        <v>154.30000000000001</v>
      </c>
      <c r="J1425" s="16"/>
      <c r="K1425" s="17">
        <v>7715</v>
      </c>
      <c r="L1425" s="18">
        <v>46173</v>
      </c>
      <c r="M1425" s="6" t="str">
        <f t="shared" si="66"/>
        <v>Schedule order</v>
      </c>
      <c r="N1425" s="8">
        <f t="shared" ca="1" si="67"/>
        <v>18</v>
      </c>
      <c r="O1425" s="8" t="str">
        <f t="shared" ca="1" si="68"/>
        <v>Lattest or shedule order</v>
      </c>
      <c r="P1425" t="str">
        <f>VLOOKUP(C1425,[1]Customer_Master!$A:$B,2,0)</f>
        <v>Group 1-Giridhar-Peenya</v>
      </c>
      <c r="Q1425" t="str">
        <f>VLOOKUP(D1425,[2]Template!$A:$D,3,0)</f>
        <v>LAPP</v>
      </c>
      <c r="R1425" t="str">
        <f>VLOOKUP(D1425,[2]Template!$A:$D,4,0)</f>
        <v>Lapp-Non Moving Stocks</v>
      </c>
    </row>
    <row r="1426" spans="1:18" ht="13.5" customHeight="1" x14ac:dyDescent="0.25">
      <c r="A1426" s="9">
        <v>46155</v>
      </c>
      <c r="B1426" s="10" t="s">
        <v>1765</v>
      </c>
      <c r="C1426" s="11" t="s">
        <v>1766</v>
      </c>
      <c r="D1426" s="27" t="s">
        <v>1769</v>
      </c>
      <c r="E1426" s="12" t="s">
        <v>1072</v>
      </c>
      <c r="F1426" s="12" t="s">
        <v>1770</v>
      </c>
      <c r="G1426" s="13">
        <v>50</v>
      </c>
      <c r="H1426" s="14">
        <v>50</v>
      </c>
      <c r="I1426" s="15">
        <v>154.30000000000001</v>
      </c>
      <c r="J1426" s="16"/>
      <c r="K1426" s="17">
        <v>7715</v>
      </c>
      <c r="L1426" s="18">
        <v>46203</v>
      </c>
      <c r="M1426" s="6" t="str">
        <f t="shared" si="66"/>
        <v>Schedule order</v>
      </c>
      <c r="N1426" s="8">
        <f t="shared" ref="N1426:N1447" ca="1" si="69">L1426-TODAY()</f>
        <v>48</v>
      </c>
      <c r="O1426" s="8" t="str">
        <f t="shared" ref="O1426:O1447" ca="1" si="70">IF(N1426&lt;-365,"More than 1 Year old",IF(N1426&lt;-180," More than 180 days old",IF(N1426&lt;-90,"More than 90 day old",IF(N1426&lt;0,"With in 90 days","Lattest or shedule order"))))</f>
        <v>Lattest or shedule order</v>
      </c>
      <c r="P1426" t="str">
        <f>VLOOKUP(C1426,[1]Customer_Master!$A:$B,2,0)</f>
        <v>Group 1-Giridhar-Peenya</v>
      </c>
      <c r="Q1426" t="str">
        <f>VLOOKUP(D1426,[2]Template!$A:$D,3,0)</f>
        <v>LAPP</v>
      </c>
      <c r="R1426" t="str">
        <f>VLOOKUP(D1426,[2]Template!$A:$D,4,0)</f>
        <v>Lapp-Non Moving Stocks</v>
      </c>
    </row>
    <row r="1427" spans="1:18" ht="13.5" customHeight="1" x14ac:dyDescent="0.25">
      <c r="A1427" s="9">
        <v>46155</v>
      </c>
      <c r="B1427" s="10" t="s">
        <v>1765</v>
      </c>
      <c r="C1427" s="11" t="s">
        <v>1766</v>
      </c>
      <c r="D1427" s="27" t="s">
        <v>1769</v>
      </c>
      <c r="E1427" s="12" t="s">
        <v>1072</v>
      </c>
      <c r="F1427" s="12" t="s">
        <v>1770</v>
      </c>
      <c r="G1427" s="13">
        <v>50</v>
      </c>
      <c r="H1427" s="14">
        <v>50</v>
      </c>
      <c r="I1427" s="15">
        <v>154.30000000000001</v>
      </c>
      <c r="J1427" s="16"/>
      <c r="K1427" s="17">
        <v>7715</v>
      </c>
      <c r="L1427" s="18">
        <v>46234</v>
      </c>
      <c r="M1427" s="6" t="str">
        <f t="shared" si="66"/>
        <v>Schedule order</v>
      </c>
      <c r="N1427" s="8">
        <f t="shared" ca="1" si="69"/>
        <v>79</v>
      </c>
      <c r="O1427" s="8" t="str">
        <f t="shared" ca="1" si="70"/>
        <v>Lattest or shedule order</v>
      </c>
      <c r="P1427" t="str">
        <f>VLOOKUP(C1427,[1]Customer_Master!$A:$B,2,0)</f>
        <v>Group 1-Giridhar-Peenya</v>
      </c>
      <c r="Q1427" t="str">
        <f>VLOOKUP(D1427,[2]Template!$A:$D,3,0)</f>
        <v>LAPP</v>
      </c>
      <c r="R1427" t="str">
        <f>VLOOKUP(D1427,[2]Template!$A:$D,4,0)</f>
        <v>Lapp-Non Moving Stocks</v>
      </c>
    </row>
    <row r="1428" spans="1:18" ht="13.5" customHeight="1" x14ac:dyDescent="0.25">
      <c r="A1428" s="9">
        <v>46155</v>
      </c>
      <c r="B1428" s="10" t="s">
        <v>1765</v>
      </c>
      <c r="C1428" s="11" t="s">
        <v>1766</v>
      </c>
      <c r="D1428" s="27" t="s">
        <v>899</v>
      </c>
      <c r="E1428" s="12" t="s">
        <v>1072</v>
      </c>
      <c r="F1428" s="12" t="s">
        <v>900</v>
      </c>
      <c r="G1428" s="13">
        <v>300</v>
      </c>
      <c r="H1428" s="14">
        <v>300</v>
      </c>
      <c r="I1428" s="15">
        <v>168.44</v>
      </c>
      <c r="J1428" s="16"/>
      <c r="K1428" s="17">
        <v>50532</v>
      </c>
      <c r="L1428" s="18">
        <v>46173</v>
      </c>
      <c r="M1428" s="6" t="str">
        <f t="shared" si="66"/>
        <v>Schedule order</v>
      </c>
      <c r="N1428" s="8">
        <f t="shared" ca="1" si="69"/>
        <v>18</v>
      </c>
      <c r="O1428" s="8" t="str">
        <f t="shared" ca="1" si="70"/>
        <v>Lattest or shedule order</v>
      </c>
      <c r="P1428" t="str">
        <f>VLOOKUP(C1428,[1]Customer_Master!$A:$B,2,0)</f>
        <v>Group 1-Giridhar-Peenya</v>
      </c>
      <c r="Q1428" t="str">
        <f>VLOOKUP(D1428,[2]Template!$A:$D,3,0)</f>
        <v>LAPP</v>
      </c>
      <c r="R1428" t="str">
        <f>VLOOKUP(D1428,[2]Template!$A:$D,4,0)</f>
        <v>Lapp-Non Moving Stocks</v>
      </c>
    </row>
    <row r="1429" spans="1:18" ht="13.5" customHeight="1" x14ac:dyDescent="0.25">
      <c r="A1429" s="9">
        <v>46155</v>
      </c>
      <c r="B1429" s="10" t="s">
        <v>1765</v>
      </c>
      <c r="C1429" s="11" t="s">
        <v>1766</v>
      </c>
      <c r="D1429" s="27" t="s">
        <v>899</v>
      </c>
      <c r="E1429" s="12" t="s">
        <v>1072</v>
      </c>
      <c r="F1429" s="12" t="s">
        <v>900</v>
      </c>
      <c r="G1429" s="13">
        <v>300</v>
      </c>
      <c r="H1429" s="14">
        <v>300</v>
      </c>
      <c r="I1429" s="15">
        <v>168.44</v>
      </c>
      <c r="J1429" s="16"/>
      <c r="K1429" s="17">
        <v>50532</v>
      </c>
      <c r="L1429" s="18">
        <v>46203</v>
      </c>
      <c r="M1429" s="6" t="str">
        <f t="shared" si="66"/>
        <v>Schedule order</v>
      </c>
      <c r="N1429" s="8">
        <f t="shared" ca="1" si="69"/>
        <v>48</v>
      </c>
      <c r="O1429" s="8" t="str">
        <f t="shared" ca="1" si="70"/>
        <v>Lattest or shedule order</v>
      </c>
      <c r="P1429" t="str">
        <f>VLOOKUP(C1429,[1]Customer_Master!$A:$B,2,0)</f>
        <v>Group 1-Giridhar-Peenya</v>
      </c>
      <c r="Q1429" t="str">
        <f>VLOOKUP(D1429,[2]Template!$A:$D,3,0)</f>
        <v>LAPP</v>
      </c>
      <c r="R1429" t="str">
        <f>VLOOKUP(D1429,[2]Template!$A:$D,4,0)</f>
        <v>Lapp-Non Moving Stocks</v>
      </c>
    </row>
    <row r="1430" spans="1:18" ht="13.5" customHeight="1" x14ac:dyDescent="0.25">
      <c r="A1430" s="9">
        <v>46155</v>
      </c>
      <c r="B1430" s="10" t="s">
        <v>1765</v>
      </c>
      <c r="C1430" s="11" t="s">
        <v>1766</v>
      </c>
      <c r="D1430" s="27" t="s">
        <v>899</v>
      </c>
      <c r="E1430" s="12" t="s">
        <v>1072</v>
      </c>
      <c r="F1430" s="12" t="s">
        <v>900</v>
      </c>
      <c r="G1430" s="13">
        <v>300</v>
      </c>
      <c r="H1430" s="14">
        <v>300</v>
      </c>
      <c r="I1430" s="15">
        <v>168.44</v>
      </c>
      <c r="J1430" s="16"/>
      <c r="K1430" s="17">
        <v>50532</v>
      </c>
      <c r="L1430" s="18">
        <v>46234</v>
      </c>
      <c r="M1430" s="6" t="str">
        <f t="shared" si="66"/>
        <v>Schedule order</v>
      </c>
      <c r="N1430" s="8">
        <f t="shared" ca="1" si="69"/>
        <v>79</v>
      </c>
      <c r="O1430" s="8" t="str">
        <f t="shared" ca="1" si="70"/>
        <v>Lattest or shedule order</v>
      </c>
      <c r="P1430" t="str">
        <f>VLOOKUP(C1430,[1]Customer_Master!$A:$B,2,0)</f>
        <v>Group 1-Giridhar-Peenya</v>
      </c>
      <c r="Q1430" t="str">
        <f>VLOOKUP(D1430,[2]Template!$A:$D,3,0)</f>
        <v>LAPP</v>
      </c>
      <c r="R1430" t="str">
        <f>VLOOKUP(D1430,[2]Template!$A:$D,4,0)</f>
        <v>Lapp-Non Moving Stocks</v>
      </c>
    </row>
    <row r="1431" spans="1:18" ht="13.5" customHeight="1" x14ac:dyDescent="0.25">
      <c r="A1431" s="9">
        <v>46155</v>
      </c>
      <c r="B1431" s="10" t="s">
        <v>1765</v>
      </c>
      <c r="C1431" s="11" t="s">
        <v>1766</v>
      </c>
      <c r="D1431" s="10" t="s">
        <v>897</v>
      </c>
      <c r="E1431" s="12" t="s">
        <v>1072</v>
      </c>
      <c r="F1431" s="12" t="s">
        <v>898</v>
      </c>
      <c r="G1431" s="13">
        <v>150</v>
      </c>
      <c r="H1431" s="14">
        <v>150</v>
      </c>
      <c r="I1431" s="15">
        <v>262.10000000000002</v>
      </c>
      <c r="J1431" s="16"/>
      <c r="K1431" s="17">
        <v>39315</v>
      </c>
      <c r="L1431" s="18">
        <v>46173</v>
      </c>
      <c r="M1431" s="6" t="str">
        <f t="shared" si="66"/>
        <v>Schedule order</v>
      </c>
      <c r="N1431" s="8">
        <f t="shared" ca="1" si="69"/>
        <v>18</v>
      </c>
      <c r="O1431" s="8" t="str">
        <f t="shared" ca="1" si="70"/>
        <v>Lattest or shedule order</v>
      </c>
      <c r="P1431" t="str">
        <f>VLOOKUP(C1431,[1]Customer_Master!$A:$B,2,0)</f>
        <v>Group 1-Giridhar-Peenya</v>
      </c>
      <c r="Q1431" t="str">
        <f>VLOOKUP(D1431,[2]Template!$A:$D,3,0)</f>
        <v>LAPP</v>
      </c>
      <c r="R1431" t="str">
        <f>VLOOKUP(D1431,[2]Template!$A:$D,4,0)</f>
        <v>Lapp-Non Moving Stocks</v>
      </c>
    </row>
    <row r="1432" spans="1:18" ht="13.5" customHeight="1" x14ac:dyDescent="0.25">
      <c r="A1432" s="9">
        <v>46155</v>
      </c>
      <c r="B1432" s="10" t="s">
        <v>1765</v>
      </c>
      <c r="C1432" s="11" t="s">
        <v>1766</v>
      </c>
      <c r="D1432" s="10" t="s">
        <v>897</v>
      </c>
      <c r="E1432" s="12" t="s">
        <v>1072</v>
      </c>
      <c r="F1432" s="12" t="s">
        <v>898</v>
      </c>
      <c r="G1432" s="13">
        <v>150</v>
      </c>
      <c r="H1432" s="14">
        <v>150</v>
      </c>
      <c r="I1432" s="15">
        <v>262.10000000000002</v>
      </c>
      <c r="J1432" s="16"/>
      <c r="K1432" s="17">
        <v>39315</v>
      </c>
      <c r="L1432" s="18">
        <v>46203</v>
      </c>
      <c r="M1432" s="6" t="str">
        <f t="shared" si="66"/>
        <v>Schedule order</v>
      </c>
      <c r="N1432" s="8">
        <f t="shared" ca="1" si="69"/>
        <v>48</v>
      </c>
      <c r="O1432" s="8" t="str">
        <f t="shared" ca="1" si="70"/>
        <v>Lattest or shedule order</v>
      </c>
      <c r="P1432" t="str">
        <f>VLOOKUP(C1432,[1]Customer_Master!$A:$B,2,0)</f>
        <v>Group 1-Giridhar-Peenya</v>
      </c>
      <c r="Q1432" t="str">
        <f>VLOOKUP(D1432,[2]Template!$A:$D,3,0)</f>
        <v>LAPP</v>
      </c>
      <c r="R1432" t="str">
        <f>VLOOKUP(D1432,[2]Template!$A:$D,4,0)</f>
        <v>Lapp-Non Moving Stocks</v>
      </c>
    </row>
    <row r="1433" spans="1:18" ht="13.5" customHeight="1" x14ac:dyDescent="0.25">
      <c r="A1433" s="9">
        <v>46155</v>
      </c>
      <c r="B1433" s="10" t="s">
        <v>1765</v>
      </c>
      <c r="C1433" s="11" t="s">
        <v>1766</v>
      </c>
      <c r="D1433" s="10" t="s">
        <v>897</v>
      </c>
      <c r="E1433" s="12" t="s">
        <v>1072</v>
      </c>
      <c r="F1433" s="12" t="s">
        <v>898</v>
      </c>
      <c r="G1433" s="13">
        <v>150</v>
      </c>
      <c r="H1433" s="14">
        <v>150</v>
      </c>
      <c r="I1433" s="15">
        <v>262.10000000000002</v>
      </c>
      <c r="J1433" s="16"/>
      <c r="K1433" s="17">
        <v>39315</v>
      </c>
      <c r="L1433" s="18">
        <v>46234</v>
      </c>
      <c r="M1433" s="6" t="str">
        <f t="shared" si="66"/>
        <v>Schedule order</v>
      </c>
      <c r="N1433" s="8">
        <f t="shared" ca="1" si="69"/>
        <v>79</v>
      </c>
      <c r="O1433" s="8" t="str">
        <f t="shared" ca="1" si="70"/>
        <v>Lattest or shedule order</v>
      </c>
      <c r="P1433" t="str">
        <f>VLOOKUP(C1433,[1]Customer_Master!$A:$B,2,0)</f>
        <v>Group 1-Giridhar-Peenya</v>
      </c>
      <c r="Q1433" t="str">
        <f>VLOOKUP(D1433,[2]Template!$A:$D,3,0)</f>
        <v>LAPP</v>
      </c>
      <c r="R1433" t="str">
        <f>VLOOKUP(D1433,[2]Template!$A:$D,4,0)</f>
        <v>Lapp-Non Moving Stocks</v>
      </c>
    </row>
    <row r="1434" spans="1:18" ht="13.5" customHeight="1" x14ac:dyDescent="0.25">
      <c r="A1434" s="9">
        <v>46155</v>
      </c>
      <c r="B1434" s="10" t="s">
        <v>1765</v>
      </c>
      <c r="C1434" s="11" t="s">
        <v>1766</v>
      </c>
      <c r="D1434" s="27" t="s">
        <v>1771</v>
      </c>
      <c r="E1434" s="12" t="s">
        <v>1072</v>
      </c>
      <c r="F1434" s="12" t="s">
        <v>1772</v>
      </c>
      <c r="G1434" s="13">
        <v>150</v>
      </c>
      <c r="H1434" s="14">
        <v>150</v>
      </c>
      <c r="I1434" s="15">
        <v>275.58</v>
      </c>
      <c r="J1434" s="16"/>
      <c r="K1434" s="17">
        <v>41337</v>
      </c>
      <c r="L1434" s="18">
        <v>46173</v>
      </c>
      <c r="M1434" s="6" t="str">
        <f t="shared" si="66"/>
        <v>Schedule order</v>
      </c>
      <c r="N1434" s="8">
        <f t="shared" ca="1" si="69"/>
        <v>18</v>
      </c>
      <c r="O1434" s="8" t="str">
        <f t="shared" ca="1" si="70"/>
        <v>Lattest or shedule order</v>
      </c>
      <c r="P1434" t="str">
        <f>VLOOKUP(C1434,[1]Customer_Master!$A:$B,2,0)</f>
        <v>Group 1-Giridhar-Peenya</v>
      </c>
      <c r="Q1434" t="str">
        <f>VLOOKUP(D1434,[2]Template!$A:$D,3,0)</f>
        <v>LAPP</v>
      </c>
      <c r="R1434" t="str">
        <f>VLOOKUP(D1434,[2]Template!$A:$D,4,0)</f>
        <v>Lapp-Non Moving Stocks</v>
      </c>
    </row>
    <row r="1435" spans="1:18" ht="13.5" customHeight="1" x14ac:dyDescent="0.25">
      <c r="A1435" s="9">
        <v>46155</v>
      </c>
      <c r="B1435" s="10" t="s">
        <v>1765</v>
      </c>
      <c r="C1435" s="11" t="s">
        <v>1766</v>
      </c>
      <c r="D1435" s="27" t="s">
        <v>1771</v>
      </c>
      <c r="E1435" s="12" t="s">
        <v>1072</v>
      </c>
      <c r="F1435" s="12" t="s">
        <v>1772</v>
      </c>
      <c r="G1435" s="13">
        <v>150</v>
      </c>
      <c r="H1435" s="14">
        <v>150</v>
      </c>
      <c r="I1435" s="15">
        <v>275.58</v>
      </c>
      <c r="J1435" s="16"/>
      <c r="K1435" s="17">
        <v>41337</v>
      </c>
      <c r="L1435" s="18">
        <v>46203</v>
      </c>
      <c r="M1435" s="6" t="str">
        <f t="shared" si="66"/>
        <v>Schedule order</v>
      </c>
      <c r="N1435" s="8">
        <f t="shared" ca="1" si="69"/>
        <v>48</v>
      </c>
      <c r="O1435" s="8" t="str">
        <f t="shared" ca="1" si="70"/>
        <v>Lattest or shedule order</v>
      </c>
      <c r="P1435" t="str">
        <f>VLOOKUP(C1435,[1]Customer_Master!$A:$B,2,0)</f>
        <v>Group 1-Giridhar-Peenya</v>
      </c>
      <c r="Q1435" t="str">
        <f>VLOOKUP(D1435,[2]Template!$A:$D,3,0)</f>
        <v>LAPP</v>
      </c>
      <c r="R1435" t="str">
        <f>VLOOKUP(D1435,[2]Template!$A:$D,4,0)</f>
        <v>Lapp-Non Moving Stocks</v>
      </c>
    </row>
    <row r="1436" spans="1:18" ht="13.5" customHeight="1" x14ac:dyDescent="0.25">
      <c r="A1436" s="9">
        <v>46155</v>
      </c>
      <c r="B1436" s="10" t="s">
        <v>1765</v>
      </c>
      <c r="C1436" s="11" t="s">
        <v>1766</v>
      </c>
      <c r="D1436" s="27" t="s">
        <v>1771</v>
      </c>
      <c r="E1436" s="12" t="s">
        <v>1072</v>
      </c>
      <c r="F1436" s="12" t="s">
        <v>1772</v>
      </c>
      <c r="G1436" s="13">
        <v>150</v>
      </c>
      <c r="H1436" s="14">
        <v>150</v>
      </c>
      <c r="I1436" s="15">
        <v>275.58</v>
      </c>
      <c r="J1436" s="16"/>
      <c r="K1436" s="17">
        <v>41337</v>
      </c>
      <c r="L1436" s="18">
        <v>46234</v>
      </c>
      <c r="M1436" s="6" t="str">
        <f t="shared" si="66"/>
        <v>Schedule order</v>
      </c>
      <c r="N1436" s="8">
        <f t="shared" ca="1" si="69"/>
        <v>79</v>
      </c>
      <c r="O1436" s="8" t="str">
        <f t="shared" ca="1" si="70"/>
        <v>Lattest or shedule order</v>
      </c>
      <c r="P1436" t="str">
        <f>VLOOKUP(C1436,[1]Customer_Master!$A:$B,2,0)</f>
        <v>Group 1-Giridhar-Peenya</v>
      </c>
      <c r="Q1436" t="str">
        <f>VLOOKUP(D1436,[2]Template!$A:$D,3,0)</f>
        <v>LAPP</v>
      </c>
      <c r="R1436" t="str">
        <f>VLOOKUP(D1436,[2]Template!$A:$D,4,0)</f>
        <v>Lapp-Non Moving Stocks</v>
      </c>
    </row>
    <row r="1437" spans="1:18" ht="13.5" customHeight="1" x14ac:dyDescent="0.25">
      <c r="A1437" s="9">
        <v>46155</v>
      </c>
      <c r="B1437" s="10" t="s">
        <v>1765</v>
      </c>
      <c r="C1437" s="11" t="s">
        <v>1766</v>
      </c>
      <c r="D1437" s="27" t="s">
        <v>1773</v>
      </c>
      <c r="E1437" s="12" t="s">
        <v>1072</v>
      </c>
      <c r="F1437" s="26" t="s">
        <v>1774</v>
      </c>
      <c r="G1437" s="13">
        <v>50</v>
      </c>
      <c r="H1437" s="14">
        <v>50</v>
      </c>
      <c r="I1437" s="15">
        <v>370.26</v>
      </c>
      <c r="J1437" s="16"/>
      <c r="K1437" s="17">
        <v>18513</v>
      </c>
      <c r="L1437" s="18">
        <v>46173</v>
      </c>
      <c r="M1437" s="6" t="str">
        <f t="shared" si="66"/>
        <v>Schedule order</v>
      </c>
      <c r="N1437" s="8">
        <f t="shared" ca="1" si="69"/>
        <v>18</v>
      </c>
      <c r="O1437" s="8" t="str">
        <f t="shared" ca="1" si="70"/>
        <v>Lattest or shedule order</v>
      </c>
      <c r="P1437" t="str">
        <f>VLOOKUP(C1437,[1]Customer_Master!$A:$B,2,0)</f>
        <v>Group 1-Giridhar-Peenya</v>
      </c>
      <c r="Q1437" t="str">
        <f>VLOOKUP(D1437,[2]Template!$A:$D,3,0)</f>
        <v>LAPP</v>
      </c>
      <c r="R1437" t="str">
        <f>VLOOKUP(D1437,[2]Template!$A:$D,4,0)</f>
        <v>Lapp-Non Moving Stocks</v>
      </c>
    </row>
    <row r="1438" spans="1:18" ht="13.5" customHeight="1" x14ac:dyDescent="0.25">
      <c r="A1438" s="9">
        <v>46155</v>
      </c>
      <c r="B1438" s="10" t="s">
        <v>1765</v>
      </c>
      <c r="C1438" s="11" t="s">
        <v>1766</v>
      </c>
      <c r="D1438" s="27" t="s">
        <v>1773</v>
      </c>
      <c r="E1438" s="12" t="s">
        <v>1072</v>
      </c>
      <c r="F1438" s="26" t="s">
        <v>1774</v>
      </c>
      <c r="G1438" s="13">
        <v>50</v>
      </c>
      <c r="H1438" s="14">
        <v>50</v>
      </c>
      <c r="I1438" s="15">
        <v>370.26</v>
      </c>
      <c r="J1438" s="16"/>
      <c r="K1438" s="17">
        <v>18513</v>
      </c>
      <c r="L1438" s="18">
        <v>46203</v>
      </c>
      <c r="M1438" s="6" t="str">
        <f t="shared" si="66"/>
        <v>Schedule order</v>
      </c>
      <c r="N1438" s="8">
        <f t="shared" ca="1" si="69"/>
        <v>48</v>
      </c>
      <c r="O1438" s="8" t="str">
        <f t="shared" ca="1" si="70"/>
        <v>Lattest or shedule order</v>
      </c>
      <c r="P1438" t="str">
        <f>VLOOKUP(C1438,[1]Customer_Master!$A:$B,2,0)</f>
        <v>Group 1-Giridhar-Peenya</v>
      </c>
      <c r="Q1438" t="str">
        <f>VLOOKUP(D1438,[2]Template!$A:$D,3,0)</f>
        <v>LAPP</v>
      </c>
      <c r="R1438" t="str">
        <f>VLOOKUP(D1438,[2]Template!$A:$D,4,0)</f>
        <v>Lapp-Non Moving Stocks</v>
      </c>
    </row>
    <row r="1439" spans="1:18" ht="13.5" customHeight="1" x14ac:dyDescent="0.25">
      <c r="A1439" s="9">
        <v>46155</v>
      </c>
      <c r="B1439" s="10" t="s">
        <v>1765</v>
      </c>
      <c r="C1439" s="11" t="s">
        <v>1766</v>
      </c>
      <c r="D1439" s="27" t="s">
        <v>1773</v>
      </c>
      <c r="E1439" s="12" t="s">
        <v>1072</v>
      </c>
      <c r="F1439" s="26" t="s">
        <v>1774</v>
      </c>
      <c r="G1439" s="13">
        <v>50</v>
      </c>
      <c r="H1439" s="14">
        <v>50</v>
      </c>
      <c r="I1439" s="15">
        <v>370.26</v>
      </c>
      <c r="J1439" s="16"/>
      <c r="K1439" s="17">
        <v>18513</v>
      </c>
      <c r="L1439" s="18">
        <v>46234</v>
      </c>
      <c r="M1439" s="6" t="str">
        <f t="shared" si="66"/>
        <v>Schedule order</v>
      </c>
      <c r="N1439" s="8">
        <f t="shared" ca="1" si="69"/>
        <v>79</v>
      </c>
      <c r="O1439" s="8" t="str">
        <f t="shared" ca="1" si="70"/>
        <v>Lattest or shedule order</v>
      </c>
      <c r="P1439" t="str">
        <f>VLOOKUP(C1439,[1]Customer_Master!$A:$B,2,0)</f>
        <v>Group 1-Giridhar-Peenya</v>
      </c>
      <c r="Q1439" t="str">
        <f>VLOOKUP(D1439,[2]Template!$A:$D,3,0)</f>
        <v>LAPP</v>
      </c>
      <c r="R1439" t="str">
        <f>VLOOKUP(D1439,[2]Template!$A:$D,4,0)</f>
        <v>Lapp-Non Moving Stocks</v>
      </c>
    </row>
    <row r="1440" spans="1:18" ht="13.5" customHeight="1" x14ac:dyDescent="0.25">
      <c r="A1440" s="9">
        <v>46155</v>
      </c>
      <c r="B1440" s="10" t="s">
        <v>1775</v>
      </c>
      <c r="C1440" s="11" t="s">
        <v>61</v>
      </c>
      <c r="D1440" s="10" t="s">
        <v>339</v>
      </c>
      <c r="E1440" s="12" t="s">
        <v>1072</v>
      </c>
      <c r="F1440" s="12" t="s">
        <v>124</v>
      </c>
      <c r="G1440" s="13">
        <v>8000</v>
      </c>
      <c r="H1440" s="14">
        <v>7000</v>
      </c>
      <c r="I1440" s="15">
        <v>43.87</v>
      </c>
      <c r="J1440" s="21">
        <v>47</v>
      </c>
      <c r="K1440" s="17">
        <v>162757.70000000001</v>
      </c>
      <c r="L1440" s="18">
        <v>46155</v>
      </c>
      <c r="M1440" s="6" t="str">
        <f t="shared" si="66"/>
        <v>Schedule order</v>
      </c>
      <c r="N1440" s="8">
        <f t="shared" ca="1" si="69"/>
        <v>0</v>
      </c>
      <c r="O1440" s="8" t="str">
        <f t="shared" ca="1" si="70"/>
        <v>Lattest or shedule order</v>
      </c>
      <c r="P1440" t="str">
        <f>VLOOKUP(C1440,[1]Customer_Master!$A:$B,2,0)</f>
        <v>Group 1-Giridhar-Peenya</v>
      </c>
      <c r="Q1440" t="str">
        <f>VLOOKUP(D1440,[2]Template!$A:$D,3,0)</f>
        <v>LAPP</v>
      </c>
      <c r="R1440" t="str">
        <f>VLOOKUP(D1440,[2]Template!$A:$D,4,0)</f>
        <v>Lapp-Planned Stock General</v>
      </c>
    </row>
    <row r="1441" spans="1:18" ht="13.5" customHeight="1" x14ac:dyDescent="0.25">
      <c r="A1441" s="9">
        <v>46155</v>
      </c>
      <c r="B1441" s="10" t="s">
        <v>1776</v>
      </c>
      <c r="C1441" s="11" t="s">
        <v>67</v>
      </c>
      <c r="D1441" s="10" t="s">
        <v>318</v>
      </c>
      <c r="E1441" s="12" t="s">
        <v>1072</v>
      </c>
      <c r="F1441" s="12" t="s">
        <v>1083</v>
      </c>
      <c r="G1441" s="13">
        <v>200</v>
      </c>
      <c r="H1441" s="14">
        <v>200</v>
      </c>
      <c r="I1441" s="15">
        <v>343.04</v>
      </c>
      <c r="J1441" s="16"/>
      <c r="K1441" s="17">
        <v>68608</v>
      </c>
      <c r="L1441" s="18">
        <v>46155</v>
      </c>
      <c r="M1441" s="6" t="str">
        <f t="shared" si="66"/>
        <v>Schedule order</v>
      </c>
      <c r="N1441" s="8">
        <f t="shared" ca="1" si="69"/>
        <v>0</v>
      </c>
      <c r="O1441" s="8" t="str">
        <f t="shared" ca="1" si="70"/>
        <v>Lattest or shedule order</v>
      </c>
      <c r="P1441" t="str">
        <f>VLOOKUP(C1441,[1]Customer_Master!$A:$B,2,0)</f>
        <v>Group 1-Giridhar-Peenya</v>
      </c>
      <c r="Q1441" t="str">
        <f>VLOOKUP(D1441,[2]Template!$A:$D,3,0)</f>
        <v>LAPP</v>
      </c>
      <c r="R1441" t="str">
        <f>VLOOKUP(D1441,[2]Template!$A:$D,4,0)</f>
        <v>Lapp-AMS Group</v>
      </c>
    </row>
    <row r="1442" spans="1:18" ht="13.5" customHeight="1" x14ac:dyDescent="0.25">
      <c r="A1442" s="9">
        <v>46155</v>
      </c>
      <c r="B1442" s="10" t="s">
        <v>1776</v>
      </c>
      <c r="C1442" s="11" t="s">
        <v>67</v>
      </c>
      <c r="D1442" s="10" t="s">
        <v>318</v>
      </c>
      <c r="E1442" s="12" t="s">
        <v>1072</v>
      </c>
      <c r="F1442" s="12" t="s">
        <v>1083</v>
      </c>
      <c r="G1442" s="13">
        <v>200</v>
      </c>
      <c r="H1442" s="14">
        <v>200</v>
      </c>
      <c r="I1442" s="15">
        <v>343.04</v>
      </c>
      <c r="J1442" s="16"/>
      <c r="K1442" s="17">
        <v>68608</v>
      </c>
      <c r="L1442" s="18">
        <v>46183</v>
      </c>
      <c r="M1442" s="6" t="str">
        <f t="shared" si="66"/>
        <v>Schedule order</v>
      </c>
      <c r="N1442" s="8">
        <f t="shared" ca="1" si="69"/>
        <v>28</v>
      </c>
      <c r="O1442" s="8" t="str">
        <f t="shared" ca="1" si="70"/>
        <v>Lattest or shedule order</v>
      </c>
      <c r="P1442" t="str">
        <f>VLOOKUP(C1442,[1]Customer_Master!$A:$B,2,0)</f>
        <v>Group 1-Giridhar-Peenya</v>
      </c>
      <c r="Q1442" t="str">
        <f>VLOOKUP(D1442,[2]Template!$A:$D,3,0)</f>
        <v>LAPP</v>
      </c>
      <c r="R1442" t="str">
        <f>VLOOKUP(D1442,[2]Template!$A:$D,4,0)</f>
        <v>Lapp-AMS Group</v>
      </c>
    </row>
    <row r="1443" spans="1:18" ht="13.5" customHeight="1" x14ac:dyDescent="0.25">
      <c r="A1443" s="9">
        <v>46155</v>
      </c>
      <c r="B1443" s="10" t="s">
        <v>1776</v>
      </c>
      <c r="C1443" s="11" t="s">
        <v>67</v>
      </c>
      <c r="D1443" s="10" t="s">
        <v>318</v>
      </c>
      <c r="E1443" s="12" t="s">
        <v>1072</v>
      </c>
      <c r="F1443" s="12" t="s">
        <v>1083</v>
      </c>
      <c r="G1443" s="13">
        <v>200</v>
      </c>
      <c r="H1443" s="14">
        <v>200</v>
      </c>
      <c r="I1443" s="15">
        <v>343.04</v>
      </c>
      <c r="J1443" s="16"/>
      <c r="K1443" s="17">
        <v>68608</v>
      </c>
      <c r="L1443" s="18">
        <v>46213</v>
      </c>
      <c r="M1443" s="6" t="str">
        <f t="shared" si="66"/>
        <v>Schedule order</v>
      </c>
      <c r="N1443" s="8">
        <f t="shared" ca="1" si="69"/>
        <v>58</v>
      </c>
      <c r="O1443" s="8" t="str">
        <f t="shared" ca="1" si="70"/>
        <v>Lattest or shedule order</v>
      </c>
      <c r="P1443" t="str">
        <f>VLOOKUP(C1443,[1]Customer_Master!$A:$B,2,0)</f>
        <v>Group 1-Giridhar-Peenya</v>
      </c>
      <c r="Q1443" t="str">
        <f>VLOOKUP(D1443,[2]Template!$A:$D,3,0)</f>
        <v>LAPP</v>
      </c>
      <c r="R1443" t="str">
        <f>VLOOKUP(D1443,[2]Template!$A:$D,4,0)</f>
        <v>Lapp-AMS Group</v>
      </c>
    </row>
    <row r="1444" spans="1:18" ht="13.5" customHeight="1" x14ac:dyDescent="0.25">
      <c r="A1444" s="9">
        <v>46155</v>
      </c>
      <c r="B1444" s="10" t="s">
        <v>1776</v>
      </c>
      <c r="C1444" s="11" t="s">
        <v>67</v>
      </c>
      <c r="D1444" s="10" t="s">
        <v>318</v>
      </c>
      <c r="E1444" s="12" t="s">
        <v>1072</v>
      </c>
      <c r="F1444" s="12" t="s">
        <v>1083</v>
      </c>
      <c r="G1444" s="13">
        <v>200</v>
      </c>
      <c r="H1444" s="14">
        <v>200</v>
      </c>
      <c r="I1444" s="15">
        <v>343.04</v>
      </c>
      <c r="J1444" s="16"/>
      <c r="K1444" s="17">
        <v>68608</v>
      </c>
      <c r="L1444" s="18">
        <v>46244</v>
      </c>
      <c r="M1444" s="6" t="str">
        <f t="shared" si="66"/>
        <v>Schedule order</v>
      </c>
      <c r="N1444" s="8">
        <f t="shared" ca="1" si="69"/>
        <v>89</v>
      </c>
      <c r="O1444" s="8" t="str">
        <f t="shared" ca="1" si="70"/>
        <v>Lattest or shedule order</v>
      </c>
      <c r="P1444" t="str">
        <f>VLOOKUP(C1444,[1]Customer_Master!$A:$B,2,0)</f>
        <v>Group 1-Giridhar-Peenya</v>
      </c>
      <c r="Q1444" t="str">
        <f>VLOOKUP(D1444,[2]Template!$A:$D,3,0)</f>
        <v>LAPP</v>
      </c>
      <c r="R1444" t="str">
        <f>VLOOKUP(D1444,[2]Template!$A:$D,4,0)</f>
        <v>Lapp-AMS Group</v>
      </c>
    </row>
    <row r="1445" spans="1:18" ht="13.5" customHeight="1" x14ac:dyDescent="0.25">
      <c r="A1445" s="9">
        <v>46155</v>
      </c>
      <c r="B1445" s="10" t="s">
        <v>1776</v>
      </c>
      <c r="C1445" s="11" t="s">
        <v>67</v>
      </c>
      <c r="D1445" s="10" t="s">
        <v>318</v>
      </c>
      <c r="E1445" s="12" t="s">
        <v>1072</v>
      </c>
      <c r="F1445" s="12" t="s">
        <v>1083</v>
      </c>
      <c r="G1445" s="13">
        <v>200</v>
      </c>
      <c r="H1445" s="14">
        <v>200</v>
      </c>
      <c r="I1445" s="15">
        <v>343.04</v>
      </c>
      <c r="J1445" s="16"/>
      <c r="K1445" s="17">
        <v>68608</v>
      </c>
      <c r="L1445" s="18">
        <v>46275</v>
      </c>
      <c r="M1445" s="6" t="str">
        <f t="shared" si="66"/>
        <v>Schedule order</v>
      </c>
      <c r="N1445" s="8">
        <f t="shared" ca="1" si="69"/>
        <v>120</v>
      </c>
      <c r="O1445" s="8" t="str">
        <f t="shared" ca="1" si="70"/>
        <v>Lattest or shedule order</v>
      </c>
      <c r="P1445" t="str">
        <f>VLOOKUP(C1445,[1]Customer_Master!$A:$B,2,0)</f>
        <v>Group 1-Giridhar-Peenya</v>
      </c>
      <c r="Q1445" t="str">
        <f>VLOOKUP(D1445,[2]Template!$A:$D,3,0)</f>
        <v>LAPP</v>
      </c>
      <c r="R1445" t="str">
        <f>VLOOKUP(D1445,[2]Template!$A:$D,4,0)</f>
        <v>Lapp-AMS Group</v>
      </c>
    </row>
    <row r="1446" spans="1:18" ht="13.5" customHeight="1" x14ac:dyDescent="0.25">
      <c r="A1446" s="9">
        <v>46155</v>
      </c>
      <c r="B1446" s="10" t="s">
        <v>1777</v>
      </c>
      <c r="C1446" s="11" t="s">
        <v>1778</v>
      </c>
      <c r="D1446" s="10" t="s">
        <v>326</v>
      </c>
      <c r="E1446" s="12" t="s">
        <v>1072</v>
      </c>
      <c r="F1446" s="12" t="s">
        <v>95</v>
      </c>
      <c r="G1446" s="13">
        <v>60</v>
      </c>
      <c r="H1446" s="14">
        <v>60</v>
      </c>
      <c r="I1446" s="15">
        <v>240.9</v>
      </c>
      <c r="J1446" s="21">
        <v>41</v>
      </c>
      <c r="K1446" s="17">
        <v>8527.86</v>
      </c>
      <c r="L1446" s="18">
        <v>46155</v>
      </c>
      <c r="M1446" s="6" t="str">
        <f t="shared" si="66"/>
        <v>Schedule order</v>
      </c>
      <c r="N1446" s="8">
        <f t="shared" ca="1" si="69"/>
        <v>0</v>
      </c>
      <c r="O1446" s="8" t="str">
        <f t="shared" ca="1" si="70"/>
        <v>Lattest or shedule order</v>
      </c>
      <c r="P1446" t="str">
        <f>VLOOKUP(C1446,[1]Customer_Master!$A:$B,2,0)</f>
        <v>Group 1-Giridhar-Peenya</v>
      </c>
      <c r="Q1446" t="str">
        <f>VLOOKUP(D1446,[2]Template!$A:$D,3,0)</f>
        <v>LAPP</v>
      </c>
      <c r="R1446" t="str">
        <f>VLOOKUP(D1446,[2]Template!$A:$D,4,0)</f>
        <v>Lapp-Planned Stock General</v>
      </c>
    </row>
    <row r="1447" spans="1:18" ht="13.5" customHeight="1" x14ac:dyDescent="0.25">
      <c r="A1447" s="9">
        <v>46155</v>
      </c>
      <c r="B1447" s="10" t="s">
        <v>1777</v>
      </c>
      <c r="C1447" s="11" t="s">
        <v>1778</v>
      </c>
      <c r="D1447" s="10" t="s">
        <v>363</v>
      </c>
      <c r="E1447" s="12" t="s">
        <v>1072</v>
      </c>
      <c r="F1447" s="12" t="s">
        <v>114</v>
      </c>
      <c r="G1447" s="13">
        <v>120</v>
      </c>
      <c r="H1447" s="14">
        <v>120</v>
      </c>
      <c r="I1447" s="15">
        <v>401.41</v>
      </c>
      <c r="J1447" s="21">
        <v>41</v>
      </c>
      <c r="K1447" s="17">
        <v>28419.83</v>
      </c>
      <c r="L1447" s="18">
        <v>46155</v>
      </c>
      <c r="M1447" s="6" t="str">
        <f t="shared" si="66"/>
        <v>Schedule order</v>
      </c>
      <c r="N1447" s="8">
        <f t="shared" ca="1" si="69"/>
        <v>0</v>
      </c>
      <c r="O1447" s="8" t="str">
        <f t="shared" ca="1" si="70"/>
        <v>Lattest or shedule order</v>
      </c>
      <c r="P1447" t="str">
        <f>VLOOKUP(C1447,[1]Customer_Master!$A:$B,2,0)</f>
        <v>Group 1-Giridhar-Peenya</v>
      </c>
      <c r="Q1447" t="str">
        <f>VLOOKUP(D1447,[2]Template!$A:$D,3,0)</f>
        <v>LAPP</v>
      </c>
      <c r="R1447" t="str">
        <f>VLOOKUP(D1447,[2]Template!$A:$D,4,0)</f>
        <v>Lapp-Planned Stock General</v>
      </c>
    </row>
    <row r="1448" spans="1:18" ht="13.5" customHeight="1" x14ac:dyDescent="0.25">
      <c r="A1448" s="1"/>
      <c r="B1448" s="2"/>
      <c r="C1448" s="2"/>
      <c r="D1448" s="5"/>
      <c r="E1448" s="2"/>
      <c r="F1448" s="3"/>
      <c r="G1448" s="2"/>
      <c r="H1448" s="2"/>
      <c r="I1448" s="2"/>
      <c r="J1448" s="2"/>
      <c r="K1448" s="2"/>
      <c r="L1448" s="1"/>
      <c r="M1448" s="6"/>
      <c r="N1448" s="8"/>
      <c r="O1448" s="8"/>
    </row>
    <row r="1449" spans="1:18" ht="13.5" customHeight="1" x14ac:dyDescent="0.25">
      <c r="A1449" s="1"/>
      <c r="B1449" s="2"/>
      <c r="C1449" s="2"/>
      <c r="D1449" s="5"/>
      <c r="E1449" s="2"/>
      <c r="F1449" s="2"/>
      <c r="G1449" s="2"/>
      <c r="H1449" s="2"/>
      <c r="I1449" s="2"/>
      <c r="J1449" s="2"/>
      <c r="K1449" s="2"/>
      <c r="L1449" s="1"/>
      <c r="M1449" s="6"/>
      <c r="N1449" s="8"/>
      <c r="O1449" s="8"/>
    </row>
    <row r="1450" spans="1:18" ht="13.5" customHeight="1" x14ac:dyDescent="0.25">
      <c r="A1450" s="1"/>
      <c r="B1450" s="2"/>
      <c r="C1450" s="2"/>
      <c r="D1450" s="5"/>
      <c r="E1450" s="2"/>
      <c r="F1450" s="2"/>
      <c r="G1450" s="2"/>
      <c r="H1450" s="2"/>
      <c r="I1450" s="2"/>
      <c r="J1450" s="2"/>
      <c r="K1450" s="2"/>
      <c r="L1450" s="1"/>
      <c r="M1450" s="6"/>
      <c r="N1450" s="8"/>
      <c r="O1450" s="8"/>
    </row>
    <row r="1451" spans="1:18" ht="13.5" customHeight="1" x14ac:dyDescent="0.25">
      <c r="A1451" s="1"/>
      <c r="B1451" s="2"/>
      <c r="C1451" s="2"/>
      <c r="D1451" s="5"/>
      <c r="E1451" s="2"/>
      <c r="F1451" s="2"/>
      <c r="G1451" s="2"/>
      <c r="H1451" s="2"/>
      <c r="I1451" s="2"/>
      <c r="J1451" s="2"/>
      <c r="K1451" s="2"/>
      <c r="L1451" s="1"/>
      <c r="M1451" s="6"/>
      <c r="N1451" s="8"/>
      <c r="O1451" s="8"/>
    </row>
    <row r="1452" spans="1:18" ht="13.5" customHeight="1" x14ac:dyDescent="0.25">
      <c r="A1452" s="1"/>
      <c r="B1452" s="2"/>
      <c r="C1452" s="2"/>
      <c r="D1452" s="5"/>
      <c r="E1452" s="2"/>
      <c r="F1452" s="2"/>
      <c r="G1452" s="2"/>
      <c r="H1452" s="2"/>
      <c r="I1452" s="2"/>
      <c r="J1452" s="2"/>
      <c r="K1452" s="2"/>
      <c r="L1452" s="1"/>
      <c r="M1452" s="6"/>
      <c r="N1452" s="8"/>
      <c r="O1452" s="8"/>
    </row>
    <row r="1453" spans="1:18" ht="13.5" customHeight="1" x14ac:dyDescent="0.25">
      <c r="A1453" s="1"/>
      <c r="B1453" s="2"/>
      <c r="C1453" s="2"/>
      <c r="D1453" s="5"/>
      <c r="E1453" s="2"/>
      <c r="F1453" s="2"/>
      <c r="G1453" s="2"/>
      <c r="H1453" s="2"/>
      <c r="I1453" s="2"/>
      <c r="J1453" s="2"/>
      <c r="K1453" s="2"/>
      <c r="L1453" s="1"/>
      <c r="M1453" s="6"/>
      <c r="N1453" s="8"/>
      <c r="O1453" s="8"/>
    </row>
    <row r="1454" spans="1:18" ht="13.5" customHeight="1" x14ac:dyDescent="0.25">
      <c r="A1454" s="1"/>
      <c r="B1454" s="2"/>
      <c r="C1454" s="2"/>
      <c r="D1454" s="5"/>
      <c r="E1454" s="2"/>
      <c r="F1454" s="2"/>
      <c r="G1454" s="2"/>
      <c r="H1454" s="2"/>
      <c r="I1454" s="2"/>
      <c r="J1454" s="2"/>
      <c r="K1454" s="2"/>
      <c r="L1454" s="1"/>
      <c r="M1454" s="6"/>
      <c r="N1454" s="8"/>
      <c r="O1454" s="8"/>
    </row>
    <row r="1455" spans="1:18" ht="13.5" customHeight="1" x14ac:dyDescent="0.25">
      <c r="A1455" s="1"/>
      <c r="B1455" s="2"/>
      <c r="C1455" s="2"/>
      <c r="D1455" s="5"/>
      <c r="E1455" s="2"/>
      <c r="F1455" s="2"/>
      <c r="G1455" s="2"/>
      <c r="H1455" s="2"/>
      <c r="I1455" s="2"/>
      <c r="J1455" s="2"/>
      <c r="K1455" s="2"/>
      <c r="L1455" s="1"/>
      <c r="M1455" s="6"/>
      <c r="N1455" s="8"/>
      <c r="O1455" s="8"/>
    </row>
    <row r="1456" spans="1:18" ht="13.5" customHeight="1" x14ac:dyDescent="0.25">
      <c r="A1456" s="1"/>
      <c r="B1456" s="2"/>
      <c r="C1456" s="2"/>
      <c r="D1456" s="5"/>
      <c r="E1456" s="2"/>
      <c r="F1456" s="2"/>
      <c r="G1456" s="2"/>
      <c r="H1456" s="2"/>
      <c r="I1456" s="2"/>
      <c r="J1456" s="2"/>
      <c r="K1456" s="2"/>
      <c r="L1456" s="1"/>
      <c r="M1456" s="6"/>
      <c r="N1456" s="8"/>
      <c r="O1456" s="8"/>
    </row>
    <row r="1457" spans="1:15" ht="13.5" customHeight="1" x14ac:dyDescent="0.25">
      <c r="A1457" s="1"/>
      <c r="B1457" s="2"/>
      <c r="C1457" s="2"/>
      <c r="D1457" s="5"/>
      <c r="E1457" s="2"/>
      <c r="F1457" s="2"/>
      <c r="G1457" s="2"/>
      <c r="H1457" s="2"/>
      <c r="I1457" s="2"/>
      <c r="J1457" s="2"/>
      <c r="K1457" s="2"/>
      <c r="L1457" s="1"/>
      <c r="M1457" s="6"/>
      <c r="N1457" s="8"/>
      <c r="O1457" s="8"/>
    </row>
    <row r="1458" spans="1:15" ht="13.5" customHeight="1" x14ac:dyDescent="0.25">
      <c r="A1458" s="1"/>
      <c r="B1458" s="2"/>
      <c r="C1458" s="2"/>
      <c r="D1458" s="5"/>
      <c r="E1458" s="2"/>
      <c r="F1458" s="2"/>
      <c r="G1458" s="2"/>
      <c r="H1458" s="2"/>
      <c r="I1458" s="2"/>
      <c r="J1458" s="2"/>
      <c r="K1458" s="2"/>
      <c r="L1458" s="1"/>
      <c r="M1458" s="6"/>
      <c r="N1458" s="8"/>
      <c r="O1458" s="8"/>
    </row>
    <row r="1459" spans="1:15" ht="13.5" customHeight="1" x14ac:dyDescent="0.25">
      <c r="A1459" s="1"/>
      <c r="B1459" s="2"/>
      <c r="C1459" s="2"/>
      <c r="D1459" s="5"/>
      <c r="E1459" s="2"/>
      <c r="F1459" s="3"/>
      <c r="G1459" s="2"/>
      <c r="H1459" s="2"/>
      <c r="I1459" s="2"/>
      <c r="J1459" s="2"/>
      <c r="K1459" s="2"/>
      <c r="L1459" s="1"/>
      <c r="M1459" s="6"/>
      <c r="N1459" s="8"/>
      <c r="O1459" s="8"/>
    </row>
    <row r="1460" spans="1:15" ht="13.5" customHeight="1" x14ac:dyDescent="0.25">
      <c r="A1460" s="1"/>
      <c r="B1460" s="2"/>
      <c r="C1460" s="2"/>
      <c r="D1460" s="5"/>
      <c r="E1460" s="2"/>
      <c r="F1460" s="2"/>
      <c r="G1460" s="2"/>
      <c r="H1460" s="2"/>
      <c r="I1460" s="2"/>
      <c r="J1460" s="2"/>
      <c r="K1460" s="2"/>
      <c r="L1460" s="1"/>
      <c r="M1460" s="6"/>
      <c r="N1460" s="8"/>
      <c r="O1460" s="8"/>
    </row>
  </sheetData>
  <conditionalFormatting sqref="N1:O1048576">
    <cfRule type="colorScale" priority="1">
      <colorScale>
        <cfvo type="min"/>
        <cfvo type="percentile" val="50"/>
        <cfvo type="max"/>
        <color rgb="FFF8696B"/>
        <color rgb="FFFFEB84"/>
        <color rgb="FF63BE7B"/>
      </colorScale>
    </cfRule>
  </conditionalFormatting>
  <pageMargins left="0.7" right="0.7" top="0.75" bottom="0.75" header="0.3" footer="0.3"/>
  <ignoredErrors>
    <ignoredError sqref="N1 A1:L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Pending_SO_Template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2026-05-13T08:20:54Z</dcterms:modified>
</cp:coreProperties>
</file>